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urva A" sheetId="1" state="visible" r:id="rId1"/>
    <sheet name="Curva B" sheetId="2" state="visible" r:id="rId2"/>
    <sheet name="Curva C" sheetId="3" state="visible" r:id="rId3"/>
    <sheet name="ML BOUW" sheetId="4" state="visible" r:id="rId4"/>
    <sheet name="Estoque Antigo" sheetId="5" state="visible" r:id="rId5"/>
    <sheet name="Calcular Custo (imposto)" sheetId="6" state="visible" r:id="rId6"/>
    <sheet name="Shopee 2.0" sheetId="7" state="visible" r:id="rId7"/>
    <sheet name="Crescimento" sheetId="8" state="visible" r:id="rId8"/>
    <sheet name="Tik Tok Shop" sheetId="9" state="visible" r:id="rId9"/>
    <sheet name="Reposição Estoque Santos" sheetId="10" state="visible" r:id="rId10"/>
    <sheet name="Calculo De Lucro  Prejuizo ADS" sheetId="11" state="visible" r:id="rId11"/>
    <sheet name="Analise Promocoes" sheetId="12" state="visible" r:id="rId12"/>
  </sheets>
  <definedNames>
    <definedName name="_xlnm._FilterDatabase" localSheetId="11" hidden="1">'Analise Promocoes'!$A$1:$G$63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[$R$ -416]#,##0.00"/>
    <numFmt numFmtId="165" formatCode="_-&quot;R$&quot;\ * #,##0.00_-;\-&quot;R$&quot;\ * #,##0.00_-;_-&quot;R$&quot;\ * &quot;-&quot;??_-;_-@"/>
    <numFmt numFmtId="166" formatCode="d/m"/>
    <numFmt numFmtId="167" formatCode="&quot;R$&quot;\ #,##0.00;[Red]\-&quot;R$&quot;\ #,##0.00"/>
    <numFmt numFmtId="168" formatCode="&quot;R$&quot;\ #,##0.000;[Red]\-&quot;R$&quot;\ #,##0.000"/>
    <numFmt numFmtId="169" formatCode="&quot;R$&quot;\ #,##0.0000;[Red]\-&quot;R$&quot;\ #,##0.0000"/>
    <numFmt numFmtId="170" formatCode="0.0%"/>
    <numFmt numFmtId="171" formatCode="dd/mm"/>
    <numFmt numFmtId="172" formatCode="dd/mm/yyyy"/>
  </numFmts>
  <fonts count="222">
    <font>
      <name val="Aptos Narrow"/>
      <color theme="1"/>
      <sz val="12"/>
      <scheme val="minor"/>
    </font>
    <font>
      <name val="Arial"/>
      <b val="1"/>
      <color theme="1"/>
      <sz val="12"/>
    </font>
    <font>
      <name val="Aptos Narrow"/>
      <color theme="1"/>
    </font>
    <font>
      <name val="Aptos Narrow"/>
      <b val="1"/>
      <color theme="1"/>
      <sz val="12"/>
    </font>
    <font>
      <name val="Aptos Narrow"/>
      <color theme="1"/>
      <sz val="12"/>
    </font>
    <font>
      <name val="Arial"/>
      <color rgb="FF000000"/>
      <sz val="12"/>
    </font>
    <font>
      <name val="Aptos Narrow"/>
      <color rgb="FF000000"/>
    </font>
    <font>
      <name val="Aptos Narrow"/>
      <color rgb="FF000000"/>
      <sz val="12"/>
    </font>
    <font>
      <name val="Arial"/>
      <color theme="6"/>
      <sz val="12"/>
    </font>
    <font>
      <name val="Arial"/>
      <color rgb="FF666666"/>
      <sz val="12"/>
    </font>
    <font>
      <name val="Arial"/>
      <color theme="1"/>
      <sz val="12"/>
    </font>
    <font>
      <name val="Arial"/>
      <color rgb="FF473821"/>
      <sz val="12"/>
    </font>
    <font>
      <name val="Arial"/>
      <color rgb="FF467886"/>
      <sz val="12"/>
    </font>
    <font>
      <name val="Aptos Narrow"/>
      <color rgb="FFB10202"/>
      <sz val="12"/>
    </font>
    <font>
      <name val="Arial"/>
      <color rgb="FF434343"/>
      <sz val="12"/>
    </font>
    <font>
      <name val="Aptos Narrow"/>
      <color rgb="FF666666"/>
      <sz val="12"/>
    </font>
    <font>
      <name val="Aptos Narrow"/>
      <color rgb="FF990000"/>
      <sz val="12"/>
    </font>
    <font>
      <name val="Arial"/>
      <color rgb="FFD4EDBC"/>
      <sz val="12"/>
    </font>
    <font>
      <name val="Arial"/>
      <color rgb="FF196B24"/>
      <sz val="12"/>
    </font>
    <font>
      <name val="Arial"/>
      <color theme="1"/>
    </font>
    <font>
      <name val="Arial"/>
      <color rgb="FFFFCFC9"/>
      <sz val="12"/>
    </font>
    <font>
      <name val="Roboto"/>
      <color rgb="FF0000FF"/>
    </font>
    <font>
      <name val="Aptos Narrow"/>
      <color rgb="FF9C0006"/>
      <sz val="12"/>
    </font>
    <font>
      <name val="Aptos Narrow"/>
      <color rgb="FF473821"/>
      <sz val="12"/>
    </font>
    <font>
      <name val="Aptos Narrow"/>
      <color rgb="FF434343"/>
      <sz val="12"/>
    </font>
    <font>
      <name val="Arial"/>
      <color rgb="FF0000FF"/>
      <sz val="12"/>
    </font>
    <font>
      <name val="Aptos Narrow"/>
      <color theme="1"/>
      <scheme val="minor"/>
    </font>
    <font>
      <name val="Arial"/>
      <color rgb="FF000000"/>
    </font>
    <font>
      <name val="Aptos Narrow"/>
      <color rgb="FFD4EDBC"/>
      <sz val="12"/>
    </font>
    <font>
      <name val="Aptos Narrow"/>
      <color rgb="FF467886"/>
      <sz val="12"/>
    </font>
    <font>
      <name val="Roboto"/>
      <color rgb="FF000000"/>
    </font>
    <font>
      <name val="Arial"/>
      <color rgb="FF196B24"/>
    </font>
    <font>
      <name val="Roboto"/>
      <color rgb="FF434343"/>
      <sz val="12"/>
    </font>
    <font>
      <name val="Roboto"/>
      <color theme="1"/>
      <sz val="12"/>
    </font>
    <font>
      <name val="Arial"/>
      <b val="1"/>
      <color rgb="FF467886"/>
      <sz val="12"/>
    </font>
    <font>
      <name val="Aptos Narrow"/>
      <color rgb="FF196B24"/>
    </font>
    <font>
      <name val="Aptos Narrow"/>
      <color rgb="FF666666"/>
    </font>
    <font>
      <name val="&quot;Proxima Nova&quot;"/>
      <color rgb="FF000000"/>
      <sz val="9"/>
    </font>
    <font>
      <name val="Aptos Narrow"/>
      <color rgb="FF434343"/>
      <sz val="12"/>
      <u val="single"/>
    </font>
    <font>
      <name val="Arial"/>
      <color rgb="FFB10202"/>
      <sz val="12"/>
    </font>
    <font>
      <name val="Aptos Narrow"/>
      <color rgb="FFBFE0F6"/>
      <sz val="12"/>
    </font>
    <font>
      <name val="Arial"/>
      <color rgb="FF0000FF"/>
      <sz val="12"/>
      <u val="single"/>
    </font>
    <font>
      <name val="Aptos Narrow"/>
      <color rgb="FFCC0000"/>
      <sz val="12"/>
    </font>
    <font>
      <name val="Roboto"/>
      <color rgb="FFD4EDBC"/>
      <sz val="12"/>
    </font>
    <font>
      <name val="Aptos Narrow"/>
      <color rgb="FF196B24"/>
      <sz val="12"/>
    </font>
    <font>
      <name val="Arial"/>
      <color rgb="FF467886"/>
    </font>
    <font>
      <name val="Roboto"/>
      <color rgb="FF000000"/>
      <sz val="12"/>
    </font>
    <font>
      <name val="Proxima Nova"/>
      <color rgb="FF467886"/>
      <sz val="12"/>
    </font>
    <font>
      <name val="Proxima Nova"/>
      <color rgb="FF000000"/>
      <sz val="12"/>
    </font>
    <font>
      <name val="Proxima Nova"/>
      <color rgb="FF434343"/>
      <sz val="12"/>
    </font>
    <font>
      <name val="Arial"/>
      <color rgb="FFBFE0F6"/>
      <sz val="12"/>
    </font>
    <font>
      <name val="Aptos Narrow"/>
      <color rgb="FF434343"/>
    </font>
    <font>
      <name val="Aptos Narrow"/>
      <color theme="6"/>
    </font>
    <font>
      <name val="Arial"/>
      <color rgb="FF0000FF"/>
      <sz val="12"/>
      <u val="single"/>
    </font>
    <font>
      <name val="Arial"/>
      <color rgb="FFFFFFFF"/>
      <sz val="12"/>
    </font>
    <font>
      <name val="Aptos Narrow"/>
      <color theme="6"/>
      <sz val="12"/>
    </font>
    <font>
      <name val="Proxima Nova"/>
      <color rgb="FF000000"/>
      <sz val="11"/>
    </font>
    <font>
      <name val="Arial"/>
      <color rgb="FF3D3D3D"/>
      <sz val="12"/>
    </font>
    <font>
      <name val="Arial"/>
      <color rgb="FF666666"/>
    </font>
    <font>
      <name val="Arial"/>
      <color rgb="FF434343"/>
      <sz val="12"/>
      <u val="single"/>
    </font>
    <font>
      <name val="Aptos Narrow"/>
      <color rgb="FF196B24"/>
      <scheme val="minor"/>
    </font>
    <font>
      <name val="Arial"/>
      <color rgb="FF434343"/>
      <sz val="12"/>
      <u val="single"/>
    </font>
    <font>
      <name val="Roboto"/>
      <color rgb="FF0000FF"/>
      <u val="single"/>
    </font>
    <font>
      <name val="Aptos Narrow"/>
      <color rgb="FF666666"/>
      <scheme val="minor"/>
    </font>
    <font>
      <name val="Aptos Narrow"/>
      <color rgb="FF753800"/>
      <sz val="12"/>
    </font>
    <font>
      <name val="Arial"/>
      <color rgb="FF0000FF"/>
      <sz val="12"/>
      <u val="single"/>
    </font>
    <font>
      <name val="Aptos Narrow"/>
      <color rgb="FF467886"/>
      <scheme val="minor"/>
    </font>
    <font>
      <name val="Roboto"/>
      <color rgb="FF434343"/>
      <u val="single"/>
    </font>
    <font>
      <name val="Aptos Narrow"/>
      <color rgb="FF434343"/>
      <scheme val="minor"/>
    </font>
    <font>
      <name val="Arial"/>
      <color rgb="FF1F1F1F"/>
      <sz val="12"/>
    </font>
    <font>
      <name val="Aptos Narrow"/>
      <color rgb="FFE5E5E5"/>
      <sz val="12"/>
    </font>
    <font>
      <name val="Aptos Narrow"/>
      <color rgb="FF3D3D3D"/>
      <sz val="12"/>
    </font>
    <font>
      <name val="Bahnschrift Regular"/>
      <color theme="1"/>
      <sz val="12"/>
    </font>
    <font>
      <name val="Arial"/>
      <color rgb="FF222222"/>
      <sz val="10"/>
    </font>
    <font>
      <name val="Arial"/>
      <color rgb="FF0000FF"/>
      <sz val="12"/>
      <u val="single"/>
    </font>
    <font>
      <name val="Arial"/>
      <b val="1"/>
      <color rgb="FFFFFFFF"/>
      <sz val="12"/>
    </font>
    <font>
      <name val="Arial"/>
      <b val="1"/>
      <color theme="0"/>
      <sz val="12"/>
    </font>
    <font>
      <name val="Aptos Narrow"/>
      <b val="1"/>
      <color theme="0"/>
      <sz val="12"/>
    </font>
    <font>
      <name val="Arial"/>
      <color rgb="FF434343"/>
      <sz val="12"/>
      <u val="single"/>
    </font>
    <font>
      <name val="Arial"/>
      <color rgb="FF434343"/>
      <sz val="12"/>
      <u val="single"/>
    </font>
    <font>
      <name val="Arial"/>
      <color rgb="FF434343"/>
      <sz val="12"/>
      <u val="single"/>
    </font>
    <font>
      <name val="Aptos Narrow"/>
      <color rgb="FFFFFFFF"/>
      <scheme val="minor"/>
    </font>
    <font>
      <name val="Arial"/>
      <color rgb="FF467886"/>
      <sz val="12"/>
      <u val="single"/>
    </font>
    <font>
      <name val="Aptos Narrow"/>
      <color rgb="FF467886"/>
      <sz val="12"/>
      <u val="single"/>
    </font>
    <font>
      <name val="Aptos Narrow"/>
      <color rgb="FF467886"/>
      <sz val="12"/>
      <u val="single"/>
    </font>
    <font>
      <name val="Arial"/>
      <color rgb="FF467886"/>
      <sz val="12"/>
      <u val="single"/>
    </font>
    <font>
      <name val="Arial"/>
      <color rgb="FF467886"/>
      <sz val="12"/>
      <u val="single"/>
    </font>
    <font>
      <name val="Arial"/>
      <color rgb="FF434343"/>
      <sz val="12"/>
      <u val="single"/>
    </font>
    <font>
      <name val="Arial"/>
      <color rgb="FF434343"/>
      <sz val="12"/>
      <u val="single"/>
    </font>
    <font>
      <name val="Aptos Narrow"/>
      <color rgb="FF434343"/>
      <sz val="12"/>
      <u val="single"/>
    </font>
    <font>
      <name val="Arial"/>
      <color rgb="FF0000FF"/>
      <sz val="12"/>
      <u val="single"/>
    </font>
    <font>
      <name val="Aptos Narrow"/>
      <color rgb="FF434343"/>
      <sz val="12"/>
      <u val="single"/>
    </font>
    <font>
      <name val="Aptos Narrow"/>
      <color rgb="FF467886"/>
      <sz val="12"/>
      <u val="single"/>
    </font>
    <font>
      <name val="Arial"/>
      <color rgb="FF434343"/>
      <sz val="12"/>
      <u val="single"/>
    </font>
    <font>
      <name val="Arial"/>
      <color rgb="FF434343"/>
      <u val="single"/>
    </font>
    <font>
      <name val="Roboto"/>
      <color rgb="FF0000FF"/>
      <u val="single"/>
    </font>
    <font>
      <name val="&quot;Aptos Narrow&quot;"/>
      <color rgb="FF467886"/>
      <sz val="12"/>
    </font>
    <font>
      <name val="&quot;Aptos Narrow&quot;"/>
      <color rgb="FF434343"/>
      <sz val="12"/>
      <u val="single"/>
    </font>
    <font>
      <name val="&quot;Aptos Narrow&quot;"/>
      <color rgb="FF434343"/>
      <sz val="12"/>
    </font>
    <font>
      <name val="&quot;Proxima Nova&quot;"/>
      <color rgb="FF467886"/>
      <sz val="12"/>
    </font>
    <font>
      <name val="&quot;Proxima Nova&quot;"/>
      <color rgb="FF434343"/>
      <sz val="12"/>
      <u val="single"/>
    </font>
    <font>
      <name val="&quot;Proxima Nova&quot;"/>
      <color rgb="FF434343"/>
      <sz val="12"/>
      <u val="single"/>
    </font>
    <font>
      <name val="&quot;Proxima Nova&quot;"/>
      <color rgb="FF0000FF"/>
      <sz val="12"/>
      <u val="single"/>
    </font>
    <font>
      <name val="&quot;Proxima Nova&quot;"/>
      <color theme="1"/>
      <sz val="12"/>
    </font>
    <font>
      <name val="Arial"/>
      <color rgb="FF0000FF"/>
      <u val="single"/>
    </font>
    <font>
      <name val="Arial"/>
      <color rgb="FF434343"/>
      <sz val="12"/>
      <u val="single"/>
    </font>
    <font>
      <name val="Roboto"/>
      <color rgb="FF196B24"/>
      <sz val="12"/>
    </font>
    <font>
      <name val="&quot;Proxima Nova&quot;"/>
      <color rgb="FF434343"/>
      <sz val="12"/>
      <u val="single"/>
    </font>
    <font>
      <name val="&quot;Proxima Nova&quot;"/>
      <color rgb="FF434343"/>
      <sz val="12"/>
    </font>
    <font>
      <name val="Aptos Narrow"/>
      <color rgb="FF1F1F1F"/>
      <scheme val="minor"/>
    </font>
    <font>
      <name val="Arial"/>
      <color rgb="FF434343"/>
      <u val="single"/>
    </font>
    <font>
      <name val="Arial"/>
      <color rgb="FF434343"/>
    </font>
    <font>
      <name val="Roboto"/>
      <color rgb="FF473821"/>
      <sz val="12"/>
    </font>
    <font>
      <name val="&quot;Plus Jakarta Sans&quot;"/>
      <color rgb="FF616161"/>
      <sz val="11"/>
    </font>
    <font>
      <name val="Arial"/>
      <color rgb="FF434343"/>
      <sz val="12"/>
      <u val="single"/>
    </font>
    <font>
      <name val="Roboto"/>
      <color rgb="FF434343"/>
      <u val="single"/>
    </font>
    <font>
      <name val="Roboto"/>
      <color rgb="FF434343"/>
      <u val="single"/>
    </font>
    <font>
      <name val="Arial"/>
      <color rgb="FF467886"/>
      <sz val="12"/>
      <u val="single"/>
    </font>
    <font>
      <name val="Arial"/>
      <color rgb="FF467886"/>
      <sz val="12"/>
      <u val="single"/>
    </font>
    <font>
      <name val="Roboto"/>
      <color rgb="FF434343"/>
      <u val="single"/>
    </font>
    <font>
      <name val="&quot;Aptos Narrow&quot;"/>
      <color rgb="FF434343"/>
      <sz val="12"/>
      <u val="single"/>
    </font>
    <font>
      <name val="Aptos Narrow"/>
      <b val="1"/>
      <color theme="1"/>
      <scheme val="minor"/>
    </font>
    <font>
      <name val="Roboto"/>
      <color rgb="FF434343"/>
      <u val="single"/>
    </font>
    <font>
      <name val="Aptos Narrow"/>
      <color rgb="FF434343"/>
      <u val="single"/>
      <scheme val="minor"/>
    </font>
    <font>
      <name val="Arial"/>
      <b val="1"/>
      <color rgb="FF196B24"/>
      <sz val="12"/>
    </font>
    <font>
      <name val="Roboto"/>
      <color rgb="FF0000FF"/>
      <u val="single"/>
    </font>
    <font>
      <name val="Aptos Narrow"/>
      <color rgb="FF000000"/>
      <scheme val="minor"/>
    </font>
    <font>
      <name val="Roboto"/>
      <color rgb="FF434343"/>
      <u val="single"/>
    </font>
    <font>
      <name val="Roboto"/>
      <color rgb="FFBFE0F6"/>
      <sz val="12"/>
    </font>
    <font>
      <name val="Roboto"/>
      <color rgb="FF434343"/>
      <u val="single"/>
    </font>
    <font>
      <name val="Roboto"/>
      <color rgb="FF0000FF"/>
      <u val="single"/>
    </font>
    <font>
      <name val="&quot;Proxima Nova&quot;"/>
      <color rgb="FF000000"/>
      <sz val="12"/>
    </font>
    <font>
      <name val="Roboto"/>
      <color rgb="FF0000FF"/>
      <u val="single"/>
    </font>
    <font>
      <name val="Roboto"/>
      <color rgb="FF434343"/>
      <sz val="12"/>
      <u val="single"/>
    </font>
    <font>
      <name val="Aptos Narrow"/>
      <color rgb="FF00FF00"/>
      <scheme val="minor"/>
    </font>
    <font>
      <name val="Arial"/>
      <color rgb="FF0000FF"/>
      <sz val="12"/>
      <u val="single"/>
    </font>
    <font>
      <name val="Roboto"/>
      <color rgb="FFE5CFF2"/>
      <sz val="12"/>
    </font>
    <font>
      <name val="Roboto"/>
      <color rgb="FF0000FF"/>
      <sz val="12"/>
      <u val="single"/>
    </font>
    <font>
      <name val="Roboto"/>
      <color rgb="FF434343"/>
      <sz val="12"/>
      <u val="single"/>
    </font>
    <font>
      <name val="Roboto"/>
      <color rgb="FF0000FF"/>
      <u val="single"/>
    </font>
    <font>
      <name val="&quot;Proxima Nova&quot;"/>
      <color rgb="FF000000"/>
      <sz val="11"/>
    </font>
    <font>
      <name val="Arial"/>
      <b val="1"/>
      <color theme="1"/>
    </font>
    <font>
      <name val="Roboto"/>
      <color rgb="FF980000"/>
      <sz val="12"/>
    </font>
    <font>
      <name val="Roboto"/>
      <color rgb="FFB10202"/>
      <sz val="12"/>
    </font>
    <font>
      <name val="Roboto"/>
      <color rgb="FF0000FF"/>
      <u val="single"/>
    </font>
    <font>
      <name val="Aptos Narrow"/>
      <color rgb="FF980000"/>
      <scheme val="minor"/>
    </font>
    <font>
      <name val="Roboto"/>
      <color rgb="FF11734B"/>
      <sz val="12"/>
    </font>
    <font>
      <name val="Arial"/>
      <b val="1"/>
      <color theme="1"/>
      <sz val="11"/>
    </font>
    <font/>
    <font>
      <name val="Bahnschrift Regular"/>
      <b val="1"/>
      <color theme="1"/>
      <sz val="12"/>
    </font>
    <font>
      <name val="Bahnschrift Regular"/>
      <b val="1"/>
      <color rgb="FFEA4335"/>
      <sz val="14"/>
    </font>
    <font>
      <name val="Arial"/>
      <b val="1"/>
      <color rgb="FFEA4335"/>
      <sz val="14"/>
    </font>
    <font>
      <name val="Bahnschrift Regular"/>
      <color rgb="FFEA4335"/>
      <sz val="14"/>
    </font>
    <font>
      <name val="Bahnschrift Regular"/>
      <color rgb="FF000000"/>
      <sz val="14"/>
    </font>
    <font>
      <name val="Inter"/>
      <color rgb="FF525252"/>
      <sz val="11"/>
    </font>
    <font>
      <name val="Arial"/>
      <b val="1"/>
      <color rgb="FF000000"/>
      <sz val="12"/>
    </font>
    <font>
      <name val="Arial"/>
      <color rgb="FF467886"/>
      <sz val="12"/>
      <u val="single"/>
    </font>
    <font>
      <name val="Arial"/>
      <color rgb="FF467886"/>
      <sz val="12"/>
      <u val="single"/>
    </font>
    <font>
      <name val="Arial"/>
      <color rgb="FF93C47D"/>
      <sz val="12"/>
    </font>
    <font>
      <name val="Arial"/>
      <color rgb="FF434343"/>
      <sz val="12"/>
      <u val="single"/>
    </font>
    <font>
      <name val="Arial"/>
      <color rgb="FF434343"/>
      <sz val="12"/>
      <u val="single"/>
    </font>
    <font>
      <name val="Aptos Narrow"/>
      <color rgb="FF467886"/>
      <sz val="12"/>
      <u val="single"/>
    </font>
    <font>
      <name val="Arial"/>
      <color rgb="FF467886"/>
      <sz val="12"/>
      <u val="single"/>
    </font>
    <font>
      <name val="Aptos Narrow"/>
      <color rgb="FF467886"/>
      <sz val="12"/>
      <u val="single"/>
    </font>
    <font>
      <name val="Arial"/>
      <color rgb="FF0000FF"/>
      <sz val="12"/>
      <u val="single"/>
    </font>
    <font>
      <name val="Arial"/>
      <color rgb="FF467886"/>
      <sz val="12"/>
      <u val="single"/>
    </font>
    <font>
      <name val="Roboto"/>
      <color rgb="FF434343"/>
      <u val="single"/>
    </font>
    <font>
      <name val="Aptos Narrow"/>
      <color rgb="FF93C47D"/>
      <scheme val="minor"/>
    </font>
    <font>
      <name val="Arial"/>
      <color rgb="FF467886"/>
      <sz val="12"/>
      <u val="single"/>
    </font>
    <font>
      <name val="Arial"/>
      <color rgb="FF467886"/>
      <sz val="12"/>
      <u val="single"/>
    </font>
    <font>
      <name val="Aptos Narrow"/>
      <color rgb="FF467886"/>
      <sz val="12"/>
      <u val="single"/>
    </font>
    <font>
      <name val="Aptos Narrow"/>
      <color rgb="FF467886"/>
      <sz val="12"/>
      <u val="single"/>
    </font>
    <font>
      <name val="Arial"/>
      <color rgb="FF434343"/>
      <sz val="12"/>
      <u val="single"/>
    </font>
    <font>
      <name val="Arial"/>
      <color rgb="FF0000FF"/>
      <sz val="12"/>
      <u val="single"/>
    </font>
    <font>
      <name val="Arial"/>
      <color rgb="FF467886"/>
      <sz val="12"/>
      <u val="single"/>
    </font>
    <font>
      <name val="Aptos Narrow"/>
      <color rgb="FF467886"/>
      <sz val="12"/>
      <u val="single"/>
    </font>
    <font>
      <name val="Arial"/>
      <color rgb="FF467886"/>
      <sz val="12"/>
      <u val="single"/>
    </font>
    <font>
      <name val="Aptos Narrow"/>
      <color rgb="FF467886"/>
      <sz val="12"/>
      <u val="single"/>
    </font>
    <font>
      <name val="Aptos Narrow"/>
      <color rgb="FF467886"/>
      <sz val="12"/>
      <u val="single"/>
    </font>
    <font>
      <name val="Arial"/>
      <color rgb="FF434343"/>
      <u val="single"/>
    </font>
    <font>
      <name val="Arial"/>
      <color rgb="FF0000FF"/>
      <u val="single"/>
    </font>
    <font>
      <name val="Arial"/>
      <color rgb="FF434343"/>
      <sz val="12"/>
      <u val="single"/>
    </font>
    <font>
      <name val="Arial"/>
      <color rgb="FF434343"/>
      <sz val="12"/>
      <u val="single"/>
    </font>
    <font>
      <name val="Arial"/>
      <color rgb="FF434343"/>
      <sz val="12"/>
      <u val="single"/>
    </font>
    <font>
      <name val="Arial"/>
      <color rgb="FF0000FF"/>
      <sz val="12"/>
      <u val="single"/>
    </font>
    <font>
      <name val="Arial"/>
      <color rgb="FF467886"/>
      <sz val="12"/>
      <u val="single"/>
    </font>
    <font>
      <name val="Arial"/>
      <color rgb="FF467886"/>
      <sz val="12"/>
      <u val="single"/>
    </font>
    <font>
      <name val="Roboto"/>
      <color rgb="FF0000FF"/>
      <u val="single"/>
    </font>
    <font>
      <name val="Docs-Roboto"/>
      <color theme="1"/>
      <sz val="12"/>
    </font>
    <font>
      <name val="&quot;docs-Aptos Narrow&quot;"/>
      <color rgb="FF000000"/>
      <sz val="12"/>
    </font>
    <font>
      <name val="&quot;docs-Aptos Narrow&quot;"/>
      <color rgb="FF9C0006"/>
      <sz val="12"/>
    </font>
    <font>
      <name val="&quot;Google Sans&quot;"/>
      <color rgb="FF444746"/>
      <sz val="9"/>
    </font>
    <font>
      <name val="&quot;docs-Aptos Narrow&quot;"/>
      <color rgb="FF434343"/>
      <sz val="12"/>
    </font>
    <font>
      <name val="Arial"/>
      <color rgb="FF434343"/>
      <sz val="12"/>
      <u val="single"/>
    </font>
    <font>
      <name val="Arial"/>
      <color rgb="FF434343"/>
      <sz val="12"/>
      <u val="single"/>
    </font>
    <font>
      <name val="Roboto"/>
      <color rgb="FF434343"/>
      <sz val="12"/>
      <u val="single"/>
    </font>
    <font>
      <name val="Roboto"/>
      <color rgb="FF434343"/>
      <sz val="12"/>
      <u val="single"/>
    </font>
    <font>
      <name val="Roboto"/>
      <color rgb="FF434343"/>
      <sz val="12"/>
      <u val="single"/>
    </font>
    <font>
      <name val="Roboto"/>
      <color rgb="FF0000FF"/>
      <u val="single"/>
    </font>
    <font>
      <name val="Arial"/>
      <color rgb="FF0000FF"/>
      <u val="single"/>
    </font>
    <font>
      <name val="Aptos Narrow"/>
      <color rgb="FF434343"/>
      <u val="single"/>
      <scheme val="minor"/>
    </font>
    <font>
      <name val="Aptos Narrow"/>
      <b val="1"/>
      <color rgb="FF467886"/>
      <scheme val="minor"/>
    </font>
    <font>
      <name val="Soleil"/>
      <color rgb="FF000000"/>
      <sz val="12"/>
    </font>
    <font>
      <name val="Roboto"/>
      <color rgb="FF0000FF"/>
      <u val="single"/>
    </font>
    <font>
      <name val="Arial"/>
      <color rgb="FF434343"/>
      <u val="single"/>
    </font>
    <font>
      <name val="Calibri"/>
      <b val="1"/>
      <color theme="1"/>
      <sz val="11"/>
    </font>
    <font>
      <name val="Aptos Narrow"/>
      <color rgb="FF434343"/>
      <sz val="12"/>
      <u val="single"/>
    </font>
    <font>
      <name val="Calibri"/>
      <color rgb="FF000000"/>
      <sz val="11"/>
    </font>
    <font>
      <name val="Arial"/>
      <color rgb="FF990000"/>
      <sz val="12"/>
    </font>
    <font>
      <name val="Aptos Narrow"/>
      <b val="1"/>
      <color rgb="FF000000"/>
      <scheme val="minor"/>
    </font>
    <font>
      <name val="Arial"/>
      <color rgb="FF980000"/>
      <sz val="12"/>
    </font>
    <font>
      <name val="Aptos Narrow"/>
      <color rgb="FF990000"/>
      <scheme val="minor"/>
    </font>
    <font>
      <name val="&quot;Google Sans&quot;"/>
      <color rgb="FF000000"/>
    </font>
    <font>
      <name val="Calibri"/>
      <color rgb="FF000000"/>
      <sz val="12"/>
    </font>
    <font>
      <name val="Calibri"/>
      <color rgb="FF000000"/>
      <sz val="13"/>
    </font>
    <font>
      <name val="Aptos Narrow"/>
      <color theme="1"/>
      <sz val="13"/>
      <scheme val="minor"/>
    </font>
    <font>
      <b val="1"/>
      <color rgb="00FFFFFF"/>
      <sz val="10"/>
    </font>
    <font>
      <b val="1"/>
    </font>
    <font>
      <b val="1"/>
      <color rgb="00880000"/>
    </font>
    <font>
      <color rgb="00880000"/>
    </font>
    <font>
      <color rgb="00664400"/>
    </font>
    <font>
      <color rgb="001A5C1A"/>
    </font>
  </fonts>
  <fills count="47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D5A6BD"/>
        <bgColor rgb="FFD5A6BD"/>
      </patternFill>
    </fill>
    <fill>
      <patternFill patternType="solid">
        <fgColor rgb="FFFFF475"/>
        <bgColor rgb="FFFFF475"/>
      </patternFill>
    </fill>
    <fill>
      <patternFill patternType="solid">
        <fgColor rgb="FF356854"/>
        <bgColor rgb="FF356854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DEDED"/>
        <bgColor rgb="FFEDEDED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AF2C"/>
        <bgColor rgb="FFFFAF2C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DEDEDE"/>
        <bgColor rgb="FFDEDEDE"/>
      </patternFill>
    </fill>
    <fill>
      <patternFill patternType="solid">
        <fgColor rgb="FFFAD9D6"/>
        <bgColor rgb="FFFAD9D6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C84000"/>
        <bgColor rgb="FFC84000"/>
      </patternFill>
    </fill>
    <fill>
      <patternFill patternType="solid">
        <fgColor rgb="FFFFF2CC"/>
        <bgColor rgb="FFFFF2CC"/>
      </patternFill>
    </fill>
    <fill>
      <patternFill patternType="solid">
        <fgColor rgb="FF9900FF"/>
        <bgColor rgb="FF9900FF"/>
      </patternFill>
    </fill>
    <fill>
      <patternFill patternType="solid">
        <fgColor rgb="FF84CCC6"/>
        <bgColor rgb="FF84CCC6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92D050"/>
      </patternFill>
    </fill>
    <fill>
      <patternFill patternType="solid">
        <fgColor rgb="00FFB347"/>
      </patternFill>
    </fill>
    <fill>
      <patternFill patternType="solid">
        <fgColor rgb="00D9D9D9"/>
      </patternFill>
    </fill>
    <fill>
      <patternFill patternType="solid">
        <fgColor rgb="00FF4444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D9EAD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63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963000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1383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pivotButton="0" quotePrefix="0" xfId="0"/>
    <xf numFmtId="49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9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9" fillId="2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12" fillId="5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49" fontId="13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10" fillId="0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5" fontId="15" fillId="5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10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vertical="center"/>
    </xf>
    <xf numFmtId="10" fontId="4" fillId="5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49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64" fontId="10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165" fontId="15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0" fillId="4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5" fontId="15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0" fontId="16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vertical="center"/>
    </xf>
    <xf numFmtId="10" fontId="4" fillId="4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49" fontId="19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vertical="center"/>
    </xf>
    <xf numFmtId="164" fontId="19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7" borderId="1" applyAlignment="1" pivotButton="0" quotePrefix="0" xfId="0">
      <alignment vertical="center"/>
    </xf>
    <xf numFmtId="10" fontId="2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49" fontId="23" fillId="4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0" fillId="4" borderId="1" applyAlignment="1" pivotButton="0" quotePrefix="0" xfId="0">
      <alignment horizontal="right" vertical="center"/>
    </xf>
    <xf numFmtId="0" fontId="11" fillId="4" borderId="2" applyAlignment="1" pivotButton="0" quotePrefix="0" xfId="0">
      <alignment vertical="center"/>
    </xf>
    <xf numFmtId="49" fontId="12" fillId="0" borderId="1" applyAlignment="1" pivotButton="0" quotePrefix="0" xfId="0">
      <alignment vertical="center"/>
    </xf>
    <xf numFmtId="0" fontId="24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164" fontId="10" fillId="0" borderId="1" applyAlignment="1" pivotButton="0" quotePrefix="0" xfId="0">
      <alignment vertical="center"/>
    </xf>
    <xf numFmtId="0" fontId="25" fillId="0" borderId="1" applyAlignment="1" pivotButton="0" quotePrefix="0" xfId="0">
      <alignment horizontal="left" vertical="center"/>
    </xf>
    <xf numFmtId="165" fontId="4" fillId="8" borderId="1" applyAlignment="1" pivotButton="0" quotePrefix="0" xfId="0">
      <alignment vertical="center"/>
    </xf>
    <xf numFmtId="164" fontId="9" fillId="2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0" fontId="14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27" fillId="0" borderId="1" applyAlignment="1" pivotButton="0" quotePrefix="0" xfId="0">
      <alignment vertical="center"/>
    </xf>
    <xf numFmtId="164" fontId="10" fillId="3" borderId="1" applyAlignment="1" pivotButton="0" quotePrefix="0" xfId="0">
      <alignment vertical="center"/>
    </xf>
    <xf numFmtId="10" fontId="28" fillId="4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/>
    </xf>
    <xf numFmtId="49" fontId="29" fillId="0" borderId="1" applyAlignment="1" pivotButton="0" quotePrefix="0" xfId="0">
      <alignment vertical="center"/>
    </xf>
    <xf numFmtId="0" fontId="29" fillId="0" borderId="1" applyAlignment="1" pivotButton="0" quotePrefix="0" xfId="0">
      <alignment horizontal="left" vertical="center"/>
    </xf>
    <xf numFmtId="10" fontId="23" fillId="4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10" fontId="2" fillId="0" borderId="1" applyAlignment="1" pivotButton="0" quotePrefix="0" xfId="0">
      <alignment horizontal="left" vertical="center"/>
    </xf>
    <xf numFmtId="0" fontId="4" fillId="0" borderId="4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49" fontId="27" fillId="0" borderId="1" applyAlignment="1" pivotButton="0" quotePrefix="0" xfId="0">
      <alignment vertical="center"/>
    </xf>
    <xf numFmtId="0" fontId="3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9" fontId="19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24" fillId="0" borderId="1" applyAlignment="1" pivotButton="0" quotePrefix="0" xfId="0">
      <alignment horizontal="left" vertical="center"/>
    </xf>
    <xf numFmtId="1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3" fillId="4" borderId="1" applyAlignment="1" pivotButton="0" quotePrefix="0" xfId="0">
      <alignment vertical="center"/>
    </xf>
    <xf numFmtId="0" fontId="32" fillId="4" borderId="1" applyAlignment="1" pivotButton="0" quotePrefix="0" xfId="0">
      <alignment vertical="center"/>
    </xf>
    <xf numFmtId="0" fontId="32" fillId="4" borderId="1" applyAlignment="1" pivotButton="0" quotePrefix="0" xfId="0">
      <alignment horizontal="right" vertical="center"/>
    </xf>
    <xf numFmtId="165" fontId="24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165" fontId="15" fillId="4" borderId="1" applyAlignment="1" pivotButton="0" quotePrefix="0" xfId="0">
      <alignment vertical="center"/>
    </xf>
    <xf numFmtId="10" fontId="22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10" fontId="4" fillId="4" borderId="1" applyAlignment="1" pivotButton="0" quotePrefix="0" xfId="0">
      <alignment vertical="center"/>
    </xf>
    <xf numFmtId="49" fontId="3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left" vertical="center"/>
    </xf>
    <xf numFmtId="49" fontId="26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165" fontId="10" fillId="3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1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21" fillId="0" borderId="1" applyAlignment="1" pivotButton="0" quotePrefix="0" xfId="0">
      <alignment vertical="center"/>
    </xf>
    <xf numFmtId="0" fontId="35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9" fillId="2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9" fillId="2" borderId="5" applyAlignment="1" pivotButton="0" quotePrefix="0" xfId="0">
      <alignment vertical="center"/>
    </xf>
    <xf numFmtId="164" fontId="36" fillId="2" borderId="1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0" fontId="37" fillId="4" borderId="1" applyAlignment="1" pivotButton="0" quotePrefix="0" xfId="0">
      <alignment vertical="center"/>
    </xf>
    <xf numFmtId="49" fontId="27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27" fillId="0" borderId="1" applyAlignment="1" pivotButton="0" quotePrefix="0" xfId="0">
      <alignment vertical="center"/>
    </xf>
    <xf numFmtId="164" fontId="9" fillId="2" borderId="1" applyAlignment="1" pivotButton="0" quotePrefix="0" xfId="0">
      <alignment vertical="center"/>
    </xf>
    <xf numFmtId="164" fontId="10" fillId="3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0" fontId="28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1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/>
    </xf>
    <xf numFmtId="49" fontId="19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2" fontId="9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5" fontId="4" fillId="0" borderId="1" applyAlignment="1" pivotButton="0" quotePrefix="0" xfId="0">
      <alignment horizontal="right" vertical="center"/>
    </xf>
    <xf numFmtId="1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49" fontId="4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164" fontId="4" fillId="9" borderId="1" applyAlignment="1" pivotButton="0" quotePrefix="0" xfId="0">
      <alignment vertical="center"/>
    </xf>
    <xf numFmtId="165" fontId="4" fillId="9" borderId="1" applyAlignment="1" pivotButton="0" quotePrefix="0" xfId="0">
      <alignment vertical="center"/>
    </xf>
    <xf numFmtId="10" fontId="4" fillId="9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49" fontId="19" fillId="0" borderId="0" applyAlignment="1" pivotButton="0" quotePrefix="0" xfId="0">
      <alignment horizontal="center" vertical="center"/>
    </xf>
    <xf numFmtId="164" fontId="9" fillId="1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29" fillId="5" borderId="1" applyAlignment="1" pivotButton="0" quotePrefix="0" xfId="0">
      <alignment vertical="center"/>
    </xf>
    <xf numFmtId="49" fontId="39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10" fillId="5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left" vertical="center"/>
    </xf>
    <xf numFmtId="49" fontId="12" fillId="4" borderId="1" applyAlignment="1" pivotButton="0" quotePrefix="0" xfId="0">
      <alignment vertical="center"/>
    </xf>
    <xf numFmtId="0" fontId="12" fillId="4" borderId="1" applyAlignment="1" pivotButton="0" quotePrefix="0" xfId="0">
      <alignment horizontal="left" vertical="center"/>
    </xf>
    <xf numFmtId="165" fontId="4" fillId="11" borderId="1" applyAlignment="1" pivotButton="0" quotePrefix="0" xfId="0">
      <alignment vertical="center"/>
    </xf>
    <xf numFmtId="0" fontId="18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right" vertical="center"/>
    </xf>
    <xf numFmtId="49" fontId="10" fillId="12" borderId="1" applyAlignment="1" pivotButton="0" quotePrefix="0" xfId="0">
      <alignment vertical="center"/>
    </xf>
    <xf numFmtId="49" fontId="10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49" fontId="40" fillId="4" borderId="1" applyAlignment="1" pivotButton="0" quotePrefix="0" xfId="0">
      <alignment vertical="center"/>
    </xf>
    <xf numFmtId="0" fontId="41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18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10" fontId="42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10" fillId="7" borderId="1" applyAlignment="1" pivotButton="0" quotePrefix="0" xfId="0">
      <alignment vertical="center"/>
    </xf>
    <xf numFmtId="49" fontId="29" fillId="4" borderId="1" applyAlignment="1" pivotButton="0" quotePrefix="0" xfId="0">
      <alignment vertical="center"/>
    </xf>
    <xf numFmtId="0" fontId="29" fillId="4" borderId="1" applyAlignment="1" pivotButton="0" quotePrefix="0" xfId="0">
      <alignment horizontal="left" vertical="center"/>
    </xf>
    <xf numFmtId="49" fontId="34" fillId="0" borderId="1" applyAlignment="1" pivotButton="0" quotePrefix="0" xfId="0">
      <alignment vertical="center"/>
    </xf>
    <xf numFmtId="0" fontId="34" fillId="0" borderId="1" applyAlignment="1" pivotButton="0" quotePrefix="0" xfId="0">
      <alignment horizontal="left" vertical="center"/>
    </xf>
    <xf numFmtId="49" fontId="12" fillId="4" borderId="1" applyAlignment="1" pivotButton="0" quotePrefix="0" xfId="0">
      <alignment vertical="center"/>
    </xf>
    <xf numFmtId="0" fontId="29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165" fontId="4" fillId="6" borderId="1" applyAlignment="1" pivotButton="0" quotePrefix="0" xfId="0">
      <alignment vertical="center"/>
    </xf>
    <xf numFmtId="0" fontId="18" fillId="4" borderId="1" applyAlignment="1" pivotButton="0" quotePrefix="0" xfId="0">
      <alignment horizontal="right" vertical="center"/>
    </xf>
    <xf numFmtId="0" fontId="43" fillId="4" borderId="1" applyAlignment="1" pivotButton="0" quotePrefix="0" xfId="0">
      <alignment vertical="center"/>
    </xf>
    <xf numFmtId="0" fontId="10" fillId="4" borderId="1" applyAlignment="1" pivotButton="0" quotePrefix="0" xfId="0">
      <alignment horizontal="left" vertical="center"/>
    </xf>
    <xf numFmtId="0" fontId="44" fillId="0" borderId="1" applyAlignment="1" pivotButton="0" quotePrefix="0" xfId="0">
      <alignment vertical="center"/>
    </xf>
    <xf numFmtId="49" fontId="45" fillId="0" borderId="1" applyAlignment="1" pivotButton="0" quotePrefix="0" xfId="0">
      <alignment vertical="center"/>
    </xf>
    <xf numFmtId="0" fontId="45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164" fontId="15" fillId="10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49" fontId="19" fillId="0" borderId="1" applyAlignment="1" pivotButton="0" quotePrefix="0" xfId="0">
      <alignment vertical="center"/>
    </xf>
    <xf numFmtId="164" fontId="36" fillId="10" borderId="1" applyAlignment="1" pivotButton="0" quotePrefix="0" xfId="0">
      <alignment vertical="center"/>
    </xf>
    <xf numFmtId="49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4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49" fontId="47" fillId="4" borderId="1" applyAlignment="1" pivotButton="0" quotePrefix="0" xfId="0">
      <alignment vertical="center"/>
    </xf>
    <xf numFmtId="0" fontId="47" fillId="4" borderId="1" applyAlignment="1" pivotButton="0" quotePrefix="0" xfId="0">
      <alignment horizontal="left" vertical="center"/>
    </xf>
    <xf numFmtId="0" fontId="48" fillId="0" borderId="1" applyAlignment="1" pivotButton="0" quotePrefix="0" xfId="0">
      <alignment vertical="center"/>
    </xf>
    <xf numFmtId="0" fontId="49" fillId="4" borderId="1" applyAlignment="1" pivotButton="0" quotePrefix="0" xfId="0">
      <alignment vertical="center"/>
    </xf>
    <xf numFmtId="164" fontId="9" fillId="10" borderId="1" applyAlignment="1" pivotButton="0" quotePrefix="0" xfId="0">
      <alignment vertical="center"/>
    </xf>
    <xf numFmtId="0" fontId="19" fillId="3" borderId="1" applyAlignment="1" pivotButton="0" quotePrefix="0" xfId="0">
      <alignment vertical="center"/>
    </xf>
    <xf numFmtId="49" fontId="6" fillId="0" borderId="1" applyAlignment="1" pivotButton="0" quotePrefix="0" xfId="0">
      <alignment horizontal="left" vertical="center"/>
    </xf>
    <xf numFmtId="49" fontId="50" fillId="4" borderId="1" applyAlignment="1" pivotButton="0" quotePrefix="0" xfId="0">
      <alignment vertical="center"/>
    </xf>
    <xf numFmtId="0" fontId="46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32" fillId="0" borderId="1" applyAlignment="1" pivotButton="0" quotePrefix="0" xfId="0">
      <alignment vertical="center"/>
    </xf>
    <xf numFmtId="165" fontId="24" fillId="11" borderId="1" applyAlignment="1" pivotButton="0" quotePrefix="0" xfId="0">
      <alignment vertical="center"/>
    </xf>
    <xf numFmtId="0" fontId="18" fillId="4" borderId="1" applyAlignment="1" pivotButton="0" quotePrefix="0" xfId="0">
      <alignment horizontal="right" vertical="center"/>
    </xf>
    <xf numFmtId="0" fontId="32" fillId="3" borderId="1" applyAlignment="1" pivotButton="0" quotePrefix="0" xfId="0">
      <alignment horizontal="right" vertical="center"/>
    </xf>
    <xf numFmtId="0" fontId="32" fillId="4" borderId="1" applyAlignment="1" pivotButton="0" quotePrefix="0" xfId="0">
      <alignment horizontal="left" vertical="center"/>
    </xf>
    <xf numFmtId="0" fontId="51" fillId="0" borderId="1" applyAlignment="1" pivotButton="0" quotePrefix="0" xfId="0">
      <alignment vertical="center"/>
    </xf>
    <xf numFmtId="165" fontId="4" fillId="1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49" fontId="12" fillId="0" borderId="1" applyAlignment="1" pivotButton="0" quotePrefix="0" xfId="0">
      <alignment vertical="bottom"/>
    </xf>
    <xf numFmtId="0" fontId="12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vertical="bottom"/>
    </xf>
    <xf numFmtId="0" fontId="14" fillId="0" borderId="1" applyAlignment="1" pivotButton="0" quotePrefix="0" xfId="0">
      <alignment vertical="bottom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2" fillId="0" borderId="1" applyAlignment="1" pivotButton="0" quotePrefix="0" xfId="0">
      <alignment vertical="center"/>
    </xf>
    <xf numFmtId="0" fontId="10" fillId="14" borderId="1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49" fontId="10" fillId="4" borderId="1" applyAlignment="1" pivotButton="0" quotePrefix="0" xfId="0">
      <alignment vertical="center"/>
    </xf>
    <xf numFmtId="0" fontId="44" fillId="4" borderId="1" applyAlignment="1" pivotButton="0" quotePrefix="0" xfId="0">
      <alignment vertical="center"/>
    </xf>
    <xf numFmtId="0" fontId="43" fillId="4" borderId="0" applyAlignment="1" pivotButton="0" quotePrefix="0" xfId="0">
      <alignment vertical="center"/>
    </xf>
    <xf numFmtId="0" fontId="10" fillId="4" borderId="1" applyAlignment="1" pivotButton="0" quotePrefix="0" xfId="0">
      <alignment horizontal="left" vertical="center"/>
    </xf>
    <xf numFmtId="49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/>
    </xf>
    <xf numFmtId="0" fontId="29" fillId="4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right" vertical="center"/>
    </xf>
    <xf numFmtId="0" fontId="10" fillId="4" borderId="0" applyAlignment="1" pivotButton="0" quotePrefix="0" xfId="0">
      <alignment vertical="center"/>
    </xf>
    <xf numFmtId="164" fontId="9" fillId="10" borderId="5" applyAlignment="1" pivotButton="0" quotePrefix="0" xfId="0">
      <alignment vertical="center"/>
    </xf>
    <xf numFmtId="49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164" fontId="27" fillId="0" borderId="1" applyAlignment="1" pivotButton="0" quotePrefix="0" xfId="0">
      <alignment vertical="center"/>
    </xf>
    <xf numFmtId="164" fontId="9" fillId="10" borderId="7" applyAlignment="1" pivotButton="0" quotePrefix="0" xfId="0">
      <alignment vertical="center"/>
    </xf>
    <xf numFmtId="164" fontId="10" fillId="15" borderId="1" applyAlignment="1" pivotButton="0" quotePrefix="0" xfId="0">
      <alignment vertical="center"/>
    </xf>
    <xf numFmtId="49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9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9" fillId="10" borderId="5" applyAlignment="1" pivotButton="0" quotePrefix="0" xfId="0">
      <alignment vertical="center"/>
    </xf>
    <xf numFmtId="164" fontId="9" fillId="2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0" fontId="17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49" fontId="12" fillId="0" borderId="1" pivotButton="0" quotePrefix="0" xfId="0"/>
    <xf numFmtId="0" fontId="12" fillId="0" borderId="1" applyAlignment="1" pivotButton="0" quotePrefix="0" xfId="0">
      <alignment horizontal="left"/>
    </xf>
    <xf numFmtId="49" fontId="26" fillId="0" borderId="1" pivotButton="0" quotePrefix="0" xfId="0"/>
    <xf numFmtId="0" fontId="53" fillId="0" borderId="1" pivotButton="0" quotePrefix="0" xfId="0"/>
    <xf numFmtId="0" fontId="10" fillId="0" borderId="1" pivotButton="0" quotePrefix="0" xfId="0"/>
    <xf numFmtId="164" fontId="10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65" fontId="15" fillId="0" borderId="1" applyAlignment="1" pivotButton="0" quotePrefix="0" xfId="0">
      <alignment vertical="center"/>
    </xf>
    <xf numFmtId="164" fontId="9" fillId="10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165" fontId="4" fillId="0" borderId="1" applyAlignment="1" pivotButton="0" quotePrefix="0" xfId="0">
      <alignment horizontal="right"/>
    </xf>
    <xf numFmtId="10" fontId="26" fillId="0" borderId="1" pivotButton="0" quotePrefix="0" xfId="0"/>
    <xf numFmtId="0" fontId="26" fillId="0" borderId="1" applyAlignment="1" pivotButton="0" quotePrefix="0" xfId="0">
      <alignment horizontal="center"/>
    </xf>
    <xf numFmtId="0" fontId="10" fillId="0" borderId="0" pivotButton="0" quotePrefix="0" xfId="0"/>
    <xf numFmtId="0" fontId="7" fillId="0" borderId="0" pivotButton="0" quotePrefix="0" xfId="0"/>
    <xf numFmtId="0" fontId="4" fillId="10" borderId="0" pivotButton="0" quotePrefix="0" xfId="0"/>
    <xf numFmtId="0" fontId="4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49" fontId="54" fillId="16" borderId="8" applyAlignment="1" pivotButton="0" quotePrefix="0" xfId="0">
      <alignment horizontal="left" vertical="center"/>
    </xf>
    <xf numFmtId="49" fontId="7" fillId="0" borderId="1" applyAlignment="1" pivotButton="0" quotePrefix="0" xfId="0">
      <alignment horizontal="left" vertical="center"/>
    </xf>
    <xf numFmtId="164" fontId="15" fillId="2" borderId="5" applyAlignment="1" pivotButton="0" quotePrefix="0" xfId="0">
      <alignment vertical="center"/>
    </xf>
    <xf numFmtId="0" fontId="10" fillId="0" borderId="1" applyAlignment="1" pivotButton="0" quotePrefix="0" xfId="0">
      <alignment vertical="bottom"/>
    </xf>
    <xf numFmtId="164" fontId="6" fillId="0" borderId="1" applyAlignment="1" pivotButton="0" quotePrefix="0" xfId="0">
      <alignment vertical="center"/>
    </xf>
    <xf numFmtId="0" fontId="10" fillId="17" borderId="1" applyAlignment="1" pivotButton="0" quotePrefix="0" xfId="0">
      <alignment vertical="center"/>
    </xf>
    <xf numFmtId="0" fontId="55" fillId="0" borderId="1" applyAlignment="1" pivotButton="0" quotePrefix="0" xfId="0">
      <alignment vertical="center"/>
    </xf>
    <xf numFmtId="0" fontId="2" fillId="17" borderId="1" applyAlignment="1" pivotButton="0" quotePrefix="0" xfId="0">
      <alignment vertical="center"/>
    </xf>
    <xf numFmtId="0" fontId="4" fillId="0" borderId="1" applyAlignment="1" pivotButton="0" quotePrefix="0" xfId="0">
      <alignment vertical="bottom"/>
    </xf>
    <xf numFmtId="10" fontId="28" fillId="5" borderId="1" applyAlignment="1" pivotButton="0" quotePrefix="0" xfId="0">
      <alignment vertical="center"/>
    </xf>
    <xf numFmtId="164" fontId="6" fillId="15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27" fillId="19" borderId="1" applyAlignment="1" pivotButton="0" quotePrefix="0" xfId="0">
      <alignment horizontal="left" vertical="center"/>
    </xf>
    <xf numFmtId="49" fontId="6" fillId="19" borderId="1" applyAlignment="1" pivotButton="0" quotePrefix="0" xfId="0">
      <alignment vertical="center"/>
    </xf>
    <xf numFmtId="0" fontId="30" fillId="19" borderId="1" applyAlignment="1" pivotButton="0" quotePrefix="0" xfId="0">
      <alignment vertical="center"/>
    </xf>
    <xf numFmtId="49" fontId="6" fillId="19" borderId="1" applyAlignment="1" pivotButton="0" quotePrefix="0" xfId="0">
      <alignment horizontal="left" vertical="center"/>
    </xf>
    <xf numFmtId="49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165" fontId="7" fillId="11" borderId="1" applyAlignment="1" pivotButton="0" quotePrefix="0" xfId="0">
      <alignment vertical="center"/>
    </xf>
    <xf numFmtId="0" fontId="8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right" vertical="center"/>
    </xf>
    <xf numFmtId="49" fontId="56" fillId="20" borderId="1" applyAlignment="1" pivotButton="0" quotePrefix="0" xfId="0">
      <alignment horizontal="left" vertical="center"/>
    </xf>
    <xf numFmtId="164" fontId="36" fillId="2" borderId="5" applyAlignment="1" pivotButton="0" quotePrefix="0" xfId="0">
      <alignment vertical="center"/>
    </xf>
    <xf numFmtId="10" fontId="17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49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vertical="center"/>
    </xf>
    <xf numFmtId="49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vertical="center"/>
    </xf>
    <xf numFmtId="0" fontId="10" fillId="21" borderId="1" applyAlignment="1" pivotButton="0" quotePrefix="0" xfId="0">
      <alignment vertical="center"/>
    </xf>
    <xf numFmtId="10" fontId="57" fillId="4" borderId="1" applyAlignment="1" pivotButton="0" quotePrefix="0" xfId="0">
      <alignment vertical="center"/>
    </xf>
    <xf numFmtId="0" fontId="19" fillId="0" borderId="0" pivotButton="0" quotePrefix="0" xfId="0"/>
    <xf numFmtId="0" fontId="4" fillId="0" borderId="2" applyAlignment="1" pivotButton="0" quotePrefix="0" xfId="0">
      <alignment vertical="bottom"/>
    </xf>
    <xf numFmtId="0" fontId="10" fillId="0" borderId="9" applyAlignment="1" pivotButton="0" quotePrefix="0" xfId="0">
      <alignment vertical="bottom"/>
    </xf>
    <xf numFmtId="10" fontId="28" fillId="4" borderId="2" applyAlignment="1" pivotButton="0" quotePrefix="0" xfId="0">
      <alignment vertical="center"/>
    </xf>
    <xf numFmtId="10" fontId="28" fillId="5" borderId="9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0" fontId="4" fillId="0" borderId="9" applyAlignment="1" pivotButton="0" quotePrefix="0" xfId="0">
      <alignment vertical="bottom"/>
    </xf>
    <xf numFmtId="10" fontId="28" fillId="4" borderId="9" applyAlignment="1" pivotButton="0" quotePrefix="0" xfId="0">
      <alignment vertical="center"/>
    </xf>
    <xf numFmtId="49" fontId="5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vertical="center"/>
    </xf>
    <xf numFmtId="0" fontId="30" fillId="0" borderId="1" applyAlignment="1" pivotButton="0" quotePrefix="0" xfId="0">
      <alignment vertical="center"/>
    </xf>
    <xf numFmtId="164" fontId="58" fillId="2" borderId="5" applyAlignment="1" pivotButton="0" quotePrefix="0" xfId="0">
      <alignment vertical="center"/>
    </xf>
    <xf numFmtId="49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left" vertical="bottom"/>
    </xf>
    <xf numFmtId="10" fontId="28" fillId="4" borderId="1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10" fontId="17" fillId="4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49" fontId="46" fillId="4" borderId="1" applyAlignment="1" pivotButton="0" quotePrefix="0" xfId="0">
      <alignment horizontal="left" vertical="center"/>
    </xf>
    <xf numFmtId="0" fontId="46" fillId="4" borderId="1" applyAlignment="1" pivotButton="0" quotePrefix="0" xfId="0">
      <alignment horizontal="left" vertical="center"/>
    </xf>
    <xf numFmtId="49" fontId="46" fillId="4" borderId="1" applyAlignment="1" pivotButton="0" quotePrefix="0" xfId="0">
      <alignment vertical="center"/>
    </xf>
    <xf numFmtId="0" fontId="46" fillId="4" borderId="1" applyAlignment="1" pivotButton="0" quotePrefix="0" xfId="0">
      <alignment vertical="center"/>
    </xf>
    <xf numFmtId="164" fontId="46" fillId="0" borderId="1" applyAlignment="1" pivotButton="0" quotePrefix="0" xfId="0">
      <alignment vertical="center"/>
    </xf>
    <xf numFmtId="164" fontId="46" fillId="0" borderId="1" applyAlignment="1" pivotButton="0" quotePrefix="0" xfId="0">
      <alignment vertical="center"/>
    </xf>
    <xf numFmtId="0" fontId="46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vertical="center"/>
    </xf>
    <xf numFmtId="165" fontId="7" fillId="4" borderId="1" applyAlignment="1" pivotButton="0" quotePrefix="0" xfId="0">
      <alignment vertical="center"/>
    </xf>
    <xf numFmtId="10" fontId="28" fillId="5" borderId="0" applyAlignment="1" pivotButton="0" quotePrefix="0" xfId="0">
      <alignment vertical="center"/>
    </xf>
    <xf numFmtId="49" fontId="27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vertical="bottom"/>
    </xf>
    <xf numFmtId="0" fontId="46" fillId="4" borderId="1" applyAlignment="1" pivotButton="0" quotePrefix="0" xfId="0">
      <alignment vertical="center"/>
    </xf>
    <xf numFmtId="165" fontId="7" fillId="6" borderId="1" applyAlignment="1" pivotButton="0" quotePrefix="0" xfId="0">
      <alignment vertical="center"/>
    </xf>
    <xf numFmtId="0" fontId="55" fillId="4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49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27" fillId="0" borderId="1" applyAlignment="1" pivotButton="0" quotePrefix="0" xfId="0">
      <alignment horizontal="left" vertical="center"/>
    </xf>
    <xf numFmtId="49" fontId="46" fillId="12" borderId="1" applyAlignment="1" pivotButton="0" quotePrefix="0" xfId="0">
      <alignment horizontal="left" vertical="center"/>
    </xf>
    <xf numFmtId="0" fontId="46" fillId="12" borderId="1" applyAlignment="1" pivotButton="0" quotePrefix="0" xfId="0">
      <alignment horizontal="left" vertical="center"/>
    </xf>
    <xf numFmtId="0" fontId="46" fillId="12" borderId="1" applyAlignment="1" pivotButton="0" quotePrefix="0" xfId="0">
      <alignment vertical="center"/>
    </xf>
    <xf numFmtId="0" fontId="46" fillId="12" borderId="1" applyAlignment="1" pivotButton="0" quotePrefix="0" xfId="0">
      <alignment vertical="center"/>
    </xf>
    <xf numFmtId="0" fontId="8" fillId="12" borderId="1" applyAlignment="1" pivotButton="0" quotePrefix="0" xfId="0">
      <alignment vertical="center"/>
    </xf>
    <xf numFmtId="0" fontId="46" fillId="12" borderId="1" applyAlignment="1" pivotButton="0" quotePrefix="0" xfId="0">
      <alignment horizontal="right" vertical="center"/>
    </xf>
    <xf numFmtId="165" fontId="7" fillId="12" borderId="1" applyAlignment="1" pivotButton="0" quotePrefix="0" xfId="0">
      <alignment vertical="center"/>
    </xf>
    <xf numFmtId="165" fontId="24" fillId="12" borderId="1" applyAlignment="1" pivotButton="0" quotePrefix="0" xfId="0">
      <alignment vertical="center"/>
    </xf>
    <xf numFmtId="10" fontId="22" fillId="12" borderId="1" applyAlignment="1" pivotButton="0" quotePrefix="0" xfId="0">
      <alignment vertical="center"/>
    </xf>
    <xf numFmtId="49" fontId="12" fillId="0" borderId="1" applyAlignment="1" pivotButton="0" quotePrefix="0" xfId="0">
      <alignment vertical="bottom"/>
    </xf>
    <xf numFmtId="0" fontId="12" fillId="0" borderId="1" applyAlignment="1" pivotButton="0" quotePrefix="0" xfId="0">
      <alignment horizontal="left" vertical="bottom"/>
    </xf>
    <xf numFmtId="49" fontId="59" fillId="0" borderId="1" applyAlignment="1" pivotButton="0" quotePrefix="0" xfId="0">
      <alignment vertical="bottom"/>
    </xf>
    <xf numFmtId="0" fontId="14" fillId="0" borderId="1" applyAlignment="1" pivotButton="0" quotePrefix="0" xfId="0">
      <alignment vertical="bottom"/>
    </xf>
    <xf numFmtId="164" fontId="19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60" fillId="0" borderId="1" applyAlignment="1" pivotButton="0" quotePrefix="0" xfId="0">
      <alignment vertical="center"/>
    </xf>
    <xf numFmtId="165" fontId="26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165" fontId="26" fillId="3" borderId="1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" fillId="21" borderId="1" applyAlignment="1" pivotButton="0" quotePrefix="0" xfId="0">
      <alignment vertical="center"/>
    </xf>
    <xf numFmtId="49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164" fontId="26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right" vertical="center"/>
    </xf>
    <xf numFmtId="165" fontId="26" fillId="0" borderId="1" applyAlignment="1" pivotButton="0" quotePrefix="0" xfId="0">
      <alignment vertical="center"/>
    </xf>
    <xf numFmtId="10" fontId="22" fillId="0" borderId="1" applyAlignment="1" pivotButton="0" quotePrefix="0" xfId="0">
      <alignment horizontal="right" vertical="center"/>
    </xf>
    <xf numFmtId="10" fontId="28" fillId="4" borderId="0" applyAlignment="1" pivotButton="0" quotePrefix="0" xfId="0">
      <alignment vertical="center"/>
    </xf>
    <xf numFmtId="0" fontId="10" fillId="22" borderId="1" applyAlignment="1" pivotButton="0" quotePrefix="0" xfId="0">
      <alignment vertical="center"/>
    </xf>
    <xf numFmtId="0" fontId="27" fillId="19" borderId="1" applyAlignment="1" pivotButton="0" quotePrefix="0" xfId="0">
      <alignment vertical="center"/>
    </xf>
    <xf numFmtId="0" fontId="10" fillId="0" borderId="0" applyAlignment="1" pivotButton="0" quotePrefix="0" xfId="0">
      <alignment vertical="bottom"/>
    </xf>
    <xf numFmtId="49" fontId="27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49" fontId="12" fillId="0" borderId="1" applyAlignment="1" pivotButton="0" quotePrefix="0" xfId="0">
      <alignment vertical="bottom"/>
    </xf>
    <xf numFmtId="0" fontId="12" fillId="0" borderId="1" applyAlignment="1" pivotButton="0" quotePrefix="0" xfId="0">
      <alignment horizontal="left" vertical="bottom"/>
    </xf>
    <xf numFmtId="49" fontId="61" fillId="0" borderId="1" applyAlignment="1" pivotButton="0" quotePrefix="0" xfId="0">
      <alignment vertical="bottom"/>
    </xf>
    <xf numFmtId="0" fontId="14" fillId="0" borderId="1" applyAlignment="1" pivotButton="0" quotePrefix="0" xfId="0">
      <alignment vertical="bottom"/>
    </xf>
    <xf numFmtId="0" fontId="26" fillId="3" borderId="1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30" fillId="4" borderId="1" applyAlignment="1" pivotButton="0" quotePrefix="0" xfId="0">
      <alignment vertical="center"/>
    </xf>
    <xf numFmtId="49" fontId="17" fillId="12" borderId="0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6" fillId="19" borderId="1" applyAlignment="1" pivotButton="0" quotePrefix="0" xfId="0">
      <alignment horizontal="left" vertical="center"/>
    </xf>
    <xf numFmtId="0" fontId="26" fillId="0" borderId="1" applyAlignment="1" pivotButton="0" quotePrefix="0" xfId="0">
      <alignment vertical="center"/>
    </xf>
    <xf numFmtId="0" fontId="62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164" fontId="63" fillId="2" borderId="5" applyAlignment="1" pivotButton="0" quotePrefix="0" xfId="0">
      <alignment vertical="center"/>
    </xf>
    <xf numFmtId="10" fontId="43" fillId="4" borderId="0" applyAlignment="1" pivotButton="0" quotePrefix="0" xfId="0">
      <alignment vertical="center"/>
    </xf>
    <xf numFmtId="10" fontId="23" fillId="4" borderId="0" applyAlignment="1" pivotButton="0" quotePrefix="0" xfId="0">
      <alignment vertical="center"/>
    </xf>
    <xf numFmtId="49" fontId="30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0" fontId="64" fillId="4" borderId="0" applyAlignment="1" pivotButton="0" quotePrefix="0" xfId="0">
      <alignment vertical="center"/>
    </xf>
    <xf numFmtId="49" fontId="29" fillId="0" borderId="1" applyAlignment="1" pivotButton="0" quotePrefix="0" xfId="0">
      <alignment vertical="center"/>
    </xf>
    <xf numFmtId="0" fontId="29" fillId="0" borderId="1" applyAlignment="1" pivotButton="0" quotePrefix="0" xfId="0">
      <alignment horizontal="left" vertical="center"/>
    </xf>
    <xf numFmtId="0" fontId="65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3" fontId="5" fillId="0" borderId="1" applyAlignment="1" pivotButton="0" quotePrefix="0" xfId="0">
      <alignment horizontal="left" vertical="center"/>
    </xf>
    <xf numFmtId="49" fontId="66" fillId="0" borderId="1" applyAlignment="1" pivotButton="0" quotePrefix="0" xfId="0">
      <alignment vertical="center"/>
    </xf>
    <xf numFmtId="0" fontId="66" fillId="0" borderId="1" applyAlignment="1" pivotButton="0" quotePrefix="0" xfId="0">
      <alignment horizontal="left" vertical="center"/>
    </xf>
    <xf numFmtId="49" fontId="67" fillId="0" borderId="1" applyAlignment="1" pivotButton="0" quotePrefix="0" xfId="0">
      <alignment vertical="center"/>
    </xf>
    <xf numFmtId="0" fontId="68" fillId="0" borderId="1" applyAlignment="1" pivotButton="0" quotePrefix="0" xfId="0">
      <alignment vertical="center"/>
    </xf>
    <xf numFmtId="49" fontId="69" fillId="0" borderId="1" applyAlignment="1" pivotButton="0" quotePrefix="0" xfId="0">
      <alignment vertical="bottom"/>
    </xf>
    <xf numFmtId="164" fontId="27" fillId="0" borderId="1" applyAlignment="1" pivotButton="0" quotePrefix="0" xfId="0">
      <alignment vertical="center"/>
    </xf>
    <xf numFmtId="10" fontId="70" fillId="4" borderId="0" applyAlignment="1" pivotButton="0" quotePrefix="0" xfId="0">
      <alignment vertical="center"/>
    </xf>
    <xf numFmtId="10" fontId="71" fillId="4" borderId="0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164" fontId="10" fillId="2" borderId="5" applyAlignment="1" pivotButton="0" quotePrefix="0" xfId="0">
      <alignment vertical="center"/>
    </xf>
    <xf numFmtId="0" fontId="10" fillId="23" borderId="1" applyAlignment="1" pivotButton="0" quotePrefix="0" xfId="0">
      <alignment vertical="center"/>
    </xf>
    <xf numFmtId="164" fontId="72" fillId="2" borderId="5" applyAlignment="1" pivotButton="0" quotePrefix="0" xfId="0">
      <alignment vertical="bottom"/>
    </xf>
    <xf numFmtId="0" fontId="7" fillId="19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73" fillId="0" borderId="1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4" fontId="15" fillId="2" borderId="1" applyAlignment="1" pivotButton="0" quotePrefix="0" xfId="0">
      <alignment vertical="center"/>
    </xf>
    <xf numFmtId="0" fontId="74" fillId="0" borderId="1" applyAlignment="1" pivotButton="0" quotePrefix="0" xfId="0">
      <alignment vertical="bottom"/>
    </xf>
    <xf numFmtId="0" fontId="10" fillId="0" borderId="1" applyAlignment="1" pivotButton="0" quotePrefix="0" xfId="0">
      <alignment vertical="bottom"/>
    </xf>
    <xf numFmtId="1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26" fillId="0" borderId="0" pivotButton="0" quotePrefix="0" xfId="0"/>
    <xf numFmtId="0" fontId="26" fillId="0" borderId="1" pivotButton="0" quotePrefix="0" xfId="0"/>
    <xf numFmtId="49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15" fillId="2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26" fillId="0" borderId="1" pivotButton="0" quotePrefix="0" xfId="0"/>
    <xf numFmtId="0" fontId="26" fillId="0" borderId="1" pivotButton="0" quotePrefix="0" xfId="0"/>
    <xf numFmtId="0" fontId="26" fillId="0" borderId="1" applyAlignment="1" pivotButton="0" quotePrefix="0" xfId="0">
      <alignment horizontal="center"/>
    </xf>
    <xf numFmtId="0" fontId="10" fillId="18" borderId="1" applyAlignment="1" pivotButton="0" quotePrefix="0" xfId="0">
      <alignment vertical="center"/>
    </xf>
    <xf numFmtId="10" fontId="71" fillId="5" borderId="1" applyAlignment="1" pivotButton="0" quotePrefix="0" xfId="0">
      <alignment vertical="center"/>
    </xf>
    <xf numFmtId="49" fontId="56" fillId="0" borderId="1" applyAlignment="1" pivotButton="0" quotePrefix="0" xfId="0">
      <alignment horizontal="left" vertical="center"/>
    </xf>
    <xf numFmtId="165" fontId="7" fillId="15" borderId="1" applyAlignment="1" pivotButton="0" quotePrefix="0" xfId="0">
      <alignment vertical="center"/>
    </xf>
    <xf numFmtId="164" fontId="58" fillId="2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27" fillId="0" borderId="1" applyAlignment="1" pivotButton="0" quotePrefix="0" xfId="0">
      <alignment vertical="center"/>
    </xf>
    <xf numFmtId="49" fontId="30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vertical="center"/>
    </xf>
    <xf numFmtId="164" fontId="26" fillId="0" borderId="1" applyAlignment="1" pivotButton="0" quotePrefix="0" xfId="0">
      <alignment vertical="center"/>
    </xf>
    <xf numFmtId="2" fontId="15" fillId="2" borderId="1" applyAlignment="1" pivotButton="0" quotePrefix="0" xfId="0">
      <alignment vertical="center"/>
    </xf>
    <xf numFmtId="0" fontId="26" fillId="0" borderId="0" applyAlignment="1" pivotButton="0" quotePrefix="0" xfId="0">
      <alignment horizontal="center"/>
    </xf>
    <xf numFmtId="49" fontId="5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vertical="center"/>
    </xf>
    <xf numFmtId="49" fontId="30" fillId="0" borderId="0" applyAlignment="1" pivotButton="0" quotePrefix="0" xfId="0">
      <alignment vertical="center"/>
    </xf>
    <xf numFmtId="164" fontId="27" fillId="0" borderId="0" applyAlignment="1" pivotButton="0" quotePrefix="0" xfId="0">
      <alignment vertical="center"/>
    </xf>
    <xf numFmtId="165" fontId="7" fillId="15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4" fontId="58" fillId="2" borderId="0" applyAlignment="1" pivotButton="0" quotePrefix="0" xfId="0">
      <alignment vertical="center"/>
    </xf>
    <xf numFmtId="0" fontId="19" fillId="3" borderId="0" applyAlignment="1" pivotButton="0" quotePrefix="0" xfId="0">
      <alignment vertical="center"/>
    </xf>
    <xf numFmtId="10" fontId="22" fillId="0" borderId="0" applyAlignment="1" pivotButton="0" quotePrefix="0" xfId="0">
      <alignment vertical="center"/>
    </xf>
    <xf numFmtId="49" fontId="75" fillId="24" borderId="1" applyAlignment="1" pivotButton="0" quotePrefix="0" xfId="0">
      <alignment horizontal="center" vertical="center"/>
    </xf>
    <xf numFmtId="49" fontId="26" fillId="0" borderId="1" applyAlignment="1" pivotButton="0" quotePrefix="0" xfId="0">
      <alignment horizontal="center" vertical="center"/>
    </xf>
    <xf numFmtId="49" fontId="75" fillId="0" borderId="1" applyAlignment="1" pivotButton="0" quotePrefix="0" xfId="0">
      <alignment horizontal="center" vertical="center"/>
    </xf>
    <xf numFmtId="0" fontId="75" fillId="0" borderId="1" applyAlignment="1" pivotButton="0" quotePrefix="0" xfId="0">
      <alignment horizontal="center" vertical="center"/>
    </xf>
    <xf numFmtId="0" fontId="76" fillId="0" borderId="1" applyAlignment="1" pivotButton="0" quotePrefix="0" xfId="0">
      <alignment horizontal="center" vertical="center"/>
    </xf>
    <xf numFmtId="49" fontId="75" fillId="0" borderId="1" applyAlignment="1" pivotButton="0" quotePrefix="0" xfId="0">
      <alignment horizontal="left" vertical="center"/>
    </xf>
    <xf numFmtId="0" fontId="77" fillId="0" borderId="1" applyAlignment="1" pivotButton="0" quotePrefix="0" xfId="0">
      <alignment horizontal="center" vertical="center"/>
    </xf>
    <xf numFmtId="49" fontId="26" fillId="0" borderId="0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78" fillId="0" borderId="1" applyAlignment="1" pivotButton="0" quotePrefix="0" xfId="0">
      <alignment vertical="center"/>
    </xf>
    <xf numFmtId="164" fontId="10" fillId="0" borderId="1" applyAlignment="1" pivotButton="0" quotePrefix="0" xfId="0">
      <alignment vertical="center"/>
    </xf>
    <xf numFmtId="164" fontId="9" fillId="2" borderId="1" applyAlignment="1" pivotButton="0" quotePrefix="0" xfId="0">
      <alignment vertical="center"/>
    </xf>
    <xf numFmtId="0" fontId="26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79" fillId="0" borderId="1" applyAlignment="1" pivotButton="0" quotePrefix="0" xfId="0">
      <alignment vertical="center"/>
    </xf>
    <xf numFmtId="164" fontId="10" fillId="15" borderId="1" applyAlignment="1" pivotButton="0" quotePrefix="0" xfId="0">
      <alignment vertical="center"/>
    </xf>
    <xf numFmtId="165" fontId="4" fillId="25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164" fontId="26" fillId="0" borderId="1" applyAlignment="1" pivotButton="0" quotePrefix="0" xfId="0">
      <alignment vertical="center"/>
    </xf>
    <xf numFmtId="164" fontId="15" fillId="2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49" fontId="29" fillId="4" borderId="1" applyAlignment="1" pivotButton="0" quotePrefix="0" xfId="0">
      <alignment vertical="center"/>
    </xf>
    <xf numFmtId="0" fontId="29" fillId="4" borderId="1" applyAlignment="1" pivotButton="0" quotePrefix="0" xfId="0">
      <alignment vertical="center"/>
    </xf>
    <xf numFmtId="49" fontId="33" fillId="4" borderId="1" applyAlignment="1" pivotButton="0" quotePrefix="0" xfId="0">
      <alignment vertical="center"/>
    </xf>
    <xf numFmtId="0" fontId="80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164" fontId="10" fillId="0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right" vertical="center"/>
    </xf>
    <xf numFmtId="0" fontId="32" fillId="4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2" fontId="9" fillId="2" borderId="1" applyAlignment="1" pivotButton="0" quotePrefix="0" xfId="0">
      <alignment vertical="center"/>
    </xf>
    <xf numFmtId="0" fontId="10" fillId="3" borderId="1" applyAlignment="1" pivotButton="0" quotePrefix="0" xfId="0">
      <alignment horizontal="right" vertical="center"/>
    </xf>
    <xf numFmtId="10" fontId="22" fillId="4" borderId="1" applyAlignment="1" pivotButton="0" quotePrefix="0" xfId="0">
      <alignment horizontal="right" vertical="center"/>
    </xf>
    <xf numFmtId="0" fontId="43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49" fontId="81" fillId="0" borderId="1" applyAlignment="1" pivotButton="0" quotePrefix="0" xfId="0">
      <alignment vertical="center"/>
    </xf>
    <xf numFmtId="0" fontId="81" fillId="0" borderId="1" applyAlignment="1" pivotButton="0" quotePrefix="0" xfId="0">
      <alignment vertical="center"/>
    </xf>
    <xf numFmtId="49" fontId="82" fillId="0" borderId="1" applyAlignment="1" pivotButton="0" quotePrefix="0" xfId="0">
      <alignment vertical="center"/>
    </xf>
    <xf numFmtId="0" fontId="83" fillId="0" borderId="1" applyAlignment="1" pivotButton="0" quotePrefix="0" xfId="0">
      <alignment horizontal="left" vertical="center"/>
    </xf>
    <xf numFmtId="49" fontId="84" fillId="0" borderId="1" applyAlignment="1" pivotButton="0" quotePrefix="0" xfId="0">
      <alignment vertical="center"/>
    </xf>
    <xf numFmtId="0" fontId="85" fillId="0" borderId="1" applyAlignment="1" pivotButton="0" quotePrefix="0" xfId="0">
      <alignment horizontal="left" vertical="center"/>
    </xf>
    <xf numFmtId="49" fontId="3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3" fillId="4" borderId="1" applyAlignment="1" pivotButton="0" quotePrefix="0" xfId="0">
      <alignment vertical="center"/>
    </xf>
    <xf numFmtId="0" fontId="32" fillId="4" borderId="1" applyAlignment="1" pivotButton="0" quotePrefix="0" xfId="0">
      <alignment vertical="center"/>
    </xf>
    <xf numFmtId="0" fontId="32" fillId="4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165" fontId="24" fillId="4" borderId="1" applyAlignment="1" pivotButton="0" quotePrefix="0" xfId="0">
      <alignment horizontal="right" vertical="center"/>
    </xf>
    <xf numFmtId="0" fontId="44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49" fontId="86" fillId="0" borderId="1" applyAlignment="1" pivotButton="0" quotePrefix="0" xfId="0">
      <alignment horizontal="left" vertical="center"/>
    </xf>
    <xf numFmtId="0" fontId="87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88" fillId="0" borderId="1" applyAlignment="1" pivotButton="0" quotePrefix="0" xfId="0">
      <alignment vertical="center"/>
    </xf>
    <xf numFmtId="0" fontId="89" fillId="0" borderId="1" applyAlignment="1" pivotButton="0" quotePrefix="0" xfId="0">
      <alignment vertical="center"/>
    </xf>
    <xf numFmtId="0" fontId="90" fillId="0" borderId="1" applyAlignment="1" pivotButton="0" quotePrefix="0" xfId="0">
      <alignment horizontal="left" vertical="center"/>
    </xf>
    <xf numFmtId="0" fontId="91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1" applyAlignment="1" pivotButton="0" quotePrefix="0" xfId="0">
      <alignment vertical="center"/>
    </xf>
    <xf numFmtId="49" fontId="92" fillId="0" borderId="1" applyAlignment="1" pivotButton="0" quotePrefix="0" xfId="0">
      <alignment horizontal="left" vertical="center"/>
    </xf>
    <xf numFmtId="0" fontId="69" fillId="0" borderId="1" applyAlignment="1" pivotButton="0" quotePrefix="0" xfId="0">
      <alignment vertical="center"/>
    </xf>
    <xf numFmtId="49" fontId="12" fillId="10" borderId="1" applyAlignment="1" pivotButton="0" quotePrefix="0" xfId="0">
      <alignment vertical="bottom"/>
    </xf>
    <xf numFmtId="0" fontId="12" fillId="10" borderId="1" applyAlignment="1" pivotButton="0" quotePrefix="0" xfId="0">
      <alignment horizontal="left" vertical="bottom"/>
    </xf>
    <xf numFmtId="0" fontId="93" fillId="0" borderId="1" applyAlignment="1" pivotButton="0" quotePrefix="0" xfId="0">
      <alignment vertical="bottom"/>
    </xf>
    <xf numFmtId="164" fontId="26" fillId="0" borderId="1" applyAlignment="1" pivotButton="0" quotePrefix="0" xfId="0">
      <alignment vertical="center"/>
    </xf>
    <xf numFmtId="0" fontId="44" fillId="0" borderId="1" applyAlignment="1" pivotButton="0" quotePrefix="0" xfId="0">
      <alignment vertical="center"/>
    </xf>
    <xf numFmtId="49" fontId="45" fillId="0" borderId="1" applyAlignment="1" pivotButton="0" quotePrefix="0" xfId="0">
      <alignment vertical="center"/>
    </xf>
    <xf numFmtId="0" fontId="45" fillId="0" borderId="1" applyAlignment="1" pivotButton="0" quotePrefix="0" xfId="0">
      <alignment horizontal="left" vertical="center"/>
    </xf>
    <xf numFmtId="0" fontId="94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0" fillId="21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49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left" vertical="center"/>
    </xf>
    <xf numFmtId="0" fontId="95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49" fontId="96" fillId="0" borderId="1" applyAlignment="1" pivotButton="0" quotePrefix="0" xfId="0">
      <alignment vertical="bottom"/>
    </xf>
    <xf numFmtId="0" fontId="96" fillId="0" borderId="1" applyAlignment="1" pivotButton="0" quotePrefix="0" xfId="0">
      <alignment horizontal="left" vertical="bottom"/>
    </xf>
    <xf numFmtId="0" fontId="97" fillId="0" borderId="1" applyAlignment="1" pivotButton="0" quotePrefix="0" xfId="0">
      <alignment vertical="bottom"/>
    </xf>
    <xf numFmtId="0" fontId="98" fillId="0" borderId="1" applyAlignment="1" pivotButton="0" quotePrefix="0" xfId="0">
      <alignment vertical="bottom"/>
    </xf>
    <xf numFmtId="0" fontId="26" fillId="7" borderId="1" applyAlignment="1" pivotButton="0" quotePrefix="0" xfId="0">
      <alignment vertical="center"/>
    </xf>
    <xf numFmtId="49" fontId="99" fillId="4" borderId="1" applyAlignment="1" pivotButton="0" quotePrefix="0" xfId="0">
      <alignment vertical="center"/>
    </xf>
    <xf numFmtId="0" fontId="99" fillId="4" borderId="1" applyAlignment="1" pivotButton="0" quotePrefix="0" xfId="0">
      <alignment horizontal="left" vertical="center"/>
    </xf>
    <xf numFmtId="0" fontId="100" fillId="4" borderId="1" applyAlignment="1" pivotButton="0" quotePrefix="0" xfId="0">
      <alignment vertical="center"/>
    </xf>
    <xf numFmtId="0" fontId="101" fillId="4" borderId="1" applyAlignment="1" pivotButton="0" quotePrefix="0" xfId="0">
      <alignment vertical="center"/>
    </xf>
    <xf numFmtId="0" fontId="60" fillId="0" borderId="1" applyAlignment="1" pivotButton="0" quotePrefix="0" xfId="0">
      <alignment vertical="center"/>
    </xf>
    <xf numFmtId="0" fontId="26" fillId="17" borderId="1" applyAlignment="1" pivotButton="0" quotePrefix="0" xfId="0">
      <alignment vertical="center"/>
    </xf>
    <xf numFmtId="0" fontId="102" fillId="4" borderId="1" applyAlignment="1" pivotButton="0" quotePrefix="0" xfId="0">
      <alignment vertical="center"/>
    </xf>
    <xf numFmtId="0" fontId="103" fillId="4" borderId="1" applyAlignment="1" pivotButton="0" quotePrefix="0" xfId="0">
      <alignment vertical="center"/>
    </xf>
    <xf numFmtId="10" fontId="26" fillId="0" borderId="1" applyAlignment="1" pivotButton="0" quotePrefix="0" xfId="0">
      <alignment vertical="center"/>
    </xf>
    <xf numFmtId="0" fontId="104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24" fillId="0" borderId="1" applyAlignment="1" pivotButton="0" quotePrefix="0" xfId="0">
      <alignment vertical="center"/>
    </xf>
    <xf numFmtId="0" fontId="10" fillId="14" borderId="1" applyAlignment="1" pivotButton="0" quotePrefix="0" xfId="0">
      <alignment vertical="center"/>
    </xf>
    <xf numFmtId="49" fontId="12" fillId="12" borderId="1" applyAlignment="1" pivotButton="0" quotePrefix="0" xfId="0">
      <alignment vertical="center"/>
    </xf>
    <xf numFmtId="0" fontId="12" fillId="12" borderId="1" applyAlignment="1" pivotButton="0" quotePrefix="0" xfId="0">
      <alignment horizontal="left" vertical="center"/>
    </xf>
    <xf numFmtId="49" fontId="33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18" fillId="12" borderId="1" applyAlignment="1" pivotButton="0" quotePrefix="0" xfId="0">
      <alignment vertical="center"/>
    </xf>
    <xf numFmtId="0" fontId="32" fillId="12" borderId="1" applyAlignment="1" pivotButton="0" quotePrefix="0" xfId="0">
      <alignment horizontal="right" vertical="center"/>
    </xf>
    <xf numFmtId="165" fontId="15" fillId="12" borderId="1" applyAlignment="1" pivotButton="0" quotePrefix="0" xfId="0">
      <alignment horizontal="right" vertical="center"/>
    </xf>
    <xf numFmtId="10" fontId="44" fillId="12" borderId="1" applyAlignment="1" pivotButton="0" quotePrefix="0" xfId="0">
      <alignment horizontal="right" vertical="center"/>
    </xf>
    <xf numFmtId="0" fontId="43" fillId="12" borderId="1" applyAlignment="1" pivotButton="0" quotePrefix="0" xfId="0">
      <alignment vertical="center"/>
    </xf>
    <xf numFmtId="10" fontId="4" fillId="12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49" fontId="12" fillId="4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05" fillId="4" borderId="1" applyAlignment="1" pivotButton="0" quotePrefix="0" xfId="0">
      <alignment vertical="center"/>
    </xf>
    <xf numFmtId="165" fontId="4" fillId="11" borderId="1" applyAlignment="1" pivotButton="0" quotePrefix="0" xfId="0">
      <alignment horizontal="right" vertical="center"/>
    </xf>
    <xf numFmtId="0" fontId="106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right" vertical="center"/>
    </xf>
    <xf numFmtId="10" fontId="44" fillId="4" borderId="1" applyAlignment="1" pivotButton="0" quotePrefix="0" xfId="0">
      <alignment horizontal="right" vertical="center"/>
    </xf>
    <xf numFmtId="0" fontId="43" fillId="4" borderId="1" applyAlignment="1" pivotButton="0" quotePrefix="0" xfId="0">
      <alignment vertical="center"/>
    </xf>
    <xf numFmtId="0" fontId="107" fillId="4" borderId="1" applyAlignment="1" pivotButton="0" quotePrefix="0" xfId="0">
      <alignment vertical="center"/>
    </xf>
    <xf numFmtId="0" fontId="108" fillId="4" borderId="1" applyAlignment="1" pivotButton="0" quotePrefix="0" xfId="0">
      <alignment vertical="center"/>
    </xf>
    <xf numFmtId="0" fontId="26" fillId="21" borderId="1" applyAlignment="1" pivotButton="0" quotePrefix="0" xfId="0">
      <alignment vertical="center"/>
    </xf>
    <xf numFmtId="164" fontId="109" fillId="0" borderId="0" applyAlignment="1" pivotButton="0" quotePrefix="0" xfId="0">
      <alignment vertical="center"/>
    </xf>
    <xf numFmtId="0" fontId="69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110" fillId="0" borderId="1" applyAlignment="1" pivotButton="0" quotePrefix="0" xfId="0">
      <alignment vertical="center"/>
    </xf>
    <xf numFmtId="0" fontId="111" fillId="0" borderId="1" applyAlignment="1" pivotButton="0" quotePrefix="0" xfId="0">
      <alignment vertical="center"/>
    </xf>
    <xf numFmtId="0" fontId="14" fillId="0" borderId="1" applyAlignment="1" pivotButton="0" quotePrefix="0" xfId="0">
      <alignment vertical="bottom"/>
    </xf>
    <xf numFmtId="0" fontId="69" fillId="0" borderId="1" applyAlignment="1" pivotButton="0" quotePrefix="0" xfId="0">
      <alignment horizontal="left" vertical="center"/>
    </xf>
    <xf numFmtId="49" fontId="12" fillId="12" borderId="1" applyAlignment="1" pivotButton="0" quotePrefix="0" xfId="0">
      <alignment vertical="center"/>
    </xf>
    <xf numFmtId="0" fontId="12" fillId="12" borderId="1" applyAlignment="1" pivotButton="0" quotePrefix="0" xfId="0">
      <alignment vertical="center"/>
    </xf>
    <xf numFmtId="49" fontId="112" fillId="12" borderId="1" applyAlignment="1" pivotButton="0" quotePrefix="0" xfId="0">
      <alignment vertical="center"/>
    </xf>
    <xf numFmtId="0" fontId="69" fillId="12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18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right" vertical="center"/>
    </xf>
    <xf numFmtId="10" fontId="22" fillId="12" borderId="1" applyAlignment="1" pivotButton="0" quotePrefix="0" xfId="0">
      <alignment horizontal="right" vertical="center"/>
    </xf>
    <xf numFmtId="0" fontId="32" fillId="12" borderId="1" applyAlignment="1" pivotButton="0" quotePrefix="0" xfId="0">
      <alignment horizontal="center" vertical="center"/>
    </xf>
    <xf numFmtId="0" fontId="32" fillId="12" borderId="0" applyAlignment="1" pivotButton="0" quotePrefix="0" xfId="0">
      <alignment horizontal="center" vertical="center"/>
    </xf>
    <xf numFmtId="0" fontId="34" fillId="0" borderId="1" applyAlignment="1" pivotButton="0" quotePrefix="0" xfId="0">
      <alignment horizontal="left" vertical="center"/>
    </xf>
    <xf numFmtId="0" fontId="10" fillId="18" borderId="1" applyAlignment="1" pivotButton="0" quotePrefix="0" xfId="0">
      <alignment vertical="center"/>
    </xf>
    <xf numFmtId="2" fontId="26" fillId="0" borderId="0" applyAlignment="1" pivotButton="0" quotePrefix="0" xfId="0">
      <alignment vertical="center"/>
    </xf>
    <xf numFmtId="2" fontId="113" fillId="2" borderId="0" applyAlignment="1" pivotButton="0" quotePrefix="0" xfId="0">
      <alignment horizontal="right" vertical="center"/>
    </xf>
    <xf numFmtId="0" fontId="26" fillId="3" borderId="1" applyAlignment="1" pivotButton="0" quotePrefix="0" xfId="0">
      <alignment vertical="center"/>
    </xf>
    <xf numFmtId="0" fontId="68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0" fontId="114" fillId="0" borderId="1" applyAlignment="1" pivotButton="0" quotePrefix="0" xfId="0">
      <alignment vertical="bottom"/>
    </xf>
    <xf numFmtId="164" fontId="19" fillId="0" borderId="1" applyAlignment="1" pivotButton="0" quotePrefix="0" xfId="0">
      <alignment vertical="center"/>
    </xf>
    <xf numFmtId="164" fontId="72" fillId="2" borderId="1" applyAlignment="1" pivotButton="0" quotePrefix="0" xfId="0">
      <alignment horizontal="center" vertical="bottom"/>
    </xf>
    <xf numFmtId="2" fontId="72" fillId="2" borderId="1" applyAlignment="1" pivotButton="0" quotePrefix="0" xfId="0">
      <alignment vertical="bottom"/>
    </xf>
    <xf numFmtId="0" fontId="10" fillId="3" borderId="1" applyAlignment="1" pivotButton="0" quotePrefix="0" xfId="0">
      <alignment vertical="center"/>
    </xf>
    <xf numFmtId="49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/>
    </xf>
    <xf numFmtId="49" fontId="12" fillId="0" borderId="1" applyAlignment="1" pivotButton="0" quotePrefix="0" xfId="0">
      <alignment vertical="bottom"/>
    </xf>
    <xf numFmtId="0" fontId="14" fillId="0" borderId="1" applyAlignment="1" pivotButton="0" quotePrefix="0" xfId="0">
      <alignment vertical="center"/>
    </xf>
    <xf numFmtId="0" fontId="29" fillId="0" borderId="1" applyAlignment="1" pivotButton="0" quotePrefix="0" xfId="0">
      <alignment horizontal="left" vertical="center"/>
    </xf>
    <xf numFmtId="0" fontId="10" fillId="23" borderId="1" applyAlignment="1" pivotButton="0" quotePrefix="0" xfId="0">
      <alignment vertical="center"/>
    </xf>
    <xf numFmtId="164" fontId="10" fillId="2" borderId="1" applyAlignment="1" pivotButton="0" quotePrefix="0" xfId="0">
      <alignment vertical="center"/>
    </xf>
    <xf numFmtId="2" fontId="10" fillId="2" borderId="1" applyAlignment="1" pivotButton="0" quotePrefix="0" xfId="0">
      <alignment vertical="center"/>
    </xf>
    <xf numFmtId="0" fontId="32" fillId="3" borderId="1" applyAlignment="1" pivotButton="0" quotePrefix="0" xfId="0">
      <alignment horizontal="right" vertical="center"/>
    </xf>
    <xf numFmtId="0" fontId="26" fillId="7" borderId="1" applyAlignment="1" pivotButton="0" quotePrefix="0" xfId="0">
      <alignment vertical="center"/>
    </xf>
    <xf numFmtId="0" fontId="29" fillId="18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15" fillId="0" borderId="1" applyAlignment="1" pivotButton="0" quotePrefix="0" xfId="0">
      <alignment vertical="center"/>
    </xf>
    <xf numFmtId="0" fontId="68" fillId="0" borderId="1" applyAlignment="1" pivotButton="0" quotePrefix="0" xfId="0">
      <alignment vertical="center"/>
    </xf>
    <xf numFmtId="0" fontId="32" fillId="4" borderId="1" applyAlignment="1" pivotButton="0" quotePrefix="0" xfId="0">
      <alignment horizontal="right" vertical="center"/>
    </xf>
    <xf numFmtId="0" fontId="18" fillId="4" borderId="1" applyAlignment="1" pivotButton="0" quotePrefix="0" xfId="0">
      <alignment vertical="center"/>
    </xf>
    <xf numFmtId="0" fontId="44" fillId="0" borderId="1" applyAlignment="1" pivotButton="0" quotePrefix="0" xfId="0">
      <alignment vertical="center"/>
    </xf>
    <xf numFmtId="49" fontId="112" fillId="4" borderId="1" applyAlignment="1" pivotButton="0" quotePrefix="0" xfId="0">
      <alignment vertical="center"/>
    </xf>
    <xf numFmtId="0" fontId="14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0" fontId="4" fillId="17" borderId="1" applyAlignment="1" pivotButton="0" quotePrefix="0" xfId="0">
      <alignment vertical="center"/>
    </xf>
    <xf numFmtId="0" fontId="10" fillId="17" borderId="1" applyAlignment="1" pivotButton="0" quotePrefix="0" xfId="0">
      <alignment vertical="center"/>
    </xf>
    <xf numFmtId="0" fontId="116" fillId="0" borderId="1" applyAlignment="1" pivotButton="0" quotePrefix="0" xfId="0">
      <alignment vertical="center"/>
    </xf>
    <xf numFmtId="49" fontId="117" fillId="0" borderId="1" applyAlignment="1" pivotButton="0" quotePrefix="0" xfId="0">
      <alignment vertical="center"/>
    </xf>
    <xf numFmtId="0" fontId="118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68" fillId="0" borderId="1" applyAlignment="1" pivotButton="0" quotePrefix="0" xfId="0">
      <alignment vertical="center"/>
    </xf>
    <xf numFmtId="0" fontId="119" fillId="0" borderId="1" applyAlignment="1" pivotButton="0" quotePrefix="0" xfId="0">
      <alignment vertical="center"/>
    </xf>
    <xf numFmtId="3" fontId="12" fillId="0" borderId="1" applyAlignment="1" pivotButton="0" quotePrefix="0" xfId="0">
      <alignment horizontal="left" vertical="center"/>
    </xf>
    <xf numFmtId="49" fontId="96" fillId="4" borderId="1" applyAlignment="1" pivotButton="0" quotePrefix="0" xfId="0">
      <alignment vertical="center"/>
    </xf>
    <xf numFmtId="3" fontId="96" fillId="4" borderId="1" applyAlignment="1" pivotButton="0" quotePrefix="0" xfId="0">
      <alignment horizontal="left" vertical="center"/>
    </xf>
    <xf numFmtId="0" fontId="120" fillId="4" borderId="1" applyAlignment="1" pivotButton="0" quotePrefix="0" xfId="0">
      <alignment vertical="center"/>
    </xf>
    <xf numFmtId="0" fontId="98" fillId="4" borderId="1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0" fontId="26" fillId="0" borderId="0" applyAlignment="1" pivotButton="0" quotePrefix="0" xfId="0">
      <alignment vertical="center"/>
    </xf>
    <xf numFmtId="164" fontId="10" fillId="0" borderId="1" applyAlignment="1" pivotButton="0" quotePrefix="0" xfId="0">
      <alignment horizontal="right" vertical="center"/>
    </xf>
    <xf numFmtId="0" fontId="44" fillId="0" borderId="1" applyAlignment="1" pivotButton="0" quotePrefix="0" xfId="0">
      <alignment vertical="center"/>
    </xf>
    <xf numFmtId="165" fontId="15" fillId="0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32" fillId="3" borderId="1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/>
    </xf>
    <xf numFmtId="0" fontId="19" fillId="0" borderId="0" pivotButton="0" quotePrefix="0" xfId="0"/>
    <xf numFmtId="49" fontId="10" fillId="12" borderId="1" applyAlignment="1" pivotButton="0" quotePrefix="0" xfId="0">
      <alignment vertical="center"/>
    </xf>
    <xf numFmtId="49" fontId="29" fillId="4" borderId="1" applyAlignment="1" pivotButton="0" quotePrefix="0" xfId="0">
      <alignment vertical="center"/>
    </xf>
    <xf numFmtId="0" fontId="29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vertical="center"/>
    </xf>
    <xf numFmtId="49" fontId="10" fillId="4" borderId="1" applyAlignment="1" pivotButton="0" quotePrefix="0" xfId="0">
      <alignment vertical="center"/>
    </xf>
    <xf numFmtId="0" fontId="18" fillId="12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right" vertical="center"/>
    </xf>
    <xf numFmtId="0" fontId="10" fillId="4" borderId="1" applyAlignment="1" pivotButton="0" quotePrefix="0" xfId="0">
      <alignment vertical="center"/>
    </xf>
    <xf numFmtId="49" fontId="121" fillId="0" borderId="1" applyAlignment="1" pivotButton="0" quotePrefix="0" xfId="0">
      <alignment vertical="center"/>
    </xf>
    <xf numFmtId="0" fontId="121" fillId="0" borderId="1" applyAlignment="1" pivotButton="0" quotePrefix="0" xfId="0">
      <alignment horizontal="left" vertical="center"/>
    </xf>
    <xf numFmtId="0" fontId="122" fillId="0" borderId="1" applyAlignment="1" pivotButton="0" quotePrefix="0" xfId="0">
      <alignment vertical="center"/>
    </xf>
    <xf numFmtId="0" fontId="123" fillId="0" borderId="1" applyAlignment="1" pivotButton="0" quotePrefix="0" xfId="0">
      <alignment vertical="center"/>
    </xf>
    <xf numFmtId="0" fontId="124" fillId="0" borderId="1" applyAlignment="1" pivotButton="0" quotePrefix="0" xfId="0">
      <alignment vertical="center"/>
    </xf>
    <xf numFmtId="0" fontId="1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0" fontId="9" fillId="2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27" fillId="0" borderId="0" applyAlignment="1" pivotButton="0" quotePrefix="0" xfId="0">
      <alignment vertical="center"/>
    </xf>
    <xf numFmtId="0" fontId="68" fillId="0" borderId="1" applyAlignment="1" pivotButton="0" quotePrefix="0" xfId="0">
      <alignment vertical="center"/>
    </xf>
    <xf numFmtId="0" fontId="68" fillId="0" borderId="1" applyAlignment="1" pivotButton="0" quotePrefix="0" xfId="0">
      <alignment vertical="center"/>
    </xf>
    <xf numFmtId="49" fontId="32" fillId="4" borderId="1" applyAlignment="1" pivotButton="0" quotePrefix="0" xfId="0">
      <alignment vertical="center"/>
    </xf>
    <xf numFmtId="49" fontId="128" fillId="4" borderId="1" applyAlignment="1" pivotButton="0" quotePrefix="0" xfId="0">
      <alignment vertical="center"/>
    </xf>
    <xf numFmtId="164" fontId="32" fillId="0" borderId="1" applyAlignment="1" pivotButton="0" quotePrefix="0" xfId="0">
      <alignment horizontal="right" vertical="center"/>
    </xf>
    <xf numFmtId="165" fontId="24" fillId="11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2" fontId="9" fillId="2" borderId="1" applyAlignment="1" pivotButton="0" quotePrefix="0" xfId="0">
      <alignment vertical="center"/>
    </xf>
    <xf numFmtId="0" fontId="32" fillId="3" borderId="1" applyAlignment="1" pivotButton="0" quotePrefix="0" xfId="0">
      <alignment horizontal="right" vertical="center"/>
    </xf>
    <xf numFmtId="0" fontId="129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3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31" fillId="4" borderId="0" applyAlignment="1" pivotButton="0" quotePrefix="0" xfId="0">
      <alignment vertical="center"/>
    </xf>
    <xf numFmtId="0" fontId="131" fillId="4" borderId="0" applyAlignment="1" pivotButton="0" quotePrefix="0" xfId="0">
      <alignment vertical="center"/>
    </xf>
    <xf numFmtId="0" fontId="10" fillId="0" borderId="1" applyAlignment="1" pivotButton="0" quotePrefix="0" xfId="0">
      <alignment horizontal="right" vertical="center"/>
    </xf>
    <xf numFmtId="164" fontId="26" fillId="15" borderId="1" applyAlignment="1" pivotButton="0" quotePrefix="0" xfId="0">
      <alignment vertical="center"/>
    </xf>
    <xf numFmtId="3" fontId="26" fillId="0" borderId="1" applyAlignment="1" pivotButton="0" quotePrefix="0" xfId="0">
      <alignment horizontal="left" vertical="center"/>
    </xf>
    <xf numFmtId="0" fontId="26" fillId="0" borderId="0" applyAlignment="1" pivotButton="0" quotePrefix="0" xfId="0">
      <alignment vertical="center"/>
    </xf>
    <xf numFmtId="164" fontId="32" fillId="0" borderId="1" applyAlignment="1" pivotButton="0" quotePrefix="0" xfId="0">
      <alignment horizontal="right" vertical="center"/>
    </xf>
    <xf numFmtId="0" fontId="26" fillId="0" borderId="1" applyAlignment="1" pivotButton="0" quotePrefix="0" xfId="0">
      <alignment vertical="center"/>
    </xf>
    <xf numFmtId="0" fontId="132" fillId="4" borderId="1" applyAlignment="1" pivotButton="0" quotePrefix="0" xfId="0">
      <alignment vertical="center"/>
    </xf>
    <xf numFmtId="0" fontId="26" fillId="4" borderId="1" applyAlignment="1" pivotButton="0" quotePrefix="0" xfId="0">
      <alignment vertical="center"/>
    </xf>
    <xf numFmtId="0" fontId="32" fillId="4" borderId="1" applyAlignment="1" pivotButton="0" quotePrefix="0" xfId="0">
      <alignment vertical="center"/>
    </xf>
    <xf numFmtId="0" fontId="133" fillId="4" borderId="1" applyAlignment="1" pivotButton="0" quotePrefix="0" xfId="0">
      <alignment vertical="center"/>
    </xf>
    <xf numFmtId="164" fontId="32" fillId="0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43" fillId="4" borderId="2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5" fontId="24" fillId="0" borderId="1" applyAlignment="1" pivotButton="0" quotePrefix="0" xfId="0">
      <alignment horizontal="right" vertical="center"/>
    </xf>
    <xf numFmtId="0" fontId="126" fillId="0" borderId="1" applyAlignment="1" pivotButton="0" quotePrefix="0" xfId="0">
      <alignment vertical="center"/>
    </xf>
    <xf numFmtId="0" fontId="126" fillId="0" borderId="1" applyAlignment="1" pivotButton="0" quotePrefix="0" xfId="0">
      <alignment vertical="center"/>
    </xf>
    <xf numFmtId="49" fontId="26" fillId="0" borderId="1" applyAlignment="1" pivotButton="0" quotePrefix="0" xfId="0">
      <alignment vertical="center"/>
    </xf>
    <xf numFmtId="0" fontId="26" fillId="18" borderId="1" applyAlignment="1" pivotButton="0" quotePrefix="0" xfId="0">
      <alignment horizontal="left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0" fillId="22" borderId="1" applyAlignment="1" pivotButton="0" quotePrefix="0" xfId="0">
      <alignment vertical="center"/>
    </xf>
    <xf numFmtId="0" fontId="26" fillId="19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6" fillId="6" borderId="1" applyAlignment="1" pivotButton="0" quotePrefix="0" xfId="0">
      <alignment vertical="center"/>
    </xf>
    <xf numFmtId="0" fontId="26" fillId="6" borderId="1" applyAlignment="1" pivotButton="0" quotePrefix="0" xfId="0">
      <alignment vertical="center"/>
    </xf>
    <xf numFmtId="0" fontId="134" fillId="0" borderId="1" applyAlignment="1" pivotButton="0" quotePrefix="0" xfId="0">
      <alignment horizontal="left" vertical="center"/>
    </xf>
    <xf numFmtId="49" fontId="4" fillId="12" borderId="1" applyAlignment="1" pivotButton="0" quotePrefix="0" xfId="0">
      <alignment vertical="center"/>
    </xf>
    <xf numFmtId="0" fontId="4" fillId="12" borderId="1" applyAlignment="1" pivotButton="0" quotePrefix="0" xfId="0">
      <alignment horizontal="left" vertical="center"/>
    </xf>
    <xf numFmtId="0" fontId="112" fillId="12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49" fontId="10" fillId="12" borderId="1" applyAlignment="1" pivotButton="0" quotePrefix="0" xfId="0">
      <alignment vertical="center"/>
    </xf>
    <xf numFmtId="0" fontId="10" fillId="12" borderId="1" applyAlignment="1" pivotButton="0" quotePrefix="0" xfId="0">
      <alignment horizontal="left" vertical="center"/>
    </xf>
    <xf numFmtId="0" fontId="112" fillId="12" borderId="1" applyAlignment="1" pivotButton="0" quotePrefix="0" xfId="0">
      <alignment vertical="center"/>
    </xf>
    <xf numFmtId="0" fontId="135" fillId="12" borderId="1" applyAlignment="1" pivotButton="0" quotePrefix="0" xfId="0">
      <alignment vertical="center"/>
    </xf>
    <xf numFmtId="0" fontId="10" fillId="12" borderId="1" applyAlignment="1" pivotButton="0" quotePrefix="0" xfId="0">
      <alignment vertical="center"/>
    </xf>
    <xf numFmtId="0" fontId="44" fillId="12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right" vertical="center"/>
    </xf>
    <xf numFmtId="0" fontId="60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32" fillId="4" borderId="1" applyAlignment="1" pivotButton="0" quotePrefix="0" xfId="0">
      <alignment vertical="center"/>
    </xf>
    <xf numFmtId="0" fontId="126" fillId="3" borderId="1" applyAlignment="1" pivotButton="0" quotePrefix="0" xfId="0">
      <alignment vertical="center"/>
    </xf>
    <xf numFmtId="0" fontId="19" fillId="0" borderId="0" applyAlignment="1" pivotButton="0" quotePrefix="0" xfId="0">
      <alignment vertical="bottom"/>
    </xf>
    <xf numFmtId="0" fontId="26" fillId="14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19" borderId="1" applyAlignment="1" pivotButton="0" quotePrefix="0" xfId="0">
      <alignment vertical="center"/>
    </xf>
    <xf numFmtId="0" fontId="26" fillId="18" borderId="1" applyAlignment="1" pivotButton="0" quotePrefix="0" xfId="0">
      <alignment vertical="center"/>
    </xf>
    <xf numFmtId="0" fontId="26" fillId="2" borderId="1" applyAlignment="1" pivotButton="0" quotePrefix="0" xfId="0">
      <alignment vertical="center"/>
    </xf>
    <xf numFmtId="0" fontId="32" fillId="4" borderId="1" applyAlignment="1" pivotButton="0" quotePrefix="0" xfId="0">
      <alignment horizontal="right" vertical="center"/>
    </xf>
    <xf numFmtId="0" fontId="136" fillId="4" borderId="1" applyAlignment="1" pivotButton="0" quotePrefix="0" xfId="0">
      <alignment vertical="center"/>
    </xf>
    <xf numFmtId="0" fontId="137" fillId="4" borderId="1" applyAlignment="1" pivotButton="0" quotePrefix="0" xfId="0">
      <alignment vertical="center"/>
    </xf>
    <xf numFmtId="165" fontId="24" fillId="6" borderId="1" applyAlignment="1" pivotButton="0" quotePrefix="0" xfId="0">
      <alignment horizontal="right" vertical="center"/>
    </xf>
    <xf numFmtId="49" fontId="32" fillId="12" borderId="1" applyAlignment="1" pivotButton="0" quotePrefix="0" xfId="0">
      <alignment vertical="center"/>
    </xf>
    <xf numFmtId="0" fontId="32" fillId="12" borderId="1" applyAlignment="1" pivotButton="0" quotePrefix="0" xfId="0">
      <alignment horizontal="right" vertical="center"/>
    </xf>
    <xf numFmtId="0" fontId="136" fillId="12" borderId="1" applyAlignment="1" pivotButton="0" quotePrefix="0" xfId="0">
      <alignment vertical="center"/>
    </xf>
    <xf numFmtId="0" fontId="138" fillId="12" borderId="1" applyAlignment="1" pivotButton="0" quotePrefix="0" xfId="0">
      <alignment vertical="center"/>
    </xf>
    <xf numFmtId="0" fontId="14" fillId="12" borderId="1" applyAlignment="1" pivotButton="0" quotePrefix="0" xfId="0">
      <alignment horizontal="right" vertical="center"/>
    </xf>
    <xf numFmtId="0" fontId="4" fillId="12" borderId="2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164" fontId="26" fillId="0" borderId="1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49" fontId="139" fillId="0" borderId="1" applyAlignment="1" pivotButton="0" quotePrefix="0" xfId="0">
      <alignment vertical="center"/>
    </xf>
    <xf numFmtId="164" fontId="63" fillId="2" borderId="1" applyAlignment="1" pivotButton="0" quotePrefix="0" xfId="0">
      <alignment vertical="center"/>
    </xf>
    <xf numFmtId="2" fontId="63" fillId="2" borderId="1" applyAlignment="1" pivotButton="0" quotePrefix="0" xfId="0">
      <alignment vertical="center"/>
    </xf>
    <xf numFmtId="166" fontId="26" fillId="0" borderId="1" applyAlignment="1" pivotButton="0" quotePrefix="0" xfId="0">
      <alignment vertical="center"/>
    </xf>
    <xf numFmtId="49" fontId="140" fillId="20" borderId="0" applyAlignment="1" pivotButton="0" quotePrefix="0" xfId="0">
      <alignment vertical="center"/>
    </xf>
    <xf numFmtId="164" fontId="63" fillId="2" borderId="1" applyAlignment="1" pivotButton="0" quotePrefix="0" xfId="0">
      <alignment vertical="center"/>
    </xf>
    <xf numFmtId="2" fontId="63" fillId="2" borderId="1" applyAlignment="1" pivotButton="0" quotePrefix="0" xfId="0">
      <alignment vertical="center"/>
    </xf>
    <xf numFmtId="0" fontId="26" fillId="23" borderId="1" applyAlignment="1" pivotButton="0" quotePrefix="0" xfId="0">
      <alignment vertical="center"/>
    </xf>
    <xf numFmtId="165" fontId="26" fillId="0" borderId="1" applyAlignment="1" pivotButton="0" quotePrefix="0" xfId="0">
      <alignment vertical="center"/>
    </xf>
    <xf numFmtId="165" fontId="63" fillId="0" borderId="1" applyAlignment="1" pivotButton="0" quotePrefix="0" xfId="0">
      <alignment vertical="center"/>
    </xf>
    <xf numFmtId="0" fontId="141" fillId="0" borderId="0" applyAlignment="1" pivotButton="0" quotePrefix="0" xfId="0">
      <alignment horizontal="left" vertical="center"/>
    </xf>
    <xf numFmtId="49" fontId="141" fillId="0" borderId="0" applyAlignment="1" pivotButton="0" quotePrefix="0" xfId="0">
      <alignment horizontal="left" vertical="center"/>
    </xf>
    <xf numFmtId="0" fontId="32" fillId="4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left" vertical="center"/>
    </xf>
    <xf numFmtId="0" fontId="142" fillId="4" borderId="1" applyAlignment="1" pivotButton="0" quotePrefix="0" xfId="0">
      <alignment horizontal="right" vertical="center"/>
    </xf>
    <xf numFmtId="0" fontId="143" fillId="4" borderId="0" applyAlignment="1" pivotButton="0" quotePrefix="0" xfId="0">
      <alignment horizontal="left" vertical="center"/>
    </xf>
    <xf numFmtId="0" fontId="144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left" vertical="center"/>
    </xf>
    <xf numFmtId="0" fontId="145" fillId="0" borderId="1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0" fontId="32" fillId="4" borderId="0" applyAlignment="1" pivotButton="0" quotePrefix="0" xfId="0">
      <alignment horizontal="left" vertical="center"/>
    </xf>
    <xf numFmtId="0" fontId="32" fillId="4" borderId="1" applyAlignment="1" pivotButton="0" quotePrefix="0" xfId="0">
      <alignment horizontal="left" vertical="center"/>
    </xf>
    <xf numFmtId="0" fontId="142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bottom"/>
    </xf>
    <xf numFmtId="0" fontId="26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45" fillId="0" borderId="1" applyAlignment="1" pivotButton="0" quotePrefix="0" xfId="0">
      <alignment vertical="center"/>
    </xf>
    <xf numFmtId="0" fontId="143" fillId="4" borderId="4" applyAlignment="1" pivotButton="0" quotePrefix="0" xfId="0">
      <alignment horizontal="left" vertical="center"/>
    </xf>
    <xf numFmtId="0" fontId="32" fillId="4" borderId="1" applyAlignment="1" pivotButton="0" quotePrefix="0" xfId="0">
      <alignment horizontal="right" vertical="center"/>
    </xf>
    <xf numFmtId="0" fontId="143" fillId="4" borderId="0" applyAlignment="1" pivotButton="0" quotePrefix="0" xfId="0">
      <alignment vertical="center"/>
    </xf>
    <xf numFmtId="0" fontId="143" fillId="4" borderId="0" applyAlignment="1" pivotButton="0" quotePrefix="0" xfId="0">
      <alignment vertical="center"/>
    </xf>
    <xf numFmtId="0" fontId="32" fillId="5" borderId="1" applyAlignment="1" pivotButton="0" quotePrefix="0" xfId="0">
      <alignment vertical="center"/>
    </xf>
    <xf numFmtId="0" fontId="32" fillId="5" borderId="1" applyAlignment="1" pivotButton="0" quotePrefix="0" xfId="0">
      <alignment vertical="center"/>
    </xf>
    <xf numFmtId="0" fontId="32" fillId="5" borderId="1" applyAlignment="1" pivotButton="0" quotePrefix="0" xfId="0">
      <alignment horizontal="left" vertical="center"/>
    </xf>
    <xf numFmtId="0" fontId="32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vertical="center"/>
    </xf>
    <xf numFmtId="0" fontId="146" fillId="5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right" vertical="center"/>
    </xf>
    <xf numFmtId="0" fontId="26" fillId="23" borderId="1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10" fillId="5" borderId="1" applyAlignment="1" pivotButton="0" quotePrefix="0" xfId="0">
      <alignment horizontal="right" vertical="center"/>
    </xf>
    <xf numFmtId="0" fontId="32" fillId="5" borderId="1" applyAlignment="1" pivotButton="0" quotePrefix="0" xfId="0">
      <alignment vertical="center"/>
    </xf>
    <xf numFmtId="0" fontId="1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45" fillId="0" borderId="0" applyAlignment="1" pivotButton="0" quotePrefix="0" xfId="0">
      <alignment vertical="center"/>
    </xf>
    <xf numFmtId="0" fontId="147" fillId="26" borderId="12" applyAlignment="1" pivotButton="0" quotePrefix="0" xfId="0">
      <alignment horizontal="center"/>
    </xf>
    <xf numFmtId="0" fontId="148" fillId="0" borderId="13" pivotButton="0" quotePrefix="0" xfId="0"/>
    <xf numFmtId="0" fontId="148" fillId="0" borderId="5" pivotButton="0" quotePrefix="0" xfId="0"/>
    <xf numFmtId="0" fontId="1" fillId="27" borderId="1" applyAlignment="1" pivotButton="0" quotePrefix="0" xfId="0">
      <alignment horizontal="center" vertical="bottom"/>
    </xf>
    <xf numFmtId="0" fontId="149" fillId="27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150" fillId="28" borderId="1" applyAlignment="1" pivotButton="0" quotePrefix="0" xfId="0">
      <alignment horizontal="center" vertical="bottom"/>
    </xf>
    <xf numFmtId="0" fontId="151" fillId="28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center" vertical="bottom"/>
    </xf>
    <xf numFmtId="3" fontId="10" fillId="4" borderId="1" applyAlignment="1" pivotButton="0" quotePrefix="0" xfId="0">
      <alignment horizontal="center" vertical="bottom"/>
    </xf>
    <xf numFmtId="167" fontId="72" fillId="27" borderId="1" applyAlignment="1" pivotButton="0" quotePrefix="0" xfId="0">
      <alignment horizontal="center" vertical="bottom"/>
    </xf>
    <xf numFmtId="168" fontId="72" fillId="2" borderId="1" applyAlignment="1" pivotButton="0" quotePrefix="0" xfId="0">
      <alignment horizontal="center" vertical="bottom"/>
    </xf>
    <xf numFmtId="167" fontId="72" fillId="28" borderId="1" applyAlignment="1" pivotButton="0" quotePrefix="0" xfId="0">
      <alignment horizontal="center" vertical="bottom"/>
    </xf>
    <xf numFmtId="169" fontId="72" fillId="2" borderId="1" applyAlignment="1" pivotButton="0" quotePrefix="0" xfId="0">
      <alignment horizontal="center" vertical="bottom"/>
    </xf>
    <xf numFmtId="165" fontId="72" fillId="28" borderId="1" applyAlignment="1" pivotButton="0" quotePrefix="0" xfId="0">
      <alignment horizontal="center" vertical="bottom"/>
    </xf>
    <xf numFmtId="165" fontId="72" fillId="29" borderId="1" applyAlignment="1" pivotButton="0" quotePrefix="0" xfId="0">
      <alignment horizontal="center" vertical="bottom"/>
    </xf>
    <xf numFmtId="167" fontId="72" fillId="2" borderId="1" applyAlignment="1" pivotButton="0" quotePrefix="0" xfId="0">
      <alignment horizontal="center" vertical="bottom"/>
    </xf>
    <xf numFmtId="167" fontId="152" fillId="28" borderId="1" applyAlignment="1" pivotButton="0" quotePrefix="0" xfId="0">
      <alignment horizontal="center" vertical="bottom"/>
    </xf>
    <xf numFmtId="167" fontId="153" fillId="29" borderId="1" applyAlignment="1" pivotButton="0" quotePrefix="0" xfId="0">
      <alignment horizontal="center" vertical="bottom"/>
    </xf>
    <xf numFmtId="0" fontId="19" fillId="0" borderId="0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149" fillId="27" borderId="12" applyAlignment="1" pivotButton="0" quotePrefix="0" xfId="0">
      <alignment horizontal="center" vertical="bottom"/>
    </xf>
    <xf numFmtId="0" fontId="1" fillId="27" borderId="12" applyAlignment="1" pivotButton="0" quotePrefix="0" xfId="0">
      <alignment horizontal="center" vertical="bottom"/>
    </xf>
    <xf numFmtId="167" fontId="19" fillId="0" borderId="0" applyAlignment="1" pivotButton="0" quotePrefix="0" xfId="0">
      <alignment vertical="bottom"/>
    </xf>
    <xf numFmtId="0" fontId="149" fillId="27" borderId="1" applyAlignment="1" pivotButton="0" quotePrefix="0" xfId="0">
      <alignment vertical="bottom"/>
    </xf>
    <xf numFmtId="9" fontId="1" fillId="0" borderId="1" applyAlignment="1" pivotButton="0" quotePrefix="0" xfId="0">
      <alignment horizontal="center" vertical="bottom"/>
    </xf>
    <xf numFmtId="167" fontId="141" fillId="27" borderId="1" applyAlignment="1" pivotButton="0" quotePrefix="0" xfId="0">
      <alignment vertical="bottom"/>
    </xf>
    <xf numFmtId="170" fontId="19" fillId="0" borderId="1" applyAlignment="1" pivotButton="0" quotePrefix="0" xfId="0">
      <alignment vertical="bottom"/>
    </xf>
    <xf numFmtId="10" fontId="1" fillId="0" borderId="1" applyAlignment="1" pivotButton="0" quotePrefix="0" xfId="0">
      <alignment horizontal="center" vertical="bottom"/>
    </xf>
    <xf numFmtId="0" fontId="19" fillId="0" borderId="1" applyAlignment="1" pivotButton="0" quotePrefix="0" xfId="0">
      <alignment vertical="bottom"/>
    </xf>
    <xf numFmtId="167" fontId="19" fillId="0" borderId="0" applyAlignment="1" pivotButton="0" quotePrefix="0" xfId="0">
      <alignment vertical="bottom"/>
    </xf>
    <xf numFmtId="10" fontId="1" fillId="27" borderId="1" applyAlignment="1" pivotButton="0" quotePrefix="0" xfId="0">
      <alignment horizontal="center" vertical="bottom"/>
    </xf>
    <xf numFmtId="0" fontId="141" fillId="27" borderId="1" pivotButton="0" quotePrefix="0" xfId="0"/>
    <xf numFmtId="0" fontId="19" fillId="0" borderId="1" pivotButton="0" quotePrefix="0" xfId="0"/>
    <xf numFmtId="170" fontId="1" fillId="27" borderId="1" applyAlignment="1" pivotButton="0" quotePrefix="0" xfId="0">
      <alignment horizontal="center" vertical="bottom"/>
    </xf>
    <xf numFmtId="2" fontId="19" fillId="27" borderId="1" applyAlignment="1" pivotButton="0" quotePrefix="0" xfId="0">
      <alignment vertical="bottom"/>
    </xf>
    <xf numFmtId="0" fontId="1" fillId="27" borderId="1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2" fontId="26" fillId="27" borderId="1" pivotButton="0" quotePrefix="0" xfId="0"/>
    <xf numFmtId="2" fontId="141" fillId="2" borderId="1" applyAlignment="1" pivotButton="0" quotePrefix="0" xfId="0">
      <alignment vertical="bottom"/>
    </xf>
    <xf numFmtId="0" fontId="141" fillId="27" borderId="1" applyAlignment="1" pivotButton="0" quotePrefix="0" xfId="0">
      <alignment vertical="bottom"/>
    </xf>
    <xf numFmtId="2" fontId="121" fillId="2" borderId="1" pivotButton="0" quotePrefix="0" xfId="0"/>
    <xf numFmtId="0" fontId="154" fillId="4" borderId="0" pivotButton="0" quotePrefix="0" xfId="0"/>
    <xf numFmtId="0" fontId="141" fillId="27" borderId="12" applyAlignment="1" pivotButton="0" quotePrefix="0" xfId="0">
      <alignment horizontal="center"/>
    </xf>
    <xf numFmtId="0" fontId="1" fillId="27" borderId="5" applyAlignment="1" pivotButton="0" quotePrefix="0" xfId="0">
      <alignment horizontal="center" vertical="bottom"/>
    </xf>
    <xf numFmtId="0" fontId="19" fillId="0" borderId="14" pivotButton="0" quotePrefix="0" xfId="0"/>
    <xf numFmtId="9" fontId="19" fillId="0" borderId="1" pivotButton="0" quotePrefix="0" xfId="0"/>
    <xf numFmtId="0" fontId="19" fillId="0" borderId="15" pivotButton="0" quotePrefix="0" xfId="0"/>
    <xf numFmtId="170" fontId="19" fillId="0" borderId="1" pivotButton="0" quotePrefix="0" xfId="0"/>
    <xf numFmtId="170" fontId="26" fillId="0" borderId="1" pivotButton="0" quotePrefix="0" xfId="0"/>
    <xf numFmtId="0" fontId="26" fillId="0" borderId="15" pivotButton="0" quotePrefix="0" xfId="0"/>
    <xf numFmtId="2" fontId="19" fillId="0" borderId="1" pivotButton="0" quotePrefix="0" xfId="0"/>
    <xf numFmtId="164" fontId="26" fillId="0" borderId="1" pivotButton="0" quotePrefix="0" xfId="0"/>
    <xf numFmtId="164" fontId="121" fillId="0" borderId="1" pivotButton="0" quotePrefix="0" xfId="0"/>
    <xf numFmtId="164" fontId="26" fillId="23" borderId="1" pivotButton="0" quotePrefix="0" xfId="0"/>
    <xf numFmtId="0" fontId="26" fillId="0" borderId="1" pivotButton="0" quotePrefix="0" xfId="0"/>
    <xf numFmtId="164" fontId="26" fillId="22" borderId="1" pivotButton="0" quotePrefix="0" xfId="0"/>
    <xf numFmtId="0" fontId="19" fillId="0" borderId="16" pivotButton="0" quotePrefix="0" xfId="0"/>
    <xf numFmtId="0" fontId="141" fillId="13" borderId="1" pivotButton="0" quotePrefix="0" xfId="0"/>
    <xf numFmtId="2" fontId="26" fillId="13" borderId="1" pivotButton="0" quotePrefix="0" xfId="0"/>
    <xf numFmtId="2" fontId="26" fillId="0" borderId="1" pivotButton="0" quotePrefix="0" xfId="0"/>
    <xf numFmtId="10" fontId="121" fillId="0" borderId="1" pivotButton="0" quotePrefix="0" xfId="0"/>
    <xf numFmtId="0" fontId="147" fillId="30" borderId="12" applyAlignment="1" pivotButton="0" quotePrefix="0" xfId="0">
      <alignment horizontal="center"/>
    </xf>
    <xf numFmtId="10" fontId="19" fillId="0" borderId="1" pivotButton="0" quotePrefix="0" xfId="0"/>
    <xf numFmtId="0" fontId="141" fillId="0" borderId="0" pivotButton="0" quotePrefix="0" xfId="0"/>
    <xf numFmtId="2" fontId="26" fillId="31" borderId="1" pivotButton="0" quotePrefix="0" xfId="0"/>
    <xf numFmtId="0" fontId="141" fillId="31" borderId="0" pivotButton="0" quotePrefix="0" xfId="0"/>
    <xf numFmtId="165" fontId="72" fillId="28" borderId="1" applyAlignment="1" pivotButton="0" quotePrefix="0" xfId="0">
      <alignment horizontal="right" vertical="bottom"/>
    </xf>
    <xf numFmtId="165" fontId="72" fillId="2" borderId="1" applyAlignment="1" pivotButton="0" quotePrefix="0" xfId="0">
      <alignment horizontal="right" vertical="bottom"/>
    </xf>
    <xf numFmtId="167" fontId="72" fillId="2" borderId="1" applyAlignment="1" pivotButton="0" quotePrefix="0" xfId="0">
      <alignment horizontal="right" vertical="bottom"/>
    </xf>
    <xf numFmtId="167" fontId="72" fillId="23" borderId="1" applyAlignment="1" pivotButton="0" quotePrefix="0" xfId="0">
      <alignment horizontal="right" vertical="bottom"/>
    </xf>
    <xf numFmtId="167" fontId="72" fillId="29" borderId="1" applyAlignment="1" pivotButton="0" quotePrefix="0" xfId="0">
      <alignment horizontal="right" vertical="bottom"/>
    </xf>
    <xf numFmtId="0" fontId="19" fillId="27" borderId="12" pivotButton="0" quotePrefix="0" xfId="0"/>
    <xf numFmtId="164" fontId="19" fillId="0" borderId="1" pivotButton="0" quotePrefix="0" xfId="0"/>
    <xf numFmtId="170" fontId="26" fillId="27" borderId="1" pivotButton="0" quotePrefix="0" xfId="0"/>
    <xf numFmtId="2" fontId="19" fillId="27" borderId="1" pivotButton="0" quotePrefix="0" xfId="0"/>
    <xf numFmtId="164" fontId="26" fillId="27" borderId="1" pivotButton="0" quotePrefix="0" xfId="0"/>
    <xf numFmtId="0" fontId="19" fillId="27" borderId="1" pivotButton="0" quotePrefix="0" xfId="0"/>
    <xf numFmtId="164" fontId="121" fillId="27" borderId="1" pivotButton="0" quotePrefix="0" xfId="0"/>
    <xf numFmtId="10" fontId="26" fillId="0" borderId="1" pivotButton="0" quotePrefix="0" xfId="0"/>
    <xf numFmtId="49" fontId="155" fillId="0" borderId="0" applyAlignment="1" pivotButton="0" quotePrefix="0" xfId="0">
      <alignment horizontal="center" vertical="center"/>
    </xf>
    <xf numFmtId="49" fontId="1" fillId="32" borderId="0" applyAlignment="1" pivotButton="0" quotePrefix="0" xfId="0">
      <alignment horizontal="center" vertical="center"/>
    </xf>
    <xf numFmtId="0" fontId="1" fillId="32" borderId="0" applyAlignment="1" pivotButton="0" quotePrefix="0" xfId="0">
      <alignment horizontal="center" vertical="center"/>
    </xf>
    <xf numFmtId="0" fontId="5" fillId="0" borderId="5" applyAlignment="1" pivotButton="0" quotePrefix="0" xfId="0">
      <alignment vertical="center"/>
    </xf>
    <xf numFmtId="0" fontId="156" fillId="0" borderId="5" applyAlignment="1" pivotButton="0" quotePrefix="0" xfId="0">
      <alignment vertical="center"/>
    </xf>
    <xf numFmtId="0" fontId="157" fillId="0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9" fontId="158" fillId="4" borderId="17" applyAlignment="1" pivotButton="0" quotePrefix="0" xfId="0">
      <alignment horizontal="right" vertical="center"/>
    </xf>
    <xf numFmtId="0" fontId="10" fillId="0" borderId="5" applyAlignment="1" pivotButton="0" quotePrefix="0" xfId="0">
      <alignment vertical="center"/>
    </xf>
    <xf numFmtId="10" fontId="10" fillId="0" borderId="5" applyAlignment="1" pivotButton="0" quotePrefix="0" xfId="0">
      <alignment vertical="center"/>
    </xf>
    <xf numFmtId="165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5" fontId="4" fillId="23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70" fontId="22" fillId="4" borderId="18" applyAlignment="1" pivotButton="0" quotePrefix="0" xfId="0">
      <alignment horizontal="right" vertical="center"/>
    </xf>
    <xf numFmtId="49" fontId="26" fillId="0" borderId="19" applyAlignment="1" pivotButton="0" quotePrefix="0" xfId="0">
      <alignment horizontal="center" vertical="center"/>
    </xf>
    <xf numFmtId="0" fontId="159" fillId="0" borderId="5" applyAlignment="1" pivotButton="0" quotePrefix="0" xfId="0">
      <alignment vertical="center"/>
    </xf>
    <xf numFmtId="0" fontId="160" fillId="0" borderId="5" applyAlignment="1" pivotButton="0" quotePrefix="0" xfId="0">
      <alignment vertical="center"/>
    </xf>
    <xf numFmtId="9" fontId="158" fillId="0" borderId="17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70" fontId="22" fillId="0" borderId="18" applyAlignment="1" pivotButton="0" quotePrefix="0" xfId="0">
      <alignment horizontal="right" vertical="center"/>
    </xf>
    <xf numFmtId="49" fontId="26" fillId="0" borderId="19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vertical="center"/>
    </xf>
    <xf numFmtId="9" fontId="158" fillId="0" borderId="17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70" fontId="22" fillId="0" borderId="18" applyAlignment="1" pivotButton="0" quotePrefix="0" xfId="0">
      <alignment horizontal="right" vertical="center"/>
    </xf>
    <xf numFmtId="0" fontId="161" fillId="0" borderId="5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66" fillId="0" borderId="5" applyAlignment="1" pivotButton="0" quotePrefix="0" xfId="0">
      <alignment vertical="center"/>
    </xf>
    <xf numFmtId="0" fontId="66" fillId="0" borderId="5" applyAlignment="1" pivotButton="0" quotePrefix="0" xfId="0">
      <alignment vertical="center"/>
    </xf>
    <xf numFmtId="165" fontId="4" fillId="4" borderId="1" applyAlignment="1" pivotButton="0" quotePrefix="0" xfId="0">
      <alignment horizontal="right" vertical="center"/>
    </xf>
    <xf numFmtId="0" fontId="162" fillId="0" borderId="5" applyAlignment="1" pivotButton="0" quotePrefix="0" xfId="0">
      <alignment vertical="center"/>
    </xf>
    <xf numFmtId="0" fontId="29" fillId="0" borderId="5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63" fillId="0" borderId="5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4" fillId="0" borderId="20" pivotButton="0" quotePrefix="0" xfId="0"/>
    <xf numFmtId="0" fontId="164" fillId="0" borderId="5" applyAlignment="1" pivotButton="0" quotePrefix="0" xfId="0">
      <alignment vertical="center"/>
    </xf>
    <xf numFmtId="0" fontId="5" fillId="18" borderId="5" applyAlignment="1" pivotButton="0" quotePrefix="0" xfId="0">
      <alignment vertical="center"/>
    </xf>
    <xf numFmtId="0" fontId="165" fillId="18" borderId="5" applyAlignment="1" pivotButton="0" quotePrefix="0" xfId="0">
      <alignment vertical="center"/>
    </xf>
    <xf numFmtId="0" fontId="29" fillId="18" borderId="5" applyAlignment="1" pivotButton="0" quotePrefix="0" xfId="0">
      <alignment vertical="center"/>
    </xf>
    <xf numFmtId="0" fontId="10" fillId="18" borderId="5" applyAlignment="1" pivotButton="0" quotePrefix="0" xfId="0">
      <alignment vertical="center"/>
    </xf>
    <xf numFmtId="9" fontId="158" fillId="19" borderId="17" applyAlignment="1" pivotButton="0" quotePrefix="0" xfId="0">
      <alignment horizontal="right" vertical="center"/>
    </xf>
    <xf numFmtId="0" fontId="10" fillId="19" borderId="5" applyAlignment="1" pivotButton="0" quotePrefix="0" xfId="0">
      <alignment vertical="center"/>
    </xf>
    <xf numFmtId="10" fontId="10" fillId="19" borderId="5" applyAlignment="1" pivotButton="0" quotePrefix="0" xfId="0">
      <alignment vertical="center"/>
    </xf>
    <xf numFmtId="0" fontId="166" fillId="0" borderId="5" applyAlignment="1" pivotButton="0" quotePrefix="0" xfId="0">
      <alignment vertical="center"/>
    </xf>
    <xf numFmtId="0" fontId="26" fillId="0" borderId="5" applyAlignment="1" pivotButton="0" quotePrefix="0" xfId="0">
      <alignment vertical="center"/>
    </xf>
    <xf numFmtId="49" fontId="26" fillId="0" borderId="19" applyAlignment="1" pivotButton="0" quotePrefix="0" xfId="0">
      <alignment horizontal="center" vertical="center"/>
    </xf>
    <xf numFmtId="0" fontId="126" fillId="0" borderId="1" applyAlignment="1" pivotButton="0" quotePrefix="0" xfId="0">
      <alignment vertical="center"/>
    </xf>
    <xf numFmtId="0" fontId="26" fillId="0" borderId="5" applyAlignment="1" pivotButton="0" quotePrefix="0" xfId="0">
      <alignment vertical="center"/>
    </xf>
    <xf numFmtId="9" fontId="167" fillId="0" borderId="5" applyAlignment="1" pivotButton="0" quotePrefix="0" xfId="0">
      <alignment vertical="center"/>
    </xf>
    <xf numFmtId="0" fontId="26" fillId="0" borderId="5" applyAlignment="1" pivotButton="0" quotePrefix="0" xfId="0">
      <alignment vertical="center"/>
    </xf>
    <xf numFmtId="10" fontId="26" fillId="0" borderId="5" applyAlignment="1" pivotButton="0" quotePrefix="0" xfId="0">
      <alignment vertical="center"/>
    </xf>
    <xf numFmtId="49" fontId="26" fillId="0" borderId="19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68" fillId="0" borderId="5" applyAlignment="1" pivotButton="0" quotePrefix="0" xfId="0">
      <alignment vertical="bottom"/>
    </xf>
    <xf numFmtId="0" fontId="169" fillId="0" borderId="5" applyAlignment="1" pivotButton="0" quotePrefix="0" xfId="0">
      <alignment vertical="bottom"/>
    </xf>
    <xf numFmtId="0" fontId="170" fillId="0" borderId="5" applyAlignment="1" pivotButton="0" quotePrefix="0" xfId="0">
      <alignment vertical="bottom"/>
    </xf>
    <xf numFmtId="0" fontId="171" fillId="0" borderId="5" applyAlignment="1" pivotButton="0" quotePrefix="0" xfId="0">
      <alignment vertical="bottom"/>
    </xf>
    <xf numFmtId="0" fontId="12" fillId="0" borderId="5" applyAlignment="1" pivotButton="0" quotePrefix="0" xfId="0">
      <alignment vertical="bottom"/>
    </xf>
    <xf numFmtId="0" fontId="12" fillId="0" borderId="5" applyAlignment="1" pivotButton="0" quotePrefix="0" xfId="0">
      <alignment vertical="bottom"/>
    </xf>
    <xf numFmtId="0" fontId="26" fillId="0" borderId="5" applyAlignment="1" pivotButton="0" quotePrefix="0" xfId="0">
      <alignment vertical="center"/>
    </xf>
    <xf numFmtId="0" fontId="172" fillId="0" borderId="5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0" fontId="10" fillId="6" borderId="1" applyAlignment="1" pivotButton="0" quotePrefix="0" xfId="0">
      <alignment vertical="center"/>
    </xf>
    <xf numFmtId="9" fontId="158" fillId="4" borderId="17" applyAlignment="1" pivotButton="0" quotePrefix="0" xfId="0">
      <alignment horizontal="right" vertical="center"/>
    </xf>
    <xf numFmtId="0" fontId="10" fillId="4" borderId="17" applyAlignment="1" pivotButton="0" quotePrefix="0" xfId="0">
      <alignment horizontal="right" vertical="center"/>
    </xf>
    <xf numFmtId="10" fontId="10" fillId="4" borderId="17" applyAlignment="1" pivotButton="0" quotePrefix="0" xfId="0">
      <alignment vertical="center"/>
    </xf>
    <xf numFmtId="165" fontId="24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170" fontId="44" fillId="4" borderId="18" applyAlignment="1" pivotButton="0" quotePrefix="0" xfId="0">
      <alignment horizontal="right" vertical="center"/>
    </xf>
    <xf numFmtId="0" fontId="29" fillId="0" borderId="5" applyAlignment="1" pivotButton="0" quotePrefix="0" xfId="0">
      <alignment vertical="bottom"/>
    </xf>
    <xf numFmtId="0" fontId="29" fillId="0" borderId="5" applyAlignment="1" pivotButton="0" quotePrefix="0" xfId="0">
      <alignment vertical="bottom"/>
    </xf>
    <xf numFmtId="0" fontId="173" fillId="0" borderId="5" applyAlignment="1" pivotButton="0" quotePrefix="0" xfId="0">
      <alignment vertical="bottom"/>
    </xf>
    <xf numFmtId="0" fontId="10" fillId="33" borderId="1" applyAlignment="1" pivotButton="0" quotePrefix="0" xfId="0">
      <alignment vertical="center"/>
    </xf>
    <xf numFmtId="0" fontId="5" fillId="12" borderId="21" applyAlignment="1" pivotButton="0" quotePrefix="0" xfId="0">
      <alignment horizontal="right" vertical="center"/>
    </xf>
    <xf numFmtId="0" fontId="174" fillId="12" borderId="21" applyAlignment="1" pivotButton="0" quotePrefix="0" xfId="0">
      <alignment vertical="bottom"/>
    </xf>
    <xf numFmtId="0" fontId="4" fillId="12" borderId="21" applyAlignment="1" pivotButton="0" quotePrefix="0" xfId="0">
      <alignment vertical="bottom"/>
    </xf>
    <xf numFmtId="0" fontId="14" fillId="12" borderId="21" applyAlignment="1" pivotButton="0" quotePrefix="0" xfId="0">
      <alignment horizontal="right" vertical="center"/>
    </xf>
    <xf numFmtId="9" fontId="158" fillId="12" borderId="17" applyAlignment="1" pivotButton="0" quotePrefix="0" xfId="0">
      <alignment horizontal="right" vertical="center"/>
    </xf>
    <xf numFmtId="0" fontId="10" fillId="12" borderId="21" applyAlignment="1" pivotButton="0" quotePrefix="0" xfId="0">
      <alignment horizontal="right" vertical="center"/>
    </xf>
    <xf numFmtId="10" fontId="10" fillId="12" borderId="21" applyAlignment="1" pivotButton="0" quotePrefix="0" xfId="0">
      <alignment horizontal="right" vertical="center"/>
    </xf>
    <xf numFmtId="165" fontId="24" fillId="12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24" fillId="23" borderId="1" applyAlignment="1" pivotButton="0" quotePrefix="0" xfId="0">
      <alignment horizontal="right" vertical="center"/>
    </xf>
    <xf numFmtId="164" fontId="24" fillId="2" borderId="1" applyAlignment="1" pivotButton="0" quotePrefix="0" xfId="0">
      <alignment horizontal="right" vertical="center"/>
    </xf>
    <xf numFmtId="164" fontId="14" fillId="2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165" fontId="24" fillId="12" borderId="1" applyAlignment="1" pivotButton="0" quotePrefix="0" xfId="0">
      <alignment horizontal="right" vertical="center"/>
    </xf>
    <xf numFmtId="170" fontId="22" fillId="12" borderId="18" applyAlignment="1" pivotButton="0" quotePrefix="0" xfId="0">
      <alignment horizontal="right" vertical="center"/>
    </xf>
    <xf numFmtId="49" fontId="4" fillId="12" borderId="22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175" fillId="0" borderId="5" applyAlignment="1" pivotButton="0" quotePrefix="0" xfId="0">
      <alignment vertical="bottom"/>
    </xf>
    <xf numFmtId="167" fontId="4" fillId="2" borderId="1" applyAlignment="1" pivotButton="0" quotePrefix="0" xfId="0">
      <alignment vertical="center"/>
    </xf>
    <xf numFmtId="167" fontId="4" fillId="6" borderId="1" applyAlignment="1" pivotButton="0" quotePrefix="0" xfId="0">
      <alignment vertical="center"/>
    </xf>
    <xf numFmtId="0" fontId="5" fillId="34" borderId="5" applyAlignment="1" pivotButton="0" quotePrefix="0" xfId="0">
      <alignment vertical="center"/>
    </xf>
    <xf numFmtId="0" fontId="176" fillId="0" borderId="5" applyAlignment="1" pivotButton="0" quotePrefix="0" xfId="0">
      <alignment vertical="bottom"/>
    </xf>
    <xf numFmtId="0" fontId="26" fillId="6" borderId="1" applyAlignment="1" pivotButton="0" quotePrefix="0" xfId="0">
      <alignment vertical="center"/>
    </xf>
    <xf numFmtId="164" fontId="9" fillId="2" borderId="1" applyAlignment="1" pivotButton="0" quotePrefix="0" xfId="0">
      <alignment vertical="center"/>
    </xf>
    <xf numFmtId="0" fontId="5" fillId="19" borderId="5" applyAlignment="1" pivotButton="0" quotePrefix="0" xfId="0">
      <alignment vertical="center"/>
    </xf>
    <xf numFmtId="0" fontId="29" fillId="19" borderId="5" applyAlignment="1" pivotButton="0" quotePrefix="0" xfId="0">
      <alignment vertical="bottom"/>
    </xf>
    <xf numFmtId="0" fontId="5" fillId="0" borderId="1" applyAlignment="1" pivotButton="0" quotePrefix="0" xfId="0">
      <alignment horizontal="left" vertical="bottom"/>
    </xf>
    <xf numFmtId="0" fontId="14" fillId="4" borderId="17" applyAlignment="1" pivotButton="0" quotePrefix="0" xfId="0">
      <alignment horizontal="right" vertical="center"/>
    </xf>
    <xf numFmtId="0" fontId="10" fillId="4" borderId="17" applyAlignment="1" pivotButton="0" quotePrefix="0" xfId="0">
      <alignment horizontal="right" vertical="center"/>
    </xf>
    <xf numFmtId="49" fontId="4" fillId="4" borderId="23" applyAlignment="1" pivotButton="0" quotePrefix="0" xfId="0">
      <alignment vertical="center"/>
    </xf>
    <xf numFmtId="0" fontId="14" fillId="0" borderId="5" applyAlignment="1" pivotButton="0" quotePrefix="0" xfId="0">
      <alignment horizontal="right" vertical="center"/>
    </xf>
    <xf numFmtId="0" fontId="10" fillId="4" borderId="5" applyAlignment="1" pivotButton="0" quotePrefix="0" xfId="0">
      <alignment horizontal="right" vertical="center"/>
    </xf>
    <xf numFmtId="10" fontId="10" fillId="4" borderId="5" applyAlignment="1" pivotButton="0" quotePrefix="0" xfId="0">
      <alignment vertical="center"/>
    </xf>
    <xf numFmtId="49" fontId="4" fillId="4" borderId="19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177" fillId="0" borderId="5" applyAlignment="1" pivotButton="0" quotePrefix="0" xfId="0">
      <alignment vertical="bottom"/>
    </xf>
    <xf numFmtId="0" fontId="178" fillId="0" borderId="5" applyAlignment="1" pivotButton="0" quotePrefix="0" xfId="0">
      <alignment vertical="bottom"/>
    </xf>
    <xf numFmtId="0" fontId="10" fillId="0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10" fontId="10" fillId="0" borderId="5" applyAlignment="1" pivotButton="0" quotePrefix="0" xfId="0">
      <alignment vertical="center"/>
    </xf>
    <xf numFmtId="0" fontId="179" fillId="0" borderId="5" applyAlignment="1" pivotButton="0" quotePrefix="0" xfId="0">
      <alignment vertical="center"/>
    </xf>
    <xf numFmtId="0" fontId="19" fillId="0" borderId="5" applyAlignment="1" pivotButton="0" quotePrefix="0" xfId="0">
      <alignment vertical="center"/>
    </xf>
    <xf numFmtId="0" fontId="180" fillId="0" borderId="5" applyAlignment="1" pivotButton="0" quotePrefix="0" xfId="0">
      <alignment vertical="center"/>
    </xf>
    <xf numFmtId="165" fontId="10" fillId="23" borderId="1" applyAlignment="1" pivotButton="0" quotePrefix="0" xfId="0">
      <alignment horizontal="right" vertical="center"/>
    </xf>
    <xf numFmtId="0" fontId="10" fillId="6" borderId="1" applyAlignment="1" pivotButton="0" quotePrefix="0" xfId="0">
      <alignment vertical="center"/>
    </xf>
    <xf numFmtId="0" fontId="181" fillId="0" borderId="5" applyAlignment="1" pivotButton="0" quotePrefix="0" xfId="0">
      <alignment vertical="bottom"/>
    </xf>
    <xf numFmtId="164" fontId="9" fillId="2" borderId="5" applyAlignment="1" pivotButton="0" quotePrefix="0" xfId="0">
      <alignment vertical="center"/>
    </xf>
    <xf numFmtId="0" fontId="5" fillId="12" borderId="5" applyAlignment="1" pivotButton="0" quotePrefix="0" xfId="0">
      <alignment horizontal="right" vertical="center"/>
    </xf>
    <xf numFmtId="0" fontId="182" fillId="12" borderId="21" applyAlignment="1" pivotButton="0" quotePrefix="0" xfId="0">
      <alignment vertical="center"/>
    </xf>
    <xf numFmtId="0" fontId="183" fillId="12" borderId="21" applyAlignment="1" pivotButton="0" quotePrefix="0" xfId="0">
      <alignment vertical="center"/>
    </xf>
    <xf numFmtId="0" fontId="10" fillId="12" borderId="21" applyAlignment="1" pivotButton="0" quotePrefix="0" xfId="0">
      <alignment vertical="center"/>
    </xf>
    <xf numFmtId="0" fontId="10" fillId="12" borderId="21" applyAlignment="1" pivotButton="0" quotePrefix="0" xfId="0">
      <alignment horizontal="right" vertical="center"/>
    </xf>
    <xf numFmtId="10" fontId="10" fillId="12" borderId="21" applyAlignment="1" pivotButton="0" quotePrefix="0" xfId="0">
      <alignment vertical="center"/>
    </xf>
    <xf numFmtId="0" fontId="10" fillId="6" borderId="1" applyAlignment="1" pivotButton="0" quotePrefix="0" xfId="0">
      <alignment horizontal="right" vertical="center"/>
    </xf>
    <xf numFmtId="49" fontId="10" fillId="12" borderId="22" applyAlignment="1" pivotButton="0" quotePrefix="0" xfId="0">
      <alignment vertical="center"/>
    </xf>
    <xf numFmtId="0" fontId="10" fillId="12" borderId="0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184" fillId="0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85" fillId="0" borderId="5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86" fillId="0" borderId="5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8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0" fontId="188" fillId="0" borderId="0" applyAlignment="1" pivotButton="0" quotePrefix="0" xfId="0">
      <alignment horizontal="left"/>
    </xf>
    <xf numFmtId="0" fontId="189" fillId="0" borderId="0" applyAlignment="1" pivotButton="0" quotePrefix="0" xfId="0">
      <alignment horizontal="right"/>
    </xf>
    <xf numFmtId="10" fontId="190" fillId="0" borderId="0" applyAlignment="1" pivotButton="0" quotePrefix="0" xfId="0">
      <alignment horizontal="right"/>
    </xf>
    <xf numFmtId="0" fontId="19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0" fontId="192" fillId="0" borderId="0" applyAlignment="1" pivotButton="0" quotePrefix="0" xfId="0">
      <alignment horizontal="right"/>
    </xf>
    <xf numFmtId="0" fontId="193" fillId="0" borderId="5" applyAlignment="1" pivotButton="0" quotePrefix="0" xfId="0">
      <alignment vertical="center"/>
    </xf>
    <xf numFmtId="0" fontId="194" fillId="0" borderId="5" applyAlignment="1" pivotButton="0" quotePrefix="0" xfId="0">
      <alignment vertical="center"/>
    </xf>
    <xf numFmtId="0" fontId="30" fillId="0" borderId="0" applyAlignment="1" pivotButton="0" quotePrefix="0" xfId="0">
      <alignment vertical="bottom"/>
    </xf>
    <xf numFmtId="0" fontId="30" fillId="4" borderId="24" applyAlignment="1" pivotButton="0" quotePrefix="0" xfId="0">
      <alignment vertical="bottom"/>
    </xf>
    <xf numFmtId="0" fontId="10" fillId="0" borderId="0" applyAlignment="1" pivotButton="0" quotePrefix="0" xfId="0">
      <alignment vertical="center"/>
    </xf>
    <xf numFmtId="0" fontId="26" fillId="0" borderId="0" pivotButton="0" quotePrefix="0" xfId="0"/>
    <xf numFmtId="165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70" fontId="4" fillId="0" borderId="0" applyAlignment="1" pivotButton="0" quotePrefix="0" xfId="0">
      <alignment vertical="center"/>
    </xf>
    <xf numFmtId="0" fontId="30" fillId="35" borderId="24" applyAlignment="1" pivotButton="0" quotePrefix="0" xfId="0">
      <alignment vertical="bottom"/>
    </xf>
    <xf numFmtId="0" fontId="189" fillId="0" borderId="0" applyAlignment="1" pivotButton="0" quotePrefix="0" xfId="0">
      <alignment horizontal="left" vertical="bottom"/>
    </xf>
    <xf numFmtId="0" fontId="189" fillId="35" borderId="24" applyAlignment="1" pivotButton="0" quotePrefix="0" xfId="0">
      <alignment horizontal="left" vertical="bottom"/>
    </xf>
    <xf numFmtId="0" fontId="10" fillId="0" borderId="0" applyAlignment="1" pivotButton="0" quotePrefix="0" xfId="0">
      <alignment horizontal="right"/>
    </xf>
    <xf numFmtId="0" fontId="195" fillId="0" borderId="0" pivotButton="0" quotePrefix="0" xfId="0"/>
    <xf numFmtId="165" fontId="10" fillId="0" borderId="0" applyAlignment="1" pivotButton="0" quotePrefix="0" xfId="0">
      <alignment horizontal="right"/>
    </xf>
    <xf numFmtId="170" fontId="22" fillId="0" borderId="0" applyAlignment="1" pivotButton="0" quotePrefix="0" xfId="0">
      <alignment horizontal="right"/>
    </xf>
    <xf numFmtId="0" fontId="26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196" fillId="0" borderId="1" applyAlignment="1" pivotButton="0" quotePrefix="0" xfId="0">
      <alignment vertical="center"/>
    </xf>
    <xf numFmtId="0" fontId="197" fillId="0" borderId="5" applyAlignment="1" pivotButton="0" quotePrefix="0" xfId="0">
      <alignment vertical="center"/>
    </xf>
    <xf numFmtId="0" fontId="10" fillId="0" borderId="21" applyAlignment="1" pivotButton="0" quotePrefix="0" xfId="0">
      <alignment vertical="center"/>
    </xf>
    <xf numFmtId="49" fontId="32" fillId="12" borderId="22" applyAlignment="1" pivotButton="0" quotePrefix="0" xfId="0">
      <alignment horizontal="center" vertical="center"/>
    </xf>
    <xf numFmtId="0" fontId="32" fillId="12" borderId="0" applyAlignment="1" pivotButton="0" quotePrefix="0" xfId="0">
      <alignment horizontal="center" vertical="center"/>
    </xf>
    <xf numFmtId="49" fontId="32" fillId="12" borderId="19" applyAlignment="1" pivotButton="0" quotePrefix="0" xfId="0">
      <alignment horizontal="center" vertical="center"/>
    </xf>
    <xf numFmtId="0" fontId="198" fillId="0" borderId="5" applyAlignment="1" pivotButton="0" quotePrefix="0" xfId="0">
      <alignment vertical="center"/>
    </xf>
    <xf numFmtId="0" fontId="26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/>
    </xf>
    <xf numFmtId="0" fontId="199" fillId="0" borderId="5" applyAlignment="1" pivotButton="0" quotePrefix="0" xfId="0">
      <alignment vertical="center"/>
    </xf>
    <xf numFmtId="0" fontId="19" fillId="0" borderId="5" applyAlignment="1" pivotButton="0" quotePrefix="0" xfId="0">
      <alignment vertical="center"/>
    </xf>
    <xf numFmtId="0" fontId="126" fillId="0" borderId="5" applyAlignment="1" pivotButton="0" quotePrefix="0" xfId="0">
      <alignment horizontal="left" vertical="center"/>
    </xf>
    <xf numFmtId="0" fontId="126" fillId="0" borderId="5" applyAlignment="1" pivotButton="0" quotePrefix="0" xfId="0">
      <alignment horizontal="left" vertical="center"/>
    </xf>
    <xf numFmtId="0" fontId="10" fillId="21" borderId="1" applyAlignment="1" pivotButton="0" quotePrefix="0" xfId="0">
      <alignment horizontal="right" vertical="center"/>
    </xf>
    <xf numFmtId="0" fontId="19" fillId="0" borderId="5" applyAlignment="1" pivotButton="0" quotePrefix="0" xfId="0">
      <alignment vertical="center"/>
    </xf>
    <xf numFmtId="0" fontId="126" fillId="0" borderId="5" applyAlignment="1" pivotButton="0" quotePrefix="0" xfId="0">
      <alignment horizontal="left" vertical="center"/>
    </xf>
    <xf numFmtId="0" fontId="45" fillId="0" borderId="5" applyAlignment="1" pivotButton="0" quotePrefix="0" xfId="0">
      <alignment vertical="center"/>
    </xf>
    <xf numFmtId="0" fontId="45" fillId="0" borderId="5" applyAlignment="1" pivotButton="0" quotePrefix="0" xfId="0">
      <alignment vertical="center"/>
    </xf>
    <xf numFmtId="0" fontId="126" fillId="0" borderId="5" applyAlignment="1" pivotButton="0" quotePrefix="0" xfId="0">
      <alignment vertical="center"/>
    </xf>
    <xf numFmtId="0" fontId="200" fillId="0" borderId="5" applyAlignment="1" pivotButton="0" quotePrefix="0" xfId="0">
      <alignment vertical="center"/>
    </xf>
    <xf numFmtId="0" fontId="66" fillId="0" borderId="5" applyAlignment="1" pivotButton="0" quotePrefix="0" xfId="0">
      <alignment vertical="center"/>
    </xf>
    <xf numFmtId="49" fontId="26" fillId="0" borderId="19" applyAlignment="1" pivotButton="0" quotePrefix="0" xfId="0">
      <alignment horizontal="center" vertical="center"/>
    </xf>
    <xf numFmtId="0" fontId="26" fillId="18" borderId="1" applyAlignment="1" pivotButton="0" quotePrefix="0" xfId="0">
      <alignment vertical="center"/>
    </xf>
    <xf numFmtId="0" fontId="201" fillId="0" borderId="5" applyAlignment="1" pivotButton="0" quotePrefix="0" xfId="0">
      <alignment vertical="center"/>
    </xf>
    <xf numFmtId="0" fontId="201" fillId="0" borderId="5" applyAlignment="1" pivotButton="0" quotePrefix="0" xfId="0">
      <alignment vertical="center"/>
    </xf>
    <xf numFmtId="0" fontId="66" fillId="0" borderId="5" applyAlignment="1" pivotButton="0" quotePrefix="0" xfId="0">
      <alignment vertical="center"/>
    </xf>
    <xf numFmtId="0" fontId="66" fillId="0" borderId="5" applyAlignment="1" pivotButton="0" quotePrefix="0" xfId="0">
      <alignment vertical="center"/>
    </xf>
    <xf numFmtId="164" fontId="10" fillId="18" borderId="1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202" fillId="0" borderId="0" applyAlignment="1" pivotButton="0" quotePrefix="0" xfId="0">
      <alignment vertical="center"/>
    </xf>
    <xf numFmtId="0" fontId="126" fillId="36" borderId="5" applyAlignment="1" pivotButton="0" quotePrefix="0" xfId="0">
      <alignment vertical="center"/>
    </xf>
    <xf numFmtId="0" fontId="126" fillId="34" borderId="5" applyAlignment="1" pivotButton="0" quotePrefix="0" xfId="0">
      <alignment vertical="center"/>
    </xf>
    <xf numFmtId="0" fontId="203" fillId="0" borderId="0" applyAlignment="1" pivotButton="0" quotePrefix="0" xfId="0">
      <alignment vertical="center"/>
    </xf>
    <xf numFmtId="0" fontId="66" fillId="0" borderId="1" applyAlignment="1" pivotButton="0" quotePrefix="0" xfId="0">
      <alignment vertical="center"/>
    </xf>
    <xf numFmtId="0" fontId="126" fillId="0" borderId="5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26" fillId="0" borderId="1" applyAlignment="1" pivotButton="0" quotePrefix="0" xfId="0">
      <alignment horizontal="left" vertical="center"/>
    </xf>
    <xf numFmtId="0" fontId="204" fillId="0" borderId="0" applyAlignment="1" pivotButton="0" quotePrefix="0" xfId="0">
      <alignment vertical="center"/>
    </xf>
    <xf numFmtId="0" fontId="126" fillId="0" borderId="5" applyAlignment="1" pivotButton="0" quotePrefix="0" xfId="0">
      <alignment vertical="center"/>
    </xf>
    <xf numFmtId="164" fontId="10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126" fillId="0" borderId="5" applyAlignment="1" pivotButton="0" quotePrefix="0" xfId="0">
      <alignment vertical="center"/>
    </xf>
    <xf numFmtId="0" fontId="66" fillId="0" borderId="5" applyAlignment="1" pivotButton="0" quotePrefix="0" xfId="0">
      <alignment vertical="center"/>
    </xf>
    <xf numFmtId="0" fontId="26" fillId="0" borderId="5" applyAlignment="1" pivotButton="0" quotePrefix="0" xfId="0">
      <alignment vertical="center"/>
    </xf>
    <xf numFmtId="170" fontId="22" fillId="4" borderId="12" applyAlignment="1" pivotButton="0" quotePrefix="0" xfId="0">
      <alignment horizontal="right" vertical="center"/>
    </xf>
    <xf numFmtId="49" fontId="26" fillId="0" borderId="19" applyAlignment="1" pivotButton="0" quotePrefix="0" xfId="0">
      <alignment vertical="center"/>
    </xf>
    <xf numFmtId="9" fontId="167" fillId="0" borderId="5" applyAlignment="1" pivotButton="0" quotePrefix="0" xfId="0">
      <alignment vertical="center"/>
    </xf>
    <xf numFmtId="0" fontId="26" fillId="0" borderId="5" applyAlignment="1" pivotButton="0" quotePrefix="0" xfId="0">
      <alignment vertical="center"/>
    </xf>
    <xf numFmtId="10" fontId="26" fillId="0" borderId="5" applyAlignment="1" pivotButton="0" quotePrefix="0" xfId="0">
      <alignment vertical="center"/>
    </xf>
    <xf numFmtId="165" fontId="4" fillId="23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126" fillId="0" borderId="5" applyAlignment="1" pivotButton="0" quotePrefix="0" xfId="0">
      <alignment horizontal="left"/>
    </xf>
    <xf numFmtId="0" fontId="66" fillId="0" borderId="5" pivotButton="0" quotePrefix="0" xfId="0"/>
    <xf numFmtId="0" fontId="26" fillId="0" borderId="5" pivotButton="0" quotePrefix="0" xfId="0"/>
    <xf numFmtId="0" fontId="167" fillId="0" borderId="5" pivotButton="0" quotePrefix="0" xfId="0"/>
    <xf numFmtId="0" fontId="26" fillId="23" borderId="1" pivotButton="0" quotePrefix="0" xfId="0"/>
    <xf numFmtId="0" fontId="26" fillId="2" borderId="1" pivotButton="0" quotePrefix="0" xfId="0"/>
    <xf numFmtId="0" fontId="26" fillId="0" borderId="12" pivotButton="0" quotePrefix="0" xfId="0"/>
    <xf numFmtId="0" fontId="26" fillId="0" borderId="19" applyAlignment="1" pivotButton="0" quotePrefix="0" xfId="0">
      <alignment horizontal="center"/>
    </xf>
    <xf numFmtId="0" fontId="66" fillId="0" borderId="25" pivotButton="0" quotePrefix="0" xfId="0"/>
    <xf numFmtId="0" fontId="26" fillId="0" borderId="25" pivotButton="0" quotePrefix="0" xfId="0"/>
    <xf numFmtId="0" fontId="167" fillId="0" borderId="25" pivotButton="0" quotePrefix="0" xfId="0"/>
    <xf numFmtId="0" fontId="26" fillId="0" borderId="14" pivotButton="0" quotePrefix="0" xfId="0"/>
    <xf numFmtId="0" fontId="26" fillId="23" borderId="14" pivotButton="0" quotePrefix="0" xfId="0"/>
    <xf numFmtId="0" fontId="26" fillId="2" borderId="14" pivotButton="0" quotePrefix="0" xfId="0"/>
    <xf numFmtId="0" fontId="26" fillId="0" borderId="26" pivotButton="0" quotePrefix="0" xfId="0"/>
    <xf numFmtId="0" fontId="141" fillId="3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05" fillId="0" borderId="0" applyAlignment="1" pivotButton="0" quotePrefix="0" xfId="0">
      <alignment horizontal="center" vertical="center"/>
    </xf>
    <xf numFmtId="0" fontId="205" fillId="0" borderId="0" applyAlignment="1" pivotButton="0" quotePrefix="0" xfId="0">
      <alignment horizontal="center" vertical="center"/>
    </xf>
    <xf numFmtId="0" fontId="206" fillId="4" borderId="1" applyAlignment="1" pivotButton="0" quotePrefix="0" xfId="0">
      <alignment vertical="center"/>
    </xf>
    <xf numFmtId="164" fontId="10" fillId="6" borderId="1" applyAlignment="1" pivotButton="0" quotePrefix="0" xfId="0">
      <alignment vertical="center"/>
    </xf>
    <xf numFmtId="10" fontId="10" fillId="6" borderId="1" applyAlignment="1" pivotButton="0" quotePrefix="0" xfId="0">
      <alignment vertical="center"/>
    </xf>
    <xf numFmtId="164" fontId="10" fillId="11" borderId="1" applyAlignment="1" pivotButton="0" quotePrefix="0" xfId="0">
      <alignment horizontal="right" vertical="center"/>
    </xf>
    <xf numFmtId="10" fontId="10" fillId="11" borderId="1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171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vertical="center"/>
    </xf>
    <xf numFmtId="164" fontId="5" fillId="11" borderId="1" applyAlignment="1" pivotButton="0" quotePrefix="0" xfId="0">
      <alignment horizontal="right" vertical="center"/>
    </xf>
    <xf numFmtId="10" fontId="5" fillId="11" borderId="1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71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07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49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49" fontId="12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207" fillId="0" borderId="1" pivotButton="0" quotePrefix="0" xfId="0"/>
    <xf numFmtId="0" fontId="207" fillId="0" borderId="1" applyAlignment="1" pivotButton="0" quotePrefix="0" xfId="0">
      <alignment horizontal="right"/>
    </xf>
    <xf numFmtId="0" fontId="207" fillId="0" borderId="1" applyAlignment="1" pivotButton="0" quotePrefix="0" xfId="0">
      <alignment horizontal="center"/>
    </xf>
    <xf numFmtId="0" fontId="207" fillId="0" borderId="0" pivotButton="0" quotePrefix="0" xfId="0"/>
    <xf numFmtId="0" fontId="26" fillId="17" borderId="0" pivotButton="0" quotePrefix="0" xfId="0"/>
    <xf numFmtId="49" fontId="75" fillId="37" borderId="1" applyAlignment="1" pivotButton="0" quotePrefix="0" xfId="0">
      <alignment horizontal="center" vertical="center"/>
    </xf>
    <xf numFmtId="49" fontId="26" fillId="37" borderId="1" applyAlignment="1" pivotButton="0" quotePrefix="0" xfId="0">
      <alignment horizontal="center" vertical="center"/>
    </xf>
    <xf numFmtId="0" fontId="75" fillId="37" borderId="1" applyAlignment="1" pivotButton="0" quotePrefix="0" xfId="0">
      <alignment horizontal="center" vertical="center" wrapText="1"/>
    </xf>
    <xf numFmtId="0" fontId="75" fillId="37" borderId="1" applyAlignment="1" pivotButton="0" quotePrefix="0" xfId="0">
      <alignment horizontal="center" vertical="center"/>
    </xf>
    <xf numFmtId="0" fontId="77" fillId="37" borderId="1" applyAlignment="1" pivotButton="0" quotePrefix="0" xfId="0">
      <alignment horizontal="center" vertical="center"/>
    </xf>
    <xf numFmtId="0" fontId="77" fillId="37" borderId="1" applyAlignment="1" pivotButton="0" quotePrefix="0" xfId="0">
      <alignment horizontal="center" vertical="center" wrapText="1"/>
    </xf>
    <xf numFmtId="49" fontId="26" fillId="37" borderId="0" applyAlignment="1" pivotButton="0" quotePrefix="0" xfId="0">
      <alignment horizontal="left" vertical="center"/>
    </xf>
    <xf numFmtId="0" fontId="26" fillId="37" borderId="1" applyAlignment="1" pivotButton="0" quotePrefix="0" xfId="0">
      <alignment horizontal="left" vertical="center"/>
    </xf>
    <xf numFmtId="0" fontId="26" fillId="37" borderId="1" applyAlignment="1" pivotButton="0" quotePrefix="0" xfId="0">
      <alignment horizontal="center" vertical="center"/>
    </xf>
    <xf numFmtId="0" fontId="26" fillId="37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4" fontId="155" fillId="23" borderId="1" applyAlignment="1" pivotButton="0" quotePrefix="0" xfId="0">
      <alignment horizontal="center" vertical="center"/>
    </xf>
    <xf numFmtId="165" fontId="155" fillId="31" borderId="1" applyAlignment="1" pivotButton="0" quotePrefix="0" xfId="0">
      <alignment horizontal="center" vertical="center"/>
    </xf>
    <xf numFmtId="164" fontId="155" fillId="38" borderId="1" applyAlignment="1" pivotButton="0" quotePrefix="0" xfId="0">
      <alignment horizontal="center" vertical="center"/>
    </xf>
    <xf numFmtId="165" fontId="4" fillId="31" borderId="1" applyAlignment="1" pivotButton="0" quotePrefix="0" xfId="0">
      <alignment vertical="center"/>
    </xf>
    <xf numFmtId="10" fontId="5" fillId="0" borderId="1" applyAlignment="1" pivotButton="0" quotePrefix="0" xfId="0">
      <alignment vertical="center"/>
    </xf>
    <xf numFmtId="0" fontId="208" fillId="31" borderId="1" applyAlignment="1" pivotButton="0" quotePrefix="0" xfId="0">
      <alignment vertical="center"/>
    </xf>
    <xf numFmtId="165" fontId="15" fillId="23" borderId="1" applyAlignment="1" pivotButton="0" quotePrefix="0" xfId="0">
      <alignment vertical="center"/>
    </xf>
    <xf numFmtId="49" fontId="26" fillId="0" borderId="1" applyAlignment="1" pivotButton="0" quotePrefix="0" xfId="0">
      <alignment vertical="center"/>
    </xf>
    <xf numFmtId="0" fontId="19" fillId="0" borderId="0" applyAlignment="1" pivotButton="0" quotePrefix="0" xfId="0">
      <alignment horizontal="center"/>
    </xf>
    <xf numFmtId="164" fontId="209" fillId="39" borderId="1" applyAlignment="1" pivotButton="0" quotePrefix="0" xfId="0">
      <alignment horizontal="center" vertical="center"/>
    </xf>
    <xf numFmtId="49" fontId="26" fillId="0" borderId="0" applyAlignment="1" pivotButton="0" quotePrefix="0" xfId="0">
      <alignment vertical="center"/>
    </xf>
    <xf numFmtId="164" fontId="209" fillId="18" borderId="1" applyAlignment="1" pivotButton="0" quotePrefix="0" xfId="0">
      <alignment horizontal="center" vertical="center"/>
    </xf>
    <xf numFmtId="0" fontId="10" fillId="23" borderId="1" applyAlignment="1" pivotButton="0" quotePrefix="0" xfId="0">
      <alignment vertical="center"/>
    </xf>
    <xf numFmtId="164" fontId="209" fillId="38" borderId="1" applyAlignment="1" pivotButton="0" quotePrefix="0" xfId="0">
      <alignment horizontal="center" vertical="center"/>
    </xf>
    <xf numFmtId="49" fontId="26" fillId="2" borderId="1" applyAlignment="1" pivotButton="0" quotePrefix="0" xfId="0">
      <alignment vertical="center"/>
    </xf>
    <xf numFmtId="0" fontId="26" fillId="2" borderId="1" applyAlignment="1" pivotButton="0" quotePrefix="0" xfId="0">
      <alignment vertical="center"/>
    </xf>
    <xf numFmtId="165" fontId="26" fillId="31" borderId="1" applyAlignment="1" pivotButton="0" quotePrefix="0" xfId="0">
      <alignment vertical="center"/>
    </xf>
    <xf numFmtId="0" fontId="210" fillId="31" borderId="1" applyAlignment="1" pivotButton="0" quotePrefix="0" xfId="0">
      <alignment vertical="center"/>
    </xf>
    <xf numFmtId="165" fontId="15" fillId="23" borderId="1" applyAlignment="1" pivotButton="0" quotePrefix="0" xfId="0">
      <alignment horizontal="right" vertical="center"/>
    </xf>
    <xf numFmtId="49" fontId="26" fillId="30" borderId="1" applyAlignment="1" pivotButton="0" quotePrefix="0" xfId="0">
      <alignment vertical="center"/>
    </xf>
    <xf numFmtId="0" fontId="26" fillId="30" borderId="1" applyAlignment="1" pivotButton="0" quotePrefix="0" xfId="0">
      <alignment vertical="center"/>
    </xf>
    <xf numFmtId="0" fontId="26" fillId="30" borderId="1" applyAlignment="1" pivotButton="0" quotePrefix="0" xfId="0">
      <alignment vertical="center"/>
    </xf>
    <xf numFmtId="164" fontId="209" fillId="0" borderId="1" applyAlignment="1" pivotButton="0" quotePrefix="0" xfId="0">
      <alignment horizontal="center" vertical="center"/>
    </xf>
    <xf numFmtId="164" fontId="209" fillId="2" borderId="1" applyAlignment="1" pivotButton="0" quotePrefix="0" xfId="0">
      <alignment horizontal="center" vertical="center"/>
    </xf>
    <xf numFmtId="0" fontId="208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5" fontId="15" fillId="0" borderId="1" applyAlignment="1" pivotButton="0" quotePrefix="0" xfId="0">
      <alignment horizontal="right" vertical="center"/>
    </xf>
    <xf numFmtId="164" fontId="209" fillId="0" borderId="1" applyAlignment="1" pivotButton="0" quotePrefix="0" xfId="0">
      <alignment horizontal="center" vertical="center"/>
    </xf>
    <xf numFmtId="164" fontId="121" fillId="2" borderId="1" applyAlignment="1" pivotButton="0" quotePrefix="0" xfId="0">
      <alignment horizontal="center" vertical="center"/>
    </xf>
    <xf numFmtId="0" fontId="26" fillId="23" borderId="1" applyAlignment="1" pivotButton="0" quotePrefix="0" xfId="0">
      <alignment vertical="center"/>
    </xf>
    <xf numFmtId="165" fontId="26" fillId="23" borderId="1" applyAlignment="1" pivotButton="0" quotePrefix="0" xfId="0">
      <alignment vertical="center"/>
    </xf>
    <xf numFmtId="164" fontId="26" fillId="2" borderId="1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165" fontId="63" fillId="23" borderId="1" applyAlignment="1" pivotButton="0" quotePrefix="0" xfId="0">
      <alignment vertical="center"/>
    </xf>
    <xf numFmtId="164" fontId="209" fillId="2" borderId="1" applyAlignment="1" pivotButton="0" quotePrefix="0" xfId="0">
      <alignment horizontal="center" vertical="center"/>
    </xf>
    <xf numFmtId="0" fontId="26" fillId="23" borderId="1" applyAlignment="1" pivotButton="0" quotePrefix="0" xfId="0">
      <alignment vertical="center"/>
    </xf>
    <xf numFmtId="10" fontId="126" fillId="0" borderId="1" applyAlignment="1" pivotButton="0" quotePrefix="0" xfId="0">
      <alignment vertical="center"/>
    </xf>
    <xf numFmtId="0" fontId="211" fillId="31" borderId="1" applyAlignment="1" pivotButton="0" quotePrefix="0" xfId="0">
      <alignment vertical="center"/>
    </xf>
    <xf numFmtId="165" fontId="121" fillId="31" borderId="1" applyAlignment="1" pivotButton="0" quotePrefix="0" xfId="0">
      <alignment horizontal="center" vertical="center"/>
    </xf>
    <xf numFmtId="164" fontId="121" fillId="23" borderId="1" applyAlignment="1" pivotButton="0" quotePrefix="0" xfId="0">
      <alignment horizontal="center" vertical="center"/>
    </xf>
    <xf numFmtId="164" fontId="121" fillId="23" borderId="1" applyAlignment="1" pivotButton="0" quotePrefix="0" xfId="0">
      <alignment horizontal="center" vertical="center"/>
    </xf>
    <xf numFmtId="165" fontId="121" fillId="31" borderId="1" applyAlignment="1" pivotButton="0" quotePrefix="0" xfId="0">
      <alignment horizontal="center" vertical="center"/>
    </xf>
    <xf numFmtId="165" fontId="44" fillId="0" borderId="1" applyAlignment="1" pivotButton="0" quotePrefix="0" xfId="0">
      <alignment horizontal="right" vertical="center"/>
    </xf>
    <xf numFmtId="10" fontId="22" fillId="0" borderId="1" applyAlignment="1" pivotButton="0" quotePrefix="0" xfId="0">
      <alignment vertical="center"/>
    </xf>
    <xf numFmtId="0" fontId="212" fillId="4" borderId="0" pivotButton="0" quotePrefix="0" xfId="0"/>
    <xf numFmtId="0" fontId="26" fillId="0" borderId="14" applyAlignment="1" pivotButton="0" quotePrefix="0" xfId="0">
      <alignment horizontal="center"/>
    </xf>
    <xf numFmtId="16" fontId="4" fillId="0" borderId="0" pivotButton="0" quotePrefix="0" xfId="0"/>
    <xf numFmtId="165" fontId="4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1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72" fontId="19" fillId="0" borderId="0" pivotButton="0" quotePrefix="0" xfId="0"/>
    <xf numFmtId="0" fontId="19" fillId="0" borderId="0" applyAlignment="1" pivotButton="0" quotePrefix="0" xfId="0">
      <alignment vertical="center"/>
    </xf>
    <xf numFmtId="0" fontId="26" fillId="0" borderId="15" applyAlignment="1" pivotButton="0" quotePrefix="0" xfId="0">
      <alignment horizontal="center" vertical="center"/>
    </xf>
    <xf numFmtId="0" fontId="26" fillId="0" borderId="15" applyAlignment="1" pivotButton="0" quotePrefix="0" xfId="0">
      <alignment horizontal="center" vertical="center"/>
    </xf>
    <xf numFmtId="0" fontId="26" fillId="0" borderId="15" applyAlignment="1" pivotButton="0" quotePrefix="0" xfId="0">
      <alignment horizontal="center"/>
    </xf>
    <xf numFmtId="0" fontId="26" fillId="0" borderId="16" applyAlignment="1" pivotButton="0" quotePrefix="0" xfId="0">
      <alignment horizontal="center"/>
    </xf>
    <xf numFmtId="0" fontId="213" fillId="0" borderId="1" applyAlignment="1" pivotButton="0" quotePrefix="0" xfId="0">
      <alignment vertical="bottom"/>
    </xf>
    <xf numFmtId="0" fontId="214" fillId="0" borderId="1" applyAlignment="1" pivotButton="0" quotePrefix="0" xfId="0">
      <alignment vertical="bottom"/>
    </xf>
    <xf numFmtId="164" fontId="140" fillId="4" borderId="0" applyAlignment="1" pivotButton="0" quotePrefix="0" xfId="0">
      <alignment horizontal="left"/>
    </xf>
    <xf numFmtId="2" fontId="214" fillId="40" borderId="1" applyAlignment="1" pivotButton="0" quotePrefix="0" xfId="0">
      <alignment vertical="bottom"/>
    </xf>
    <xf numFmtId="0" fontId="214" fillId="0" borderId="1" applyAlignment="1" pivotButton="0" quotePrefix="0" xfId="0">
      <alignment horizontal="right" vertical="bottom"/>
    </xf>
    <xf numFmtId="2" fontId="214" fillId="2" borderId="1" applyAlignment="1" pivotButton="0" quotePrefix="0" xfId="0">
      <alignment vertical="bottom"/>
    </xf>
    <xf numFmtId="2" fontId="215" fillId="0" borderId="1" pivotButton="0" quotePrefix="0" xfId="0"/>
    <xf numFmtId="0" fontId="0" fillId="0" borderId="0" pivotButton="0" quotePrefix="0" xfId="0"/>
    <xf numFmtId="0" fontId="147" fillId="26" borderId="1" applyAlignment="1" pivotButton="0" quotePrefix="0" xfId="0">
      <alignment horizontal="center"/>
    </xf>
    <xf numFmtId="0" fontId="0" fillId="0" borderId="13" pivotButton="0" quotePrefix="0" xfId="0"/>
    <xf numFmtId="0" fontId="0" fillId="0" borderId="5" pivotButton="0" quotePrefix="0" xfId="0"/>
    <xf numFmtId="0" fontId="141" fillId="27" borderId="1" applyAlignment="1" pivotButton="0" quotePrefix="0" xfId="0">
      <alignment horizontal="center"/>
    </xf>
    <xf numFmtId="0" fontId="147" fillId="30" borderId="1" applyAlignment="1" pivotButton="0" quotePrefix="0" xfId="0">
      <alignment horizontal="center"/>
    </xf>
    <xf numFmtId="0" fontId="216" fillId="41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42" borderId="0" applyAlignment="1" pivotButton="0" quotePrefix="0" xfId="0">
      <alignment vertical="center"/>
    </xf>
    <xf numFmtId="0" fontId="0" fillId="43" borderId="0" applyAlignment="1" pivotButton="0" quotePrefix="0" xfId="0">
      <alignment vertical="center" wrapText="1"/>
    </xf>
    <xf numFmtId="0" fontId="0" fillId="44" borderId="0" applyAlignment="1" pivotButton="0" quotePrefix="0" xfId="0">
      <alignment vertical="center"/>
    </xf>
    <xf numFmtId="0" fontId="218" fillId="44" borderId="0" applyAlignment="1" pivotButton="0" quotePrefix="0" xfId="0">
      <alignment vertical="center" wrapText="1"/>
    </xf>
    <xf numFmtId="0" fontId="0" fillId="43" borderId="0" applyAlignment="1" pivotButton="0" quotePrefix="0" xfId="0">
      <alignment vertical="center"/>
    </xf>
    <xf numFmtId="0" fontId="0" fillId="45" borderId="0" applyAlignment="1" pivotButton="0" quotePrefix="0" xfId="0">
      <alignment vertical="center"/>
    </xf>
    <xf numFmtId="0" fontId="0" fillId="46" borderId="0" applyAlignment="1" pivotButton="0" quotePrefix="0" xfId="0">
      <alignment vertical="center"/>
    </xf>
    <xf numFmtId="0" fontId="219" fillId="46" borderId="0" applyAlignment="1" pivotButton="0" quotePrefix="0" xfId="0">
      <alignment vertical="center" wrapText="1"/>
    </xf>
    <xf numFmtId="0" fontId="21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2" borderId="0" applyAlignment="1" pivotButton="0" quotePrefix="0" xfId="0">
      <alignment vertical="center"/>
    </xf>
    <xf numFmtId="0" fontId="220" fillId="42" borderId="0" applyAlignment="1" pivotButton="0" quotePrefix="0" xfId="0">
      <alignment vertical="center" wrapText="1"/>
    </xf>
    <xf numFmtId="0" fontId="0" fillId="43" borderId="0" applyAlignment="1" pivotButton="0" quotePrefix="0" xfId="0">
      <alignment vertical="center"/>
    </xf>
    <xf numFmtId="0" fontId="221" fillId="43" borderId="0" applyAlignment="1" pivotButton="0" quotePrefix="0" xfId="0">
      <alignment vertical="center" wrapText="1"/>
    </xf>
    <xf numFmtId="0" fontId="0" fillId="44" borderId="0" applyAlignment="1" pivotButton="0" quotePrefix="0" xfId="0">
      <alignment vertical="center"/>
    </xf>
    <xf numFmtId="0" fontId="0" fillId="45" borderId="0" applyAlignment="1" pivotButton="0" quotePrefix="0" xfId="0">
      <alignment vertical="center"/>
    </xf>
    <xf numFmtId="0" fontId="0" fillId="46" borderId="0" applyAlignment="1" pivotButton="0" quotePrefix="0" xfId="0">
      <alignment vertical="center"/>
    </xf>
    <xf numFmtId="0" fontId="21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2" borderId="0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0" fillId="44" borderId="0" applyAlignment="1" pivotButton="0" quotePrefix="0" xfId="0">
      <alignment vertical="center"/>
    </xf>
    <xf numFmtId="0" fontId="0" fillId="45" borderId="0" applyAlignment="1" pivotButton="0" quotePrefix="0" xfId="0">
      <alignment vertical="center"/>
    </xf>
    <xf numFmtId="0" fontId="0" fillId="46" borderId="0" applyAlignment="1" pivotButton="0" quotePrefix="0" xfId="0">
      <alignment vertical="center"/>
    </xf>
  </cellXfs>
  <cellStyles count="1">
    <cellStyle name="Normal" xfId="0" builtinId="0"/>
  </cellStyles>
  <dxfs count="22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CCCC"/>
          <bgColor rgb="FFCCCCCC"/>
        </patternFill>
      </fill>
      <border/>
    </dxf>
    <dxf>
      <font>
        <color rgb="FF990000"/>
      </font>
      <fill>
        <patternFill/>
      </fill>
      <border/>
    </dxf>
    <dxf>
      <font>
        <color rgb="FF196B24"/>
      </font>
      <fill>
        <patternFill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9C0006"/>
      </font>
      <fill>
        <patternFill/>
      </fill>
      <border/>
    </dxf>
    <dxf>
      <font>
        <color rgb="FF38761D"/>
      </font>
      <fill>
        <patternFill/>
      </fill>
      <border/>
    </dxf>
    <dxf>
      <font>
        <color rgb="FFCC0000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AF2C"/>
          <bgColor rgb="FFFFAF2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84000"/>
          <bgColor rgb="FFC84000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>
        <color rgb="FF6AA84F"/>
      </font>
      <fill>
        <patternFill/>
      </fill>
      <border/>
    </dxf>
    <dxf>
      <font>
        <color rgb="FFFF0000"/>
      </font>
      <fill>
        <patternFill/>
      </fill>
      <border/>
    </dxf>
  </dxfs>
  <tableStyles count="11" defaultTableStyle="TableStyleMedium9" defaultPivotStyle="PivotStyleLight16">
    <tableStyle name="Curva 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urva B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urva C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L BOUW-style" pivot="0" count="4">
      <tableStyleElement type="headerRow" dxfId="16"/>
      <tableStyleElement type="firstRowStripe" dxfId="2"/>
      <tableStyleElement type="secondRowStripe" dxfId="17"/>
      <tableStyleElement type="wholeTable" size="0" dxfId="4"/>
    </tableStyle>
    <tableStyle name="Estoque Antig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opee 2.0-style" pivot="0" count="4">
      <tableStyleElement type="headerRow" dxfId="18"/>
      <tableStyleElement type="firstRowStripe" dxfId="2"/>
      <tableStyleElement type="secondRowStripe" dxfId="17"/>
      <tableStyleElement type="wholeTable" size="0" dxfId="4"/>
    </tableStyle>
    <tableStyle name="Shopee 2.0-style 2" pivot="0" count="2">
      <tableStyleElement type="firstRowStripe" dxfId="17"/>
      <tableStyleElement type="secondRowStripe" dxfId="2"/>
    </tableStyle>
    <tableStyle name="Shopee 2.0-style 3" pivot="0" count="2">
      <tableStyleElement type="firstRowStripe" dxfId="17"/>
      <tableStyleElement type="secondRowStripe" dxfId="2"/>
    </tableStyle>
    <tableStyle name="Cresciment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ik Tok Shop-style" pivot="0" count="4">
      <tableStyleElement type="headerRow" dxfId="19"/>
      <tableStyleElement type="firstRowStripe" dxfId="2"/>
      <tableStyleElement type="secondRowStripe" dxfId="17"/>
      <tableStyleElement type="wholeTable" size="0" dxfId="4"/>
    </tableStyle>
    <tableStyle name="Reposição Estoque Santo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tc={01fc563b-4c30-4ae5-aa9d-425b4d148da9}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 NA NF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G353" authorId="0" shapeId="0">
      <text>
        <t>⚠️ O cliente pagará 10 reais de frete</t>
      </text>
    </comment>
    <comment ref="G354" authorId="0" shapeId="0">
      <text>
        <t>⚠️ O cliente pagará 10 reais de frete</t>
      </text>
    </comment>
    <comment ref="G355" authorId="0" shapeId="0">
      <text>
        <t>⚠️ O cliente pagará 10 reais de frete</t>
      </text>
    </comment>
    <comment ref="G356" authorId="0" shapeId="0">
      <text>
        <t>⚠️ O cliente pagará 10 reais de frete</t>
      </text>
    </comment>
    <comment ref="G357" authorId="0" shapeId="0">
      <text>
        <t>⚠️ O cliente pagará 10 reais de frete</t>
      </text>
    </comment>
    <comment ref="G358" authorId="0" shapeId="0">
      <text>
        <t>⚠️ O cliente pagará 10 reais de frete</t>
      </text>
    </comment>
    <comment ref="G360" authorId="0" shapeId="0">
      <text>
        <t>⚠️ O cliente pagará 10 reais de frete</t>
      </text>
    </comment>
    <comment ref="G361" authorId="0" shapeId="0">
      <text>
        <t>⚠️ O cliente pagará 10 reais de frete</t>
      </text>
    </comment>
    <comment ref="G362" authorId="0" shapeId="0">
      <text>
        <t>⚠️ O cliente pagará 10 reais de frete</t>
      </text>
    </comment>
    <comment ref="G363" authorId="0" shapeId="0">
      <text>
        <t>⚠️ O cliente pagará 10 reais de frete</t>
      </text>
    </comment>
    <comment ref="G364" authorId="0" shapeId="0">
      <text>
        <t>⚠️ O cliente pagará 10 reais de frete</t>
      </text>
    </comment>
    <comment ref="G365" authorId="0" shapeId="0">
      <text>
        <t>⚠️ O cliente pagará 10 reais de frete</t>
      </text>
    </comment>
    <comment ref="G366" authorId="0" shapeId="0">
      <text>
        <t>⚠️ O cliente pagará 10 reais de frete</t>
      </text>
    </comment>
    <comment ref="G367" authorId="0" shapeId="0">
      <text>
        <t>⚠️ O cliente pagará 10 reais de frete</t>
      </text>
    </comment>
    <comment ref="G368" authorId="0" shapeId="0">
      <text>
        <t>⚠️ O cliente pagará 10 reais de frete</t>
      </text>
    </comment>
    <comment ref="G369" authorId="0" shapeId="0">
      <text>
        <t>⚠️ O cliente pagará 10 reais de frete</t>
      </text>
    </comment>
    <comment ref="G370" authorId="0" shapeId="0">
      <text>
        <t>⚠️ O cliente pagará 10 reais de frete</t>
      </text>
    </comment>
    <comment ref="G371" authorId="0" shapeId="0">
      <text>
        <t>⚠️ O cliente pagará 10 reais de frete</t>
      </text>
    </comment>
    <comment ref="G372" authorId="0" shapeId="0">
      <text>
        <t>⚠️ O cliente pagará 10 reais de frete</t>
      </text>
    </comment>
    <comment ref="G373" authorId="0" shapeId="0">
      <text>
        <t>⚠️ O cliente pagará 10 reais de frete</t>
      </text>
    </comment>
    <comment ref="G374" authorId="0" shapeId="0">
      <text>
        <t>⚠️ O cliente pagará 10 reais de frete</t>
      </text>
    </comment>
    <comment ref="G375" authorId="0" shapeId="0">
      <text>
        <t>⚠️ O cliente pagará 10 reais de frete</t>
      </text>
    </comment>
    <comment ref="G376" authorId="0" shapeId="0">
      <text>
        <t>⚠️ O cliente pagará 10 reais de frete</t>
      </text>
    </comment>
    <comment ref="G377" authorId="0" shapeId="0">
      <text>
        <t>⚠️ O cliente pagará 10 reais de frete</t>
      </text>
    </comment>
    <comment ref="G378" authorId="0" shapeId="0">
      <text>
        <t>⚠️ O cliente pagará 10 reais de frete</t>
      </text>
    </comment>
    <comment ref="G379" authorId="0" shapeId="0">
      <text>
        <t>⚠️ O cliente pagará 10 reais de frete</t>
      </text>
    </comment>
    <comment ref="G380" authorId="0" shapeId="0">
      <text>
        <t>⚠️ O cliente pagará 10 reais de frete</t>
      </text>
    </comment>
    <comment ref="G381" authorId="0" shapeId="0">
      <text>
        <t>⚠️ O cliente pagará 10 reais de frete</t>
      </text>
    </comment>
    <comment ref="G382" authorId="0" shapeId="0">
      <text>
        <t>⚠️ O cliente pagará 10 reais de frete</t>
      </text>
    </comment>
    <comment ref="G383" authorId="0" shapeId="0">
      <text>
        <t>⚠️ O cliente pagará 10 reais de frete</t>
      </text>
    </comment>
    <comment ref="G384" authorId="0" shapeId="0">
      <text>
        <t>⚠️ O cliente pagará 10 reais de frete</t>
      </text>
    </comment>
    <comment ref="G385" authorId="0" shapeId="0">
      <text>
        <t>⚠️ O cliente pagará 10 reais de frete</t>
      </text>
    </comment>
    <comment ref="G386" authorId="0" shapeId="0">
      <text>
        <t>⚠️ O cliente pagará 10 reais de frete</t>
      </text>
    </comment>
    <comment ref="G387" authorId="0" shapeId="0">
      <text>
        <t>⚠️ O cliente pagará 10 reais de frete</t>
      </text>
    </comment>
    <comment ref="G388" authorId="0" shapeId="0">
      <text>
        <t>⚠️ O cliente pagará 10 reais de frete</t>
      </text>
    </comment>
    <comment ref="G389" authorId="0" shapeId="0">
      <text>
        <t>⚠️ O cliente pagará 10 reais de frete</t>
      </text>
    </comment>
    <comment ref="G390" authorId="0" shapeId="0">
      <text>
        <t>⚠️ O cliente pagará 10 reais de frete</t>
      </text>
    </comment>
    <comment ref="G391" authorId="0" shapeId="0">
      <text>
        <t>⚠️ O cliente pagará 10 reais de frete</t>
      </text>
    </comment>
    <comment ref="G392" authorId="0" shapeId="0">
      <text>
        <t>⚠️ O cliente pagará 10 reais de frete</t>
      </text>
    </comment>
    <comment ref="G393" authorId="0" shapeId="0">
      <text>
        <t>⚠️ O cliente pagará 10 reais de frete</t>
      </text>
    </comment>
    <comment ref="G394" authorId="0" shapeId="0">
      <text>
        <t>⚠️ O cliente pagará 10 reais de frete</t>
      </text>
    </comment>
    <comment ref="G395" authorId="0" shapeId="0">
      <text>
        <t>⚠️ O cliente pagará 10 reais de frete</t>
      </text>
    </comment>
    <comment ref="G396" authorId="0" shapeId="0">
      <text>
        <t>⚠️ O cliente pagará 10 reais de frete</t>
      </text>
    </comment>
    <comment ref="G397" authorId="0" shapeId="0">
      <text>
        <t>⚠️ O cliente pagará 10 reais de frete</t>
      </text>
    </comment>
    <comment ref="G398" authorId="0" shapeId="0">
      <text>
        <t>⚠️ O cliente pagará 10 reais de frete</t>
      </text>
    </comment>
    <comment ref="G399" authorId="0" shapeId="0">
      <text>
        <t>⚠️ O cliente pagará 10 reais de frete</t>
      </text>
    </comment>
    <comment ref="G400" authorId="0" shapeId="0">
      <text>
        <t>⚠️ O cliente pagará 10 reais de frete</t>
      </text>
    </comment>
    <comment ref="G401" authorId="0" shapeId="0">
      <text>
        <t>⚠️ O cliente pagará 10 reais de frete</t>
      </text>
    </comment>
    <comment ref="G402" authorId="0" shapeId="0">
      <text>
        <t>⚠️ O cliente pagará 10 reais de frete</t>
      </text>
    </comment>
    <comment ref="G403" authorId="0" shapeId="0">
      <text>
        <t>⚠️ O cliente pagará 10 reais de frete</t>
      </text>
    </comment>
    <comment ref="G404" authorId="0" shapeId="0">
      <text>
        <t>⚠️ O cliente pagará 10 reais de frete</t>
      </text>
    </comment>
    <comment ref="G405" authorId="0" shapeId="0">
      <text>
        <t>⚠️ O cliente pagará 10 reais de frete</t>
      </text>
    </comment>
    <comment ref="G406" authorId="0" shapeId="0">
      <text>
        <t>⚠️ O cliente pagará 10 reais de frete</t>
      </text>
    </comment>
    <comment ref="G407" authorId="0" shapeId="0">
      <text>
        <t>⚠️ O cliente pagará 10 reais de frete</t>
      </text>
    </comment>
    <comment ref="G408" authorId="0" shapeId="0">
      <text>
        <t>⚠️ O cliente pagará 10 reais de frete</t>
      </text>
    </comment>
    <comment ref="G409" authorId="0" shapeId="0">
      <text>
        <t>⚠️ O cliente pagará 10 reais de frete</t>
      </text>
    </comment>
    <comment ref="G410" authorId="0" shapeId="0">
      <text>
        <t>⚠️ O cliente pagará 10 reais de frete</t>
      </text>
    </comment>
    <comment ref="G411" authorId="0" shapeId="0">
      <text>
        <t>⚠️ O cliente pagará 10 reais de frete</t>
      </text>
    </comment>
    <comment ref="G412" authorId="0" shapeId="0">
      <text>
        <t>⚠️ O cliente pagará 10 reais de frete</t>
      </text>
    </comment>
    <comment ref="G413" authorId="0" shapeId="0">
      <text>
        <t>⚠️ O cliente pagará 10 reais de frete</t>
      </text>
    </comment>
    <comment ref="G414" authorId="0" shapeId="0">
      <text>
        <t>⚠️ O cliente pagará 10 reais de frete</t>
      </text>
    </comment>
    <comment ref="G415" authorId="0" shapeId="0">
      <text>
        <t>⚠️ O cliente pagará 10 reais de frete</t>
      </text>
    </comment>
    <comment ref="G416" authorId="0" shapeId="0">
      <text>
        <t>⚠️ O cliente pagará 10 reais de frete</t>
      </text>
    </comment>
    <comment ref="G417" authorId="0" shapeId="0">
      <text>
        <t>⚠️ O cliente pagará 10 reais de frete</t>
      </text>
    </comment>
    <comment ref="G418" authorId="0" shapeId="0">
      <text>
        <t>⚠️ O cliente pagará 10 reais de frete</t>
      </text>
    </comment>
    <comment ref="G419" authorId="0" shapeId="0">
      <text>
        <t>⚠️ O cliente pagará 10 reais de frete</t>
      </text>
    </comment>
    <comment ref="G420" authorId="0" shapeId="0">
      <text>
        <t>⚠️ O cliente pagará 10 reais de frete</t>
      </text>
    </comment>
    <comment ref="G421" authorId="0" shapeId="0">
      <text>
        <t>⚠️ O cliente pagará 10 reais de frete</t>
      </text>
    </comment>
    <comment ref="G422" authorId="0" shapeId="0">
      <text>
        <t>⚠️ O cliente pagará 10 reais de frete</t>
      </text>
    </comment>
    <comment ref="G423" authorId="0" shapeId="0">
      <text>
        <t>⚠️ O cliente pagará 10 reais de frete</t>
      </text>
    </comment>
    <comment ref="G424" authorId="0" shapeId="0">
      <text>
        <t>⚠️ O cliente pagará 10 reais de frete</t>
      </text>
    </comment>
    <comment ref="G425" authorId="0" shapeId="0">
      <text>
        <t>⚠️ O cliente pagará 10 reais de frete</t>
      </text>
    </comment>
    <comment ref="G426" authorId="0" shapeId="0">
      <text>
        <t>⚠️ O cliente pagará 10 reais de frete</t>
      </text>
    </comment>
    <comment ref="G427" authorId="0" shapeId="0">
      <text>
        <t>⚠️ O cliente pagará 10 reais de frete</t>
      </text>
    </comment>
    <comment ref="G428" authorId="0" shapeId="0">
      <text>
        <t>⚠️ O cliente pagará 10 reais de frete</t>
      </text>
    </comment>
    <comment ref="G429" authorId="0" shapeId="0">
      <text>
        <t>⚠️ O cliente pagará 10 reais de frete</t>
      </text>
    </comment>
    <comment ref="G430" authorId="0" shapeId="0">
      <text>
        <t>⚠️ O cliente pagará 10 reais de frete</t>
      </text>
    </comment>
    <comment ref="G431" authorId="0" shapeId="0">
      <text>
        <t>⚠️ O cliente pagará 10 reais de frete</t>
      </text>
    </comment>
    <comment ref="G432" authorId="0" shapeId="0">
      <text>
        <t>⚠️ O cliente pagará 10 reais de frete</t>
      </text>
    </comment>
    <comment ref="G433" authorId="0" shapeId="0">
      <text>
        <t>⚠️ O cliente pagará 10 reais de frete</t>
      </text>
    </comment>
    <comment ref="G434" authorId="0" shapeId="0">
      <text>
        <t>⚠️ O cliente pagará 10 reais de frete</t>
      </text>
    </comment>
    <comment ref="G435" authorId="0" shapeId="0">
      <text>
        <t>⚠️ O cliente pagará 10 reais de frete</t>
      </text>
    </comment>
    <comment ref="G436" authorId="0" shapeId="0">
      <text>
        <t>⚠️ O cliente pagará 10 reais de frete</t>
      </text>
    </comment>
    <comment ref="G437" authorId="0" shapeId="0">
      <text>
        <t>⚠️ O cliente pagará 10 reais de frete</t>
      </text>
    </comment>
    <comment ref="G438" authorId="0" shapeId="0">
      <text>
        <t>⚠️ O cliente pagará 10 reais de frete</t>
      </text>
    </comment>
    <comment ref="G439" authorId="0" shapeId="0">
      <text>
        <t>⚠️ O cliente pagará 10 reais de frete</t>
      </text>
    </comment>
  </commentList>
</comments>
</file>

<file path=xl/comments/comment3.xml><?xml version="1.0" encoding="utf-8"?>
<comments xmlns="http://schemas.openxmlformats.org/spreadsheetml/2006/main">
  <authors>
    <author>tc={f18b1e8e-82f8-4ff8-a050-fa7b787442cb}</author>
    <author>tc={79b35ae0-691b-43e4-b0b7-09f5266c610a}</author>
    <author>None</author>
    <author>tc={75f8fe49-cece-4bb7-8dfb-f573839a48a1}</author>
    <author>tc={093a484f-a67a-4434-b41e-4e8ca04768ce}</author>
    <author>tc={7257ed9f-8ad9-4259-a990-d3cd22872ddc}</author>
    <author>tc={c3b413ab-71b7-40a7-804a-1dde20daa117}</author>
    <author>tc={8097e937-2a42-43ca-a782-b67fbbea9e72}</author>
    <author>tc={8a58d75c-0d1d-40e2-a46e-96e0b0b9a306}</author>
    <author>tc={494f2969-6a44-443d-978a-ae7b3e43a7f9}</author>
    <author>tc={31fef209-b5b8-48a5-8e02-c65aead7a409}</author>
    <author>tc={ed139684-bde0-462b-a666-c8cab5363122}</author>
    <author>tc={368a42c0-7320-426f-affa-6952316a34fb}</author>
    <author>tc={056f8b27-f4cd-4bd2-8d02-d4da6b6967d6}</author>
    <author>tc={371ca54d-7b0c-49f5-928b-6e0a559573da}</author>
    <author>tc={28f05793-6e4d-4954-bacf-e8b6462a64cb}</author>
    <author>tc={e16dbe09-17a9-42fb-9556-5aa48a05bc3c}</author>
    <author>tc={1d74ef45-4c05-4768-ae0a-722ef5ab38db}</author>
    <author>tc={fb698d19-b196-4c2a-bff4-0c5b63a04d18}</author>
    <author>tc={6a6fd06d-f5de-4e1e-9e19-4af8af2e6168}</author>
    <author>tc={5f7ea48b-855d-4f6b-a2e6-971db453aa02}</author>
    <author>tc={953848b6-e94b-4640-8966-08773236b9e9}</author>
    <author>tc={0f198cd4-ff05-48f3-b328-a6cfdb2e7214}</author>
    <author>tc={17b59384-58c0-49d8-b6dc-d7f56756b953}</author>
    <author>tc={959e3cf8-e71a-42a5-91e7-9804295d5717}</author>
    <author>tc={60e43d5c-00cd-4271-b25b-b73338e4f2f2}</author>
    <author>tc={0690e9aa-e4dc-493e-8ff4-1b424953ac9c}</author>
    <author>tc={8e8c2d95-71e8-486e-b856-f16355e019df}</author>
    <author>tc={dd107f53-82aa-4288-ade4-5ca094db0e78}</author>
    <author>tc={b7cc9949-f27e-422f-b520-08b59ae7c208}</author>
  </authors>
  <commentList>
    <comment ref="G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Amarelo = Clássico
Azul = Premium
</t>
      </text>
    </comment>
    <comment ref="H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redução de tarifa (rebate)
</t>
      </text>
    </comment>
    <comment ref="F15" authorId="2" shapeId="0">
      <text>
        <t>⚠️ O cliente pagará 10 reais de frete</t>
      </text>
    </comment>
    <comment ref="F19" authorId="2" shapeId="0">
      <text>
        <t>⚠️ O cliente pagará 10 reais de frete</t>
      </text>
    </comment>
    <comment ref="O23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NF nao apresenta créditos
</t>
      </text>
    </comment>
    <comment ref="O56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acho que nao é esse
</t>
      </text>
    </comment>
    <comment ref="O66" authorId="2" shapeId="0">
      <text>
        <t xml:space="preserve">SEM NF
</t>
      </text>
    </comment>
    <comment ref="O69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custo é 0,01 na NF entao deixei a 1,00
</t>
      </text>
    </comment>
    <comment ref="O72" authorId="2" shapeId="0">
      <text>
        <t>confirmado com carlinhos 36,65</t>
      </text>
    </comment>
    <comment ref="O87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considerei o segundo valor, 10,58 ao invés de 9,00
</t>
      </text>
    </comment>
    <comment ref="F110" authorId="2" shapeId="0">
      <text>
        <t>⚠️ O cliente pagará 10 reais de frete</t>
      </text>
    </comment>
    <comment ref="O112" authorId="2" shapeId="0">
      <text>
        <t>Sem NF</t>
      </text>
    </comment>
    <comment ref="O141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Ultima nota foi a 166,49. Se adotar esse preço, nao vamos vende tão cedo
</t>
      </text>
    </comment>
    <comment ref="O163" authorId="2" shapeId="0">
      <text>
        <t>isento de ICMS e PIS E COFINS</t>
      </text>
    </comment>
    <comment ref="O174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o plug n achei a NF
</t>
      </text>
    </comment>
    <comment ref="F213" authorId="2" shapeId="0">
      <text>
        <t>⚠️ O cliente pagará 10 reais de frete</t>
      </text>
    </comment>
    <comment ref="O224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preço registrado na OSTEN
</t>
      </text>
    </comment>
    <comment ref="O247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usei preço médio já que nao encontrei a nf
</t>
      </text>
    </comment>
    <comment ref="F290" authorId="2" shapeId="0">
      <text>
        <t>⚠️ O cliente pagará 10 reais de frete</t>
      </text>
    </comment>
    <comment ref="O323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NF nao encontrada
</t>
      </text>
    </comment>
    <comment ref="O325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Nao encontrei a NF entao usei o valor que já estava aqui para calcular os créditos
</t>
      </text>
    </comment>
    <comment ref="O340" authorId="2" shapeId="0">
      <text>
        <t>sem NF</t>
      </text>
    </comment>
    <comment ref="O341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NF nao encontrada
</t>
      </text>
    </comment>
    <comment ref="O344" authorId="2" shapeId="0">
      <text>
        <t>361702 NF encontrada</t>
      </text>
    </comment>
    <comment ref="O351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Preço baseado em fornecedoras
</t>
      </text>
    </comment>
    <comment ref="O356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NF
</t>
      </text>
    </comment>
    <comment ref="F394" authorId="2" shapeId="0">
      <text>
        <t>⚠️ O cliente pagará 10 reais de frete</t>
      </text>
    </comment>
    <comment ref="O407" authorId="1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nf
</t>
      </text>
    </comment>
    <comment ref="O418" authorId="2" shapeId="0">
      <text>
        <t xml:space="preserve">preço de custo médio, NF nao encontrada
</t>
      </text>
    </comment>
    <comment ref="O419" authorId="2" shapeId="0">
      <text>
        <t>preço de custo médio, NF nao encontrada</t>
      </text>
    </comment>
    <comment ref="O428" authorId="1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Preço da Osten
</t>
      </text>
    </comment>
    <comment ref="O429" authorId="1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Preço da Osten
</t>
      </text>
    </comment>
    <comment ref="F440" authorId="2" shapeId="0">
      <text>
        <t>⚠️ O cliente pagará 10 reais de frete</t>
      </text>
    </comment>
    <comment ref="O463" authorId="1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NF
Reply:
	095431
Data emissão
29/11/2024
</t>
      </text>
    </comment>
    <comment ref="F473" authorId="2" shapeId="0">
      <text>
        <t>⚠️ O cliente pagará 10 reais de frete</t>
      </text>
    </comment>
    <comment ref="O497" authorId="2" shapeId="0">
      <text>
        <t xml:space="preserve">utilizando preço médio, NF nao encontrada
</t>
      </text>
    </comment>
    <comment ref="O506" authorId="2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 encontrada 205920
</t>
      </text>
    </comment>
    <comment ref="F514" authorId="2" shapeId="0">
      <text>
        <t>⚠️ O cliente pagará 10 reais de frete</t>
      </text>
    </comment>
    <comment ref="F517" authorId="2" shapeId="0">
      <text>
        <t>⚠️ O cliente pagará 10 reais de frete</t>
      </text>
    </comment>
    <comment ref="F523" authorId="2" shapeId="0">
      <text>
        <t>⚠️ O cliente pagará 10 reais de frete</t>
      </text>
    </comment>
    <comment ref="F526" authorId="2" shapeId="0">
      <text>
        <t>⚠️ O cliente pagará 10 reais de frete</t>
      </text>
    </comment>
    <comment ref="F547" authorId="2" shapeId="0">
      <text>
        <t>⚠️ O cliente pagará 10 reais de frete</t>
      </text>
    </comment>
    <comment ref="O552" authorId="2" shapeId="0">
      <text>
        <t xml:space="preserve">sem ICMS está como "simples"
</t>
      </text>
    </comment>
    <comment ref="F558" authorId="2" shapeId="0">
      <text>
        <t>⚠️ O cliente pagará 10 reais de frete</t>
      </text>
    </comment>
    <comment ref="O558" authorId="2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NF nao encontrada
</t>
      </text>
    </comment>
    <comment ref="O572" authorId="2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comprado na shopee
</t>
      </text>
    </comment>
    <comment ref="F573" authorId="2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 cupom de 5%
</t>
      </text>
    </comment>
    <comment ref="O575" authorId="2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pis e cofins de simples nacional
</t>
      </text>
    </comment>
    <comment ref="O579" authorId="2" shapeId="0">
      <text>
        <t>361702 NF encontrada</t>
      </text>
    </comment>
    <comment ref="O580" authorId="2" shapeId="0">
      <text>
        <t>361702 NF encontrada</t>
      </text>
    </comment>
    <comment ref="O581" authorId="2" shapeId="0">
      <text>
        <t>361702 NF encontrada</t>
      </text>
    </comment>
    <comment ref="O584" authorId="2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NF
</t>
      </text>
    </comment>
    <comment ref="O591" authorId="2" shapeId="0">
      <text>
        <t>NF 487918</t>
      </text>
    </comment>
    <comment ref="O594" authorId="2" shapeId="0">
      <text>
        <t>possui ICMS-ST</t>
      </text>
    </comment>
    <comment ref="O608" authorId="2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NF nao encontrada
Reply:
	ERRO NA NF
</t>
      </text>
    </comment>
    <comment ref="F615" authorId="2" shapeId="0">
      <text>
        <t>⚠️ O cliente pagará 10 reais de frete</t>
      </text>
    </comment>
    <comment ref="O624" authorId="2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nf nao apresenta PIS IPI COFFINS ICMS
</t>
      </text>
    </comment>
    <comment ref="O643" authorId="2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PIS E COFINS
</t>
      </text>
    </comment>
    <comment ref="F656" authorId="2" shapeId="0">
      <text>
        <t>⚠️ O cliente pagará 10 reais de frete</t>
      </text>
    </comment>
    <comment ref="O676" authorId="2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nao encontrei NF
</t>
      </text>
    </comment>
  </commentList>
</comments>
</file>

<file path=xl/comments/comment4.xml><?xml version="1.0" encoding="utf-8"?>
<comments xmlns="http://schemas.openxmlformats.org/spreadsheetml/2006/main">
  <authors>
    <author>tc={2d3c9067-e82c-47bf-a137-eb204779a178}</author>
    <author>tc={e0746025-8473-4342-9ce6-34e83c0ad87b}</author>
    <author>tc={e1ccb172-dae1-472e-9846-cb49c7244547}</author>
    <author>tc={438fcde2-bd73-40cb-b2f9-6168af48afc0}</author>
    <author>tc={a8adc056-0a6b-4ce1-b8ea-b9fa74782ad9}</author>
  </authors>
  <commentList>
    <comment ref="G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essa coluna será útil qnd o produto estiver em campanha de destaque, terá um adicional de 2%, então só editar para 20
</t>
      </text>
    </comment>
    <comment ref="H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comissão 18% em porcentagem sob o valor de venda + desconto (cupom)
</t>
      </text>
    </comment>
    <comment ref="I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transação (2%) + 4 por item
</t>
      </text>
    </comment>
    <comment ref="J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adicional (3,5)
</t>
      </text>
    </comment>
    <comment ref="P1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unitário
</t>
      </text>
    </comment>
  </commentList>
</comments>
</file>

<file path=xl/tables/table1.xml><?xml version="1.0" encoding="utf-8"?>
<table xmlns="http://schemas.openxmlformats.org/spreadsheetml/2006/main" id="1" name="Tabela_1" displayName="Tabela_1" ref="A1:AF65" headerRowCount="1">
  <autoFilter ref="$A$1:$AF$65"/>
  <tableColumns count="32">
    <tableColumn id="1" name="ID"/>
    <tableColumn id="2" name="SKU"/>
    <tableColumn id="3" name="Categoria"/>
    <tableColumn id="4" name="items"/>
    <tableColumn id="5" name="Valor base"/>
    <tableColumn id="6" name="Valor de Venda"/>
    <tableColumn id="7" name="Taxa"/>
    <tableColumn id="8" name="RT"/>
    <tableColumn id="9" name="Frete"/>
    <tableColumn id="10" name="ICMS (18%)"/>
    <tableColumn id="11" name="PIS (1,65%)"/>
    <tableColumn id="12" name="COFINS (7,6%)"/>
    <tableColumn id="13" name="Imposto Recuperável"/>
    <tableColumn id="14" name="crédito (Comissão + frete)"/>
    <tableColumn id="15" name="CUSTO"/>
    <tableColumn id="16" name="Lucro Líquido (Valor)"/>
    <tableColumn id="17" name="Lucro Líquido (%)"/>
    <tableColumn id="18" name="Status"/>
    <tableColumn id="19" name="obs"/>
    <tableColumn id="20" name="Coluna 1"/>
    <tableColumn id="21" name="Coluna 2"/>
    <tableColumn id="22" name="Coluna 3"/>
    <tableColumn id="23" name="Coluna 4"/>
    <tableColumn id="24" name="Coluna 5"/>
    <tableColumn id="25" name="Coluna 6"/>
    <tableColumn id="26" name="Coluna 7"/>
    <tableColumn id="27" name="Coluna 8"/>
    <tableColumn id="28" name="Coluna 9"/>
    <tableColumn id="29" name="Coluna 10"/>
    <tableColumn id="30" name="Coluna 11"/>
    <tableColumn id="31" name="Coluna 12"/>
    <tableColumn id="32" name="Coluna 13"/>
  </tableColumns>
  <tableStyleInfo name="Curva A-style" showFirstColumn="1" showLastColumn="1" showRowStripes="1" showColumnStripes="0"/>
</table>
</file>

<file path=xl/tables/table2.xml><?xml version="1.0" encoding="utf-8"?>
<table xmlns="http://schemas.openxmlformats.org/spreadsheetml/2006/main" id="2" name="Tabela_2" displayName="Tabela_2" ref="A1:S72" headerRowCount="1">
  <tableColumns count="19">
    <tableColumn id="1" name="id"/>
    <tableColumn id="2" name="SKU"/>
    <tableColumn id="3" name="Categoria"/>
    <tableColumn id="4" name="items"/>
    <tableColumn id="5" name="Valor base"/>
    <tableColumn id="6" name="Valor de Venda"/>
    <tableColumn id="7" name="Taxa"/>
    <tableColumn id="8" name="RT"/>
    <tableColumn id="9" name="Frete"/>
    <tableColumn id="10" name="ICMS (18%)"/>
    <tableColumn id="11" name="PIS (1,65%)"/>
    <tableColumn id="12" name="COFINS (7,6%)"/>
    <tableColumn id="13" name="Imposto Recuperável"/>
    <tableColumn id="14" name="créditos Comissão + frete"/>
    <tableColumn id="15" name="CUSTO"/>
    <tableColumn id="16" name="Lucro Líquido (Valor)"/>
    <tableColumn id="17" name="Lucro Líquido (%)"/>
    <tableColumn id="18" name="Status"/>
    <tableColumn id="19" name="obs"/>
  </tableColumns>
  <tableStyleInfo name="Curva B-style" showFirstColumn="1" showLastColumn="1" showRowStripes="1" showColumnStripes="0"/>
</table>
</file>

<file path=xl/tables/table3.xml><?xml version="1.0" encoding="utf-8"?>
<table xmlns="http://schemas.openxmlformats.org/spreadsheetml/2006/main" id="3" name="Tabela_5" displayName="Tabela_5" ref="A1:R439" headerRowCount="1">
  <tableColumns count="18">
    <tableColumn id="1" name="velc"/>
    <tableColumn id="2" name="SKU"/>
    <tableColumn id="3" name="Categoria"/>
    <tableColumn id="4" name="items"/>
    <tableColumn id="5" name="Preço Base"/>
    <tableColumn id="6" name="Valor de Venda"/>
    <tableColumn id="7" name="Taxa"/>
    <tableColumn id="8" name="RT"/>
    <tableColumn id="9" name="Frete"/>
    <tableColumn id="10" name="ICMS (18%)"/>
    <tableColumn id="11" name="PIS (1,65%)"/>
    <tableColumn id="12" name="COFINS (7,6%)"/>
    <tableColumn id="13" name="Imposto Recuperável"/>
    <tableColumn id="14" name="crédito comissão + frete"/>
    <tableColumn id="15" name="CUSTO"/>
    <tableColumn id="16" name="Lucro Líquido (Valor)"/>
    <tableColumn id="17" name="Lucro Líquido (%)"/>
    <tableColumn id="18" name="webwebwe"/>
  </tableColumns>
  <tableStyleInfo name="Curva C-style" showFirstColumn="1" showLastColumn="1" showRowStripes="1" showColumnStripes="0"/>
</table>
</file>

<file path=xl/tables/table4.xml><?xml version="1.0" encoding="utf-8"?>
<table xmlns="http://schemas.openxmlformats.org/spreadsheetml/2006/main" id="4" name="Mercado_Livre" displayName="Mercado_Livre" ref="A1:W1081" headerRowCount="1">
  <tableColumns count="23">
    <tableColumn id="1" name="velc"/>
    <tableColumn id="2" name="SKU"/>
    <tableColumn id="3" name="Categoria"/>
    <tableColumn id="4" name="items"/>
    <tableColumn id="5" name="Valor base"/>
    <tableColumn id="6" name="Valor de Venda"/>
    <tableColumn id="7" name="Taxa"/>
    <tableColumn id="8" name="RT"/>
    <tableColumn id="9" name="Frete"/>
    <tableColumn id="10" name="ICMS (18%)"/>
    <tableColumn id="11" name="PIS (1,65%)"/>
    <tableColumn id="12" name="COFINS (7,6%)"/>
    <tableColumn id="13" name="Imposto Recuperável"/>
    <tableColumn id="14" name="crédito comissão + frete"/>
    <tableColumn id="15" name="CUSTO"/>
    <tableColumn id="16" name="Lucro Líquido (Valor)"/>
    <tableColumn id="17" name="Lucro Líquido (%)"/>
    <tableColumn id="18" name="Status"/>
    <tableColumn id="19" name="obs"/>
    <tableColumn id="20" name="vendas"/>
    <tableColumn id="21" name="Coluna 1"/>
    <tableColumn id="22" name="Coluna 2"/>
    <tableColumn id="23" name="Coluna 3"/>
  </tableColumns>
  <tableStyleInfo name="ML BOUW-style" showFirstColumn="1" showLastColumn="1" showRowStripes="1" showColumnStripes="0"/>
</table>
</file>

<file path=xl/tables/table5.xml><?xml version="1.0" encoding="utf-8"?>
<table xmlns="http://schemas.openxmlformats.org/spreadsheetml/2006/main" id="5" name="Tabela_3" displayName="Tabela_3" ref="A1:I108" headerRowCount="1">
  <autoFilter ref="$A$1:$I$108"/>
  <tableColumns count="9">
    <tableColumn id="1" name="Nome"/>
    <tableColumn id="2" name="Variação"/>
    <tableColumn id="3" name="SKU"/>
    <tableColumn id="4" name="Depósito - Loja"/>
    <tableColumn id="5" name="Preço Original"/>
    <tableColumn id="6" name="Desconto"/>
    <tableColumn id="7" name="Full - Estoque"/>
    <tableColumn id="8" name="Custo"/>
    <tableColumn id="9" name="TIPO"/>
  </tableColumns>
  <tableStyleInfo name="Estoque Antigo-style" showFirstColumn="1" showLastColumn="1" showRowStripes="1" showColumnStripes="0"/>
</table>
</file>

<file path=xl/tables/table6.xml><?xml version="1.0" encoding="utf-8"?>
<table xmlns="http://schemas.openxmlformats.org/spreadsheetml/2006/main" id="6" name="Shopee_2" displayName="Shopee_2" ref="A1:T383" headerRowCount="1">
  <tableColumns count="20">
    <tableColumn id="1" name="SKU"/>
    <tableColumn id="2" name="Produto"/>
    <tableColumn id="3" name="Valor Base"/>
    <tableColumn id="4" name="Valor de Venda (PROMO)"/>
    <tableColumn id="5" name="Cupom"/>
    <tableColumn id="6" name="qnt"/>
    <tableColumn id="7" name="taxa de comissão"/>
    <tableColumn id="8" name="Taxa Comissão"/>
    <tableColumn id="9" name="taxa de transação"/>
    <tableColumn id="10" name="taxa adicional"/>
    <tableColumn id="11" name="ICMS 18%"/>
    <tableColumn id="12" name="PIS 1,65%"/>
    <tableColumn id="13" name="COFINS 7,6%"/>
    <tableColumn id="14" name="Crédito Comissão"/>
    <tableColumn id="15" name="Crédito Compra"/>
    <tableColumn id="16" name="Custo"/>
    <tableColumn id="17" name="Lucro Líquido (Valor)"/>
    <tableColumn id="18" name="Lucro Líquido (%)"/>
    <tableColumn id="19" name="OBS"/>
    <tableColumn id="20" name="Coluna 1"/>
  </tableColumns>
  <tableStyleInfo name="Shopee 2.0-style" showFirstColumn="1" showLastColumn="1" showRowStripes="1" showColumnStripes="0"/>
</table>
</file>

<file path=xl/tables/table7.xml><?xml version="1.0" encoding="utf-8"?>
<table xmlns="http://schemas.openxmlformats.org/spreadsheetml/2006/main" id="7" name="Table_1" displayName="Table_1" ref="W197:AG20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Shopee 2.0-style 2" showFirstColumn="1" showLastColumn="1" showRowStripes="1" showColumnStripes="0"/>
</table>
</file>

<file path=xl/tables/table8.xml><?xml version="1.0" encoding="utf-8"?>
<table xmlns="http://schemas.openxmlformats.org/spreadsheetml/2006/main" id="8" name="Table_2" displayName="Table_2" ref="W206:AG206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Shopee 2.0-style 3" showFirstColumn="1" showLastColumn="1" showRowStripes="1" showColumnStripes="0"/>
</table>
</file>

<file path=xl/tables/table9.xml><?xml version="1.0" encoding="utf-8"?>
<table xmlns="http://schemas.openxmlformats.org/spreadsheetml/2006/main" id="9" name="Tabela_4" displayName="Tabela_4" ref="A2:K20" headerRowCount="1">
  <tableColumns count="11">
    <tableColumn id="1" name="id"/>
    <tableColumn id="2" name="SKU"/>
    <tableColumn id="3" name="Coluna 3"/>
    <tableColumn id="4" name="preço clássico"/>
    <tableColumn id="5" name="margem clássico"/>
    <tableColumn id="6" name="preço premium"/>
    <tableColumn id="7" name="margem premium"/>
    <tableColumn id="8" name="vendas"/>
    <tableColumn id="9" name="data de verificacão"/>
    <tableColumn id="10" name="Curva"/>
    <tableColumn id="11" name="Coluna 1"/>
  </tableColumns>
  <tableStyleInfo name="Crescimento-style" showFirstColumn="1" showLastColumn="1" showRowStripes="1" showColumnStripes="0"/>
</table>
</file>

<file path=xl/tables/table10.xml><?xml version="1.0" encoding="utf-8"?>
<table xmlns="http://schemas.openxmlformats.org/spreadsheetml/2006/main" id="10" name="TikTop_Shop" displayName="TikTop_Shop" ref="A1:V510" headerRowCount="1">
  <tableColumns count="22">
    <tableColumn id="1" name="SKU"/>
    <tableColumn id="2" name="Categoria"/>
    <tableColumn id="3" name="itens"/>
    <tableColumn id="4" name="Comissão (6%) - SITE"/>
    <tableColumn id="5" name="Cupom/promoção"/>
    <tableColumn id="6" name="Cupom 5%"/>
    <tableColumn id="7" name="Preço Final"/>
    <tableColumn id="8" name="Frete"/>
    <tableColumn id="9" name="AFILIADOS(%)"/>
    <tableColumn id="10" name="AFILIADO"/>
    <tableColumn id="11" name="ICMS (18%)"/>
    <tableColumn id="12" name="PIS (1,65%)"/>
    <tableColumn id="13" name="COFINS (7,6%)"/>
    <tableColumn id="14" name="Imposto Recuperável'"/>
    <tableColumn id="15" name="CUSTO"/>
    <tableColumn id="16" name="Lucro Líquido (Valor)"/>
    <tableColumn id="17" name="Lucro S/ afiliados"/>
    <tableColumn id="18" name="Lucro AFiliados(%)"/>
    <tableColumn id="19" name="Envio"/>
    <tableColumn id="20" name="obs"/>
    <tableColumn id="21" name="vendas"/>
    <tableColumn id="22" name="Promoção Ativa"/>
  </tableColumns>
  <tableStyleInfo name="Tik Tok Shop-style" showFirstColumn="1" showLastColumn="1" showRowStripes="1" showColumnStripes="0"/>
</table>
</file>

<file path=xl/tables/table11.xml><?xml version="1.0" encoding="utf-8"?>
<table xmlns="http://schemas.openxmlformats.org/spreadsheetml/2006/main" id="11" name="Reposição" displayName="Reposição" ref="B2:D92" headerRowCount="1">
  <tableColumns count="3">
    <tableColumn id="1" name="item"/>
    <tableColumn id="2" name="sugestão envio"/>
    <tableColumn id="3" name="situação"/>
  </tableColumns>
  <tableStyleInfo name="Reposição Estoque Sant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ercadolivre.com.br/colete-refletivo-blusao-ziper-4-bolsos-faixa-refletiva-epi/up/MLBU4062523747?pdp_filters=item_id:MLB6928610426" TargetMode="External" Id="rId1" /><Relationship Type="http://schemas.openxmlformats.org/officeDocument/2006/relationships/hyperlink" Target="https://produto.mercadolivre.com.br/MLB-4254583547-bota-galocha-acqualev-cano-longo-bico-aco-forraco-interna-_JM" TargetMode="Externa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rcadolivre.com.br/conjunto-nr10-camisa-calca-reforcada-eletricista-anti-chamas/up/MLBU3979003255?pdp_filters=item_id:MLB6815448982" TargetMode="External" Id="rId1" /><Relationship Type="http://schemas.openxmlformats.org/officeDocument/2006/relationships/hyperlink" Target="https://produto.mercadolivre.com.br/MLB-3959944569-protetor-bloqueador-solar-nutriex-fps-60-2-litros-_JM" TargetMode="External" Id="rId2" /><Relationship Type="http://schemas.openxmlformats.org/officeDocument/2006/relationships/hyperlink" Target="https://produto.mercadolivre.com.br/MLB-4193793823-kit-shampoo-e-sabonete-liquido-kids-toy-story-banho-feliz-_JM" TargetMode="External" Id="rId3" /><Relationship Type="http://schemas.openxmlformats.org/officeDocument/2006/relationships/hyperlink" Target="https://produto.mercadolivre.com.br/MLB-4306924609-chumbador-jaqueta-cone-12-50mm-furo-19mm-cb-alvenaria-50pcs-_JM" TargetMode="External" Id="rId4" /><Relationship Type="http://schemas.openxmlformats.org/officeDocument/2006/relationships/table" Target="/xl/tables/table3.xml" Id="rId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produto.mercadolivre.com.br/MLB-3310866759-pino-liso-aco-indireta-14x28-c-arruela-conica-23mm-ancora-_JM" TargetMode="External" Id="rId1" /><Relationship Type="http://schemas.openxmlformats.org/officeDocument/2006/relationships/hyperlink" Target="https://www.mercadolivre.com.br/syi/core/modify?itemId=MLB3633227036&amp;callback_url=https%3A%2F%2Fwww.mercadolivre.com.br%2Fanuncios%2Flista%3Ffilters%3DOMNI_ACTIVE%257COMNI_INACTIVE%257CCHANNEL_NO_PROXIMITY_AND_NO_MP_MERCHANTS%26page%3D1%26sort%3DDEFAULT" TargetMode="External" Id="rId2" /><Relationship Type="http://schemas.openxmlformats.org/officeDocument/2006/relationships/hyperlink" Target="https://produto.mercadolivre.com.br/MLB-4276004799-kit-10-fincapino-calibre27-magazinado-amarelo-am27-c1000un-_JM" TargetMode="External" Id="rId3" /><Relationship Type="http://schemas.openxmlformats.org/officeDocument/2006/relationships/hyperlink" Target="https://www.mercadolivre.com.br/bota-botina-nobuck-couro-velcro-impermeavel-bico-pvc-com-ca/up/MLBU1675700399" TargetMode="External" Id="rId4" /><Relationship Type="http://schemas.openxmlformats.org/officeDocument/2006/relationships/hyperlink" Target="https://www.mercadolivre.com.br/bota-botina-couro-liso-nobuck-velcro-confortavel-premium-epi/up/MLBU4010197839?pdp_filters=item_id:MLB6850493604" TargetMode="External" Id="rId5" /><Relationship Type="http://schemas.openxmlformats.org/officeDocument/2006/relationships/hyperlink" Target="https://www.mercadolivre.com.br/syi/core/modify?itemId=MLB3351940369&amp;callback_url=https%3A%2F%2Fwww.mercadolivre.com.br%2Fanuncios%2Flista%3Ffilters%3DOMNI_ACTIVE%257COMNI_INACTIVE%257CCHANNEL_NO_PROXIMITY_AND_NO_MP_MERCHANTS%26page%3D1%26sort%3DDEFAULT" TargetMode="External" Id="rId6" /><Relationship Type="http://schemas.openxmlformats.org/officeDocument/2006/relationships/hyperlink" Target="https://produto.mercadolivre.com.br/MLB-2759814387-bota-de-seguranca-marluvas-vulcaflex-bico-de-pvc-ca-43377-_JM" TargetMode="External" Id="rId7" /><Relationship Type="http://schemas.openxmlformats.org/officeDocument/2006/relationships/hyperlink" Target="https://produto.mercadolivre.com.br/MLB-3330174933-abafador-ruido-protetor-auricular-auditivo-c200-camper-15db-_JM" TargetMode="External" Id="rId8" /><Relationship Type="http://schemas.openxmlformats.org/officeDocument/2006/relationships/hyperlink" Target="https://www.mercadolivre.com.br/syi/core/modify?itemId=MLB3873512292&amp;callback_url=https%3A%2F%2Fwww.mercadolivre.com.br%2Fanuncios%2Flista%3Ffilters%3DOMNI_ACTIVE%257COMNI_INACTIVE%257CCHANNEL_NO_PROXIMITY_AND_NO_MP_MERCHANTS%26page%3D1%26sort%3DDEFAULT" TargetMode="External" Id="rId9" /><Relationship Type="http://schemas.openxmlformats.org/officeDocument/2006/relationships/hyperlink" Target="https://www.mercadolivre.com.br/abafador-de-ruidos-auditivo-p-acoplar-capacete-camper-c-ca/up/MLBU1738303683" TargetMode="External" Id="rId10" /><Relationship Type="http://schemas.openxmlformats.org/officeDocument/2006/relationships/hyperlink" Target="https://www.mercadolivre.com.br/syi/core/modify?itemId=MLB4144680838&amp;callback_url=https%3A%2F%2Fwww.mercadolivre.com.br%2Fanuncios%2Flista%3Ffilters%3DOMNI_ACTIVE%257COMNI_INACTIVE%257CCHANNEL_NO_PROXIMITY_AND_NO_MP_MERCHANTS%26page%3D1%26sort%3DDEFAULT" TargetMode="External" Id="rId11" /><Relationship Type="http://schemas.openxmlformats.org/officeDocument/2006/relationships/hyperlink" Target="https://www.mercadolivre.com.br/syi/core/modify?itemId=MLB3436124575&amp;callback_url=https%3A%2F%2Fwww.mercadolivre.com.br%2Fanuncios%2Flista%3Ffilters%3DOMNI_ACTIVE%257COMNI_INACTIVE%257CCHANNEL_NO_PROXIMITY_AND_NO_MP_MERCHANTS%26page%3D1%26sort%3DDEFAULT" TargetMode="External" Id="rId12" /><Relationship Type="http://schemas.openxmlformats.org/officeDocument/2006/relationships/hyperlink" Target="https://produto.mercadolivre.com.br/MLB-4230473400-oculos-de-seguranca-incolor-summer-clear-delta-plus-_JM" TargetMode="External" Id="rId13" /><Relationship Type="http://schemas.openxmlformats.org/officeDocument/2006/relationships/hyperlink" Target="https://www.mercadolivre.com.br/syi/core/modify?itemId=MLB3398606239&amp;callback_url=https%3A%2F%2Fwww.mercadolivre.com.br%2Fanuncios%2Flista%3Ffilters%3DOMNI_ACTIVE%257COMNI_INACTIVE%257CCHANNEL_NO_PROXIMITY_AND_NO_MP_MERCHANTS%26page%3D1%26sort%3DDEFAULT" TargetMode="External" Id="rId14" /><Relationship Type="http://schemas.openxmlformats.org/officeDocument/2006/relationships/hyperlink" Target="https://produto.mercadolivre.com.br/MLB-3400215313-pino-liso-clip-cadeirinha-13mm-aco-indireta-14x28mm-100un-_JM" TargetMode="External" Id="rId15" /><Relationship Type="http://schemas.openxmlformats.org/officeDocument/2006/relationships/hyperlink" Target="https://www.mercadolivre.com.br/syi/core/modify?itemId=MLB3814214414&amp;callback_url=https%3A%2F%2Fwww.mercadolivre.com.br%2Fanuncios%2Flista%3Ffilters%3DOMNI_ACTIVE%257COMNI_INACTIVE%257CCHANNEL_NO_PROXIMITY_AND_NO_MP_MERCHANTS%26page%3D1%26sort%3DDEFAULT" TargetMode="External" Id="rId16" /><Relationship Type="http://schemas.openxmlformats.org/officeDocument/2006/relationships/hyperlink" Target="https://produto.mercadolivre.com.br/MLB-3253294579-kit-5-luva-de-latex-natural-e-neoprene-bicolor-volk-16779-_JM" TargetMode="External" Id="rId17" /><Relationship Type="http://schemas.openxmlformats.org/officeDocument/2006/relationships/hyperlink" Target="https://produto.mercadolivre.com.br/MLB-3253294579-kit-5-luva-de-latex-natural-e-neoprene-bicolor-volk-16779-_JM" TargetMode="External" Id="rId18" /><Relationship Type="http://schemas.openxmlformats.org/officeDocument/2006/relationships/hyperlink" Target="https://produto.mercadolivre.com.br/MLB-3295231772-kit-10-luva-de-latex-natural-e-neoprene-bicolor-volk-16779-_JM" TargetMode="External" Id="rId19" /><Relationship Type="http://schemas.openxmlformats.org/officeDocument/2006/relationships/hyperlink" Target="https://produto.mercadolivre.com.br/MLB-3532560898-luva-uso-geral-paisagismo-volk-orange-smart-ca46816-10-pares-_JM" TargetMode="External" Id="rId20" /><Relationship Type="http://schemas.openxmlformats.org/officeDocument/2006/relationships/hyperlink" Target="https://www.mercadolivre.com.br/luva-soldador-weld-master-alta-temperatura-ate-500c-41cm/up/MLBU1760709530" TargetMode="External" Id="rId21" /><Relationship Type="http://schemas.openxmlformats.org/officeDocument/2006/relationships/hyperlink" Target="https://produto.mercadolivre.com.br/MLB-3637835650-luva-mucambo-pro-157-latex-antiderrapante-reforcada-10un-_JM" TargetMode="External" Id="rId22" /><Relationship Type="http://schemas.openxmlformats.org/officeDocument/2006/relationships/hyperlink" Target="https://produto.mercadolivre.com.br/MLB-5376461500-protetor-auricular-abafador-ruido-26db-camper-confort-plus-cor-cinza-_JM" TargetMode="External" Id="rId23" /><Relationship Type="http://schemas.openxmlformats.org/officeDocument/2006/relationships/hyperlink" Target="https://produto.mercadolivre.com.br/MLB-3638405000-pistola-de-fixaco-aco-indireta-ancora-fai72n-brinde-_JM" TargetMode="External" Id="rId24" /><Relationship Type="http://schemas.openxmlformats.org/officeDocument/2006/relationships/hyperlink" Target="https://produto.mercadolivre.com.br/MLB-4041006461-pistola-fincapino-acao-indireta-calibre-27-ancora-fai-72n-_JM" TargetMode="External" Id="rId25" /><Relationship Type="http://schemas.openxmlformats.org/officeDocument/2006/relationships/hyperlink" Target="http://produto.mercadolivre.com.br/MLB-5846711552-kit-pistola-fai72n-indireta-cartucho-pino-arruela-cnica-_JM" TargetMode="External" Id="rId26" /><Relationship Type="http://schemas.openxmlformats.org/officeDocument/2006/relationships/hyperlink" Target="https://produto.mercadolivre.com.br/MLB-5897355500-pistola-fixaco-indireta-fai72n-pino-conico-e-fincapino-27-_JM" TargetMode="External" Id="rId27" /><Relationship Type="http://schemas.openxmlformats.org/officeDocument/2006/relationships/hyperlink" Target="https://produto.mercadolivre.com.br/MLB-3763296548-pistola-de-fixaco-pino-e-fincapino-indireta-ancora-fai72n-_JM" TargetMode="External" Id="rId28" /><Relationship Type="http://schemas.openxmlformats.org/officeDocument/2006/relationships/hyperlink" Target="https://www.mercadolivre.com.br/syi/core/modify?itemId=MLB4023701650&amp;callback_url=https%3A%2F%2Fwww.mercadolivre.com.br%2Fanuncios%2Flista%3Fpage%3D1" TargetMode="External" Id="rId29" /><Relationship Type="http://schemas.openxmlformats.org/officeDocument/2006/relationships/hyperlink" Target="https://www.mercadolivre.com.br/syi/core/modify?itemId=MLB3817324862&amp;callback_url=https%3A%2F%2Fwww.mercadolivre.com.br%2Fanuncios%2Flista%3Fpage%3D1" TargetMode="External" Id="rId30" /><Relationship Type="http://schemas.openxmlformats.org/officeDocument/2006/relationships/hyperlink" Target="https://produto.mercadolivre.com.br/MLB-3837714802-tela-amarraco-alvenaria-75cm-tel75-construfix-ancora-150un-_JM" TargetMode="External" Id="rId31" /><Relationship Type="http://schemas.openxmlformats.org/officeDocument/2006/relationships/hyperlink" Target="https://produto.mercadolivre.com.br/MLB-3402168633-tela-amarraco-alvenaria-ancora-12mm-x-50cm-x-6cm-c200un-_JM" TargetMode="External" Id="rId32" /><Relationship Type="http://schemas.openxmlformats.org/officeDocument/2006/relationships/hyperlink" Target="https://produto.mercadolivre.com.br/MLB-3459563729-tela-soldada-reforco-fachada-alvenaria-galvanizada-050x25m-_JM" TargetMode="External" Id="rId33" /><Relationship Type="http://schemas.openxmlformats.org/officeDocument/2006/relationships/hyperlink" Target="https://produto.mercadolivre.com.br/MLB-3346096201-macaco-proteco-pintura-quimico-impermeavel-c-capuz-volk-_JM" TargetMode="External" Id="rId34" /><Relationship Type="http://schemas.openxmlformats.org/officeDocument/2006/relationships/hyperlink" Target="https://produto.mercadolivre.com.br/MLB-5292250036-bota-manobreiro-metatarso-antiperfuro-composite-bidensidade-_JM" TargetMode="External" Id="rId35" /><Relationship Type="http://schemas.openxmlformats.org/officeDocument/2006/relationships/hyperlink" Target="https://produto.mercadolivre.com.br/MLB-3330254699-abafador-ruido-protetor-auricular-auditivo-camper-c200-10un-_JM" TargetMode="External" Id="rId36" /><Relationship Type="http://schemas.openxmlformats.org/officeDocument/2006/relationships/hyperlink" Target="https://produto.mercadolivre.com.br/MLB-3330228937-abafador-ruido-protetor-auricular-auditivo-camper-c200-5un-_JM" TargetMode="External" Id="rId37" /><Relationship Type="http://schemas.openxmlformats.org/officeDocument/2006/relationships/hyperlink" Target="https://produto.mercadolivre.com.br/MLB-4133849293-luva-sensi-black-nitrilica-descartavel-resistente-alimentos-_JM" TargetMode="External" Id="rId38" /><Relationship Type="http://schemas.openxmlformats.org/officeDocument/2006/relationships/hyperlink" Target="https://www.mercadolivre.com.br/syi/core/modify?itemId=MLB3456056484&amp;callback_url=https%3A%2F%2Fwww.mercadolivre.com.br%2Fanuncios%2Flista%3Fpage%3D2%26sort%3DDEFAULT" TargetMode="External" Id="rId39" /><Relationship Type="http://schemas.openxmlformats.org/officeDocument/2006/relationships/hyperlink" Target="https://produto.mercadolivre.com.br/MLB-3343225453-parafuso-drywall-gesso-ponta-agulha-gn35-walsywa-1000un-_JM" TargetMode="External" Id="rId40" /><Relationship Type="http://schemas.openxmlformats.org/officeDocument/2006/relationships/hyperlink" Target="https://produto.mercadolivre.com.br/MLB-5532087762-abafador-concha-interlagos2-antirruido-profissional-29-db-_JM" TargetMode="External" Id="rId41" /><Relationship Type="http://schemas.openxmlformats.org/officeDocument/2006/relationships/hyperlink" Target="https://produto.mercadolivre.com.br/MLB-4036430673-abracadeira-nylon-cinta-plastica-reforcada-72mmx40cm-100un-_JM" TargetMode="External" Id="rId42" /><Relationship Type="http://schemas.openxmlformats.org/officeDocument/2006/relationships/hyperlink" Target="https://www.mercadolivre.com.br/syi/core/modify?itemId=MLB5379297112&amp;callback_url=https%3A%2F%2Fwww.mercadolivre.com.br%2Fanuncios%2Flista%3Fpage%3D1%26search%3Dadesivo%26sort%3DDEFAULT" TargetMode="External" Id="rId43" /><Relationship Type="http://schemas.openxmlformats.org/officeDocument/2006/relationships/hyperlink" Target="https://produto.mercadolivre.com.br/MLB-5261257678-alicate-meia-cana-6-pol-irwin-profissional-vise-grip-1000v-_JM" TargetMode="External" Id="rId44" /><Relationship Type="http://schemas.openxmlformats.org/officeDocument/2006/relationships/hyperlink" Target="https://produto.mercadolivre.com.br/MLB-3943290653-alicate-universal-reforcado-eletricista-isolado-irwin-8-pol-_JM" TargetMode="External" Id="rId45" /><Relationship Type="http://schemas.openxmlformats.org/officeDocument/2006/relationships/hyperlink" Target="https://www.mercadolivre.com.br/syi/core/modify?itemId=MLB5261517282&amp;callback_url=https%3A%2F%2Fwww.mercadolivre.com.br%2Fanuncios%2Flista%3Fpage%3D1%26sort%3DCREATE_LAST" TargetMode="External" Id="rId46" /><Relationship Type="http://schemas.openxmlformats.org/officeDocument/2006/relationships/hyperlink" Target="https://produto.mercadolivre.com.br/MLB-4056490935-aplicador-chumbador-quimico-selante-silicone-apl300-brinde-_JM" TargetMode="External" Id="rId47" /><Relationship Type="http://schemas.openxmlformats.org/officeDocument/2006/relationships/hyperlink" Target="https://produto.mercadolivre.com.br/MLB-4048387055-aplicador-duplo-apl400-ancora-manual-profissional-epoxi400-_JM" TargetMode="External" Id="rId48" /><Relationship Type="http://schemas.openxmlformats.org/officeDocument/2006/relationships/hyperlink" Target="https://produto.mercadolivre.com.br/MLB-4134105843-arame-galvanizado-drywall-cercado-artesanato-bwg14-c-368m-_JM" TargetMode="External" Id="rId49" /><Relationship Type="http://schemas.openxmlformats.org/officeDocument/2006/relationships/hyperlink" Target="https://produto.mercadolivre.com.br/MLB-4143175933-abafador-ouvido-antirruido-acoplavel-capacete-universal-25db-_JM" TargetMode="External" Id="rId50" /><Relationship Type="http://schemas.openxmlformats.org/officeDocument/2006/relationships/hyperlink" Target="https://produto.mercadolivre.com.br/MLB-4135293235-capacete-seguranca-ultra-safe-pro-corazza-alpinista-resgate-_JM" TargetMode="External" Id="rId51" /><Relationship Type="http://schemas.openxmlformats.org/officeDocument/2006/relationships/hyperlink" Target="https://www.mercadolivre.com.br/bateria-de-litio-recarregavel-p-pistola-de-fixacao-fga850n/up/MLBU3343606552https://www.mercadolivre.com.br/bateria-de-litio-recarregavel-p-pistola-de-fixacao-fga850n/up/MLBU3343606552" TargetMode="External" Id="rId52" /><Relationship Type="http://schemas.openxmlformats.org/officeDocument/2006/relationships/hyperlink" Target="https://www.mercadolivre.com.br/syi/core/modify?itemId=MLB3946113239&amp;callback_url=https%3A%2F%2Fwww.mercadolivre.com.br%2Fanuncios%2Flista%3Ffilters%3DOMNI_ACTIVE%257COMNI_INACTIVE%257CCHANNEL_NO_PROXIMITY_AND_NO_MP_MERCHANTS%26page%3D3%26sort%3DDEFAULT" TargetMode="External" Id="rId53" /><Relationship Type="http://schemas.openxmlformats.org/officeDocument/2006/relationships/hyperlink" Target="https://www.mercadolivre.com.br/bota-galocha-borracha-pvc-supermax-cano-extra-longo-39cm/up/MLBU3887337724" TargetMode="External" Id="rId54" /><Relationship Type="http://schemas.openxmlformats.org/officeDocument/2006/relationships/hyperlink" Target="https://produto.mercadolivre.com.br/MLB-5321143910-bota-motosafe-motociclista-pvc-antiderrapante-motoboy-chuva-_JM" TargetMode="External" Id="rId55" /><Relationship Type="http://schemas.openxmlformats.org/officeDocument/2006/relationships/hyperlink" Target="https://produto.mercadolivre.com.br/MLB-5265695406-bota-pvc-antiderrapante-impermeavel-cano-longo-conforto-ca-_JM" TargetMode="External" Id="rId56" /><Relationship Type="http://schemas.openxmlformats.org/officeDocument/2006/relationships/hyperlink" Target="https://produto.mercadolivre.com.br/MLB-5265554188-bota-pvc-galocha-cano-medio-conforto-impermeavel-resistente-_JM" TargetMode="External" Id="rId57" /><Relationship Type="http://schemas.openxmlformats.org/officeDocument/2006/relationships/hyperlink" Target="https://www.mercadolivre.com.br/botina-tenis-detroit-pro-tridensidade-trabalho-seguranca-epi/up/MLBU3808534599?pdp_filters=item_id:MLB6303794694" TargetMode="External" Id="rId58" /><Relationship Type="http://schemas.openxmlformats.org/officeDocument/2006/relationships/hyperlink" Target="https://produto.mercadolivre.com.br/MLB-3946230911-botina-impermeavel-composite-antiperfurante-eletricista-cca-_JM" TargetMode="External" Id="rId59" /><Relationship Type="http://schemas.openxmlformats.org/officeDocument/2006/relationships/hyperlink" Target="https://produto.mercadolivre.com.br/MLB-5338840990-capacete-epi-seguranca-camper-carneira-e-jugular-cor-branco-_JM" TargetMode="External" Id="rId60" /><Relationship Type="http://schemas.openxmlformats.org/officeDocument/2006/relationships/hyperlink" Target="https://produto.mercadolivre.com.br/MLB-3990218859-capacete-de-seguranca-branco-jugular-obra-proteco-trabalho-_JM" TargetMode="External" Id="rId61" /><Relationship Type="http://schemas.openxmlformats.org/officeDocument/2006/relationships/hyperlink" Target="https://www.mercadolivre.com.br/kit-capacete-camper-avant--carneira--jugular-epi-seguranca/up/MLBU3858488639?pdp_filters=item_id:MLB6512912752" TargetMode="External" Id="rId62" /><Relationship Type="http://schemas.openxmlformats.org/officeDocument/2006/relationships/hyperlink" Target="https://produto.mercadolivre.com.br/MLB-5295816572-botina-londrina-bota-seguranca-amarrar-couro-nobuck-com-ca-_JM" TargetMode="External" Id="rId63" /><Relationship Type="http://schemas.openxmlformats.org/officeDocument/2006/relationships/hyperlink" Target="https://produto.mercadolivre.com.br/MLB-4549433040-capa-de-chuva-com-forro-soft-pvc-amarela-capuz-resistente-_JM" TargetMode="External" Id="rId64" /><Relationship Type="http://schemas.openxmlformats.org/officeDocument/2006/relationships/hyperlink" Target="https://produto.mercadolivre.com.br/MLB-2914359248-capa-de-chuva-forrada-trevira-amarela-resistente-impermeavel-_JM" TargetMode="External" Id="rId65" /><Relationship Type="http://schemas.openxmlformats.org/officeDocument/2006/relationships/hyperlink" Target="https://produto.mercadolivre.com.br/MLB-3775290531-capacete-c-suporte-e-jugular-abafador-ouvido-acoplar-18db-_JM" TargetMode="External" Id="rId66" /><Relationship Type="http://schemas.openxmlformats.org/officeDocument/2006/relationships/hyperlink" Target="https://produto.mercadolivre.com.br/MLB-3291642506-capacete-msa-v-gard-branco-engenheiro-push-key-jugular-_JM" TargetMode="External" Id="rId67" /><Relationship Type="http://schemas.openxmlformats.org/officeDocument/2006/relationships/hyperlink" Target="https://produto.mercadolivre.com.br/MLB-3952787167-capacete-seguranca-faixa-refletiva-carneira-e-jugular-epi-ca-_JM" TargetMode="External" Id="rId68" /><Relationship Type="http://schemas.openxmlformats.org/officeDocument/2006/relationships/hyperlink" Target="https://www.mercadolivre.com.br/kit-3-chumbador-pba-12-x-4-10cm-c-porca-e-arruela-parabolt/up/MLBU3826624612?pdp_filters=item_id:MLB6392028364" TargetMode="External" Id="rId69" /><Relationship Type="http://schemas.openxmlformats.org/officeDocument/2006/relationships/hyperlink" Target="https://produto.mercadolivre.com.br/MLB-5245212836-chumbador-pba-12-x-4-10cm-c-porca-e-arruela-parabolt-10un-_JM" TargetMode="External" Id="rId70" /><Relationship Type="http://schemas.openxmlformats.org/officeDocument/2006/relationships/hyperlink" Target="https://produto.mercadolivre.com.br/MLB-5344243526-chumbador-quimico-410-ancora-aqi380pro-c-aplicador-original-_JM" TargetMode="External" Id="rId71" /><Relationship Type="http://schemas.openxmlformats.org/officeDocument/2006/relationships/hyperlink" Target="https://www.mercadolivre.com.br/kit-100-chumbador-parabolt-pba-38-x-214-c-porca-e-arruela/up/MLBU3558255820" TargetMode="External" Id="rId72" /><Relationship Type="http://schemas.openxmlformats.org/officeDocument/2006/relationships/hyperlink" Target="https://produto.mercadolivre.com.br/MLB-4071792781-chumbador-quimico-epoxi-bi-componente-injecao-qep400-ancora-_JM" TargetMode="External" Id="rId73" /><Relationship Type="http://schemas.openxmlformats.org/officeDocument/2006/relationships/hyperlink" Target="https://produto.mercadolivre.com.br/MLB-5378169546-chumbador-quimico-poliester-qpo300-c-aplicador-seca-rapido-_JM" TargetMode="External" Id="rId74" /><Relationship Type="http://schemas.openxmlformats.org/officeDocument/2006/relationships/hyperlink" Target="https://www.mercadolivre.com.br/syi/core/modify?itemId=MLB4073492065&amp;callback_url=https%3A%2F%2Fwww.mercadolivre.com.br%2Fanuncios%2Flista%3Fpage%3D1%26search%3Dcola%26sort%3DDEFAULT" TargetMode="External" Id="rId75" /><Relationship Type="http://schemas.openxmlformats.org/officeDocument/2006/relationships/hyperlink" Target="https://www.mercadolivre.com.br/syi/core/modify?itemId=MLB4073312543&amp;callback_url=https%3A%2F%2Fwww.mercadolivre.com.br%2Fanuncios%2Flista%3Fpage%3D1%26search%3Dcola%26sort%3DDEFAULT" TargetMode="External" Id="rId76" /><Relationship Type="http://schemas.openxmlformats.org/officeDocument/2006/relationships/hyperlink" Target="https://produto.mercadolivre.com.br/MLB-3346096201-macaco-proteco-pintura-quimico-impermeavel-c-capuz-volk-_JM" TargetMode="External" Id="rId77" /><Relationship Type="http://schemas.openxmlformats.org/officeDocument/2006/relationships/hyperlink" Target="https://produto.mercadolivre.com.br/MLB-5370122586-cola-silicone-selante-fix-all-high-tack-420gr-fixa-ate-320kg-_JM" TargetMode="External" Id="rId78" /><Relationship Type="http://schemas.openxmlformats.org/officeDocument/2006/relationships/hyperlink" Target="https://produto.mercadolivre.com.br/MLB-3346476913-colete-refletivo-fluorescente-bluso-seguranca-sinalizaco-_JM" TargetMode="External" Id="rId79" /><Relationship Type="http://schemas.openxmlformats.org/officeDocument/2006/relationships/hyperlink" Target="https://www.mercadolivre.com.br/syi/core/modify?itemId=MLB3576410115&amp;callback_url=https%3A%2F%2Fwww.mercadolivre.com.br%2Fanuncios%2Flista%3Fpage%3D3%26sort%3DDEFAULT" TargetMode="External" Id="rId80" /><Relationship Type="http://schemas.openxmlformats.org/officeDocument/2006/relationships/hyperlink" Target="https://produto.mercadolivre.com.br/MLB-4022487143-corda-poliamida-12mm-c-alma-nr18-bombeiro-rapel-altura-50m-_JM" TargetMode="External" Id="rId81" /><Relationship Type="http://schemas.openxmlformats.org/officeDocument/2006/relationships/hyperlink" Target="https://produto.mercadolivre.com.br/MLB-4114374833-creme-desodorante-hidratante-nutriex-profissional-regederme-g3-frasco-200g-_JM" TargetMode="External" Id="rId82" /><Relationship Type="http://schemas.openxmlformats.org/officeDocument/2006/relationships/hyperlink" Target="https://www.mercadolivre.com.br/syi/core/modify?itemId=MLB4134963641&amp;callback_url=https%3A%2F%2Fwww.mercadolivre.com.br%2Fanuncios%2Flista%3Ffilters%3DOMNI_INACTIVE%257CCHANNEL_NO_PROXIMITY_AND_NO_MP_MERCHANTS%26page%3D1%26sort%3DDEFAULT" TargetMode="External" Id="rId83" /><Relationship Type="http://schemas.openxmlformats.org/officeDocument/2006/relationships/hyperlink" Target="https://produto.mercadolivre.com.br/MLB-5556906020-disco-diamantado-desbaste-412-115-x-m14-hessen-32892-turbo-_JM" TargetMode="External" Id="rId84" /><Relationship Type="http://schemas.openxmlformats.org/officeDocument/2006/relationships/hyperlink" Target="https://www.mercadolivre.com.br/fincapino-calibre-22-gesso-concreto-ponta-vermelha-100un/up/MLBU1746605130" TargetMode="External" Id="rId85" /><Relationship Type="http://schemas.openxmlformats.org/officeDocument/2006/relationships/hyperlink" Target="https://produto.mercadolivre.com.br/MLB-5395668990-fita-adesiva-antiderrapante-transparente-50mmx5m-tekbond-_JM" TargetMode="External" Id="rId86" /><Relationship Type="http://schemas.openxmlformats.org/officeDocument/2006/relationships/hyperlink" Target="https://www.mercadolivre.com.br/syi/core/modify?itemId=MLB5519731050&amp;callback_url=https%3A%2F%2Fwww.mercadolivre.com.br%2Fanuncios%2Flista%3Ffilters%3DCHANNEL_NO_PROXIMITY_AND_NO_MP_MERCHANTS%26page%3D1%26search%3Ddupla%2Bface%26sort%3DDEFAULT" TargetMode="External" Id="rId87" /><Relationship Type="http://schemas.openxmlformats.org/officeDocument/2006/relationships/hyperlink" Target="https://www.mercadolivre.com.br/syi/core/modify?itemId=MLB5244097542&amp;callback_url=https%3A%2F%2Fwww.mercadolivre.com.br%2Fanuncios%2Flista%3Fpage%3D4%26sort%3DDEFAULT" TargetMode="External" Id="rId88" /><Relationship Type="http://schemas.openxmlformats.org/officeDocument/2006/relationships/hyperlink" Target="https://produto.mercadolivre.com.br/MLB-5242228180-fita-crepe-grossa-48mm-x-45m-profissional-uso-geral-kit-2un-_JM" TargetMode="External" Id="rId89" /><Relationship Type="http://schemas.openxmlformats.org/officeDocument/2006/relationships/hyperlink" Target="https://produto.mercadolivre.com.br/MLB-5240385680-fita-crepe-premium-profissional-uso-geral-24mm-x-45m-kit-4un-_JM" TargetMode="External" Id="rId90" /><Relationship Type="http://schemas.openxmlformats.org/officeDocument/2006/relationships/hyperlink" Target="https://produto.mercadolivre.com.br/MLB-5761318032-fita-drywall-ncora-drypaper-150mm-x-50m-tratamento-junta-_JM" TargetMode="External" Id="rId91" /><Relationship Type="http://schemas.openxmlformats.org/officeDocument/2006/relationships/hyperlink" Target="https://www.mercadolivre.com.br/syi/core/modify?itemId=MLB3943414937&amp;callback_url=https%3A%2F%2Fwww.mercadolivre.com.br%2Fanuncios%2Flista%3Ffilters%3DOMNI_ACTIVE%257COMNI_INACTIVE%257CCHANNEL_NO_PROXIMITY_AND_NO_MP_MERCHANTS%26page%3D3%26sort%3DDEFAULT" TargetMode="External" Id="rId92" /><Relationship Type="http://schemas.openxmlformats.org/officeDocument/2006/relationships/hyperlink" Target="http://produto.mercadolivre.com.br/MLB-4058949791-galocha-pvc-bota-infantil-kids-pampeana-c-amarra-conforto-_JM" TargetMode="External" Id="rId93" /><Relationship Type="http://schemas.openxmlformats.org/officeDocument/2006/relationships/hyperlink" Target="https://produto.mercadolivre.com.br/MLB-3477876047-gaveteiro-expositor-organizador-n3-8x104x16cm-azul-6un-_JM" TargetMode="External" Id="rId94" /><Relationship Type="http://schemas.openxmlformats.org/officeDocument/2006/relationships/hyperlink" Target="https://www.mercadolivre.com.br/prego-17x21-com-cabeca-aco-polido-resistente-a-corrosao-1kg/up/MLBU1733628456" TargetMode="External" Id="rId95" /><Relationship Type="http://schemas.openxmlformats.org/officeDocument/2006/relationships/hyperlink" Target="https://produto.mercadolivre.com.br/MLB-4056339485-jogo-giz-de-linha-marcaco-strait-line-irwin-speedline-30m-_JM" TargetMode="External" Id="rId96" /><Relationship Type="http://schemas.openxmlformats.org/officeDocument/2006/relationships/hyperlink" Target="https://produto.mercadolivre.com.br/MLB-5862718178-cinturo-para-ferramentas-irwin-10-bolsos-lona-iw14086-cinto-_JM" TargetMode="External" Id="rId97" /><Relationship Type="http://schemas.openxmlformats.org/officeDocument/2006/relationships/hyperlink" Target="https://produto.mercadolivre.com.br/MLB-5298522816-kit-10-capacete-de-seguranca-camper-ca34414-epi-c-jugular-_JM" TargetMode="External" Id="rId98" /><Relationship Type="http://schemas.openxmlformats.org/officeDocument/2006/relationships/hyperlink" Target="https://produto.mercadolivre.com.br/MLB-5661243274-kit-10-disco-lixa-180mm-7-pol-lixadeira-politriz-g80-8-furos-_JM" TargetMode="External" Id="rId99" /><Relationship Type="http://schemas.openxmlformats.org/officeDocument/2006/relationships/hyperlink" Target="https://www.mercadolivre.com.br/syi/core/modify?itemId=MLB5244771272&amp;callback_url=https%3A%2F%2Fwww.mercadolivre.com.br%2Fanuncios%2Flista%3Fpage%3D4%26sort%3DDEFAULT" TargetMode="External" Id="rId100" /><Relationship Type="http://schemas.openxmlformats.org/officeDocument/2006/relationships/hyperlink" Target="https://produto.mercadolivre.com.br/MLB-5483980908-kit-10-protetor-auricular-silicone-cordo-spot-plug-pro-17db-_JM" TargetMode="External" Id="rId101" /><Relationship Type="http://schemas.openxmlformats.org/officeDocument/2006/relationships/hyperlink" Target="https://www.mercadolivre.com.br/syi/core/modify?itemId=MLB5357595970&amp;callback_url=https%3A%2F%2Fwww.mercadolivre.com.br%2Fanuncios%2Flista%3Fpage%3D1%26search%3Dabra%25C3%25A7adeira%26sort%3DDEFAULT" TargetMode="External" Id="rId102" /><Relationship Type="http://schemas.openxmlformats.org/officeDocument/2006/relationships/hyperlink" Target="https://produto.mercadolivre.com.br/MLB-5367677618-kit-1000-abracadeira-nylon-cinta-plasticas-reforcada-48x300-_JM" TargetMode="External" Id="rId103" /><Relationship Type="http://schemas.openxmlformats.org/officeDocument/2006/relationships/hyperlink" Target="https://produto.mercadolivre.com.br/MLB-5367672936-kit-1000-abracadeira-nylon-cinta-plasticas-reforcada-72x400-_JM" TargetMode="External" Id="rId104" /><Relationship Type="http://schemas.openxmlformats.org/officeDocument/2006/relationships/hyperlink" Target="https://produto.mercadolivre.com.br/MLB-3946065753-kit-12-luva-multitato-tricotada-pu-mecanico-antiestatica-epi-_JM" TargetMode="External" Id="rId105" /><Relationship Type="http://schemas.openxmlformats.org/officeDocument/2006/relationships/hyperlink" Target="https://produto.mercadolivre.com.br/MLB-4145600053-kit-12-luva-multiuso-amarela-latex-antiderrapante-faxina-epi-_JM" TargetMode="External" Id="rId106" /><Relationship Type="http://schemas.openxmlformats.org/officeDocument/2006/relationships/hyperlink" Target="https://www.mercadolivre.com.br/syi/core/modify?itemId=MLB5249766570&amp;callback_url=https%3A%2F%2Fwww.mercadolivre.com.br%2Fanuncios%2Flista%3Fpage%3D4%26sort%3DDEFAULT" TargetMode="External" Id="rId107" /><Relationship Type="http://schemas.openxmlformats.org/officeDocument/2006/relationships/hyperlink" Target="https://www.mercadolivre.com.br/syi/core/modify?itemId=MLB3945666897&amp;callback_url=https%3A%2F%2Fwww.mercadolivre.com.br%2Fanuncios%2Flista%3Ffilters%3DOMNI_ACTIVE%257COMNI_INACTIVE%257CCHANNEL_NO_PROXIMITY_AND_NO_MP_MERCHANTS%26page%3D3%26sort%3DDEFAULT" TargetMode="External" Id="rId108" /><Relationship Type="http://schemas.openxmlformats.org/officeDocument/2006/relationships/hyperlink" Target="https://produto.mercadolivre.com.br/MLB-3945666897-kit-2-luva-proteco-anti-corte-cut-oil-palma-impermeavel-epi-_JM" TargetMode="External" Id="rId109" /><Relationship Type="http://schemas.openxmlformats.org/officeDocument/2006/relationships/hyperlink" Target="https://produto.mercadolivre.com.br/MLB-4164055799-kit-2-pares-luva-latex-natural-preta-seguranca-pro-157-epi-_JM" TargetMode="External" Id="rId110" /><Relationship Type="http://schemas.openxmlformats.org/officeDocument/2006/relationships/hyperlink" Target="https://produto.mercadolivre.com.br/MLB-4026109987-painel-plafon-24w-avant-redondo-sobrepor-alta-durabilidade-_JM" TargetMode="External" Id="rId111" /><Relationship Type="http://schemas.openxmlformats.org/officeDocument/2006/relationships/hyperlink" Target="https://www.mercadolivre.com.br/syi/core/modify?itemId=MLB5487225650&amp;callback_url=https%3A%2F%2Fwww.mercadolivre.com.br%2Fanuncios%2Flista%3Ffilters%3DOMNI_ACTIVE%257COMNI_INACTIVE%257CCHANNEL_NO_PROXIMITY_AND_NO_MP_MERCHANTS%26page%3D1%26search%3Dplafon%26sort%3DDEFAULT" TargetMode="External" Id="rId112" /><Relationship Type="http://schemas.openxmlformats.org/officeDocument/2006/relationships/hyperlink" Target="https://www.mercadolivre.com.br/syi/core/modify?itemId=MLB2785525387&amp;callback_url=https%3A%2F%2Fwww.mercadolivre.com.br%2Fanuncios%2Flista%3Fpage%3D3%26sort%3DDEFAULT" TargetMode="External" Id="rId113" /><Relationship Type="http://schemas.openxmlformats.org/officeDocument/2006/relationships/hyperlink" Target="https://produto.mercadolivre.com.br/MLB-5299327176-kit-20-oculos-seguranca-proteco-uv-sky-fume-incolor-ca39878-_JM" TargetMode="External" Id="rId114" /><Relationship Type="http://schemas.openxmlformats.org/officeDocument/2006/relationships/hyperlink" Target="https://www.mercadolivre.com.br/syi/core/modify?itemId=MLB5484030456&amp;callback_url=https%3A%2F%2Fwww.mercadolivre.com.br%2Fanuncios%2Flista%3Fpage%3D1%26search%3Dspot%26sort%3DDEFAULT" TargetMode="External" Id="rId115" /><Relationship Type="http://schemas.openxmlformats.org/officeDocument/2006/relationships/hyperlink" Target="https://produto.mercadolivre.com.br/MLB-4076061275-kit-20-tela-amarraco-alvenaria-blocos-tel120-12cm-x-50cm-_JM" TargetMode="External" Id="rId116" /><Relationship Type="http://schemas.openxmlformats.org/officeDocument/2006/relationships/hyperlink" Target="https://produto.mercadolivre.com.br/MLB-5298614678-kit-4-capacete-de-seguranca-camper-ca-34414-epi-c-jugular-_JM" TargetMode="External" Id="rId117" /><Relationship Type="http://schemas.openxmlformats.org/officeDocument/2006/relationships/hyperlink" Target="https://produto.mercadolivre.com.br/MLB-5244549660-kit-4-creme-protetor-de-mos-luva-quimica-plus-grupo-3-200g-_JM" TargetMode="External" Id="rId118" /><Relationship Type="http://schemas.openxmlformats.org/officeDocument/2006/relationships/hyperlink" Target="https://www.mercadolivre.com.br/syi/core/modify?itemId=MLB4095171015&amp;callback_url=https%3A%2F%2Fwww.mercadolivre.com.br%2Fanuncios%2Flista%3Ffilters%3DOMNI_ACTIVE%257COMNI_INACTIVE%257CCHANNEL_NO_PROXIMITY_AND_NO_MP_MERCHANTS%26page%3D1%26search%3Dkit%2B4%26sort%3DDEFAULT" TargetMode="External" Id="rId119" /><Relationship Type="http://schemas.openxmlformats.org/officeDocument/2006/relationships/hyperlink" Target="https://www.mercadolivre.com.br/kit-4-luva-poliamida-pu-multitato-mecanico-oficina-uso-geral/up/MLBU3853636905" TargetMode="External" Id="rId120" /><Relationship Type="http://schemas.openxmlformats.org/officeDocument/2006/relationships/hyperlink" Target="https://produto.mercadolivre.com.br/MLB-5391831098-kit-4-luva-proteco-quimica-max-orange-reforcada-latex-cca-_JM" TargetMode="External" Id="rId121" /><Relationship Type="http://schemas.openxmlformats.org/officeDocument/2006/relationships/hyperlink" Target="https://produto.mercadolivre.com.br/MLB-5514438820-kit-4-luva-tricotada-poliamida-pigmentada-poliflex-danny-ca-_JM" TargetMode="External" Id="rId122" /><Relationship Type="http://schemas.openxmlformats.org/officeDocument/2006/relationships/hyperlink" Target="https://produto.mercadolivre.com.br/MLB-3944805671-kit-50-chumbador-parabolt-pba-14-x-214-c-porca-e-arruela-_JM" TargetMode="External" Id="rId123" /><Relationship Type="http://schemas.openxmlformats.org/officeDocument/2006/relationships/hyperlink" Target="https://produto.mercadolivre.com.br/MLB-4097684635-kit-50-mangote-manga-plastica-com-elastico-descartavel-50cm-_JM" TargetMode="External" Id="rId124" /><Relationship Type="http://schemas.openxmlformats.org/officeDocument/2006/relationships/hyperlink" Target="https://produto.mercadolivre.com.br/MLB-2785525384-kit-50-oculos-de-proteco-epi-incolor-resistente-proteco-_JM" TargetMode="External" Id="rId125" /><Relationship Type="http://schemas.openxmlformats.org/officeDocument/2006/relationships/hyperlink" Target="https://produto.mercadolivre.com.br/MLB-5299456820-kit-50-oculos-sky-proteco-seguranca-fume-ou-incolor-ca39878-_JM" TargetMode="External" Id="rId126" /><Relationship Type="http://schemas.openxmlformats.org/officeDocument/2006/relationships/hyperlink" Target="https://produto.mercadolivre.com.br/MLB-5299544448-kit-10-oculos-sky-fume-incolor-proteco-lateral-seguranca-_JM" TargetMode="External" Id="rId127" /><Relationship Type="http://schemas.openxmlformats.org/officeDocument/2006/relationships/hyperlink" Target="https://www.mercadolivre.com.br/syi/core/modify?itemId=MLB5405540980&amp;callback_url=https%3A%2F%2Fwww.mercadolivre.com.br%2Fanuncios%2Flista%3Fpage%3D1%26search%3Dkit%2B50%26sort%3DDEFAULT" TargetMode="External" Id="rId128" /><Relationship Type="http://schemas.openxmlformats.org/officeDocument/2006/relationships/hyperlink" Target="https://produto.mercadolivre.com.br/MLB-2785555162-kit-50-unidades-oculos-de-proteco-uv-delta-plus-summer-fume-_JM" TargetMode="External" Id="rId129" /><Relationship Type="http://schemas.openxmlformats.org/officeDocument/2006/relationships/hyperlink" Target="https://produto.mercadolivre.com.br/MLB-5367567226-kit-500-abracadeira-nylon-cintas-plasticas-reforcada-48x300-_JM" TargetMode="External" Id="rId130" /><Relationship Type="http://schemas.openxmlformats.org/officeDocument/2006/relationships/hyperlink" Target="https://produto.mercadolivre.com.br/MLB-5367518286-kit-500-abracadeira-nylon-cintas-plasticas-reforcada-72x400-_JM" TargetMode="External" Id="rId131" /><Relationship Type="http://schemas.openxmlformats.org/officeDocument/2006/relationships/hyperlink" Target="https://www.mercadolivre.com.br/syi/core/modify?itemId=MLB4060988207&amp;callback_url=https%3A%2F%2Fwww.mercadolivre.com.br%2Fanuncios%2Flista%3Fpage%3D1%26search%3Dnitra%26sort%3DDEFAULT" TargetMode="External" Id="rId132" /><Relationship Type="http://schemas.openxmlformats.org/officeDocument/2006/relationships/hyperlink" Target="https://produto.mercadolivre.com.br/MLB-5249338012-kit-8-protetor-auditivo-auricular-acoplar-capacete-17db-cca-_JM" TargetMode="External" Id="rId133" /><Relationship Type="http://schemas.openxmlformats.org/officeDocument/2006/relationships/hyperlink" Target="https://www.mercadolivre.com.br/syi/core/modify?itemId=MLB5263490942&amp;callback_url=https%3A%2F%2Fwww.mercadolivre.com.br%2Fanuncios%2Flista%3Fpage%3D1%26sort%3DCREATE_LAST" TargetMode="External" Id="rId134" /><Relationship Type="http://schemas.openxmlformats.org/officeDocument/2006/relationships/hyperlink" Target="https://produto.mercadolivre.com.br/MLB-5385004104-kit-completo-pintor-pintura-anti-gota-rolo-e-pincel-6-pecas-_JM" TargetMode="External" Id="rId135" /><Relationship Type="http://schemas.openxmlformats.org/officeDocument/2006/relationships/hyperlink" Target="https://produto.mercadolivre.com.br/MLB-5385908714-kit-completo-pintura-decoraco-pintor-atlas-at-1016-7-pecas-_JM" TargetMode="External" Id="rId136" /><Relationship Type="http://schemas.openxmlformats.org/officeDocument/2006/relationships/hyperlink" Target="https://produto.mercadolivre.com.br/MLB-5530183628-kit-rocador-capacete-protetor-facial-malha-de-aco-abafador-_JM" TargetMode="External" Id="rId137" /><Relationship Type="http://schemas.openxmlformats.org/officeDocument/2006/relationships/hyperlink" Target="https://produto.mercadolivre.com.br/MLB-4192425827-kit-shampoo-condicionador-minnie-mouse-banho-feliz-brinde-_JM" TargetMode="External" Id="rId138" /><Relationship Type="http://schemas.openxmlformats.org/officeDocument/2006/relationships/hyperlink" Target="https://produto.mercadolivre.com.br/MLB-4193793823-kit-shampoo-e-sabonete-liquido-kids-toy-story-banho-feliz-_JM" TargetMode="External" Id="rId139" /><Relationship Type="http://schemas.openxmlformats.org/officeDocument/2006/relationships/hyperlink" Target="https://produto.mercadolivre.com.br/MLB-3633587828-kit-tela-de-alvenaria-pino-liso-14x28-fincapino-am27-_JM" TargetMode="External" Id="rId140" /><Relationship Type="http://schemas.openxmlformats.org/officeDocument/2006/relationships/hyperlink" Target="https://produto.mercadolivre.com.br/MLB-3633587828-kit-tela-de-alvenaria-pino-liso-14x28-fincapino-am27-_JM" TargetMode="External" Id="rId141" /><Relationship Type="http://schemas.openxmlformats.org/officeDocument/2006/relationships/hyperlink" Target="https://produto.mercadolivre.com.br/MLB-3633587828-kit-tela-de-alvenaria-pino-liso-14x28-fincapino-am27-_JM" TargetMode="External" Id="rId142" /><Relationship Type="http://schemas.openxmlformats.org/officeDocument/2006/relationships/hyperlink" Target="https://produto.mercadolivre.com.br/MLB-3633587828-kit-tela-de-alvenaria-pino-liso-14x28-fincapino-am27-_JM" TargetMode="External" Id="rId143" /><Relationship Type="http://schemas.openxmlformats.org/officeDocument/2006/relationships/hyperlink" Target="https://produto.mercadolivre.com.br/MLB-4022813129-lona-plastica-preta-reforcada-grossa-construco-4x100m-20kg-_JM" TargetMode="External" Id="rId144" /><Relationship Type="http://schemas.openxmlformats.org/officeDocument/2006/relationships/hyperlink" Target="https://produto.mercadolivre.com.br/MLB-5347045590-luminaria-plafon-led-sobrepor-quadrada-18w-potente-garantia-_JM" TargetMode="External" Id="rId145" /><Relationship Type="http://schemas.openxmlformats.org/officeDocument/2006/relationships/hyperlink" Target="https://produto.mercadolivre.com.br/MLB-3436747679-luva-anticorte-alta-temperatura-250-volk-black-tractor-8un-_JM" TargetMode="External" Id="rId146" /><Relationship Type="http://schemas.openxmlformats.org/officeDocument/2006/relationships/hyperlink" Target="https://produto.mercadolivre.com.br/MLB-5259490860-luva-esgoto-saneamento-pvc-46cm-proteco-quimica-termica-epi-_JM" TargetMode="External" Id="rId147" /><Relationship Type="http://schemas.openxmlformats.org/officeDocument/2006/relationships/hyperlink" Target="https://www.mercadolivre.com.br/syi/core/modify?itemId=MLB3436767961&amp;callback_url=https%3A%2F%2Fwww.mercadolivre.com.br%2Fanuncios%2Flista%3Fpage%3D3%26sort%3DDEFAULT" TargetMode="External" Id="rId148" /><Relationship Type="http://schemas.openxmlformats.org/officeDocument/2006/relationships/hyperlink" Target="https://produto.mercadolivre.com.br/MLB-3955981385-luva-proteco-anticorte-fibra-pu-cut-smart-proteco-termica-_JM" TargetMode="External" Id="rId149" /><Relationship Type="http://schemas.openxmlformats.org/officeDocument/2006/relationships/hyperlink" Target="https://produto.mercadolivre.com.br/MLB-5661006466-luva-solda-weld-master-esquerda-direita-unidade-punho-41cm-_JM" TargetMode="External" Id="rId150" /><Relationship Type="http://schemas.openxmlformats.org/officeDocument/2006/relationships/hyperlink" Target="https://produto.mercadolivre.com.br/MLB-4133144131-luva-tricotada-poliamida-pigmentada-poliflex-resistente-cca-_JM" TargetMode="External" Id="rId151" /><Relationship Type="http://schemas.openxmlformats.org/officeDocument/2006/relationships/hyperlink" Target="https://produto.mercadolivre.com.br/MLB-5276515230-luvas-descartaveis-volk-do-brasil-descartavel-cor-branco-t-g-_JM" TargetMode="External" Id="rId152" /><Relationship Type="http://schemas.openxmlformats.org/officeDocument/2006/relationships/hyperlink" Target="https://produto.mercadolivre.com.br/MLB-4207091765-mala-bolsa-ferramentas-irwin-16-standard-capacidade-15kg-_JM" TargetMode="External" Id="rId153" /><Relationship Type="http://schemas.openxmlformats.org/officeDocument/2006/relationships/hyperlink" Target="https://produto.mercadolivre.com.br/MLB-5738712090-mochila-bolsa-ferramentas-irwin-16-construco-poliester-_JM" TargetMode="External" Id="rId154" /><Relationship Type="http://schemas.openxmlformats.org/officeDocument/2006/relationships/hyperlink" Target="https://internal-shop.mercadoshops.com.br/MLB-4096551375-oculos-galeras-incolor-ampla-viso-antirisco-e-antiembacante-_JM" TargetMode="External" Id="rId155" /><Relationship Type="http://schemas.openxmlformats.org/officeDocument/2006/relationships/hyperlink" Target="https://www.mercadolivre.com.br/oculos-seguranca-galeras-paronamico-antiembacante-antirisco/up/MLBU3906130203" TargetMode="External" Id="rId156" /><Relationship Type="http://schemas.openxmlformats.org/officeDocument/2006/relationships/hyperlink" Target="https://www.mercadolivre.com.br/syi/core/modify?itemId=MLB3478548527&amp;callback_url=https%3A%2F%2Fwww.mercadolivre.com.br%2Fanuncios%2Flista%3Fpage%3D2%26sort%3DDEFAULT" TargetMode="External" Id="rId157" /><Relationship Type="http://schemas.openxmlformats.org/officeDocument/2006/relationships/hyperlink" Target="https://www.mercadolivre.com.br/mola-aerea-hidraulica-45kg-fechamento-automatico-potencia-2/up/MLBU3927005780?pdp_filters=item_id:MLB6666797618" TargetMode="External" Id="rId158" /><Relationship Type="http://schemas.openxmlformats.org/officeDocument/2006/relationships/hyperlink" Target="https://www.mercadolivre.com.br/mola-aerea-amortecedor-45kg-porta-pivotante-regulagem-preto/up/MLBU3915497499?pdp_filters=item_id:MLB6666847810" TargetMode="External" Id="rId159" /><Relationship Type="http://schemas.openxmlformats.org/officeDocument/2006/relationships/hyperlink" Target="https://produto.mercadolivre.com.br/MLB-5113842660-nutriex-profissional-protetor-solar-fps-30-aco-repelente-em-creme-1l-_JM" TargetMode="External" Id="rId160" /><Relationship Type="http://schemas.openxmlformats.org/officeDocument/2006/relationships/hyperlink" Target="https://produto.mercadolivre.com.br/MLB-5441165658-oculos-ampla-viso-vvision-sobrepor-anti-risco-antiembacante-_JM" TargetMode="External" Id="rId161" /><Relationship Type="http://schemas.openxmlformats.org/officeDocument/2006/relationships/hyperlink" Target="https://produto.mercadolivre.com.br/MLB-4099342931-oculos-proteco-de-sobrepor-hekla2-antiembacante-antirrisco-_JM" TargetMode="External" Id="rId162" /><Relationship Type="http://schemas.openxmlformats.org/officeDocument/2006/relationships/hyperlink" Target="https://www.mercadolivre.com.br/syi/core/modify?itemId=MLB4230473400&amp;callback_url=https%3A%2F%2Fwww.mercadolivre.com.br%2Fanuncios%2Flista%3Ffilters%3DOMNI_ACTIVE%257COMNI_INACTIVE%257CCHANNEL_NO_PROXIMITY_AND_NO_MP_MERCHANTS%26page%3D1%26sort%3DDEFAULT" TargetMode="External" Id="rId163" /><Relationship Type="http://schemas.openxmlformats.org/officeDocument/2006/relationships/hyperlink" Target="https://produto.mercadolivre.com.br/MLB-4065038803-oculos-solda-macariqueiro-wps0281-lente-verde-n5-articulada-_JM" TargetMode="External" Id="rId164" /><Relationship Type="http://schemas.openxmlformats.org/officeDocument/2006/relationships/hyperlink" Target="https://produto.mercadolivre.com.br/MLB-5402383306-pad-recorte-pintura-paredes-rotativo-canto-acabamento-atlas-_JM" TargetMode="External" Id="rId165" /><Relationship Type="http://schemas.openxmlformats.org/officeDocument/2006/relationships/hyperlink" Target="https://www.mercadolivre.com.br/syi/core/modify?itemId=MLB5402584632&amp;callback_url=https%3A%2F%2Fwww.mercadolivre.com.br%2Fanuncios%2Flista%3Fpage%3D1%26search%3Dpad%26sort%3DDEFAULT" TargetMode="External" Id="rId166" /><Relationship Type="http://schemas.openxmlformats.org/officeDocument/2006/relationships/hyperlink" Target="https://produto.mercadolivre.com.br/MLB-3358720059-pistola-de-fixaco-aco-indireta-walsywa-pra10-brinde-_JM" TargetMode="External" Id="rId167" /><Relationship Type="http://schemas.openxmlformats.org/officeDocument/2006/relationships/hyperlink" Target="https://produto.mercadolivre.com.br/MLB-4113957019-pistola-fga850n-gas-alta-performance-celula-e-pino-brinde-_JM" TargetMode="External" Id="rId168" /><Relationship Type="http://schemas.openxmlformats.org/officeDocument/2006/relationships/hyperlink" Target="https://produto.mercadolivre.com.br/MLB-4113957019-pistola-fga850n-gas-alta-performance-celula-e-pino-brinde-_JM" TargetMode="External" Id="rId169" /><Relationship Type="http://schemas.openxmlformats.org/officeDocument/2006/relationships/hyperlink" Target="https://www.mercadolivre.com.br/syi/core/modify?itemId=MLB5538082730&amp;callback_url=https%3A%2F%2Fwww.mercadolivre.com.br%2Fanuncios%2Flista%3Ffilters%3DCHANNEL_MARKETPLACE_MSHOPS%257CCHANNEL_ONLY_MARKETPLACE%257CEXCLUSIVE_CHANNEL_NO_PROXIMITY_AND_NO_MP_MERCHANTS%26page%3D1%26search%3Dpistola%26sort%3DDEFAULT" TargetMode="External" Id="rId170" /><Relationship Type="http://schemas.openxmlformats.org/officeDocument/2006/relationships/hyperlink" Target="https://www.mercadolivre.com.br/syi/core/modify?itemId=MLB3832866504&amp;callback_url=https%3A%2F%2Fwww.mercadolivre.com.br%2Fanuncios%2Flista%3Fpage%3D3%26sort%3DDEFAULT" TargetMode="External" Id="rId171" /><Relationship Type="http://schemas.openxmlformats.org/officeDocument/2006/relationships/hyperlink" Target="https://produto.mercadolivre.com.br/MLB-5338630566-placa-sinalizaco-cuidado-piso-molhado-reforcada-uv-cavalete-_JM" TargetMode="External" Id="rId172" /><Relationship Type="http://schemas.openxmlformats.org/officeDocument/2006/relationships/hyperlink" Target="https://www.mercadolivre.com.br/syi/core/modify?itemId=MLB3956529572&amp;callback_url=https%3A%2F%2Fwww.mercadolivre.com.br%2Fanuncios%2Flista%3Fpage%3D3%26sort%3DDEFAULT" TargetMode="External" Id="rId173" /><Relationship Type="http://schemas.openxmlformats.org/officeDocument/2006/relationships/hyperlink" Target="https://produto.mercadolivre.com.br/MLB-3418283199-prego-18x27-com-cabeca-dupla-aco-polido-resistente-saco-1kg-_JM" TargetMode="External" Id="rId174" /><Relationship Type="http://schemas.openxmlformats.org/officeDocument/2006/relationships/hyperlink" Target="https://www.mercadolivre.com.br/syi/core/modify?itemId=MLB3562355525&amp;callback_url=https%3A%2F%2Fwww.mercadolivre.com.br%2Fanuncios%2Flista%3Fpage%3D2%26sort%3DDEFAULT" TargetMode="External" Id="rId175" /><Relationship Type="http://schemas.openxmlformats.org/officeDocument/2006/relationships/hyperlink" Target="https://produto.mercadolivre.com.br/MLB-5413661492-prego-polido-com-cabeca-dupla-18x27-gerdau-1kg-_JM" TargetMode="External" Id="rId176" /><Relationship Type="http://schemas.openxmlformats.org/officeDocument/2006/relationships/hyperlink" Target="https://produto.mercadolivre.com.br/MLB-5267540952-protetor-bloqueador-solar-4-litros-fps-60-nutriex-_JM" TargetMode="External" Id="rId177" /><Relationship Type="http://schemas.openxmlformats.org/officeDocument/2006/relationships/hyperlink" Target="https://www.mercadolivre.com.br/protetor-bloqueador-solar-fps-60-4-litros-nutriex/p/MLB17476592?pdp_filters=item_id%3AMLB5267541552" TargetMode="External" Id="rId178" /><Relationship Type="http://schemas.openxmlformats.org/officeDocument/2006/relationships/hyperlink" Target="https://www.mercadolivre.com.br/syi/core/modify?itemId=MLB3946901491&amp;callback_url=https%3A%2F%2Fwww.mercadolivre.com.br%2Fanuncios%2Flista%3Fpage%3D3%26sort%3DDEFAULT" TargetMode="External" Id="rId179" /><Relationship Type="http://schemas.openxmlformats.org/officeDocument/2006/relationships/hyperlink" Target="https://www.mercadolivre.com.br/syi/core/modify?itemId=MLB3954487137&amp;callback_url=https%3A%2F%2Fwww.mercadolivre.com.br%2Fanuncios%2Flista%3Fpage%3D4%26sort%3DDEFAULT" TargetMode="External" Id="rId180" /><Relationship Type="http://schemas.openxmlformats.org/officeDocument/2006/relationships/hyperlink" Target="https://produto.mercadolivre.com.br/MLB-3959944569-protetor-bloqueador-solar-nutriex-fps-60-2-litros-_JM" TargetMode="External" Id="rId181" /><Relationship Type="http://schemas.openxmlformats.org/officeDocument/2006/relationships/hyperlink" Target="https://www.mercadolivre.com.br/syi/core/modify?itemId=MLB4097949149&amp;callback_url=https%3A%2F%2Fwww.mercadolivre.com.br%2Fanuncios%2Flista%3Ffilters%3DOMNI_INACTIVE%257CCHANNEL_NO_PROXIMITY_AND_NO_MP_MERCHANTS%26page%3D1%26search%3Dprotetor%2B%26sort%3DDEFAULT" TargetMode="External" Id="rId182" /><Relationship Type="http://schemas.openxmlformats.org/officeDocument/2006/relationships/hyperlink" Target="https://produto.mercadolivre.com.br/MLB-3833122081-protetor-solar-fps-60-com-repelente-2-litros-bombona-nutriex-_JM" TargetMode="External" Id="rId183" /><Relationship Type="http://schemas.openxmlformats.org/officeDocument/2006/relationships/hyperlink" Target="https://produto.mercadolivre.com.br/MLB-5665202652-protetor-solar-fps-60-kids-minions-infantil-diverso-120ml-_JM" TargetMode="External" Id="rId184" /><Relationship Type="http://schemas.openxmlformats.org/officeDocument/2006/relationships/hyperlink" Target="https://www.mercadolivre.com.br/syi/core/modify?itemId=MLB5518926176&amp;callback_url=https%3A%2F%2Fwww.mercadolivre.com.br%2Fanuncios%2Flista%3Ffilters%3DOMNI_INACTIVE%257CCHANNEL_NO_PROXIMITY_AND_NO_MP_MERCHANTS%26page%3D1%26sort%3DDEFAULT" TargetMode="External" Id="rId185" /><Relationship Type="http://schemas.openxmlformats.org/officeDocument/2006/relationships/hyperlink" Target="https://produto.mercadolivre.com.br/MLB-4093016637-protetor-solar-nutriex-profissional-fps-30-13-oil-free-120g-_JM" TargetMode="External" Id="rId186" /><Relationship Type="http://schemas.openxmlformats.org/officeDocument/2006/relationships/hyperlink" Target="https://produto.mercadolivre.com.br/MLB-3705831110-refil-filtro-quimico-voga-p-respiradores-plastcor-classe-1-_JM" TargetMode="External" Id="rId187" /><Relationship Type="http://schemas.openxmlformats.org/officeDocument/2006/relationships/hyperlink" Target="https://produto.mercadolivre.com.br/MLB-4072962309-refil-pad-recorte-acabamento-alinhamento-em-pinturas-atlas-_JM" TargetMode="External" Id="rId188" /><Relationship Type="http://schemas.openxmlformats.org/officeDocument/2006/relationships/hyperlink" Target="https://www.mercadolivre.com.br/syi/core/modify?itemId=MLB4024910515&amp;callback_url=https%3A%2F%2Fwww.mercadolivre.com.br%2Fanuncios%2Flista%3Fpage%3D1%26search%3Drefletor%26sort%3DDEFAULT" TargetMode="External" Id="rId189" /><Relationship Type="http://schemas.openxmlformats.org/officeDocument/2006/relationships/hyperlink" Target="https://produto.mercadolivre.com.br/MLB-3705409586-respirador-14-semifacial-filtro-voga-plastcor-ca39428-_JM" TargetMode="External" Id="rId190" /><Relationship Type="http://schemas.openxmlformats.org/officeDocument/2006/relationships/hyperlink" Target="https://produto.mercadolivre.com.br/MLB-3944664203-roda-pneu-carrinho-de-mo-macico-reforcada-325-x-8-x-34-_JM" TargetMode="External" Id="rId191" /><Relationship Type="http://schemas.openxmlformats.org/officeDocument/2006/relationships/hyperlink" Target="https://www.mercadolivre.com.br/disco-corte-diamantado-110mm-turbo-norton-marmoraria-granito/up/MLBU3125642121" TargetMode="External" Id="rId192" /><Relationship Type="http://schemas.openxmlformats.org/officeDocument/2006/relationships/hyperlink" Target="https://produto.mercadolivre.com.br/MLB-5278019996-sapato-botina-trabalho-epi-seguranca-bico-pvc-ocupacional-ca-_JM" TargetMode="External" Id="rId193" /><Relationship Type="http://schemas.openxmlformats.org/officeDocument/2006/relationships/hyperlink" Target="https://produto.mercadolivre.com.br/MLB-4027201429-selante-adesivo-fix-all-high-tack-420g-fixa-tudo-ate-320kg-_JM" TargetMode="External" Id="rId194" /><Relationship Type="http://schemas.openxmlformats.org/officeDocument/2006/relationships/hyperlink" Target="https://produto.mercadolivre.com.br/MLB-5345678248-selante-fix-all-turbo-super-cola-tudo-seca-rapida-20min-430g-_JM" TargetMode="External" Id="rId195" /><Relationship Type="http://schemas.openxmlformats.org/officeDocument/2006/relationships/hyperlink" Target="https://produto.mercadolivre.com.br/MLB-4209728341-silicone-acetico-selante-cinza-tekbond-280g-vedaco-vidro-_JM" TargetMode="External" Id="rId196" /><Relationship Type="http://schemas.openxmlformats.org/officeDocument/2006/relationships/hyperlink" Target="https://produto.mercadolivre.com.br/MLB-5716106300-silicone-acetico-selante-cinza-tekbond-alta-temperatura-3un-_JM" TargetMode="External" Id="rId197" /><Relationship Type="http://schemas.openxmlformats.org/officeDocument/2006/relationships/hyperlink" Target="https://produto.mercadolivre.com.br/MLB-5716134790-silicone-acetico-vedaco-cinza-tekbond-alta-temperatura-10un-_JM" TargetMode="External" Id="rId198" /><Relationship Type="http://schemas.openxmlformats.org/officeDocument/2006/relationships/hyperlink" Target="https://produto.mercadolivre.com.br/MLB-5285440768-sinalizador-pl-6003-viario-solar-led-luminoso-rodovia-obra-_JM" TargetMode="External" Id="rId199" /><Relationship Type="http://schemas.openxmlformats.org/officeDocument/2006/relationships/hyperlink" Target="https://internal-shop.mercadoshops.com.br/MLB-5444670544-suporte-universal-p-capacete-visor-viseira-holder-ca-40639-_JM" TargetMode="External" Id="rId200" /><Relationship Type="http://schemas.openxmlformats.org/officeDocument/2006/relationships/hyperlink" Target="https://www.mercadolivre.com.br/tela-alvenaria-12x105x500mm-tl105-amarracao-de-blocos-20un/up/MLBU1757012794" TargetMode="External" Id="rId201" /><Relationship Type="http://schemas.openxmlformats.org/officeDocument/2006/relationships/hyperlink" Target="https://produto.mercadolivre.com.br/MLB-3390223553-tela-alvenaria-amarraco-ancora-12x75x500mm-tel75-10un-_JM" TargetMode="External" Id="rId202" /><Relationship Type="http://schemas.openxmlformats.org/officeDocument/2006/relationships/hyperlink" Target="https://produto.mercadolivre.com.br/MLB-3882699316-tela-amarraco-alvenaria-ancora-12mm-x-50cm-x-6cm-c-100un-_JM" TargetMode="External" Id="rId203" /><Relationship Type="http://schemas.openxmlformats.org/officeDocument/2006/relationships/hyperlink" Target="https://produto.mercadolivre.com.br/MLB-3837728586-tela-amarraco-alvenaria-tel75-75cm-ancora-construfix-20un-_JM" TargetMode="External" Id="rId204" /><Relationship Type="http://schemas.openxmlformats.org/officeDocument/2006/relationships/hyperlink" Target="https://www.mercadolivre.com.br/syi/core/modify?itemId=MLB3634089801&amp;callback_url=https%3A%2F%2Fwww.mercadolivre.com.br%2Fanuncios%2Flista%3Fpage%3D3%26sort%3DDEFAULT" TargetMode="External" Id="rId205" /><Relationship Type="http://schemas.openxmlformats.org/officeDocument/2006/relationships/hyperlink" Target="https://www.mercadolivre.com.br/tela-fibra-vidro-reforco-alvenaria-fachada-cimenticia-1x50m/up/MLBU3100854309" TargetMode="External" Id="rId206" /><Relationship Type="http://schemas.openxmlformats.org/officeDocument/2006/relationships/hyperlink" Target="https://www.mercadolivre.com.br/syi/core/modify?itemId=MLB3634048065&amp;callback_url=https%3A%2F%2Fwww.mercadolivre.com.br%2Fanuncios%2Flista%3Fpage%3D3%26sort%3DDEFAULT" TargetMode="External" Id="rId207" /><Relationship Type="http://schemas.openxmlformats.org/officeDocument/2006/relationships/hyperlink" Target="https://produto.mercadolivre.com.br/MLB-3983359955-kit-4-rolo-de-tela-pesada-tapume-laranja-e-branca-12x50m-_JM" TargetMode="External" Id="rId208" /><Relationship Type="http://schemas.openxmlformats.org/officeDocument/2006/relationships/hyperlink" Target="https://produto.mercadolivre.com.br/MLB-5434252022-tinta-spray-uso-geral-350ml-tekbond-spray-aerosol-seca-rapid-_JM" TargetMode="External" Id="rId209" /><Relationship Type="http://schemas.openxmlformats.org/officeDocument/2006/relationships/hyperlink" Target="https://produto.mercadolivre.com.br/MLB-3988958563-trava-quedas-corda-12mm-cinto-altura-nr18-aco-seguranca-epi-_JM" TargetMode="External" Id="rId210" /><Relationship Type="http://schemas.openxmlformats.org/officeDocument/2006/relationships/hyperlink" Target="https://produto.mercadolivre.com.br/MLB-5435771392-trava-quedas-retratil-c-abs-e-mosqueto-altura-medbloc-6m-_JM" TargetMode="External" Id="rId211" /><Relationship Type="http://schemas.openxmlformats.org/officeDocument/2006/relationships/hyperlink" Target="https://produto.mercadolivre.com.br/MLB-5742566404-mochila-ferramentas-profissional-irwin-14-base-emborrachada-_JM" TargetMode="External" Id="rId212" /><Relationship Type="http://schemas.openxmlformats.org/officeDocument/2006/relationships/hyperlink" Target="https://produto.mercadolivre.com.br/MLB-4230574503-caixa-mala-de-ferramentas-contractor-irwin-iwst33027-la-_JM" TargetMode="External" Id="rId213" /><Relationship Type="http://schemas.openxmlformats.org/officeDocument/2006/relationships/hyperlink" Target="https://produto.mercadolivre.com.br/MLB-4224533463-caixa-de-ferramentas-monobloco-irwin-lwst18800-azul-crodas-_JM" TargetMode="External" Id="rId214" /><Relationship Type="http://schemas.openxmlformats.org/officeDocument/2006/relationships/hyperlink" Target="https://produto.mercadolivre.com.br/MLB-4234504543-bota-couro-atacama-horizon-bico-pvc-bracol-confortavel-epi-_JM" TargetMode="External" Id="rId215" /><Relationship Type="http://schemas.openxmlformats.org/officeDocument/2006/relationships/hyperlink" Target="http://produto.mercadolivre.com.br/MLB-4237649691-botina-amazonas-horizon-nobuck-bidensidade-bico-pvc-bracol-_JM" TargetMode="External" Id="rId216" /><Relationship Type="http://schemas.openxmlformats.org/officeDocument/2006/relationships/hyperlink" Target="https://produto.mercadolivre.com.br/MLB-5792115704-bota-polytech-pu-ecoboots-cano-longo-antiperfuro-composite-_JM" TargetMode="External" Id="rId217" /><Relationship Type="http://schemas.openxmlformats.org/officeDocument/2006/relationships/hyperlink" Target="https://www.mercadolivre.com.br/sensor-de-presenca-movimento-frontal-smart-x-control-exatron/up/MLBU3120050870" TargetMode="External" Id="rId218" /><Relationship Type="http://schemas.openxmlformats.org/officeDocument/2006/relationships/hyperlink" Target="https://produto.mercadolivre.com.br/MLB-4250240503-bota-galocha-ecoboots-cano-longo-bico-composite-bracol-_JM" TargetMode="External" Id="rId219" /><Relationship Type="http://schemas.openxmlformats.org/officeDocument/2006/relationships/hyperlink" Target="https://produto.mercadolivre.com.br/MLB-4238378183-capa-de-chuva-pvc-forrada-impermeavel-costura-reforcada-leve-_JM" TargetMode="External" Id="rId220" /><Relationship Type="http://schemas.openxmlformats.org/officeDocument/2006/relationships/hyperlink" Target="https://produto.mercadolivre.com.br/MLB-5772915416-bota-termica-frigorifica-alaska-baixa-temperatura-bracol-epi-_JM" TargetMode="External" Id="rId221" /><Relationship Type="http://schemas.openxmlformats.org/officeDocument/2006/relationships/hyperlink" Target="https://produto.mercadolivre.com.br/MLB-5826548640-cinta-lombar-standard-ergonmica-ajustavel-carregar-peso-_JM" TargetMode="External" Id="rId222" /><Relationship Type="http://schemas.openxmlformats.org/officeDocument/2006/relationships/hyperlink" Target="http://produto.mercadolivre.com.br/MLB-5830643206-avental-raspa-metalurgia-solda-sem-emenda-valcan-120x60cm-_JM" TargetMode="External" Id="rId223" /><Relationship Type="http://schemas.openxmlformats.org/officeDocument/2006/relationships/hyperlink" Target="https://produto.mercadolivre.com.br/MLB-5835908834-luva-vaqueta-natural-petroleira-resistencia-mecnica-epi-_JM" TargetMode="External" Id="rId224" /><Relationship Type="http://schemas.openxmlformats.org/officeDocument/2006/relationships/hyperlink" Target="https://produto.mercadolivre.com.br/MLB-4268140325-luva-raspa-cano-curto-petroleira-resistencia-mecnica-epi-_JM" TargetMode="External" Id="rId225" /><Relationship Type="http://schemas.openxmlformats.org/officeDocument/2006/relationships/hyperlink" Target="https://produto.mercadolivre.com.br/MLB-5838496572-bluso-raspa-vaqueta-couro-bl600-velcro-solda-metalurgia-_JM" TargetMode="External" Id="rId226" /><Relationship Type="http://schemas.openxmlformats.org/officeDocument/2006/relationships/hyperlink" Target="https://produto.mercadolivre.com.br/MLB-4270360673-bota-pvc-all-work-forro-impermeavel-antiderrapante-marluvas-_JM" TargetMode="External" Id="rId227" /><Relationship Type="http://schemas.openxmlformats.org/officeDocument/2006/relationships/hyperlink" Target="https://produto.mercadolivre.com.br/MLB-5849967770-cola-adesiva-instantnea-incolor-abond-super-aplicaco-5g-_JM" TargetMode="External" Id="rId228" /><Relationship Type="http://schemas.openxmlformats.org/officeDocument/2006/relationships/hyperlink" Target="https://produto.mercadolivre.com.br/MLB-5849841566-cola-adesiva-instantnea-incolor-abond-super-aplicaco-5un-_JM" TargetMode="External" Id="rId229" /><Relationship Type="http://schemas.openxmlformats.org/officeDocument/2006/relationships/hyperlink" Target="https://produto.mercadolivre.com.br/MLB-3833121751-sabonete-liquido-desengraxante-4l-citric-power-nutriex-_JM" TargetMode="External" Id="rId230" /><Relationship Type="http://schemas.openxmlformats.org/officeDocument/2006/relationships/hyperlink" Target="https://produto.mercadolivre.com.br/MLB-3833133821-sabonete-desengraxante-citric-power-4litros-refil-nutriex-_JM" TargetMode="External" Id="rId231" /><Relationship Type="http://schemas.openxmlformats.org/officeDocument/2006/relationships/hyperlink" Target="https://www.mercadolivre.com.br/syi/core/modify?itemId=MLB4276217327&amp;callback_url=https%3A%2F%2Fwww.mercadolivre.com.br%2Fanuncios%2Flista%3Ffilters%3DOMNI_ACTIVE%257COMNI_INACTIVE%257CCHANNEL_NO_PROXIMITY_AND_NO_MP_MERCHANTS%26page%3D1%26search%3Dmascara%26sort%3DDEFAULT" TargetMode="External" Id="rId232" /><Relationship Type="http://schemas.openxmlformats.org/officeDocument/2006/relationships/hyperlink" Target="https://www.mercadolivre.com.br/syi/core/modify?itemId=MLB4276230577&amp;callback_url=https%3A%2F%2Fwww.mercadolivre.com.br%2Fanuncios%2Flista%3Ffilters%3DOMNI_ACTIVE%257COMNI_INACTIVE%257CCHANNEL_NO_PROXIMITY_AND_NO_MP_MERCHANTS%26page%3D1%26search%3Dkit%2B10%26sort%3DDEFAULT" TargetMode="External" Id="rId233" /><Relationship Type="http://schemas.openxmlformats.org/officeDocument/2006/relationships/hyperlink" Target="https://www.mercadolivre.com.br/syi/core/modify?itemId=MLB4276205701&amp;callback_url=https%3A%2F%2Fwww.mercadolivre.com.br%2Fanuncios%2Flista%3Ffilters%3DOMNI_ACTIVE%257COMNI_INACTIVE%257CCHANNEL_NO_PROXIMITY_AND_NO_MP_MERCHANTS%26page%3D1%26search%3Dprotetor%2Bsolar%26sort%3DDEFAULT" TargetMode="External" Id="rId234" /><Relationship Type="http://schemas.openxmlformats.org/officeDocument/2006/relationships/hyperlink" Target="https://produto.mercadolivre.com.br/MLB-5862625558-protetor-solar-nutriex-profissional-c-repelente-fator-30-4l-_JM" TargetMode="External" Id="rId235" /><Relationship Type="http://schemas.openxmlformats.org/officeDocument/2006/relationships/hyperlink" Target="https://produto.mercadolivre.com.br/MLB-5862808590-cinturo-cinto-ferramentas-c-10-bolsos-em-lona-carpinteiro-_JM" TargetMode="External" Id="rId236" /><Relationship Type="http://schemas.openxmlformats.org/officeDocument/2006/relationships/hyperlink" Target="https://produto.mercadolivre.com.br/MLB-5862550516-bota-new-prime-nobuck-anti-chamas-eletricista-nr10-bico-pvc-_JM" TargetMode="External" Id="rId237" /><Relationship Type="http://schemas.openxmlformats.org/officeDocument/2006/relationships/hyperlink" Target="https://www.mercadolivre.com.br/bota-pvc-stivalleto-impermeavel-forrado-preto-cano-curto/up/MLBU3847815043" TargetMode="External" Id="rId238" /><Relationship Type="http://schemas.openxmlformats.org/officeDocument/2006/relationships/hyperlink" Target="https://produto.mercadolivre.com.br/MLB-5864766062-celula-carga-de-gas-para-pistola-fixaco-fga850n-1000-tiros-_JM" TargetMode="External" Id="rId239" /><Relationship Type="http://schemas.openxmlformats.org/officeDocument/2006/relationships/hyperlink" Target="https://produto.mercadolivre.com.br/MLB-4277226515-botina-elastico-couro-bel-plus-bico-composite-monodensidade-_JM" TargetMode="External" Id="rId240" /><Relationship Type="http://schemas.openxmlformats.org/officeDocument/2006/relationships/hyperlink" Target="https://produto.mercadolivre.com.br/MLB-5865932756-kit-2-luva-verniz-silver-latex-proteco-quimica-impermeavel-_JM" TargetMode="External" Id="rId241" /><Relationship Type="http://schemas.openxmlformats.org/officeDocument/2006/relationships/hyperlink" Target="https://produto.mercadolivre.com.br/MLB-5865999822-kit-6-luva-verniz-silver-latex-proteco-quimica-impermeavel-_JM" TargetMode="External" Id="rId242" /><Relationship Type="http://schemas.openxmlformats.org/officeDocument/2006/relationships/hyperlink" Target="https://produto.mercadolivre.com.br/MLB-4277469063-kit-disco-de-corte-bna12-15x1x223mm-corte-rapido-norton-5un-_JM" TargetMode="External" Id="rId243" /><Relationship Type="http://schemas.openxmlformats.org/officeDocument/2006/relationships/hyperlink" Target="https://produto.mercadolivre.com.br/MLB-5869281552-kit-disco-de-corte-bna12-15x1x223mm-corte-rapido-norton-8un-_JM" TargetMode="External" Id="rId244" /><Relationship Type="http://schemas.openxmlformats.org/officeDocument/2006/relationships/hyperlink" Target="https://produto.mercadolivre.com.br/MLB-5869402276-kit-disco-desbaste-180x64x2223mm-bda600-classic-norton-4un-_JM" TargetMode="External" Id="rId245" /><Relationship Type="http://schemas.openxmlformats.org/officeDocument/2006/relationships/hyperlink" Target="https://produto.mercadolivre.com.br/MLB-5869402692-disco-desbaste-180x64x2223mm-bda600-duravel-classic-norton-_JM" TargetMode="External" Id="rId246" /><Relationship Type="http://schemas.openxmlformats.org/officeDocument/2006/relationships/hyperlink" Target="https://produto.mercadolivre.com.br/MLB-5873272254-corrente-de-seguranca-delimitaco-sinalizaco-plastcor-50m-_JM" TargetMode="External" Id="rId247" /><Relationship Type="http://schemas.openxmlformats.org/officeDocument/2006/relationships/hyperlink" Target="https://produto.mercadolivre.com.br/MLB-5885590292-corrente-pead-plastico-delimitaco-logistica-seguranca-10m-_JM" TargetMode="External" Id="rId248" /><Relationship Type="http://schemas.openxmlformats.org/officeDocument/2006/relationships/hyperlink" Target="https://produto.mercadolivre.com.br/MLB-5885635422-corrente-de-seguranca-demarcar-area-para-obras-plastcor-5m-_JM" TargetMode="External" Id="rId249" /><Relationship Type="http://schemas.openxmlformats.org/officeDocument/2006/relationships/hyperlink" Target="https://produto.mercadolivre.com.br/MLB-4282350711-corrente-pead-plastico-cone-demarcar-acesso-preto-laranja-2m-_JM" TargetMode="External" Id="rId250" /><Relationship Type="http://schemas.openxmlformats.org/officeDocument/2006/relationships/hyperlink" Target="https://produto.mercadolivre.com.br/MLB-5877428880-kit-luva-latex-natural-silver-grip-nitrilica-reforcada-5un-_JM" TargetMode="External" Id="rId251" /><Relationship Type="http://schemas.openxmlformats.org/officeDocument/2006/relationships/hyperlink" Target="https://produto.mercadolivre.com.br/MLB-5878928678-kit-luva-latex-silver-grip-nitrilica-da360am-amarela-10pares-_JM" TargetMode="External" Id="rId252" /><Relationship Type="http://schemas.openxmlformats.org/officeDocument/2006/relationships/hyperlink" Target="https://produto.mercadolivre.com.br/MLB-5885497866-avental-pvc-ajustavel-resistncia-quimica-kp1000-limpeza-epi-_JM" TargetMode="External" Id="rId253" /><Relationship Type="http://schemas.openxmlformats.org/officeDocument/2006/relationships/hyperlink" Target="https://produto.mercadolivre.com.br/MLB-4282769179-adesivo-selante-pu40-alta-aderncia-vedaco-tekbond-branco-_JM" TargetMode="External" Id="rId254" /><Relationship Type="http://schemas.openxmlformats.org/officeDocument/2006/relationships/hyperlink" Target="https://produto.mercadolivre.com.br/MLB-4282824409-kit-fixador-pu40-secagem-rapida-vedaco-selante-branco-3un-_JM" TargetMode="External" Id="rId255" /><Relationship Type="http://schemas.openxmlformats.org/officeDocument/2006/relationships/hyperlink" Target="https://produto.mercadolivre.com.br/MLB-5887767014-kit-silicone-pu40-alta-aderncia-vedaco-potente-branco-10un-_JM" TargetMode="External" Id="rId256" /><Relationship Type="http://schemas.openxmlformats.org/officeDocument/2006/relationships/hyperlink" Target="https://produto.mercadolivre.com.br/MLB-5892054624-botina-bota-flex-hes-ocupacional-couro-acolchoada-forrada-_JM" TargetMode="External" Id="rId257" /><Relationship Type="http://schemas.openxmlformats.org/officeDocument/2006/relationships/hyperlink" Target="https://produto.mercadolivre.com.br/MLB-4283860121-capuz-balaclava-proteco-solar-uv50-poliester-azul-royal-_JM" TargetMode="External" Id="rId258" /><Relationship Type="http://schemas.openxmlformats.org/officeDocument/2006/relationships/hyperlink" Target="https://produto.mercadolivre.com.br/MLB-2785364363-bota-botina-seguranca-masculina-epi-bico-pvc-cano-baixo-top-_JM" TargetMode="External" Id="rId259" /><Relationship Type="http://schemas.openxmlformats.org/officeDocument/2006/relationships/hyperlink" Target="https://produto.mercadolivre.com.br/MLB-4286671627-alicate-corte-eletricista-diagonal-1000v-isolado-resistente-_JM" TargetMode="External" Id="rId260" /><Relationship Type="http://schemas.openxmlformats.org/officeDocument/2006/relationships/hyperlink" Target="https://produto.mercadolivre.com.br/MLB-5896228948-alicate-corte-diagonal-8-curvo-eletricista-vise-grip-irwin-_JM" TargetMode="External" Id="rId261" /><Relationship Type="http://schemas.openxmlformats.org/officeDocument/2006/relationships/hyperlink" Target="https://produto.mercadolivre.com.br/MLB-5897235428-alicate-universal-eletricista-vise-grip-95-polegadas-irwin-_JM" TargetMode="External" Id="rId262" /><Relationship Type="http://schemas.openxmlformats.org/officeDocument/2006/relationships/hyperlink" Target="https://produto.mercadolivre.com.br/MLB-4288547521-botina-bota-bel-ocupacional-microfibra-resistente-perfuraco-_JM" TargetMode="External" Id="rId263" /><Relationship Type="http://schemas.openxmlformats.org/officeDocument/2006/relationships/hyperlink" Target="https://produto.mercadolivre.com.br/MLB-5902737844-macaco-seguranca-kp400-pvc-quimica-impermeavel-cziper-_JM" TargetMode="External" Id="rId264" /><Relationship Type="http://schemas.openxmlformats.org/officeDocument/2006/relationships/hyperlink" Target="https://produto.mercadolivre.com.br/MLB-2914359248-capa-de-chuva-forrada-trevira-amarela-resistente-impermeavel-_JM" TargetMode="External" Id="rId265" /><Relationship Type="http://schemas.openxmlformats.org/officeDocument/2006/relationships/hyperlink" Target="https://produto.mercadolivre.com.br/MLB-4290191887-fita-adesiva-zebrada-rolo-70mm-x-200mm-plastcor-demarcaco-_JM" TargetMode="External" Id="rId266" /><Relationship Type="http://schemas.openxmlformats.org/officeDocument/2006/relationships/hyperlink" Target="https://produto.mercadolivre.com.br/MLB-4291633869-fita-adesiva-zebrada-demarcaco-sinalizaco-7cm-x-200m-2un-_JM" TargetMode="External" Id="rId267" /><Relationship Type="http://schemas.openxmlformats.org/officeDocument/2006/relationships/hyperlink" Target="https://produto.mercadolivre.com.br/MLB-4291318083-fita-zebrada-isolamento-sinalizaco-rolo-70mm-x-200m-kit-5un-_JM" TargetMode="External" Id="rId268" /><Relationship Type="http://schemas.openxmlformats.org/officeDocument/2006/relationships/hyperlink" Target="https://produto.mercadolivre.com.br/MLB-4290895879-fita-adesiva-zebrada-perimetro-sinalizaco-70mm-x-200m-10un-_JM" TargetMode="External" Id="rId269" /><Relationship Type="http://schemas.openxmlformats.org/officeDocument/2006/relationships/hyperlink" Target="https://produto.mercadolivre.com.br/MLB-4291327141-fita-adesiva-zebrada-demarcaco-isolamento-7cm-x-200m-20un-_JM" TargetMode="External" Id="rId270" /><Relationship Type="http://schemas.openxmlformats.org/officeDocument/2006/relationships/hyperlink" Target="https://produto.mercadolivre.com.br/MLB-5913550104-luva-nitrilica-nitriflex-cano-longo-46cm-resistencia-quimica-_JM" TargetMode="External" Id="rId271" /><Relationship Type="http://schemas.openxmlformats.org/officeDocument/2006/relationships/hyperlink" Target="https://produto.mercadolivre.com.br/MLB-4293288237-luva-grip-tricotada-algodo-palma-revestida-latex-tamanho-g-_JM" TargetMode="External" Id="rId272" /><Relationship Type="http://schemas.openxmlformats.org/officeDocument/2006/relationships/hyperlink" Target="https://produto.mercadolivre.com.br/MLB-5914199716-luva-grip-tricotada-algodo-reforcada-proteco-tamanho-g-2un-_JM" TargetMode="External" Id="rId273" /><Relationship Type="http://schemas.openxmlformats.org/officeDocument/2006/relationships/hyperlink" Target="https://produto.mercadolivre.com.br/MLB-4294640887-luva-grip-tricotada-reforcada-proteco-mecnica-tamanho-g-5u-_JM" TargetMode="External" Id="rId274" /><Relationship Type="http://schemas.openxmlformats.org/officeDocument/2006/relationships/hyperlink" Target="https://produto.mercadolivre.com.br/MLB-4294577981-kit-luva-grip-tricotada-reforcada-volk-tamanho-g-12-pares-_JM" TargetMode="External" Id="rId275" /><Relationship Type="http://schemas.openxmlformats.org/officeDocument/2006/relationships/hyperlink" Target="https://www.mercadolivre.com.br/syi/core/modify?itemId=MLB4293235795&amp;callback_url=https%3A%2F%2Fwww.mercadolivre.com.br%2Fanuncios%2Flista%3Ffilters%3DOMNI_ACTIVE%257COMNI_INACTIVE%257CCHANNEL_NO_PROXIMITY_AND_NO_MP_MERCHANTS%26page%3D1%26search%3Dkit%2B2%2Bfita%26sort%3DDEFAULT" TargetMode="External" Id="rId276" /><Relationship Type="http://schemas.openxmlformats.org/officeDocument/2006/relationships/hyperlink" Target="https://www.mercadolivre.com.br/syi/core/modify?itemId=MLB5914143390&amp;callback_url=https%3A%2F%2Fwww.mercadolivre.com.br%2Fanuncios%2Flista%3Fpage%3D1%26sort%3DCREATE_LAST" TargetMode="External" Id="rId277" /><Relationship Type="http://schemas.openxmlformats.org/officeDocument/2006/relationships/hyperlink" Target="https://www.mercadolivre.com.br/syi/core/modify?itemId=MLB5914919146&amp;callback_url=https%3A%2F%2Fwww.mercadolivre.com.br%2Fanuncios%2Flista%3Ffilters%3DOMNI_ACTIVE%257COMNI_INACTIVE%257CCHANNEL_NO_PROXIMITY_AND_NO_MP_MERCHANTS%26page%3D1%26search%3Dparafuso%26sort%3DDEFAULT" TargetMode="External" Id="rId278" /><Relationship Type="http://schemas.openxmlformats.org/officeDocument/2006/relationships/hyperlink" Target="https://www.mercadolivre.com.br/syi/core/modify?itemId=MLB4293690737&amp;callback_url=https%3A%2F%2Fwww.mercadolivre.com.br%2Fanuncios%2Flista%3Fpage%3D1%26sort%3DCREATE_LAST" TargetMode="External" Id="rId279" /><Relationship Type="http://schemas.openxmlformats.org/officeDocument/2006/relationships/hyperlink" Target="https://produto.mercadolivre.com.br/MLB-5922166854-macaco-tyvek-500-reforcado-proteco-quimica-antiestetico-_JM" TargetMode="External" Id="rId280" /><Relationship Type="http://schemas.openxmlformats.org/officeDocument/2006/relationships/hyperlink" Target="https://produto.mercadolivre.com.br/MLB-5923182732-luva-latex-verniz-silver-reforcada-punho-picotado-limpeza-_JM" TargetMode="External" Id="rId281" /><Relationship Type="http://schemas.openxmlformats.org/officeDocument/2006/relationships/hyperlink" Target="https://produto.mercadolivre.com.br/MLB-5925150202-kit-2-luva-latex-natural-silver-confortavel-alta-aderncia-_JM" TargetMode="External" Id="rId282" /><Relationship Type="http://schemas.openxmlformats.org/officeDocument/2006/relationships/hyperlink" Target="https://produto.mercadolivre.com.br/MLB-5924863266-luva-latex-verniz-silver-impermeavel-anatmica-cano-curto-6u-_JM" TargetMode="External" Id="rId283" /><Relationship Type="http://schemas.openxmlformats.org/officeDocument/2006/relationships/hyperlink" Target="https://produto.mercadolivre.com.br/MLB-4300117583-kit-10-luva-latex-natural-silver-antialergica-limpeza-pesada-_JM" TargetMode="External" Id="rId284" /><Relationship Type="http://schemas.openxmlformats.org/officeDocument/2006/relationships/hyperlink" Target="https://www.mercadolivre.com.br/syi/core/modify?itemId=MLB4300351237&amp;callback_url=https%3A%2F%2Fwww.mercadolivre.com.br%2Fanuncios%2Flista%3Ffilters%3DOMNI_ACTIVE%257COMNI_INACTIVE%257CCHANNEL_NO_PROXIMITY_AND_NO_MP_MERCHANTS%26page%3D1%26search%3D3%252F8%26sort%3DDEFAULT" TargetMode="External" Id="rId285" /><Relationship Type="http://schemas.openxmlformats.org/officeDocument/2006/relationships/hyperlink" Target="https://produto.mercadolivre.com.br/MLB-5926396292-botina-tnnis-elegance-antiestatico-bidensidade-laboratorio-_JM" TargetMode="External" Id="rId286" /><Relationship Type="http://schemas.openxmlformats.org/officeDocument/2006/relationships/hyperlink" Target="http://produto.mercadolivre.com.br/MLB-5926598592-fita-perfurada-aco-galvanizado-fixaco-tubulaco-19mm-x-30m-_JM" TargetMode="External" Id="rId287" /><Relationship Type="http://schemas.openxmlformats.org/officeDocument/2006/relationships/hyperlink" Target="https://produto.mercadolivre.com.br/MLB-5926535498-fita-perfurada-galvanizado-fixar-sustentaco-17mm-x-30m-rolo-_JM" TargetMode="External" Id="rId288" /><Relationship Type="http://schemas.openxmlformats.org/officeDocument/2006/relationships/hyperlink" Target="https://produto.mercadolivre.com.br/MLB-5929240268-kit-fita-perfurada-aco-rigido-fixar-tubos-19mm-x-30m-4un-_JM" TargetMode="External" Id="rId289" /><Relationship Type="http://schemas.openxmlformats.org/officeDocument/2006/relationships/hyperlink" Target="https://produto.mercadolivre.com.br/MLB-5929319224-kit-fita-perfurada-zincado-galvanizado-17mm-x-30-metros-4un-_JM" TargetMode="External" Id="rId290" /><Relationship Type="http://schemas.openxmlformats.org/officeDocument/2006/relationships/hyperlink" Target="https://produto.mercadolivre.com.br/MLB-5929982424-pino-aco-aco-direta-14-x-30-x-20-concreto-px3020-100un-_JM" TargetMode="External" Id="rId291" /><Relationship Type="http://schemas.openxmlformats.org/officeDocument/2006/relationships/hyperlink" Target="https://produto.mercadolivre.com.br/MLB-5930022940-pino-liso-aco-direta-14x30x20-roscado-concreto-300-pecas-_JM" TargetMode="External" Id="rId292" /><Relationship Type="http://schemas.openxmlformats.org/officeDocument/2006/relationships/hyperlink" Target="https://produto.mercadolivre.com.br/MLB-5929989548-pino-liso-aco-direta-14x30x20mm-c-rosca-concreto-500pcs-_JM" TargetMode="External" Id="rId293" /><Relationship Type="http://schemas.openxmlformats.org/officeDocument/2006/relationships/hyperlink" Target="https://produto.mercadolivre.com.br/MLB-4306309595-chumbador-cba-jaqueta-cone-14-32mm-furo-10mm-fixaco-50-pcs-_JM" TargetMode="External" Id="rId294" /><Relationship Type="http://schemas.openxmlformats.org/officeDocument/2006/relationships/hyperlink" Target="https://produto.mercadolivre.com.br/MLB-5935487142-jaqueta-cone-14-32mm-furo-10mm-chumbador-cb-alvenaria-100un-_JM" TargetMode="External" Id="rId295" /><Relationship Type="http://schemas.openxmlformats.org/officeDocument/2006/relationships/hyperlink" Target="https://produto.mercadolivre.com.br/MLB-4306495183-chumbador-jaqueta-cone-14-32mm-furo-10mm-concreto-cba-200un-_JM" TargetMode="External" Id="rId296" /><Relationship Type="http://schemas.openxmlformats.org/officeDocument/2006/relationships/hyperlink" Target="https://produto.mercadolivre.com.br/MLB-4306924609-chumbador-jaqueta-cone-12-50mm-furo-19mm-cb-alvenaria-50pcs-_JM" TargetMode="External" Id="rId297" /><Relationship Type="http://schemas.openxmlformats.org/officeDocument/2006/relationships/hyperlink" Target="https://produto.mercadolivre.com.br/MLB-5937012074-chumbador-jaqueta-alvenaria-cb-12-50mm-anticorrosivo-100un-_JM" TargetMode="External" Id="rId298" /><Relationship Type="http://schemas.openxmlformats.org/officeDocument/2006/relationships/hyperlink" Target="https://produto.mercadolivre.com.br/MLB-5936892656-chumbador-jaqueta-cone-cb-12-50mm-parafuso-prisioneiro-200-_JM" TargetMode="External" Id="rId299" /><Relationship Type="http://schemas.openxmlformats.org/officeDocument/2006/relationships/hyperlink" Target="https://produto.mercadolivre.com.br/MLB-4307100461-chumbador-jaqueta-cone-cb-aco-516-pol-34mm-concreto-50un-_JM" TargetMode="External" Id="rId300" /><Relationship Type="http://schemas.openxmlformats.org/officeDocument/2006/relationships/hyperlink" Target="https://produto.mercadolivre.com.br/MLB-5944725710-chumbador-jaqueta-cone-cb-516-pol-34mm-fixaco-100-pcs-_JM" TargetMode="External" Id="rId301" /><Relationship Type="http://schemas.openxmlformats.org/officeDocument/2006/relationships/hyperlink" Target="https://produto.mercadolivre.com.br/MLB-4313276359-prolongador-liso-12-zincado-p-chumbador-cba-extensor-50un-_JM" TargetMode="External" Id="rId302" /><Relationship Type="http://schemas.openxmlformats.org/officeDocument/2006/relationships/hyperlink" Target="https://produto.mercadolivre.com.br/MLB-4313604651-prolongador-liso-12-aco-carbono-chumbador-cba-fixaco-25un-_JM" TargetMode="External" Id="rId303" /><Relationship Type="http://schemas.openxmlformats.org/officeDocument/2006/relationships/hyperlink" Target="https://produto.mercadolivre.com.br/MLB-5947781016-arruela-lisa-plana-acabamento-zincada-516-pol-7mm-1kg-400un-_JM" TargetMode="External" Id="rId304" /><Relationship Type="http://schemas.openxmlformats.org/officeDocument/2006/relationships/hyperlink" Target="https://produto.mercadolivre.com.br/MLB-5947817988-arruela-lisa-p-chumbadores-parafusos-516-pol-7mm-2kg-800un-_JM" TargetMode="External" Id="rId305" /><Relationship Type="http://schemas.openxmlformats.org/officeDocument/2006/relationships/hyperlink" Target="https://produto.mercadolivre.com.br/MLB-4315090407-arruela-lisa-zincada-brilhante-14-pol-chumbador-1kg-500un-_JM" TargetMode="External" Id="rId306" /><Relationship Type="http://schemas.openxmlformats.org/officeDocument/2006/relationships/hyperlink" Target="https://produto.mercadolivre.com.br/MLB-5949891932-arruela-lisa-zincada-14-pol-parafuso-chumbador-2kg-1000un-_JM" TargetMode="External" Id="rId307" /><Relationship Type="http://schemas.openxmlformats.org/officeDocument/2006/relationships/hyperlink" Target="https://produto.mercadolivre.com.br/MLB-5950732312-arruela-lisa-zincada-38-pol-m8-p-porca-parafuso-1kg-200un-_JM" TargetMode="External" Id="rId308" /><Relationship Type="http://schemas.openxmlformats.org/officeDocument/2006/relationships/hyperlink" Target="https://produto.mercadolivre.com.br/MLB-5957051894-arruela-lisa-zincada-38-m8-p-chumbador-parafuso-2kg-400un-_JM" TargetMode="External" Id="rId309" /><Relationship Type="http://schemas.openxmlformats.org/officeDocument/2006/relationships/hyperlink" Target="https://produto.mercadolivre.com.br/MLB-4319930445-arruela-lisa-zincada-12-m12-barra-roscada-porca-1kg-100un-_JM" TargetMode="External" Id="rId310" /><Relationship Type="http://schemas.openxmlformats.org/officeDocument/2006/relationships/hyperlink" Target="https://produto.mercadolivre.com.br/MLB-5957376040-arruela-lisa-zincada-12-pol-m12-chumbador-porca-2kg-200un-_JM" TargetMode="External" Id="rId311" /><Relationship Type="http://schemas.openxmlformats.org/officeDocument/2006/relationships/hyperlink" Target="https://produto.mercadolivre.com.br/MLB-4320494223-luva-algodo-latex-termica-gladiador-vulcanizada-reforcada-_JM" TargetMode="External" Id="rId312" /><Relationship Type="http://schemas.openxmlformats.org/officeDocument/2006/relationships/hyperlink" Target="https://produto.mercadolivre.com.br/MLB-4324677217-luva-gladiador-latex-azul-reforcada-seguranca-obra-3-pares-_JM" TargetMode="External" Id="rId313" /><Relationship Type="http://schemas.openxmlformats.org/officeDocument/2006/relationships/hyperlink" Target="https://www.mercadolivre.com.br/syi/core/modify?itemId=MLB3954889381&amp;callback_url=https%3A%2F%2Fwww.mercadolivre.com.br%2Fanuncios%2Flista%3Fpage%3D1%26sort%3DCREATE_LAST" TargetMode="External" Id="rId314" /><Relationship Type="http://schemas.openxmlformats.org/officeDocument/2006/relationships/hyperlink" Target="https://www.mercadolivre.com.br/prego-15x15-concreto-aco-galvanizado-bicromatizado-1000un/up/MLBU3607944737" TargetMode="External" Id="rId315" /><Relationship Type="http://schemas.openxmlformats.org/officeDocument/2006/relationships/hyperlink" Target="https://www.mercadolivre.com.br/luva-descartavel-de-latex-com-po-medix-cor-natural-tamanho-m-x-100-unidades/p/MLB18634781?pdp_filters=item_id:MLB6423196232" TargetMode="External" Id="rId316" /><Relationship Type="http://schemas.openxmlformats.org/officeDocument/2006/relationships/hyperlink" Target="https://www.bouwobra.com.br/MLB-4325306577-luva-latex-natural-macia-c-po-nitrilica-descartavel-500-un-_JM" TargetMode="External" Id="rId317" /><Relationship Type="http://schemas.openxmlformats.org/officeDocument/2006/relationships/hyperlink" Target="https://produto.mercadolivre.com.br/MLB-4327306407-adesivo-silicone-acetico-construco-transparente-vedaco-_JM" TargetMode="External" Id="rId318" /><Relationship Type="http://schemas.openxmlformats.org/officeDocument/2006/relationships/hyperlink" Target="http://produto.mercadolivre.com.br/MLB-4327322361-kit-3-silicone-transparente-incolor-construco-veda-pia-box-_JM" TargetMode="External" Id="rId319" /><Relationship Type="http://schemas.openxmlformats.org/officeDocument/2006/relationships/hyperlink" Target="https://produto.mercadolivre.com.br/MLB-5971005000-silicone-incolor-acetico-construco-multi-uso-vedaco-10un-_JM" TargetMode="External" Id="rId320" /><Relationship Type="http://schemas.openxmlformats.org/officeDocument/2006/relationships/hyperlink" Target="https://produto.mercadolivre.com.br/MLB-4329667583-luva-nitrilica-forrada-reutilizavel-limpeza-antiderrapante-_JM" TargetMode="External" Id="rId321" /><Relationship Type="http://schemas.openxmlformats.org/officeDocument/2006/relationships/hyperlink" Target="https://produto.mercadolivre.com.br/MLB-4329853609-luva-borracha-nitrilica-s-forro-anatmica-reforcada-limpeza-_JM" TargetMode="External" Id="rId322" /><Relationship Type="http://schemas.openxmlformats.org/officeDocument/2006/relationships/hyperlink" Target="http://produto.mercadolivre.com.br/MLB-5978942570-kit-luva-nitrilica-reforcada-limpeza-multi-uso-3-pares-_JM" TargetMode="External" Id="rId323" /><Relationship Type="http://schemas.openxmlformats.org/officeDocument/2006/relationships/hyperlink" Target="https://www.mercadolivre.com.br/cone-refletivo-flexivel-75cm-x-40cm-laranja-obra-delimitacao/up/MLBU3638479466" TargetMode="External" Id="rId324" /><Relationship Type="http://schemas.openxmlformats.org/officeDocument/2006/relationships/hyperlink" Target="https://produto.mercadolivre.com.br/MLB-5979814910-cone-flexivel-laranja-faixa-branca-50cm-sinalizaco-trnsito-_JM" TargetMode="External" Id="rId325" /><Relationship Type="http://schemas.openxmlformats.org/officeDocument/2006/relationships/hyperlink" Target="https://produto.mercadolivre.com.br/MLB-5979754324-kit-3-cone-refletivo-flexivel-50cm-sinalizaco-transito-obra-_JM" TargetMode="External" Id="rId326" /><Relationship Type="http://schemas.openxmlformats.org/officeDocument/2006/relationships/hyperlink" Target="https://produto.mercadolivre.com.br/MLB-5982277486-cone-laranja-rigido-27cm-x-50cm-plt-faixas-branca-demarcaco-_JM" TargetMode="External" Id="rId327" /><Relationship Type="http://schemas.openxmlformats.org/officeDocument/2006/relationships/hyperlink" Target="https://produto.mercadolivre.com.br/MLB-4334088957-cone-laranja-faixa-injetada-27cm-x50cm-sinalizaco-kit-2un-_JM" TargetMode="External" Id="rId328" /><Relationship Type="http://schemas.openxmlformats.org/officeDocument/2006/relationships/hyperlink" Target="https://produto.mercadolivre.com.br/MLB-5983162190-cone-rigido-laranja-plastico-delimitar-perimetro-obra-4-un-_JM" TargetMode="External" Id="rId329" /><Relationship Type="http://schemas.openxmlformats.org/officeDocument/2006/relationships/hyperlink" Target="https://produto.mercadolivre.com.br/MLB-5986048668-luva-nitril-full-punho-liso-proteco-quimica-mecnica-epi-_JM" TargetMode="External" Id="rId330" /><Relationship Type="http://schemas.openxmlformats.org/officeDocument/2006/relationships/hyperlink" Target="https://produto.mercadolivre.com.br/MLB-4034318739-disco-de-corte-diamantado-nove54-no-3-segmentado-105mm-_JM" TargetMode="External" Id="rId331" /><Relationship Type="http://schemas.openxmlformats.org/officeDocument/2006/relationships/hyperlink" Target="https://produto.mercadolivre.com.br/MLB-4335496915-luva-nitril-full-grip-lisa-black-automotivo-oleo-graxa-2-prs-_JM" TargetMode="External" Id="rId332" /><Relationship Type="http://schemas.openxmlformats.org/officeDocument/2006/relationships/hyperlink" Target="http://produto.mercadolivre.com.br/MLB-4335575325-luva-nitril-full-anatmica-fibra-sintetica-impermeavel-5-prs-_JM" TargetMode="External" Id="rId333" /><Relationship Type="http://schemas.openxmlformats.org/officeDocument/2006/relationships/hyperlink" Target="https://produto.mercadolivre.com.br/MLB-5986217678-luva-nitril-full-tricotado-alta-performance-anatmica-10-prs-_JM" TargetMode="External" Id="rId334" /><Relationship Type="http://schemas.openxmlformats.org/officeDocument/2006/relationships/hyperlink" Target="https://produto.mercadolivre.com.br/MLB-4339193469-luva-limpeza-confort-latex-amarelo-cozinha-multiuso-5-pares-_JM" TargetMode="External" Id="rId335" /><Relationship Type="http://schemas.openxmlformats.org/officeDocument/2006/relationships/hyperlink" Target="http://produto.mercadolivre.com.br/MLB-4339286271-luva-limpeza-faxina-confort-latex-antiderrapante-louca-12-un-_JM" TargetMode="External" Id="rId336" /><Relationship Type="http://schemas.openxmlformats.org/officeDocument/2006/relationships/hyperlink" Target="https://produto.mercadolivre.com.br/MLB-4341270499-fita-adesiva-bopp-empacotamento-45mm-x-100m-alta-aderncia-_JM" TargetMode="External" Id="rId337" /><Relationship Type="http://schemas.openxmlformats.org/officeDocument/2006/relationships/hyperlink" Target="https://produto.mercadolivre.com.br/MLB-5996606324-fita-adesiva-transparente-reforcada-45cm-x-100m-mudanca-2un-_JM" TargetMode="External" Id="rId338" /><Relationship Type="http://schemas.openxmlformats.org/officeDocument/2006/relationships/hyperlink" Target="https://produto.mercadolivre.com.br/MLB-5996546674-fita-adesiva-mudanca-encomenda-45mm-x-100m-logistica-kit-5-_JM" TargetMode="External" Id="rId339" /><Relationship Type="http://schemas.openxmlformats.org/officeDocument/2006/relationships/hyperlink" Target="http://produto.mercadolivre.com.br/MLB-4341280901-kit-10-rolo-fita-adesiva-transparente-45mm-x-100m-reforcada-_JM" TargetMode="External" Id="rId340" /><Relationship Type="http://schemas.openxmlformats.org/officeDocument/2006/relationships/hyperlink" Target="http://produto.mercadolivre.com.br/MLB-4341490291-fita-adesiva-cuidado-fragil-48mm-x-100m-lacre-sinalizaco-_JM" TargetMode="External" Id="rId341" /><Relationship Type="http://schemas.openxmlformats.org/officeDocument/2006/relationships/hyperlink" Target="https://produto.mercadolivre.com.br/MLB-5997264470-fita-adesiva-cuidado-fragil-48mm-x-100m-embalagem-2-rolos-_JM" TargetMode="External" Id="rId342" /><Relationship Type="http://schemas.openxmlformats.org/officeDocument/2006/relationships/hyperlink" Target="http://produto.mercadolivre.com.br/MLB-4342763163-kit-fita-adesiva-cuidado-fragil-48mm-x-100m-empacotar-5un-_JM" TargetMode="External" Id="rId343" /><Relationship Type="http://schemas.openxmlformats.org/officeDocument/2006/relationships/hyperlink" Target="https://produto.mercadolivre.com.br/MLB-4342777621-fita-adesiva-cuidado-fragil-48mm-x-100m-mudanca-kit-10un-_JM" TargetMode="External" Id="rId344" /><Relationship Type="http://schemas.openxmlformats.org/officeDocument/2006/relationships/hyperlink" Target="https://produto.mercadolivre.com.br/MLB-5926105356-kit-2-rolo-textura-media-11065-acabamento-premium-23cm-_JM" TargetMode="External" Id="rId345" /><Relationship Type="http://schemas.openxmlformats.org/officeDocument/2006/relationships/hyperlink" Target="https://produto.mercadolivre.com.br/MLB-4300269223-rolo-de-textura-media-11065-atlas-acabamento-premium-23cm-_JM" TargetMode="External" Id="rId346" /><Relationship Type="http://schemas.openxmlformats.org/officeDocument/2006/relationships/hyperlink" Target="https://produto.mercadolivre.com.br/MLB-6001877418-tnis-ocupacional-preto-bse-seguranca-bico-pvc-bidensidade-_JM" TargetMode="External" Id="rId347" /><Relationship Type="http://schemas.openxmlformats.org/officeDocument/2006/relationships/hyperlink" Target="https://produto.mercadolivre.com.br/MLB-6002979214-trena-profissional-3m-x-13mm-12-pol-standard-sistema-freio-_JM" TargetMode="External" Id="rId348" /><Relationship Type="http://schemas.openxmlformats.org/officeDocument/2006/relationships/hyperlink" Target="https://produto.mercadolivre.com.br/MLB-6003023808-trena-profissional-5m-x-19mm-standard-fita-aco-trava-medico-_JM" TargetMode="External" Id="rId349" /><Relationship Type="http://schemas.openxmlformats.org/officeDocument/2006/relationships/hyperlink" Target="https://produto.mercadolivre.com.br/MLB-4343694043-trena-de-medico-8m-x-25mm-profissional-fita-aco-com-trava-_JM" TargetMode="External" Id="rId350" /><Relationship Type="http://schemas.openxmlformats.org/officeDocument/2006/relationships/hyperlink" Target="https://produto.mercadolivre.com.br/MLB-6004919462-trena-profissional-plus-auto-trava-10m-x-25mm-alta-preciso-_JM" TargetMode="External" Id="rId351" /><Relationship Type="http://schemas.openxmlformats.org/officeDocument/2006/relationships/hyperlink" Target="https://produto.mercadolivre.com.br/MLB-6005244942-trena-profissional-plus-auto-trava-8m-x-25mm-emborrachada-_JM" TargetMode="External" Id="rId352" /><Relationship Type="http://schemas.openxmlformats.org/officeDocument/2006/relationships/hyperlink" Target="https://produto.mercadolivre.com.br/MLB-4345284807-trena-aco-10m-x-25mm-abs-plus-profissional-medico-precisa-_JM" TargetMode="External" Id="rId353" /><Relationship Type="http://schemas.openxmlformats.org/officeDocument/2006/relationships/hyperlink" Target="https://produto.mercadolivre.com.br/MLB-6005537412-trena-profissional-plus-8mts-x-25mm-metragem-metro-polegada-_JM" TargetMode="External" Id="rId354" /><Relationship Type="http://schemas.openxmlformats.org/officeDocument/2006/relationships/hyperlink" Target="https://produto.mercadolivre.com.br/MLB-6005668978-trena-plus-5mts-x-19mm-fita-aco-anatmica-termoplastica-obra-_JM" TargetMode="External" Id="rId355" /><Relationship Type="http://schemas.openxmlformats.org/officeDocument/2006/relationships/hyperlink" Target="https://produto.mercadolivre.com.br/MLB-4345559345-trena-longa-aco-10mts-x-25mm-linha-milimetros-polegadas-pro-_JM" TargetMode="External" Id="rId356" /><Relationship Type="http://schemas.openxmlformats.org/officeDocument/2006/relationships/hyperlink" Target="https://produto.mercadolivre.com.br/MLB-4357540455-botina-cano-alto-microfibra-esmeralda-bidensidade-antifuro-_JM" TargetMode="External" Id="rId357" /><Relationship Type="http://schemas.openxmlformats.org/officeDocument/2006/relationships/hyperlink" Target="http://produto.mercadolivre.com.br/MLB-4357483335-tnnis-detroit-lite-seguranca-tridensidade-preto-bico-pvc-_JM" TargetMode="External" Id="rId358" /><Relationship Type="http://schemas.openxmlformats.org/officeDocument/2006/relationships/hyperlink" Target="http://produto.mercadolivre.com.br/MLB-6010951346-protetor-solar-fps-60-corporal-profissional-praia-sol-120ml-_JM" TargetMode="External" Id="rId359" /><Relationship Type="http://schemas.openxmlformats.org/officeDocument/2006/relationships/hyperlink" Target="http://produto.mercadolivre.com.br/MLB-4347376325-protetor-solar-fps-60-corporal-proteco-intensa-120ml-2un-_JM" TargetMode="External" Id="rId360" /><Relationship Type="http://schemas.openxmlformats.org/officeDocument/2006/relationships/hyperlink" Target="http://produto.mercadolivre.com.br/MLB-4347380115-kit-bloqueador-solar-fps-60-corporal-hidratante-120ml-5un-_JM" TargetMode="External" Id="rId361" /><Relationship Type="http://schemas.openxmlformats.org/officeDocument/2006/relationships/hyperlink" Target="https://produto.mercadolivre.com.br/MLB-6011208964-kit-protetor-solar-fps-60-filtro-proteco-uv-uvb-120ml-10un-_JM" TargetMode="External" Id="rId362" /><Relationship Type="http://schemas.openxmlformats.org/officeDocument/2006/relationships/hyperlink" Target="http://produto.mercadolivre.com.br/MLB-4347805719-protetor-solar-fps-60-repelente-bioactive-vitamina-e-p-pele-_JM" TargetMode="External" Id="rId363" /><Relationship Type="http://schemas.openxmlformats.org/officeDocument/2006/relationships/hyperlink" Target="https://produto.mercadolivre.com.br/MLB-6011593770-protetor-solar-fps-60-repelente-proteco-total-contra-inseto-_JM" TargetMode="External" Id="rId364" /><Relationship Type="http://schemas.openxmlformats.org/officeDocument/2006/relationships/hyperlink" Target="http://produto.mercadolivre.com.br/MLB-6011595994-kit-protetor-solar-fps-60-repelente-alta-proteco-solar-_JM" TargetMode="External" Id="rId365" /><Relationship Type="http://schemas.openxmlformats.org/officeDocument/2006/relationships/hyperlink" Target="https://produto.mercadolivre.com.br/MLB-6011679382-kit-protetor-solar-fps-60-repelente-formula-natural-10-un-_JM" TargetMode="External" Id="rId366" /><Relationship Type="http://schemas.openxmlformats.org/officeDocument/2006/relationships/hyperlink" Target="https://produto.mercadolivre.com.br/MLB-6012194354-protetor-solar-fps-99-profissional-proteco-extrema-raio-uva-_JM" TargetMode="External" Id="rId367" /><Relationship Type="http://schemas.openxmlformats.org/officeDocument/2006/relationships/hyperlink" Target="https://produto.mercadolivre.com.br/MLB-6012906158-protetor-solar-fps-99-proteco-altamente-eficaz-facial-2un-_JM" TargetMode="External" Id="rId368" /><Relationship Type="http://schemas.openxmlformats.org/officeDocument/2006/relationships/hyperlink" Target="http://produto.mercadolivre.com.br/MLB-4348211755-protetor-solar-fps-99-proteco-garantida-bioactive-120ml-4un-_JM" TargetMode="External" Id="rId369" /><Relationship Type="http://schemas.openxmlformats.org/officeDocument/2006/relationships/hyperlink" Target="https://produto.mercadolivre.com.br/MLB-6012881614-protetor-solar-fps-99-facial-corporal-dupla-potencia-10un-_JM" TargetMode="External" Id="rId370" /><Relationship Type="http://schemas.openxmlformats.org/officeDocument/2006/relationships/hyperlink" Target="http://produto.mercadolivre.com.br/MLB-6014653278-sabonete-liquido-citric-power-200ml-esfoliante-biodegradavel-_JM" TargetMode="External" Id="rId371" /><Relationship Type="http://schemas.openxmlformats.org/officeDocument/2006/relationships/hyperlink" Target="https://produto.mercadolivre.com.br/MLB-6014487038-sabonete-liquido-citric-power-200ml-desengraxante-kit-2un-_JM" TargetMode="External" Id="rId372" /><Relationship Type="http://schemas.openxmlformats.org/officeDocument/2006/relationships/hyperlink" Target="http://produto.mercadolivre.com.br/MLB-6014680906-sabonete-liquido-citric-limpeza-pesada-aco-profunda-120ml-4-_JM" TargetMode="External" Id="rId373" /><Relationship Type="http://schemas.openxmlformats.org/officeDocument/2006/relationships/hyperlink" Target="http://produto.mercadolivre.com.br/MLB-4349586081-sabonete-liquido-citric-profissional-limpa-tudo-multiuso-10-_JM" TargetMode="External" Id="rId374" /><Relationship Type="http://schemas.openxmlformats.org/officeDocument/2006/relationships/hyperlink" Target="https://produto.mercadolivre.com.br/MLB-6019991838-spray-repelente-expert-total-200ml-proteco-insetos-10hrs-_JM" TargetMode="External" Id="rId375" /><Relationship Type="http://schemas.openxmlformats.org/officeDocument/2006/relationships/hyperlink" Target="https://produto.mercadolivre.com.br/MLB-6019881792-spray-repelente-expert-total-200ml-crianca-anti-mosquito-2un-_JM" TargetMode="External" Id="rId376" /><Relationship Type="http://schemas.openxmlformats.org/officeDocument/2006/relationships/hyperlink" Target="https://www.mercadolivre.com.br/syi/core/modify?itemId=MLB3820800495&amp;callback_url=https%3A%2F%2Fwww.mercadolivre.com.br%2Fanuncios%2Flista%3Fpage%3D3%26sort%3DDEFAULT" TargetMode="External" Id="rId377" /><Relationship Type="http://schemas.openxmlformats.org/officeDocument/2006/relationships/hyperlink" Target="http://produto.mercadolivre.com.br/MLB-4352995045-kit-repelente-expert-total-familia-extrato-babosa-suave-10un-_JM" TargetMode="External" Id="rId378" /><Relationship Type="http://schemas.openxmlformats.org/officeDocument/2006/relationships/hyperlink" Target="http://produto.mercadolivre.com.br/MLB-4353364505-spray-repelente-insetos-10hrs-proteco-estendida-seca-rapido-_JM" TargetMode="External" Id="rId379" /><Relationship Type="http://schemas.openxmlformats.org/officeDocument/2006/relationships/hyperlink" Target="https://produto.mercadolivre.com.br/MLB-6020547496-spray-repelente-corporal-insetos-mosquitos-pernilongos-10hrs-_JM" TargetMode="External" Id="rId380" /><Relationship Type="http://schemas.openxmlformats.org/officeDocument/2006/relationships/hyperlink" Target="https://produto.mercadolivre.com.br/MLB-4353437001-spray-repelente-dermatologicamente-testado-10hrs-kit-4un-_JM" TargetMode="External" Id="rId381" /><Relationship Type="http://schemas.openxmlformats.org/officeDocument/2006/relationships/hyperlink" Target="http://produto.mercadolivre.com.br/MLB-6021278778-spray-repelente-adulto-crianca-uso-diario-formula-suave-10un-_JM" TargetMode="External" Id="rId382" /><Relationship Type="http://schemas.openxmlformats.org/officeDocument/2006/relationships/hyperlink" Target="https://produto.mercadolivre.com.br/MLB-6020547496-spray-repelente-corporal-insetos-mosquitos-pernilongos-10hrs-_JM" TargetMode="External" Id="rId383" /><Relationship Type="http://schemas.openxmlformats.org/officeDocument/2006/relationships/hyperlink" Target="http://produto.mercadolivre.com.br/MLB-6021709586-repelente-spray-4h-profissional-proteco-longa-praia-viagem-_JM" TargetMode="External" Id="rId384" /><Relationship Type="http://schemas.openxmlformats.org/officeDocument/2006/relationships/hyperlink" Target="https://produto.mercadolivre.com.br/MLB-6021508624-repelente-spray-suave-proteco-total-100ml-corporal-kit-4un-_JM" TargetMode="External" Id="rId385" /><Relationship Type="http://schemas.openxmlformats.org/officeDocument/2006/relationships/hyperlink" Target="http://produto.mercadolivre.com.br/MLB-6021544944-spray-repelente-100ml-profissional-alta-eficincia-kit-10un-_JM" TargetMode="External" Id="rId386" /><Relationship Type="http://schemas.openxmlformats.org/officeDocument/2006/relationships/hyperlink" Target="https://produto.mercadolivre.com.br/MLB-4355101819-sabonete-liquido-citric-power-esfoliante-limpeza-pesada-4l-_JM" TargetMode="External" Id="rId387" /><Relationship Type="http://schemas.openxmlformats.org/officeDocument/2006/relationships/hyperlink" Target="https://produto.mercadolivre.com.br/MLB-4355515951-protetor-solar-profissional-fps-30-creme-corporal-hidratante-_JM" TargetMode="External" Id="rId388" /><Relationship Type="http://schemas.openxmlformats.org/officeDocument/2006/relationships/hyperlink" Target="https://produto.mercadolivre.com.br/MLB-6027548656-protetor-solar-nutriex-profissional-com-repelente-fps30-creme-2l-corpo-_JM" TargetMode="External" Id="rId389" /><Relationship Type="http://schemas.openxmlformats.org/officeDocument/2006/relationships/hyperlink" Target="http://produto.mercadolivre.com.br/MLB-6027612064-protetor-solar-fps-30-alta-proteco-contra-radiaco-uva-2un-_JM" TargetMode="External" Id="rId390" /><Relationship Type="http://schemas.openxmlformats.org/officeDocument/2006/relationships/hyperlink" Target="https://produto.mercadolivre.com.br/MLB-4355638745-protetor-bloqueador-solar-fps-60-bombona-creme-corporal-1l-_JM" TargetMode="External" Id="rId391" /><Relationship Type="http://schemas.openxmlformats.org/officeDocument/2006/relationships/hyperlink" Target="https://produto.mercadolivre.com.br/MLB-4355664519-kit-protetor-bloqueador-solar-fps-60-alta-proteco-uva-2un-_JM" TargetMode="External" Id="rId392" /><Relationship Type="http://schemas.openxmlformats.org/officeDocument/2006/relationships/hyperlink" Target="https://produto.mercadolivre.com.br/MLB-4357217573-fita-isolante-19mm-x-20m-uso-geral-resistncia-durabilidade-_JM" TargetMode="External" Id="rId393" /><Relationship Type="http://schemas.openxmlformats.org/officeDocument/2006/relationships/hyperlink" Target="https://produto.mercadolivre.com.br/MLB-6031600938-fita-isolante-19mm-x-20m-reforcada-rolo-resistente-calor-3un-_JM" TargetMode="External" Id="rId394" /><Relationship Type="http://schemas.openxmlformats.org/officeDocument/2006/relationships/hyperlink" Target="https://produto.mercadolivre.com.br/MLB-4357168001-kit-fita-isolante-profissional-19mm-x-20-mts-aderncia-6un-_JM" TargetMode="External" Id="rId395" /><Relationship Type="http://schemas.openxmlformats.org/officeDocument/2006/relationships/hyperlink" Target="https://produto.mercadolivre.com.br/MLB-4357194329-fita-isolante-19mm-x-20m-instalacoes-reparos-manutencoes-10u-_JM" TargetMode="External" Id="rId396" /><Relationship Type="http://schemas.openxmlformats.org/officeDocument/2006/relationships/hyperlink" Target="https://produto.mercadolivre.com.br/MLB-4357707137-disco-flap-standard-g120-7-pol-180mm-x-22mm-acabamento-lixar-_JM" TargetMode="External" Id="rId397" /><Relationship Type="http://schemas.openxmlformats.org/officeDocument/2006/relationships/hyperlink" Target="https://produto.mercadolivre.com.br/MLB-6033059648-disco-flap-standard-7-180-x-22-gro-120-desbaste-lixa-2un-_JM" TargetMode="External" Id="rId398" /><Relationship Type="http://schemas.openxmlformats.org/officeDocument/2006/relationships/hyperlink" Target="http://produto.mercadolivre.com.br/MLB-4357707135-kit-5-disco-flap-r244-fibra-standard-7-g120-180m-7-duravel-_JM" TargetMode="External" Id="rId399" /><Relationship Type="http://schemas.openxmlformats.org/officeDocument/2006/relationships/hyperlink" Target="http://produto.mercadolivre.com.br/MLB-6032906628-kit-10-disco-flap-standard-g120-180m-x-22m-alta-perfomance-_JM" TargetMode="External" Id="rId400" /><Relationship Type="http://schemas.openxmlformats.org/officeDocument/2006/relationships/hyperlink" Target="https://produto.mercadolivre.com.br/MLB-6038460672-disco-diamantado-segmentado110mm-x-20mm-abrasivo-sintetico-_JM" TargetMode="External" Id="rId401" /><Relationship Type="http://schemas.openxmlformats.org/officeDocument/2006/relationships/hyperlink" Target="https://produto.mercadolivre.com.br/MLB-6038460670-disco-diamantado-segmentado-110x20-corte-alto-rendimento-2un-_JM" TargetMode="External" Id="rId402" /><Relationship Type="http://schemas.openxmlformats.org/officeDocument/2006/relationships/hyperlink" Target="https://produto.mercadolivre.com.br/MLB-6038693040-disco-diamantado-segmentado-110x20-corte-preciso-concreto-5u-_JM" TargetMode="External" Id="rId403" /><Relationship Type="http://schemas.openxmlformats.org/officeDocument/2006/relationships/hyperlink" Target="https://produto.mercadolivre.com.br/MLB-6038654540-disco-corte-diamante-segmentado-110x20-serra-marmore-10un-_JM" TargetMode="External" Id="rId404" /><Relationship Type="http://schemas.openxmlformats.org/officeDocument/2006/relationships/hyperlink" Target="https://produto.mercadolivre.com.br/MLB-4366790197-silicone-selante-acetico-branco-vedaco-uso-geral-construco-_JM" TargetMode="External" Id="rId405" /><Relationship Type="http://schemas.openxmlformats.org/officeDocument/2006/relationships/hyperlink" Target="https://produto.mercadolivre.com.br/MLB-4366738887-silicone-acetico-branco-256g-alta-aderncia-vidros-box-3un-_JM" TargetMode="External" Id="rId406" /><Relationship Type="http://schemas.openxmlformats.org/officeDocument/2006/relationships/hyperlink" Target="https://produto.mercadolivre.com.br/MLB-6056500850-silicone-selante-acetico-branco-acabamento-limpo-256g-5un-_JM" TargetMode="External" Id="rId407" /><Relationship Type="http://schemas.openxmlformats.org/officeDocument/2006/relationships/hyperlink" Target="https://produto.mercadolivre.com.br/MLB-6056563556-kit-tubo-silicone-selante-acetico-256g-branco-reforma-12un-_JM" TargetMode="External" Id="rId408" /><Relationship Type="http://schemas.openxmlformats.org/officeDocument/2006/relationships/hyperlink" Target="https://produto.mercadolivre.com.br/MLB-6068217692-bisnaga-silicone-acetico-construco-50g-transparente-vedaco-_JM" TargetMode="External" Id="rId409" /><Relationship Type="http://schemas.openxmlformats.org/officeDocument/2006/relationships/hyperlink" Target="https://produto.mercadolivre.com.br/MLB-4371209595-silicone-acetico-transparente-construco-selante-blister-3un-_JM" TargetMode="External" Id="rId410" /><Relationship Type="http://schemas.openxmlformats.org/officeDocument/2006/relationships/hyperlink" Target="https://produto.mercadolivre.com.br/MLB-3532560898-luva-uso-geral-paisagismo-volk-orange-smart-ca46816-10-pares-_JM" TargetMode="External" Id="rId411" /><Relationship Type="http://schemas.openxmlformats.org/officeDocument/2006/relationships/hyperlink" Target="http://produto.mercadolivre.com.br/MLB-4373456443-luva-orange-smart-palma-vulcanizada-fibras-sinteticas-2-prs-_JM" TargetMode="External" Id="rId412" /><Relationship Type="http://schemas.openxmlformats.org/officeDocument/2006/relationships/hyperlink" Target="https://produto.mercadolivre.com.br/MLB-4393376547-disco-diamantado-continuo-pro-110mm-x20mm-alta-rentabilidade-_JM" TargetMode="External" Id="rId413" /><Relationship Type="http://schemas.openxmlformats.org/officeDocument/2006/relationships/hyperlink" Target="https://produto.mercadolivre.com.br/MLB-4393337341-disco-de-corte-diamantado-continuo-110x20-rpm-rapido-2un-_JM" TargetMode="External" Id="rId414" /><Relationship Type="http://schemas.openxmlformats.org/officeDocument/2006/relationships/hyperlink" Target="https://produto.mercadolivre.com.br/MLB-4393246233-kit-disco-corte-diamantando-continuo-110x20-cermica-azulejo-_JM" TargetMode="External" Id="rId415" /><Relationship Type="http://schemas.openxmlformats.org/officeDocument/2006/relationships/hyperlink" Target="https://produto.mercadolivre.com.br/MLB-6111412132-disco-diamantado-continuo-pro-110mm-x20mm-corte-preciso-_JM" TargetMode="External" Id="rId416" /><Relationship Type="http://schemas.openxmlformats.org/officeDocument/2006/relationships/hyperlink" Target="https://produto.mercadolivre.com.br/MLB-6112148190-disco-de-corte-diamantado-pro-continuo-110x20-rpm-rapido-2un-_JM" TargetMode="External" Id="rId417" /><Relationship Type="http://schemas.openxmlformats.org/officeDocument/2006/relationships/hyperlink" Target="http://produto.mercadolivre.com.br/MLB-6111438098-kit-disco-corte-diamantado-pro-continuo-110x20-serra-marmore-_JM" TargetMode="External" Id="rId418" /><Relationship Type="http://schemas.openxmlformats.org/officeDocument/2006/relationships/hyperlink" Target="http://produto.mercadolivre.com.br/MLB-6111443022-luva-borracha-nitrilica-wave-reforcada-fibras-sinteticas-par-_JM" TargetMode="External" Id="rId419" /><Relationship Type="http://schemas.openxmlformats.org/officeDocument/2006/relationships/hyperlink" Target="http://produto.mercadolivre.com.br/MLB-6111365466-luva-nitril-wave-13-gauge-tatil-resistncia-mecncia-2-prs-_JM" TargetMode="External" Id="rId420" /><Relationship Type="http://schemas.openxmlformats.org/officeDocument/2006/relationships/hyperlink" Target="http://produto.mercadolivre.com.br/MLB-6111456666-luva-proteco-nitril-wave-alta-sensibilidade-punho-curto-6pr-_JM" TargetMode="External" Id="rId421" /><Relationship Type="http://schemas.openxmlformats.org/officeDocument/2006/relationships/hyperlink" Target="https://produto.mercadolivre.com.br/MLB-4411192395-luva-duo-nitri-sem-forro-tamanho-g-limpeza-alta-resistncia-_JM" TargetMode="External" Id="rId422" /><Relationship Type="http://schemas.openxmlformats.org/officeDocument/2006/relationships/hyperlink" Target="https://produto.mercadolivre.com.br/MLB-4411013185-luva-duo-nitri-s-forro-nitrilica-proteco-quimica-2-pares-_JM" TargetMode="External" Id="rId423" /><Relationship Type="http://schemas.openxmlformats.org/officeDocument/2006/relationships/hyperlink" Target="https://produto.mercadolivre.com.br/MLB-4411179445-kit-luva-duo-nitri-punho-medio-leve-flexivel-confortavel-6pr-_JM" TargetMode="External" Id="rId424" /><Relationship Type="http://schemas.openxmlformats.org/officeDocument/2006/relationships/hyperlink" Target="https://produto.mercadolivre.com.br/MLB-6154859106-tenis-elastico-ocupacional-bidensidade-confortavel-bico-pvc-_JM" TargetMode="External" Id="rId425" /><Relationship Type="http://schemas.openxmlformats.org/officeDocument/2006/relationships/hyperlink" Target="https://produto.mercadolivre.com.br/MLB-6154902818-garfo-de-pintura-estilo-gaiola-sem-rosca-23cm-pintura-obra-_JM" TargetMode="External" Id="rId426" /><Relationship Type="http://schemas.openxmlformats.org/officeDocument/2006/relationships/hyperlink" Target="https://produto.mercadolivre.com.br/MLB-6154889986-kit-2-garfo-de-pintura-gaiola-sem-rosca-cano-curto-pintura-_JM" TargetMode="External" Id="rId427" /><Relationship Type="http://schemas.openxmlformats.org/officeDocument/2006/relationships/hyperlink" Target="https://produto.mercadolivre.com.br/MLB-6154864038-kit-4-suporte-garfo-de-pintura-gaiola-sem-rosca-p-rolo-aco-_JM" TargetMode="External" Id="rId428" /><Relationship Type="http://schemas.openxmlformats.org/officeDocument/2006/relationships/hyperlink" Target="https://produto.mercadolivre.com.br/MLB-6159789948-kit-20-tela-amarraco-alvenaria-aco-obra-tel120-12cm-x-50cm-_JM" TargetMode="External" Id="rId429" /><Relationship Type="http://schemas.openxmlformats.org/officeDocument/2006/relationships/hyperlink" Target="https://produto.mercadolivre.com.br/MLB-6169979664-10-bucha-nylon-6-fixaco-parede-oca-placa-drywall-com-anel-_JM" TargetMode="External" Id="rId430" /><Relationship Type="http://schemas.openxmlformats.org/officeDocument/2006/relationships/hyperlink" Target="https://produto.mercadolivre.com.br/MLB-6169928220-50-bucha-fixaco-nyon-6mm-x-36mm-multi-uso-parede-oca-macica-_JM" TargetMode="External" Id="rId431" /><Relationship Type="http://schemas.openxmlformats.org/officeDocument/2006/relationships/hyperlink" Target="https://produto.mercadolivre.com.br/MLB-6170096716-kit-100-bucha-nylon-6mm-fixaco-bloco-estrutural-parede-oca-_JM" TargetMode="External" Id="rId432" /><Relationship Type="http://schemas.openxmlformats.org/officeDocument/2006/relationships/hyperlink" Target="https://produto.mercadolivre.com.br/MLB-6169901426-kit-10-bucha-nylon-8-fixaco-parede-oca-concreto-drywall-_JM" TargetMode="External" Id="rId433" /><Relationship Type="http://schemas.openxmlformats.org/officeDocument/2006/relationships/hyperlink" Target="https://produto.mercadolivre.com.br/MLB-4421155151-kit-50-bucha-nylon-8-fixaco-50mm-base-oca-macica-multi-uso-_JM" TargetMode="External" Id="rId434" /><Relationship Type="http://schemas.openxmlformats.org/officeDocument/2006/relationships/hyperlink" Target="https://produto.mercadolivre.com.br/MLB-6169953816-kit-100-bucha-nylon-8-fixaco-aba-anel-parede-oca-drywall-_JM" TargetMode="External" Id="rId435" /><Relationship Type="http://schemas.openxmlformats.org/officeDocument/2006/relationships/hyperlink" Target="https://produto.mercadolivre.com.br/MLB-6174699160-kit-10-bucha-12-convencional-a12-fixaco-uso-geral-sem-aba-_JM" TargetMode="External" Id="rId436" /><Relationship Type="http://schemas.openxmlformats.org/officeDocument/2006/relationships/hyperlink" Target="https://produto.mercadolivre.com.br/MLB-6174868476-kit-50mm-bucha-12-convencional-a12-cargas-leves-uso-geral-_JM" TargetMode="External" Id="rId437" /><Relationship Type="http://schemas.openxmlformats.org/officeDocument/2006/relationships/hyperlink" Target="https://produto.mercadolivre.com.br/MLB-6174765626-pacote-100-bucha-a12-nylon-12mm-fixaco-concreto-alvenaria-_JM" TargetMode="External" Id="rId438" /><Relationship Type="http://schemas.openxmlformats.org/officeDocument/2006/relationships/hyperlink" Target="https://produto.mercadolivre.com.br/MLB-6174767402-kit-10-bucha-poliamida-10mm-universal-a10-sem-aba-fixaco-_JM" TargetMode="External" Id="rId439" /><Relationship Type="http://schemas.openxmlformats.org/officeDocument/2006/relationships/hyperlink" Target="https://produto.mercadolivre.com.br/MLB-4424331707-kit-50-bucha-nylon-10mm-universal-a10-fixaco-alvenaria-obra-_JM" TargetMode="External" Id="rId440" /><Relationship Type="http://schemas.openxmlformats.org/officeDocument/2006/relationships/hyperlink" Target="https://produto.mercadolivre.com.br/MLB-4424487639-kit-100-bucha-nylon-10mm-universal-a10-fixaco-sem-parafuso-_JM" TargetMode="External" Id="rId441" /><Relationship Type="http://schemas.openxmlformats.org/officeDocument/2006/relationships/hyperlink" Target="https://produto.mercadolivre.com.br/MLB-4424367879-kit-10-bucha-nylon-8-universal-a8-reforcada-sem-anel-fixaco-_JM" TargetMode="External" Id="rId442" /><Relationship Type="http://schemas.openxmlformats.org/officeDocument/2006/relationships/hyperlink" Target="https://produto.mercadolivre.com.br/MLB-4424304023-50-unidades-bucha-nylon-8-universal-a8-poliamida-sem-anel-_JM" TargetMode="External" Id="rId443" /><Relationship Type="http://schemas.openxmlformats.org/officeDocument/2006/relationships/hyperlink" Target="https://produto.mercadolivre.com.br/MLB-4424343927-100-bucha-nylon-8-universal-a8-nylon-profissional-sem-anel-_JM" TargetMode="External" Id="rId444" /><Relationship Type="http://schemas.openxmlformats.org/officeDocument/2006/relationships/hyperlink" Target="http://produto.mercadolivre.com.br/MLB-4430347215-kit-1000-parafuso-trombeta-drywall-dta-35-x-57-ponta-agulha-_JM" TargetMode="External" Id="rId445" /><Relationship Type="http://schemas.openxmlformats.org/officeDocument/2006/relationships/hyperlink" Target="https://produto.mercadolivre.com.br/MLB-4432407831-1000un-parafuso-dla13-achatado-flangeada-zincado-42-x-13mm-_JM" TargetMode="External" Id="rId446" /><Relationship Type="http://schemas.openxmlformats.org/officeDocument/2006/relationships/hyperlink" Target="http://produto.mercadolivre.com.br/MLB-6185013874-1000-parafuso-drywall-dla19-zincado-autoperfurante-42-x-19-_JM" TargetMode="External" Id="rId447" /><Relationship Type="http://schemas.openxmlformats.org/officeDocument/2006/relationships/hyperlink" Target="https://produto.mercadolivre.com.br/MLB-6185166948-1000-parafuso-drywall-dlb13-zincado-auto-brocante-42-x-13-_JM" TargetMode="External" Id="rId448" /><Relationship Type="http://schemas.openxmlformats.org/officeDocument/2006/relationships/hyperlink" Target="https://produto.mercadolivre.com.br/MLB-4433093605-1000-parafuso-drywall-dlb19-auto-brocante-philips-42-x-19-_JM" TargetMode="External" Id="rId449" /><Relationship Type="http://schemas.openxmlformats.org/officeDocument/2006/relationships/hyperlink" Target="https://produto.mercadolivre.com.br/MLB-6190981118-esmerilhadeira-angular-2500w-potencia-m14-disco-7-pol-180mm-_JM" TargetMode="External" Id="rId450" /><Relationship Type="http://schemas.openxmlformats.org/officeDocument/2006/relationships/hyperlink" Target="https://produto.mercadolivre.com.br/MLB-4435404455-kit-500-parafuso-chipboard-bicromatizado-35-x-22-madeira-_JM" TargetMode="External" Id="rId451" /><Relationship Type="http://schemas.openxmlformats.org/officeDocument/2006/relationships/hyperlink" Target="https://produto.mercadolivre.com.br/MLB-6194358920-kit-1000-parafuso-chipboard-philips-30-x-20mm-bicromatizado-_JM" TargetMode="External" Id="rId452" /><Relationship Type="http://schemas.openxmlformats.org/officeDocument/2006/relationships/hyperlink" Target="https://produto.mercadolivre.com.br/MLB-4440169431-500-parafuso-chipboard-madeira-3-x-25mm-aco-bicromatizado-_JM" TargetMode="External" Id="rId453" /><Relationship Type="http://schemas.openxmlformats.org/officeDocument/2006/relationships/hyperlink" Target="http://produto.mercadolivre.com.br/MLB-6194476260-kit-200-parafuso-phs-45-x-45-mm-aco-bicromatizado-madeira-_JM" TargetMode="External" Id="rId454" /><Relationship Type="http://schemas.openxmlformats.org/officeDocument/2006/relationships/hyperlink" Target="https://produto.mercadolivre.com.br/MLB-6194778552-200-parafuso-chipboard-marcenaria-45-x-60-aco-bicromatizado-_JM" TargetMode="External" Id="rId455" /><Relationship Type="http://schemas.openxmlformats.org/officeDocument/2006/relationships/hyperlink" Target="https://produto.mercadolivre.com.br/MLB-6207190786-broca-soquete-magnetico-516-x-65mm-ponteira-parafusadeira-_JM" TargetMode="External" Id="rId456" /><Relationship Type="http://schemas.openxmlformats.org/officeDocument/2006/relationships/hyperlink" Target="https://produto.mercadolivre.com.br/MLB-6207217500-kit-2-ponteira-soquete-magnetico-516-bit-canho-sextavado-_JM" TargetMode="External" Id="rId457" /><Relationship Type="http://schemas.openxmlformats.org/officeDocument/2006/relationships/hyperlink" Target="http://produto.mercadolivre.com.br/MLB-6207056664-soquete-magnetico-38-aco-para-parafusadeira-ponteira-bits-_JM" TargetMode="External" Id="rId458" /><Relationship Type="http://schemas.openxmlformats.org/officeDocument/2006/relationships/hyperlink" Target="https://produto.mercadolivre.com.br/MLB-6206863496-2-bits-soquete-magnetico-38-aco-parafusadeira-sextavado-pro-_JM" TargetMode="External" Id="rId459" /><Relationship Type="http://schemas.openxmlformats.org/officeDocument/2006/relationships/hyperlink" Target="http://produto.mercadolivre.com.br/MLB-4451511933-kit-4-parafuso-sanitario-aco-bicromatizado-fixaco-b10-95mm-_JM" TargetMode="External" Id="rId460" /><Relationship Type="http://schemas.openxmlformats.org/officeDocument/2006/relationships/hyperlink" Target="https://produto.mercadolivre.com.br/MLB-4451449133-8-parafuso-sanitario-latonado-bicromatizado-10mm-fixaco-pro-_JM" TargetMode="External" Id="rId461" /><Relationship Type="http://schemas.openxmlformats.org/officeDocument/2006/relationships/hyperlink" Target="https://produto.mercadolivre.com.br/MLB-6210448708-4-parafuso-sanitario-latonado-bicromatizado-125mm-bucha-12-_JM" TargetMode="External" Id="rId462" /><Relationship Type="http://schemas.openxmlformats.org/officeDocument/2006/relationships/hyperlink" Target="https://produto.mercadolivre.com.br/MLB-4452178997-8-parafuso-sanitario-bicromatizado-120mm-fixaco-universal-_JM" TargetMode="External" Id="rId463" /><Relationship Type="http://schemas.openxmlformats.org/officeDocument/2006/relationships/hyperlink" Target="https://produto.mercadolivre.com.br/MLB-4452094635-4-parafuso-sanitario-latonado-resistente-90mm-com-arruela-_JM" TargetMode="External" Id="rId464" /><Relationship Type="http://schemas.openxmlformats.org/officeDocument/2006/relationships/hyperlink" Target="https://produto.mercadolivre.com.br/MLB-4452095535-kit-8-parafuso-sanitario-90mm-bucha-12-fixaco-instalaco-_JM" TargetMode="External" Id="rId465" /><Relationship Type="http://schemas.openxmlformats.org/officeDocument/2006/relationships/hyperlink" Target="http://produto.mercadolivre.com.br/MLB-6222375740-lapis-carpinteiro-marcaco-madeira-grafite-preto-marcenaria-_JM" TargetMode="External" Id="rId466" /><Relationship Type="http://schemas.openxmlformats.org/officeDocument/2006/relationships/hyperlink" Target="http://produto.mercadolivre.com.br/MLB-6210915110-kit-6-lapis-de-carpinteiro-marcaco-profissional-marceneiro-_JM" TargetMode="External" Id="rId467" /><Relationship Type="http://schemas.openxmlformats.org/officeDocument/2006/relationships/hyperlink" Target="http://produto.mercadolivre.com.br/MLB-6210901126-10-lapis-carpinteiro-marcaco-madeira-marcenaria-pedreiro-_JM" TargetMode="External" Id="rId468" /><Relationship Type="http://schemas.openxmlformats.org/officeDocument/2006/relationships/hyperlink" Target="https://produto.mercadolivre.com.br/MLB-4453868537-kit-72-lapis-carpinteiro-marceneiro-obra-madeira-resistente-_JM" TargetMode="External" Id="rId469" /><Relationship Type="http://schemas.openxmlformats.org/officeDocument/2006/relationships/hyperlink" Target="https://www.mercadolivre.com.br/luva-nitrilica-ss1014-ca-38646-super-safety-antiderrapante/up/MLBU3237968485" TargetMode="External" Id="rId470" /><Relationship Type="http://schemas.openxmlformats.org/officeDocument/2006/relationships/hyperlink" Target="https://www.mercadolivre.com.br/esmerilhadeira-lixadeira-angular-profissional-850w-gws-850/up/MLBU3801517084?pdp_filters=item_id:MLB4477548703" TargetMode="External" Id="rId471" /><Relationship Type="http://schemas.openxmlformats.org/officeDocument/2006/relationships/hyperlink" Target="https://www.mercadolivre.com.br/luva-soldador-weld-smart-alta-temperatura-ate-100c-41cm/up/MLBU3792179299" TargetMode="External" Id="rId472" /><Relationship Type="http://schemas.openxmlformats.org/officeDocument/2006/relationships/hyperlink" Target="https://www.mercadolivre.com.br/macacao-impermeavel-kp500-saneamento-com-bota-luva-acoplada/up/MLBU3817940082" TargetMode="External" Id="rId473" /><Relationship Type="http://schemas.openxmlformats.org/officeDocument/2006/relationships/hyperlink" Target="https://www.mercadolivre.com.br/macacao-jardineira-impermeavel-kp500-saneamento-com-bota-ca/up/MLBU3816771070" TargetMode="External" Id="rId474" /><Relationship Type="http://schemas.openxmlformats.org/officeDocument/2006/relationships/hyperlink" Target="https://www.mercadolivre.com.br/kit-cinto-paraquedista-altura-at-70715-athos-3-pontos-aco/up/MLBU3822174940" TargetMode="External" Id="rId475" /><Relationship Type="http://schemas.openxmlformats.org/officeDocument/2006/relationships/hyperlink" Target="https://www.mercadolivre.com.br/kit-altura-cinto-paraquedista-3-pontos-aco-carbono-athos-lll--talabarte-2-pontos-135m-aco-amarelo/up/MLBU3812394297?pdp_filters=item_id:MLB6324478106" TargetMode="External" Id="rId476" /><Relationship Type="http://schemas.openxmlformats.org/officeDocument/2006/relationships/hyperlink" Target="https://www.mercadolivre.com.br/talabarte-at-yft-abs-707-altura-2-pontos-135m-aco-p-cinto/up/MLBU3822252716" TargetMode="External" Id="rId477" /><Relationship Type="http://schemas.openxmlformats.org/officeDocument/2006/relationships/hyperlink" Target="https://www.mercadolivre.com.br/detector-de-gas-smart-sensor-st8904-medidor-4-em-1-portatil/up/MLBU3831536112" TargetMode="External" Id="rId478" /><Relationship Type="http://schemas.openxmlformats.org/officeDocument/2006/relationships/hyperlink" Target="https://www.mercadolivre.com.br/ferramenta-fixacao-a-bateria-agille-alvenaria-concreto-aco/up/MLBU3832790542" TargetMode="External" Id="rId479" /><Relationship Type="http://schemas.openxmlformats.org/officeDocument/2006/relationships/hyperlink" Target="https://www.mercadolivre.com.br/ferramenta-fixacao-a-bateria-agille-alvenaria-concreto-aco/up/MLBU3832790542" TargetMode="External" Id="rId480" /><Relationship Type="http://schemas.openxmlformats.org/officeDocument/2006/relationships/hyperlink" Target="https://www.mercadolivre.com.br/bota-botina-taloneira-seguranca-conforto-biqueira-pvc-epi-ca/up/MLBU3841852834" TargetMode="External" Id="rId481" /><Relationship Type="http://schemas.openxmlformats.org/officeDocument/2006/relationships/hyperlink" Target="https://www.mercadolivre.com.br/luva-seguranca-cut-oil-anti-impacto-antiderrapante-revestida/up/MLBU3842289493" TargetMode="External" Id="rId482" /><Relationship Type="http://schemas.openxmlformats.org/officeDocument/2006/relationships/hyperlink" Target="https://www.mercadolivre.com.br/kit-2-luva-cut-oil-antiderrapante-anti-impacto-trabalho-obra/up/MLBU3842366207?pdp_filters=item_id:MLB4536845251" TargetMode="External" Id="rId483" /><Relationship Type="http://schemas.openxmlformats.org/officeDocument/2006/relationships/hyperlink" Target="https://www.mercadolivre.com.br/limpador-de-furos-manual-portatil-soprador-ancoragem-quimica/up/MLBU3848173895?pdp_filters=item_id:MLB6482855282" TargetMode="External" Id="rId484" /><Relationship Type="http://schemas.openxmlformats.org/officeDocument/2006/relationships/hyperlink" Target="https://www.mercadolivre.com.br/botina-dubai-amarrar-couro-bico-composite-eletricista-marrom/up/MLBU3868562680?pdp_filters=item_id:MLB6512377242" TargetMode="External" Id="rId485" /><Relationship Type="http://schemas.openxmlformats.org/officeDocument/2006/relationships/hyperlink" Target="https://www.mercadolivre.com.br/luva-vaqueta-natural-petroleira-raspa-mista-vaqueta-total/up/MLBU3871116876?picker=true&amp;quantity=1" TargetMode="External" Id="rId486" /><Relationship Type="http://schemas.openxmlformats.org/officeDocument/2006/relationships/hyperlink" Target="https://www.mercadolivre.com.br/kit-jogo-conjunto-broca-aco-rapido-hss-7pcs-2-a-6mm-premium/up/MLBU3862388639?pdp_filters=item_id:MLB6526561756" TargetMode="External" Id="rId487" /><Relationship Type="http://schemas.openxmlformats.org/officeDocument/2006/relationships/hyperlink" Target="https://www.mercadolivre.com.br/avental-raspa-metalurgia-solda-sem-emenda-valcan-120x60cm/up/MLBU3873972907" TargetMode="External" Id="rId488" /><Relationship Type="http://schemas.openxmlformats.org/officeDocument/2006/relationships/hyperlink" Target="https://www.mercadolivre.com.br/protetor-solar-profissional-fps-30-sol-praia-resistente-agua/up/MLBU3864183489?pdp_filters=item_id:MLB6530155644" TargetMode="External" Id="rId489" /><Relationship Type="http://schemas.openxmlformats.org/officeDocument/2006/relationships/hyperlink" Target="https://www.mercadolivre.com.br/botina-belf-preta-eletricista-biqueira-composite-trabalho/up/MLBU3871150901" TargetMode="External" Id="rId490" /><Relationship Type="http://schemas.openxmlformats.org/officeDocument/2006/relationships/hyperlink" Target="https://www.mercadolivre.com.br/alicate-desencapador-corte-eletricista-8--multifuncional/up/MLBU3871794105?pdp_filters=item_id:MLB4577179711" TargetMode="External" Id="rId491" /><Relationship Type="http://schemas.openxmlformats.org/officeDocument/2006/relationships/hyperlink" Target="https://www.mercadolivre.com.br/luva-microfoam-poliamida-multi-uso-protecao-profissional-epi/up/MLBU3883167948" TargetMode="External" Id="rId492" /><Relationship Type="http://schemas.openxmlformats.org/officeDocument/2006/relationships/hyperlink" Target="https://www.mercadolivre.com.br/kit-luva-microfoam-fibra-sintetica-confortavel-trabalho-2pr/up/MLBU3872309969" TargetMode="External" Id="rId493" /><Relationship Type="http://schemas.openxmlformats.org/officeDocument/2006/relationships/hyperlink" Target="https://www.mercadolivre.com.br/kit-luva-microfoam-tatil-protecao-seguranca-confortavel-6pr/up/MLBU3872376145" TargetMode="External" Id="rId494" /><Relationship Type="http://schemas.openxmlformats.org/officeDocument/2006/relationships/hyperlink" Target="https://www.mercadolivre.com.br/talabarte-em-fita-y-2-ponto-135m-2101-aco-p-cinto-altura/up/MLBU3887384668?pdp_filters=item_id:MLB6567284124" TargetMode="External" Id="rId495" /><Relationship Type="http://schemas.openxmlformats.org/officeDocument/2006/relationships/hyperlink" Target="https://www.mercadolivre.com.br/kit-10-chumbador-parabolt-38-x-312-aco-zincado/up/MLBU3897676989" TargetMode="External" Id="rId496" /><Relationship Type="http://schemas.openxmlformats.org/officeDocument/2006/relationships/hyperlink" Target="https://www.mercadolivre.com.br/kit-12-oculos-seguranca-ca11268-leopardo-protecao-premium/up/MLBU3945293635" TargetMode="External" Id="rId497" /><Relationship Type="http://schemas.openxmlformats.org/officeDocument/2006/relationships/hyperlink" Target="https://www.mercadolivre.com.br/kit-24-oculos-seguranca-ca11268-leopardo-protecao-premium/up/MLBU3957209380?pdp_filters=item_id:MLB4665089719" TargetMode="External" Id="rId498" /><Relationship Type="http://schemas.openxmlformats.org/officeDocument/2006/relationships/hyperlink" Target="https://www.mercadolivre.com.br/kit-10-broca-aco-rapido-hss-profissional-3mm-metal-aluminio/up/MLBU3894614856?pdp_filters=item_id:MLB6589529368" TargetMode="External" Id="rId499" /><Relationship Type="http://schemas.openxmlformats.org/officeDocument/2006/relationships/hyperlink" Target="https://www.mercadolivre.com.br/kit-10-broca-aco-rapido-hss-metal-aluminio-4mm-532--afiada/up/MLBU3894712880?pdp_filters=item_id:MLB6589707404" TargetMode="External" Id="rId500" /><Relationship Type="http://schemas.openxmlformats.org/officeDocument/2006/relationships/hyperlink" Target="https://www.mercadolivre.com.br/kit-5-broca-aco-rapido-hss-serralheria-38--aluminio-metal/up/MLBU3895082710?pdp_filters=item_id:MLB6590073210" TargetMode="External" Id="rId501" /><Relationship Type="http://schemas.openxmlformats.org/officeDocument/2006/relationships/hyperlink" Target="https://www.mercadolivre.com.br/kit-10-broca-aco-rapido-hss-para-furadeira-14--perfuracao/up/MLBU3883633189" TargetMode="External" Id="rId502" /><Relationship Type="http://schemas.openxmlformats.org/officeDocument/2006/relationships/hyperlink" Target="https://www.mercadolivre.com.br/kit-5-jogo-broca-aco-rapido-516--hss-fura-aluminio-metal/up/MLBU3909229550?pdp_filters=item_id:MLB6624818426" TargetMode="External" Id="rId503" /><Relationship Type="http://schemas.openxmlformats.org/officeDocument/2006/relationships/hyperlink" Target="https://www.mercadolivre.com.br/tesoura-extra-cut-aco-cromado-profissional-corte-metalico/up/MLBU3888273231?pdp_filters=item_id:MLB4597565719" TargetMode="External" Id="rId504" /><Relationship Type="http://schemas.openxmlformats.org/officeDocument/2006/relationships/hyperlink" Target="http://mercadolivre.com.br/kit-5-broca-aco-rapido-964--hss-serralheria-metalurgia-pro/up/MLBU3898049291?pdp_filters=item_id:MLB4610024203" TargetMode="External" Id="rId505" /><Relationship Type="http://schemas.openxmlformats.org/officeDocument/2006/relationships/hyperlink" Target="https://www.mercadolivre.com.br/kit-10-broca-aco-rapido-hss-964--resistente-p-furadeira/up/MLBU3909512538?pdp_filters=item_id:MLB6625176732" TargetMode="External" Id="rId506" /><Relationship Type="http://schemas.openxmlformats.org/officeDocument/2006/relationships/hyperlink" Target="https://www.mercadolivre.com.br/kit-celula-de-carga-gas--1000-pino-liso-3x27mm-aco-fga850n/up/MLBU3901724660?pdp_filters=item_id:MLB6604758386" TargetMode="External" Id="rId507" /><Relationship Type="http://schemas.openxmlformats.org/officeDocument/2006/relationships/hyperlink" Target="https://www.mercadolivre.com.br/kit-1000-pino-liso-3x27mm-aco-galvanizado-p-pistola-fga850n/up/MLBU3901827022?pdp_filters=item_id:MLB6605030142" TargetMode="External" Id="rId508" /><Relationship Type="http://schemas.openxmlformats.org/officeDocument/2006/relationships/hyperlink" Target="https://www.mercadolivre.com.br/kit-10-broca-videa-5mm-316-concreto-parede-alvenaria-tijolo/up/MLBU3911505376" TargetMode="External" Id="rId509" /><Relationship Type="http://schemas.openxmlformats.org/officeDocument/2006/relationships/hyperlink" Target="https://www.mercadolivre.com.br/5kg-eletrodo-revestido-aco-carbono-e6013-solda-geral-350mm/up/MLBU3922239594?pdp_filters=item_id:MLB4626224735" TargetMode="External" Id="rId510" /><Relationship Type="http://schemas.openxmlformats.org/officeDocument/2006/relationships/hyperlink" Target="https://www.mercadolivre.com.br/kit-10-jogo-broca-aco-rapido-18-hss-fura-aluminio-metal-pro/up/MLBU3924604697?pdp_filters=item_id:MLB6687726672" TargetMode="External" Id="rId511" /><Relationship Type="http://schemas.openxmlformats.org/officeDocument/2006/relationships/hyperlink" Target="https://www.mercadolivre.com.br/kit-10-jogo-broca-aco-rapido-4mm-hss-aluminio-metal-premium/up/MLBU3936475684" TargetMode="External" Id="rId512" /><Relationship Type="http://schemas.openxmlformats.org/officeDocument/2006/relationships/hyperlink" Target="https://www.mercadolivre.com.br/pacote-100-porca-aco-galvanizado-sextavado-roscado-12/up/MLBU3936872352?pdp_filters=item_id:MLB4645578423" TargetMode="External" Id="rId513" /><Relationship Type="http://schemas.openxmlformats.org/officeDocument/2006/relationships/hyperlink" Target="https://www.mercadolivre.com.br/pa-quadrada-aco-reforcada-jardinagem-agro-profissional/up/MLBU3949802398?pdp_filters=item_id:MLB6721095590" TargetMode="External" Id="rId514" /><Relationship Type="http://schemas.openxmlformats.org/officeDocument/2006/relationships/hyperlink" Target="https://www.mercadolivre.com.br/pa-bico-arredondado-aco-reforcada-jardinagem-obra-n3-premium/up/MLBU3938073265?pdp_filters=item_id:MLB6721338670" TargetMode="External" Id="rId515" /><Relationship Type="http://schemas.openxmlformats.org/officeDocument/2006/relationships/hyperlink" Target="https://www.mercadolivre.com.br/enxada-larga-reforcada-aco-n25-norte-jardinagem-premium/up/MLBU3938498093?pdp_filters=item_id:MLB4657817035" TargetMode="External" Id="rId516" /><Relationship Type="http://schemas.openxmlformats.org/officeDocument/2006/relationships/hyperlink" Target="https://www.mercadolivre.com.br/broca-hss-916-pol-aco-rapido-aluminio-metal-profissional/up/MLBU3950561032?pdp_filters=item_id:MLB4658046901" TargetMode="External" Id="rId517" /><Relationship Type="http://schemas.openxmlformats.org/officeDocument/2006/relationships/hyperlink" Target="https://www.mercadolivre.com.br/caixa-pino-liso-fixacao-22-ferramentas-acao-direta-100un/up/MLBU3960669760?pdp_filters=item_id:MLB6744243660" TargetMode="External" Id="rId518" /><Relationship Type="http://schemas.openxmlformats.org/officeDocument/2006/relationships/hyperlink" Target="https://www.mercadolivre.com.br/calca-chuva-forro-soft-impermeavel-reforcada-solda-rebatida/up/MLBU3976931215?pdp_filters=item_id:MLB6808966134" TargetMode="External" Id="rId519" /><Relationship Type="http://schemas.openxmlformats.org/officeDocument/2006/relationships/hyperlink" Target="https://www.mercadolivre.com.br/conjunto-nr10-camisa-calca-reforcada-eletricista-anti-chamas/up/MLBU3979003255?pdp_filters=item_id:MLB6815448982" TargetMode="External" Id="rId520" /><Relationship Type="http://schemas.openxmlformats.org/officeDocument/2006/relationships/table" Target="/xl/tables/table4.xml" Id="rId52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produto.mercadolivre.com.br/MLB-4549433040-capa-de-chuva-reforcada-soft-pvc-construco-capuz-resistente-_JM" TargetMode="Externa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shopee.com.br/product/409809114/23593222439/" TargetMode="External" Id="rId1" /><Relationship Type="http://schemas.openxmlformats.org/officeDocument/2006/relationships/hyperlink" Target="https://shopee.com.br/product/409809114/23393232926/" TargetMode="External" Id="rId2" /><Relationship Type="http://schemas.openxmlformats.org/officeDocument/2006/relationships/hyperlink" Target="https://shopee.com.br/product/409809114/23393232926/" TargetMode="External" Id="rId3" /><Relationship Type="http://schemas.openxmlformats.org/officeDocument/2006/relationships/hyperlink" Target="https://produto.mercadolivre.com.br/MLB-3418283199-prego-18x27-com-cabeca-dupla-aco-polido-resistente-saco-1kg-_JM" TargetMode="External" Id="rId4" /><Relationship Type="http://schemas.openxmlformats.org/officeDocument/2006/relationships/hyperlink" Target="https://www.mercadolivre.com.br/syi/core/modify?itemId=MLB3872784502&amp;callback_url=https%3A%2F%2Fwww.mercadolivre.com.br%2Fanuncios%2Flista%3Ffilters%3DOMNI_ACTIVE%257COMNI_INACTIVE%257CCHANNEL_NO_PROXIMITY_AND_NO_MP_MERCHANTS%26page%3D1%26sort%3DDEFAULT" TargetMode="External" Id="rId5" /><Relationship Type="http://schemas.openxmlformats.org/officeDocument/2006/relationships/hyperlink" Target="https://www.mercadolivre.com.br/syi/core/modify?itemId=MLB3581647732&amp;callback_url=https%3A%2F%2Fwww.mercadolivre.com.br%2Fanuncios%2Flista%3Fpage%3D1" TargetMode="External" Id="rId6" /><Relationship Type="http://schemas.openxmlformats.org/officeDocument/2006/relationships/hyperlink" Target="https://www.mercadolivre.com.br/syi/core/modify?itemId=MLB3628301390&amp;callback_url=https%3A%2F%2Fwww.mercadolivre.com.br%2Fanuncios%2Flista%3Fpage%3D2%26sort%3DDEFAULT" TargetMode="External" Id="rId7" /><Relationship Type="http://schemas.openxmlformats.org/officeDocument/2006/relationships/hyperlink" Target="https://shopee.com.br/product/409809114/18797686350/" TargetMode="External" Id="rId8" /><Relationship Type="http://schemas.openxmlformats.org/officeDocument/2006/relationships/hyperlink" Target="https://shopee.com.br/product/409809114/18797686350/" TargetMode="External" Id="rId9" /><Relationship Type="http://schemas.openxmlformats.org/officeDocument/2006/relationships/hyperlink" Target="https://shopee.com.br/product/409809114/18797686350/" TargetMode="External" Id="rId10" /><Relationship Type="http://schemas.openxmlformats.org/officeDocument/2006/relationships/hyperlink" Target="https://produto.mercadolivre.com.br/MLB-5292250036-bota-manobreiro-metatarso-antiperfuro-composite-bidensidade-_JM" TargetMode="External" Id="rId11" /><Relationship Type="http://schemas.openxmlformats.org/officeDocument/2006/relationships/hyperlink" Target="https://www.mercadolivre.com.br/syi/core/modify?itemId=MLB3459563729&amp;callback_url=https%3A%2F%2Fwww.mercadolivre.com.br%2Fanuncios%2Flista%3Fpage%3D2%26sort%3DDEFAULT" TargetMode="External" Id="rId12" /><Relationship Type="http://schemas.openxmlformats.org/officeDocument/2006/relationships/hyperlink" Target="https://shopee.com.br/product/409809114/23093713352/" TargetMode="External" Id="rId13" /><Relationship Type="http://schemas.openxmlformats.org/officeDocument/2006/relationships/hyperlink" Target="https://www.mercadolivre.com.br/syi/core/modify?itemId=MLB3981014557&amp;callback_url=https%3A%2F%2Fwww.mercadolivre.com.br%2Fanuncios%2Flista%3Ffilters%3DOMNI_ACTIVE%257COMNI_INACTIVE%257CCHANNEL_NO_PROXIMITY_AND_NO_MP_MERCHANTS%26page%3D1%26sort%3DCREATE_LAST" TargetMode="External" Id="rId14" /><Relationship Type="http://schemas.openxmlformats.org/officeDocument/2006/relationships/hyperlink" Target="https://www.mercadolivre.com.br/syi/core/modify?itemId=MLB3400215313&amp;callback_url=https%3A%2F%2Fwww.mercadolivre.com.br%2Fanuncios%2Flista%3Ffilters%3DOMNI_ACTIVE%257COMNI_INACTIVE%257CCHANNEL_NO_PROXIMITY_AND_NO_MP_MERCHANTS%26page%3D1%26sort%3DDEFAULT" TargetMode="External" Id="rId15" /><Relationship Type="http://schemas.openxmlformats.org/officeDocument/2006/relationships/hyperlink" Target="https://www.mercadolivre.com.br/syi/core/modify?itemId=MLB5285440768&amp;callback_url=https%3A%2F%2Fwww.mercadolivre.com.br%2Fanuncios%2Flista%3Ffilters%3DOMNI_ACTIVE%257COMNI_INACTIVE%257CCHANNEL_NO_PROXIMITY_AND_NO_MP_MERCHANTS%26page%3D1%26sort%3DCREATE_LAST" TargetMode="External" Id="rId16" /><Relationship Type="http://schemas.openxmlformats.org/officeDocument/2006/relationships/hyperlink" Target="https://www.mercadolivre.com.br/syi/core/modify?itemId=MLB3351940369&amp;callback_url=https%3A%2F%2Fwww.mercadolivre.com.br%2Fanuncios%2Flista%3Ffilters%3DOMNI_ACTIVE%257COMNI_INACTIVE%257CCHANNEL_NO_PROXIMITY_AND_NO_MP_MERCHANTS%26page%3D1%26sort%3DDEFAULT" TargetMode="External" Id="rId17" /><Relationship Type="http://schemas.openxmlformats.org/officeDocument/2006/relationships/hyperlink" Target="https://shopee.com.br/product/409809114/21097682448/" TargetMode="External" Id="rId18" /><Relationship Type="http://schemas.openxmlformats.org/officeDocument/2006/relationships/hyperlink" Target="https://www.mercadolivre.com.br/syi/core/modify?itemId=MLB3310866759&amp;callback_url=https%3A%2F%2Fwww.mercadolivre.com.br%2Fanuncios%2Flista%3Ffilters%3DOMNI_ACTIVE%257COMNI_INACTIVE%257CCHANNEL_NO_PROXIMITY_AND_NO_MP_MERCHANTS%26page%3D1%26sort%3DDEFAULT" TargetMode="External" Id="rId19" /><Relationship Type="http://schemas.openxmlformats.org/officeDocument/2006/relationships/hyperlink" Target="https://www.mercadolivre.com.br/syi/core/modify?itemId=MLB3346476913&amp;callback_url=https%3A%2F%2Fwww.mercadolivre.com.br%2Fanuncios%2Flista%3Fpage%3D1" TargetMode="External" Id="rId20" /><Relationship Type="http://schemas.openxmlformats.org/officeDocument/2006/relationships/hyperlink" Target="https://www.mercadolivre.com.br/syi/core/modify?itemId=MLB4073492065&amp;callback_url=https%3A%2F%2Fwww.mercadolivre.com.br%2Fanuncios%2Flista%3Fpage%3D1%26search%3Dcola%26sort%3DDEFAULT" TargetMode="External" Id="rId21" /><Relationship Type="http://schemas.openxmlformats.org/officeDocument/2006/relationships/hyperlink" Target="https://www.mercadolivre.com.br/syi/core/modify?itemId=MLB4073312543&amp;callback_url=https%3A%2F%2Fwww.mercadolivre.com.br%2Fanuncios%2Flista%3Fpage%3D1%26search%3Dcola%26sort%3DDEFAULT" TargetMode="External" Id="rId22" /><Relationship Type="http://schemas.openxmlformats.org/officeDocument/2006/relationships/hyperlink" Target="https://produto.mercadolivre.com.br/MLB-5385004104-kit-completo-pintor-pintura-anti-gota-rolo-e-pincel-6-pecas-_JM" TargetMode="External" Id="rId23" /><Relationship Type="http://schemas.openxmlformats.org/officeDocument/2006/relationships/hyperlink" Target="https://produto.mercadolivre.com.br/MLB-5385908714-kit-completo-pintura-decoraco-pintor-atlas-at-1016-7-pecas-_JM" TargetMode="External" Id="rId24" /><Relationship Type="http://schemas.openxmlformats.org/officeDocument/2006/relationships/hyperlink" Target="https://www.mercadolivre.com.br/syi/core/modify?itemId=MLB5402584632&amp;callback_url=https%3A%2F%2Fwww.mercadolivre.com.br%2Fanuncios%2Flista%3Fpage%3D1%26search%3Dpad%26sort%3DDEFAULT" TargetMode="External" Id="rId25" /><Relationship Type="http://schemas.openxmlformats.org/officeDocument/2006/relationships/hyperlink" Target="https://produto.mercadolivre.com.br/MLB-5402383306-pad-recorte-pintura-paredes-rotativo-canto-acabamento-atlas-_JM" TargetMode="External" Id="rId26" /><Relationship Type="http://schemas.openxmlformats.org/officeDocument/2006/relationships/hyperlink" Target="https://www.mercadolivre.com.br/syi/core/modify?itemId=MLB3398606239&amp;callback_url=https%3A%2F%2Fwww.mercadolivre.com.br%2Fanuncios%2Flista%3Ffilters%3DOMNI_ACTIVE%257COMNI_INACTIVE%257CCHANNEL_NO_PROXIMITY_AND_NO_MP_MERCHANTS%26page%3D1%26sort%3DDEFAULT" TargetMode="External" Id="rId27" /><Relationship Type="http://schemas.openxmlformats.org/officeDocument/2006/relationships/hyperlink" Target="https://www.mercadolivre.com.br/syi/core/modify?itemId=MLB3753300746&amp;callback_url=https%3A%2F%2Fwww.mercadolivre.com.br%2Fanuncios%2Flista%3Ffilters%3DOMNI_ACTIVE%257COMNI_INACTIVE%257CCHANNEL_NO_PROXIMITY_AND_NO_MP_MERCHANTS%26page%3D1%26sort%3DDEFAULT" TargetMode="External" Id="rId28" /><Relationship Type="http://schemas.openxmlformats.org/officeDocument/2006/relationships/hyperlink" Target="https://www.mercadolivre.com.br/syi/core/modify?itemId=MLB4230473400&amp;callback_url=https%3A%2F%2Fwww.mercadolivre.com.br%2Fanuncios%2Flista%3Ffilters%3DOMNI_ACTIVE%257COMNI_INACTIVE%257CCHANNEL_NO_PROXIMITY_AND_NO_MP_MERCHANTS%26page%3D1%26sort%3DDEFAULT" TargetMode="External" Id="rId29" /><Relationship Type="http://schemas.openxmlformats.org/officeDocument/2006/relationships/hyperlink" Target="https://www.mercadolivre.com.br/syi/core/modify?itemId=MLB3285272779&amp;callback_url=https%3A%2F%2Fwww.mercadolivre.com.br%2Fanuncios%2Flista%3Fpage%3D1" TargetMode="External" Id="rId30" /><Relationship Type="http://schemas.openxmlformats.org/officeDocument/2006/relationships/hyperlink" Target="https://www.mercadolivre.com.br/syi/core/modify?itemId=MLB4023701650&amp;callback_url=https%3A%2F%2Fwww.mercadolivre.com.br%2Fanuncios%2Flista%3Fpage%3D1" TargetMode="External" Id="rId31" /><Relationship Type="http://schemas.openxmlformats.org/officeDocument/2006/relationships/hyperlink" Target="https://shopee.com.br/product/409809114/23297506013/" TargetMode="External" Id="rId32" /><Relationship Type="http://schemas.openxmlformats.org/officeDocument/2006/relationships/hyperlink" Target="https://shopee.com.br/product/409809114/23297506013/" TargetMode="External" Id="rId33" /><Relationship Type="http://schemas.openxmlformats.org/officeDocument/2006/relationships/hyperlink" Target="https://shopee.com.br/product/409809114/23297506013/" TargetMode="External" Id="rId34" /><Relationship Type="http://schemas.openxmlformats.org/officeDocument/2006/relationships/hyperlink" Target="https://seller.shopee.com.br/portal/product/22793005508" TargetMode="External" Id="rId35" /><Relationship Type="http://schemas.openxmlformats.org/officeDocument/2006/relationships/hyperlink" Target="https://seller.shopee.com.br/portal/product/22593057300" TargetMode="External" Id="rId36" /><Relationship Type="http://schemas.openxmlformats.org/officeDocument/2006/relationships/hyperlink" Target="https://produto.mercadolivre.com.br/MLB-3346096201-macaco-proteco-pintura-quimico-impermeavel-c-capuz-volk-_JM" TargetMode="External" Id="rId37" /><Relationship Type="http://schemas.openxmlformats.org/officeDocument/2006/relationships/hyperlink" Target="https://www.mercadolivre.com.br/syi/core/modify?itemId=MLB3417703535&amp;callback_url=https%3A%2F%2Fwww.mercadolivre.com.br%2Fanuncios%2Flista%3Fpage%3D2%26sort%3DDEFAULT" TargetMode="External" Id="rId38" /><Relationship Type="http://schemas.openxmlformats.org/officeDocument/2006/relationships/hyperlink" Target="https://produto.mercadolivre.com.br/MLB-3330254699-abafador-ruido-protetor-auricular-auditivo-camper-c200-10un-_JM" TargetMode="External" Id="rId39" /><Relationship Type="http://schemas.openxmlformats.org/officeDocument/2006/relationships/hyperlink" Target="https://www.mercadolivre.com.br/syi/core/modify?itemId=MLB3253294579&amp;callback_url=https%3A%2F%2Fwww.mercadolivre.com.br%2Fanuncios%2Flista%3Fpage%3D2%26sort%3DDEFAULT" TargetMode="External" Id="rId40" /><Relationship Type="http://schemas.openxmlformats.org/officeDocument/2006/relationships/hyperlink" Target="https://produto.mercadolivre.com.br/MLB-3358720059-pistola-de-fixaco-aco-indireta-walsywa-pra10-brinde-_JM" TargetMode="External" Id="rId41" /><Relationship Type="http://schemas.openxmlformats.org/officeDocument/2006/relationships/hyperlink" Target="https://www.mercadolivre.com.br/syi/core/modify?itemId=MLB2785525384&amp;callback_url=https%3A%2F%2Fwww.mercadolivre.com.br%2Fanuncios%2Flista%3Fpage%3D2%26sort%3DDEFAULT" TargetMode="External" Id="rId42" /><Relationship Type="http://schemas.openxmlformats.org/officeDocument/2006/relationships/hyperlink" Target="https://www.mercadolivre.com.br/syi/core/modify?itemId=MLB2785555162&amp;callback_url=https%3A%2F%2Fwww.mercadolivre.com.br%2Fanuncios%2Flista%3Fpage%3D2%26sort%3DDEFAULT" TargetMode="External" Id="rId43" /><Relationship Type="http://schemas.openxmlformats.org/officeDocument/2006/relationships/hyperlink" Target="https://www.mercadolivre.com.br/syi/core/modify?itemId=MLB3436747679&amp;callback_url=https%3A%2F%2Fwww.mercadolivre.com.br%2Fanuncios%2Flista%3Fpage%3D2%26sort%3DDEFAULT" TargetMode="External" Id="rId44" /><Relationship Type="http://schemas.openxmlformats.org/officeDocument/2006/relationships/hyperlink" Target="https://www.mercadolivre.com.br/syi/core/modify?itemId=MLB3436747679&amp;callback_url=https%3A%2F%2Fwww.mercadolivre.com.br%2Fanuncios%2Flista%3Fpage%3D2%26sort%3DDEFAULT" TargetMode="External" Id="rId45" /><Relationship Type="http://schemas.openxmlformats.org/officeDocument/2006/relationships/hyperlink" Target="https://www.mercadolivre.com.br/syi/core/modify?itemId=MLB3436747679&amp;callback_url=https%3A%2F%2Fwww.mercadolivre.com.br%2Fanuncios%2Flista%3Fpage%3D2%26sort%3DDEFAULT" TargetMode="External" Id="rId46" /><Relationship Type="http://schemas.openxmlformats.org/officeDocument/2006/relationships/hyperlink" Target="https://www.mercadolivre.com.br/syi/core/modify?itemId=MLB3633587828&amp;callback_url=https%3A%2F%2Fwww.mercadolivre.com.br%2Fanuncios%2Flista%3Fpage%3D2%26sort%3DDEFAULT" TargetMode="External" Id="rId47" /><Relationship Type="http://schemas.openxmlformats.org/officeDocument/2006/relationships/hyperlink" Target="https://produto.mercadolivre.com.br/MLB-3330228937-abafador-ruido-protetor-auricular-auditivo-camper-c200-5un-_JM" TargetMode="External" Id="rId48" /><Relationship Type="http://schemas.openxmlformats.org/officeDocument/2006/relationships/hyperlink" Target="https://www.mercadolivre.com.br/syi/core/modify?itemId=MLB3478548527&amp;callback_url=https%3A%2F%2Fwww.mercadolivre.com.br%2Fanuncios%2Flista%3Fpage%3D2%26sort%3DDEFAULT" TargetMode="External" Id="rId49" /><Relationship Type="http://schemas.openxmlformats.org/officeDocument/2006/relationships/hyperlink" Target="https://www.mercadolivre.com.br/syi/core/modify?itemId=MLB3252058821&amp;callback_url=https%3A%2F%2Fwww.mercadolivre.com.br%2Fanuncios%2Flista%3Fpage%3D2%26sort%3DDEFAULT" TargetMode="External" Id="rId50" /><Relationship Type="http://schemas.openxmlformats.org/officeDocument/2006/relationships/hyperlink" Target="https://shopee.com.br/product/409809114/23793067916/" TargetMode="External" Id="rId51" /><Relationship Type="http://schemas.openxmlformats.org/officeDocument/2006/relationships/hyperlink" Target="https://www.mercadolivre.com.br/syi/core/modify?itemId=MLB3705409586&amp;callback_url=https%3A%2F%2Fwww.mercadolivre.com.br%2Fanuncios%2Flista%3Fpage%3D3%26sort%3DDEFAULT" TargetMode="External" Id="rId52" /><Relationship Type="http://schemas.openxmlformats.org/officeDocument/2006/relationships/hyperlink" Target="https://www.mercadolivre.com.br/syi/core/modify?itemId=MLB3956529572&amp;callback_url=https%3A%2F%2Fwww.mercadolivre.com.br%2Fanuncios%2Flista%3Fpage%3D3%26sort%3DDEFAULT" TargetMode="External" Id="rId53" /><Relationship Type="http://schemas.openxmlformats.org/officeDocument/2006/relationships/hyperlink" Target="https://www.mercadolivre.com.br/syi/core/modify?itemId=MLB3382197745&amp;callback_url=https%3A%2F%2Fwww.mercadolivre.com.br%2Fanuncios%2Flista%3Fpage%3D3%26sort%3DDEFAULT" TargetMode="External" Id="rId54" /><Relationship Type="http://schemas.openxmlformats.org/officeDocument/2006/relationships/hyperlink" Target="https://www.mercadolivre.com.br/syi/core/modify?itemId=MLB3436767961&amp;callback_url=https%3A%2F%2Fwww.mercadolivre.com.br%2Fanuncios%2Flista%3Fpage%3D3%26sort%3DDEFAULT" TargetMode="External" Id="rId55" /><Relationship Type="http://schemas.openxmlformats.org/officeDocument/2006/relationships/hyperlink" Target="https://www.mercadolivre.com.br/syi/core/modify?itemId=MLB2785525387&amp;callback_url=https%3A%2F%2Fwww.mercadolivre.com.br%2Fanuncios%2Flista%3Fpage%3D3%26sort%3DDEFAULT" TargetMode="External" Id="rId56" /><Relationship Type="http://schemas.openxmlformats.org/officeDocument/2006/relationships/hyperlink" Target="https://www.mercadolivre.com.br/syi/core/modify?itemId=MLB3832866504&amp;callback_url=https%3A%2F%2Fwww.mercadolivre.com.br%2Fanuncios%2Flista%3Fpage%3D3%26sort%3DDEFAULT" TargetMode="External" Id="rId57" /><Relationship Type="http://schemas.openxmlformats.org/officeDocument/2006/relationships/hyperlink" Target="https://www.mercadolivre.com.br/syi/core/modify?itemId=MLB4495307950&amp;callback_url=https%3A%2F%2Fwww.mercadolivre.com.br%2Fanuncios%2Flista%3Fpage%3D3%26sort%3DDEFAULT" TargetMode="External" Id="rId58" /><Relationship Type="http://schemas.openxmlformats.org/officeDocument/2006/relationships/hyperlink" Target="https://shopee.com.br/product/409809114/22797549351/" TargetMode="External" Id="rId59" /><Relationship Type="http://schemas.openxmlformats.org/officeDocument/2006/relationships/hyperlink" Target="https://www.mercadolivre.com.br/syi/core/modify?itemId=MLB3833122119&amp;callback_url=https%3A%2F%2Fwww.mercadolivre.com.br%2Fanuncios%2Flista%3Fpage%3D3%26sort%3DDEFAULT" TargetMode="External" Id="rId60" /><Relationship Type="http://schemas.openxmlformats.org/officeDocument/2006/relationships/hyperlink" Target="https://www.mercadolivre.com.br/syi/core/modify?itemId=MLB3634089801&amp;callback_url=https%3A%2F%2Fwww.mercadolivre.com.br%2Fanuncios%2Flista%3Fpage%3D3%26sort%3DDEFAULT" TargetMode="External" Id="rId61" /><Relationship Type="http://schemas.openxmlformats.org/officeDocument/2006/relationships/hyperlink" Target="https://www.mercadolivre.com.br/syi/core/modify?itemId=MLB3946230911&amp;callback_url=https%3A%2F%2Fwww.mercadolivre.com.br%2Fanuncios%2Flista%3Fpage%3D3%26sort%3DDEFAULT" TargetMode="External" Id="rId62" /><Relationship Type="http://schemas.openxmlformats.org/officeDocument/2006/relationships/hyperlink" Target="https://www.mercadolivre.com.br/syi/core/modify?itemId=MLB3634048065&amp;callback_url=https%3A%2F%2Fwww.mercadolivre.com.br%2Fanuncios%2Flista%3Fpage%3D3%26sort%3DDEFAULT" TargetMode="External" Id="rId63" /><Relationship Type="http://schemas.openxmlformats.org/officeDocument/2006/relationships/hyperlink" Target="https://www.mercadolivre.com.br/syi/core/modify?itemId=MLB3833122081&amp;callback_url=https%3A%2F%2Fwww.mercadolivre.com.br%2Fanuncios%2Flista%3Fpage%3D3%26sort%3DDEFAULT" TargetMode="External" Id="rId64" /><Relationship Type="http://schemas.openxmlformats.org/officeDocument/2006/relationships/hyperlink" Target="https://www.mercadolivre.com.br/syi/core/modify?itemId=MLB3946901491&amp;callback_url=https%3A%2F%2Fwww.mercadolivre.com.br%2Fanuncios%2Flista%3Fpage%3D3%26sort%3DDEFAULT" TargetMode="External" Id="rId65" /><Relationship Type="http://schemas.openxmlformats.org/officeDocument/2006/relationships/hyperlink" Target="https://www.mercadolivre.com.br/syi/core/modify?itemId=MLB3946113239&amp;callback_url=https%3A%2F%2Fwww.mercadolivre.com.br%2Fanuncios%2Flista%3Ffilters%3DOMNI_ACTIVE%257COMNI_INACTIVE%257CCHANNEL_NO_PROXIMITY_AND_NO_MP_MERCHANTS%26page%3D3%26sort%3DDEFAULT" TargetMode="External" Id="rId66" /><Relationship Type="http://schemas.openxmlformats.org/officeDocument/2006/relationships/hyperlink" Target="https://produto.mercadolivre.com.br/MLB-3943290653-alicate-universal-reforcado-eletricista-isolado-irwin-8-pol-_JM" TargetMode="External" Id="rId67" /><Relationship Type="http://schemas.openxmlformats.org/officeDocument/2006/relationships/hyperlink" Target="https://www.mercadolivre.com.br/syi/core/modify?itemId=MLB3943414937&amp;callback_url=https%3A%2F%2Fwww.mercadolivre.com.br%2Fanuncios%2Flista%3Ffilters%3DOMNI_ACTIVE%257COMNI_INACTIVE%257CCHANNEL_NO_PROXIMITY_AND_NO_MP_MERCHANTS%26page%3D3%26sort%3DDEFAULT" TargetMode="External" Id="rId68" /><Relationship Type="http://schemas.openxmlformats.org/officeDocument/2006/relationships/hyperlink" Target="https://produto.mercadolivre.com.br/MLB-3944664203-roda-pneu-carrinho-de-mo-macico-reforcada-325-x-8-x-34-_JM" TargetMode="External" Id="rId69" /><Relationship Type="http://schemas.openxmlformats.org/officeDocument/2006/relationships/hyperlink" Target="https://produto.mercadolivre.com.br/MLB-3944805671-kit-50-chumbador-parabolt-pba-14-x-214-c-porca-e-arruela-_JM" TargetMode="External" Id="rId70" /><Relationship Type="http://schemas.openxmlformats.org/officeDocument/2006/relationships/hyperlink" Target="https://www.mercadolivre.com.br/syi/core/modify?itemId=MLB3945666897&amp;callback_url=https%3A%2F%2Fwww.mercadolivre.com.br%2Fanuncios%2Flista%3Ffilters%3DOMNI_ACTIVE%257COMNI_INACTIVE%257CCHANNEL_NO_PROXIMITY_AND_NO_MP_MERCHANTS%26page%3D3%26sort%3DDEFAULT" TargetMode="External" Id="rId71" /><Relationship Type="http://schemas.openxmlformats.org/officeDocument/2006/relationships/hyperlink" Target="https://www.mercadolivre.com.br/syi/core/modify?itemId=MLB3952787167&amp;callback_url=https%3A%2F%2Fwww.mercadolivre.com.br%2Fanuncios%2Flista%3Fpage%3D4%26sort%3DDEFAULT" TargetMode="External" Id="rId72" /><Relationship Type="http://schemas.openxmlformats.org/officeDocument/2006/relationships/hyperlink" Target="https://www.mercadolivre.com.br/syi/core/modify?itemId=MLB5242169150&amp;callback_url=https%3A%2F%2Fwww.mercadolivre.com.br%2Fanuncios%2Flista%3Fpage%3D4%26sort%3DDEFAULT" TargetMode="External" Id="rId73" /><Relationship Type="http://schemas.openxmlformats.org/officeDocument/2006/relationships/hyperlink" Target="https://www.mercadolivre.com.br/syi/core/modify?itemId=MLB5242228180&amp;callback_url=https%3A%2F%2Fwww.mercadolivre.com.br%2Fanuncios%2Flista%3Fpage%3D4%26sort%3DDEFAULT" TargetMode="External" Id="rId74" /><Relationship Type="http://schemas.openxmlformats.org/officeDocument/2006/relationships/hyperlink" Target="https://www.mercadolivre.com.br/syi/core/modify?itemId=MLB5242673588&amp;callback_url=https%3A%2F%2Fwww.mercadolivre.com.br%2Fanuncios%2Flista%3Fpage%3D4%26sort%3DDEFAULT" TargetMode="External" Id="rId75" /><Relationship Type="http://schemas.openxmlformats.org/officeDocument/2006/relationships/hyperlink" Target="https://www.mercadolivre.com.br/syi/core/modify?itemId=MLB5244097542&amp;callback_url=https%3A%2F%2Fwww.mercadolivre.com.br%2Fanuncios%2Flista%3Fpage%3D4%26sort%3DDEFAULT" TargetMode="External" Id="rId76" /><Relationship Type="http://schemas.openxmlformats.org/officeDocument/2006/relationships/hyperlink" Target="https://www.mercadolivre.com.br/syi/core/modify?itemId=MLB5244549660&amp;callback_url=https%3A%2F%2Fwww.mercadolivre.com.br%2Fanuncios%2Flista%3Fpage%3D4%26sort%3DDEFAULT" TargetMode="External" Id="rId77" /><Relationship Type="http://schemas.openxmlformats.org/officeDocument/2006/relationships/hyperlink" Target="https://www.mercadolivre.com.br/syi/core/modify?itemId=MLB5244771272&amp;callback_url=https%3A%2F%2Fwww.mercadolivre.com.br%2Fanuncios%2Flista%3Fpage%3D4%26sort%3DDEFAULT" TargetMode="External" Id="rId78" /><Relationship Type="http://schemas.openxmlformats.org/officeDocument/2006/relationships/hyperlink" Target="https://www.mercadolivre.com.br/syi/core/modify?itemId=MLB5245212836&amp;callback_url=https%3A%2F%2Fwww.mercadolivre.com.br%2Fanuncios%2Flista%3Fpage%3D4%26sort%3DDEFAULT" TargetMode="External" Id="rId79" /><Relationship Type="http://schemas.openxmlformats.org/officeDocument/2006/relationships/hyperlink" Target="https://www.mercadolivre.com.br/syi/core/modify?itemId=MLB5249338012&amp;callback_url=https%3A%2F%2Fwww.mercadolivre.com.br%2Fanuncios%2Flista%3Fpage%3D4%26sort%3DDEFAULT" TargetMode="External" Id="rId80" /><Relationship Type="http://schemas.openxmlformats.org/officeDocument/2006/relationships/hyperlink" Target="https://www.mercadolivre.com.br/syi/core/modify?itemId=MLB5249766570&amp;callback_url=https%3A%2F%2Fwww.mercadolivre.com.br%2Fanuncios%2Flista%3Fpage%3D4%26sort%3DDEFAULT" TargetMode="External" Id="rId81" /><Relationship Type="http://schemas.openxmlformats.org/officeDocument/2006/relationships/hyperlink" Target="https://www.mercadolivre.com.br/syi/core/modify?itemId=MLB5259490860&amp;callback_url=https%3A%2F%2Fwww.mercadolivre.com.br%2Fanuncios%2Flista%3Fpage%3D4%26sort%3DDEFAULT" TargetMode="External" Id="rId82" /><Relationship Type="http://schemas.openxmlformats.org/officeDocument/2006/relationships/hyperlink" Target="https://www.mercadolivre.com.br/syi/core/modify?itemId=MLB5261257678&amp;callback_url=https%3A%2F%2Fwww.mercadolivre.com.br%2Fanuncios%2Flista%3Fpage%3D1%26sort%3DCREATE_LAST" TargetMode="External" Id="rId83" /><Relationship Type="http://schemas.openxmlformats.org/officeDocument/2006/relationships/hyperlink" Target="https://www.mercadolivre.com.br/syi/core/modify?itemId=MLB3954669711&amp;callback_url=https%3A%2F%2Fwww.mercadolivre.com.br%2Fanuncios%2Flista%3Fpage%3D1%26sort%3DCREATE_LAST" TargetMode="External" Id="rId84" /><Relationship Type="http://schemas.openxmlformats.org/officeDocument/2006/relationships/hyperlink" Target="https://www.mercadolivre.com.br/syi/core/modify?itemId=MLB3955520933&amp;callback_url=https%3A%2F%2Fwww.mercadolivre.com.br%2Fanuncios%2Flista%3Fpage%3D1%26search%3Dbota%26sort%3DCREATE_LAST" TargetMode="External" Id="rId85" /><Relationship Type="http://schemas.openxmlformats.org/officeDocument/2006/relationships/hyperlink" Target="https://www.mercadolivre.com.br/syi/core/modify?itemId=MLB3955981385&amp;callback_url=https%3A%2F%2Fwww.mercadolivre.com.br%2Fanuncios%2Flista%3Fpage%3D1%26sort%3DCREATE_LAST" TargetMode="External" Id="rId86" /><Relationship Type="http://schemas.openxmlformats.org/officeDocument/2006/relationships/hyperlink" Target="https://www.mercadolivre.com.br/syi/core/modify?itemId=MLB5263490942&amp;callback_url=https%3A%2F%2Fwww.mercadolivre.com.br%2Fanuncios%2Flista%3Fpage%3D1%26sort%3DCREATE_LAST" TargetMode="External" Id="rId87" /><Relationship Type="http://schemas.openxmlformats.org/officeDocument/2006/relationships/hyperlink" Target="https://www.mercadolivre.com.br/syi/core/modify?itemId=MLB5263571162&amp;callback_url=https%3A%2F%2Fwww.mercadolivre.com.br%2Fanuncios%2Flista%3Fpage%3D1%26sort%3DCREATE_LAST" TargetMode="External" Id="rId88" /><Relationship Type="http://schemas.openxmlformats.org/officeDocument/2006/relationships/hyperlink" Target="https://produto.mercadolivre.com.br/MLB-5265554188-bota-pvc-innpro-work-preta-cano-medio-borracha-impermeavel-_JM" TargetMode="External" Id="rId89" /><Relationship Type="http://schemas.openxmlformats.org/officeDocument/2006/relationships/hyperlink" Target="https://produto.mercadolivre.com.br/MLB-5265695406-bota-pvc-antiderrapante-impermeavel-cano-longo-conforto-ca-_JM" TargetMode="External" Id="rId90" /><Relationship Type="http://schemas.openxmlformats.org/officeDocument/2006/relationships/hyperlink" Target="https://produto.mercadolivre.com.br/MLB-4021380075-capacete-de-seguranca-avant-engenheiro-obra-camper-cor-preto-_JM" TargetMode="External" Id="rId91" /><Relationship Type="http://schemas.openxmlformats.org/officeDocument/2006/relationships/hyperlink" Target="https://produto.mercadolivre.com.br/MLB-4021380075-capacete-de-seguranca-avant-engenheiro-obra-camper-cor-preto-_JM" TargetMode="External" Id="rId92" /><Relationship Type="http://schemas.openxmlformats.org/officeDocument/2006/relationships/hyperlink" Target="https://produto.mercadolivre.com.br/MLB-5299544448-kit-10-oculos-sky-fume-incolor-proteco-lateral-seguranca-_JM" TargetMode="External" Id="rId93" /><Relationship Type="http://schemas.openxmlformats.org/officeDocument/2006/relationships/hyperlink" Target="https://produto.mercadolivre.com.br/MLB-5267540952-protetor-bloqueador-solar-4-litros-fps-60-nutriex-_JM" TargetMode="External" Id="rId94" /><Relationship Type="http://schemas.openxmlformats.org/officeDocument/2006/relationships/hyperlink" Target="https://www.mercadolivre.com.br/syi/core/modify?itemId=MLB3291514294&amp;callback_url=https%3A%2F%2Fwww.mercadolivre.com.br%2Fanuncios%2Flista%3Fpage%3D1%26search%3Dbota%2B%26sort%3DDEFAULT" TargetMode="External" Id="rId95" /><Relationship Type="http://schemas.openxmlformats.org/officeDocument/2006/relationships/hyperlink" Target="https://www.mercadolivre.com.br/syi/core/modify?itemId=MLB4036430673&amp;callback_url=https%3A%2F%2Fwww.mercadolivre.com.br%2Fanuncios%2Flista%3Ffilters%3DCHANNEL_NO_PROXIMITY_AND_NO_MP_MERCHANTS%26page%3D1%26search%3Dabra%25C3%25A7adeira%26sort%3DDEFAULT" TargetMode="External" Id="rId96" /><Relationship Type="http://schemas.openxmlformats.org/officeDocument/2006/relationships/hyperlink" Target="https://produto.mercadolivre.com.br/MLB-3946065753-kit-12-luva-multitato-tricotada-pu-mecanico-antiestatica-epi-_JM" TargetMode="External" Id="rId97" /><Relationship Type="http://schemas.openxmlformats.org/officeDocument/2006/relationships/hyperlink" Target="https://produto.mercadolivre.com.br/MLB-5344243526-chumbador-quimico-410-ancora-aqi380pro-c-aplicador-original-_JM" TargetMode="External" Id="rId98" /><Relationship Type="http://schemas.openxmlformats.org/officeDocument/2006/relationships/hyperlink" Target="https://produto.mercadolivre.com.br/MLB-3988019167-kit-cinto-paraquedista-1-ponto-talabarte-y-duplo-athenas-_JM" TargetMode="External" Id="rId99" /><Relationship Type="http://schemas.openxmlformats.org/officeDocument/2006/relationships/hyperlink" Target="https://www.mercadolivre.com.br/syi/core/modify?itemId=MLB5378169546&amp;callback_url=https%3A%2F%2Fwww.mercadolivre.com.br%2Fanuncios%2Flista%3Ffilters%3DOMNI_INACTIVE%257CCHANNEL_NO_PROXIMITY_AND_NO_MP_MERCHANTS%26page%3D1%26sort%3DDEFAULT" TargetMode="External" Id="rId100" /><Relationship Type="http://schemas.openxmlformats.org/officeDocument/2006/relationships/hyperlink" Target="https://www.mercadolivre.com.br/syi/core/modify?itemId=MLB4056490935&amp;callback_url=https%3A%2F%2Fwww.mercadolivre.com.br%2Fanuncios%2Flista%3Ffilters%3DCHANNEL_NO_PROXIMITY_AND_NO_MP_MERCHANTS%26page%3D1%26search%3Daplicador%26sort%3DDEFAULT" TargetMode="External" Id="rId101" /><Relationship Type="http://schemas.openxmlformats.org/officeDocument/2006/relationships/hyperlink" Target="https://www.mercadolivre.com.br/syi/core/modify?itemId=MLB4048387055&amp;callback_url=https%3A%2F%2Fwww.mercadolivre.com.br%2Fanuncios%2Flista%3Ffilters%3DCHANNEL_NO_PROXIMITY_AND_NO_MP_MERCHANTS%26page%3D1%26search%3Dapl400%26sort%3DDEFAULT" TargetMode="External" Id="rId102" /><Relationship Type="http://schemas.openxmlformats.org/officeDocument/2006/relationships/hyperlink" Target="https://shopee.com.br/product/409809114/22293989188/" TargetMode="External" Id="rId103" /><Relationship Type="http://schemas.openxmlformats.org/officeDocument/2006/relationships/hyperlink" Target="https://produto.mercadolivre.com.br/MLB-4230473400-oculos-de-seguranca-incolor-summer-clear-delta-plus-_JM" TargetMode="External" Id="rId104" /><Relationship Type="http://schemas.openxmlformats.org/officeDocument/2006/relationships/hyperlink" Target="https://produto.mercadolivre.com.br/MLB-4076061275-kit-20-tela-amarraco-alvenaria-blocos-tel120-12cm-x-50cm-_JM" TargetMode="External" Id="rId105" /><Relationship Type="http://schemas.openxmlformats.org/officeDocument/2006/relationships/hyperlink" Target="https://www.mercadolivre.com.br/syi/core/modify?itemId=MLB4071792781&amp;callback_url=https%3A%2F%2Fwww.mercadolivre.com.br%2Fanuncios%2Flista%3Ffilters%3DOMNI_INACTIVE%257CCHANNEL_NO_PROXIMITY_AND_NO_MP_MERCHANTS%26page%3D3%26sort%3DDEFAULT" TargetMode="External" Id="rId106" /><Relationship Type="http://schemas.openxmlformats.org/officeDocument/2006/relationships/hyperlink" Target="https://www.mercadolivre.com.br/syi/core/modify?itemId=MLB5405540980&amp;callback_url=https%3A%2F%2Fwww.mercadolivre.com.br%2Fanuncios%2Flista%3Fpage%3D1%26search%3Dkit%2B50%26sort%3DDEFAULT" TargetMode="External" Id="rId107" /><Relationship Type="http://schemas.openxmlformats.org/officeDocument/2006/relationships/hyperlink" Target="https://produto.mercadolivre.com.br/MLB-4072962309-refil-pad-recorte-acabamento-alinhamento-em-pinturas-atlas-_JM" TargetMode="External" Id="rId108" /><Relationship Type="http://schemas.openxmlformats.org/officeDocument/2006/relationships/hyperlink" Target="https://www.mercadolivre.com.br/syi/core/modify?itemId=MLB3633227036&amp;callback_url=https%3A%2F%2Fwww.mercadolivre.com.br%2Fanuncios%2Flista%3Ffilters%3DOMNI_ACTIVE%257COMNI_INACTIVE%257CCHANNEL_NO_PROXIMITY_AND_NO_MP_MERCHANTS%26page%3D1%26sort%3DDEFAULT" TargetMode="External" Id="rId109" /><Relationship Type="http://schemas.openxmlformats.org/officeDocument/2006/relationships/hyperlink" Target="https://shopee.com.br/product/409809114/19699548098/" TargetMode="External" Id="rId110" /><Relationship Type="http://schemas.openxmlformats.org/officeDocument/2006/relationships/hyperlink" Target="https://www.mercadolivre.com.br/syi/core/modify?itemId=MLB3513611567&amp;callback_url=https%3A%2F%2Fwww.mercadolivre.com.br%2Fanuncios%2Flista%3Ffilters%3DOMNI_ACTIVE%257COMNI_INACTIVE%257CCHANNEL_NO_PROXIMITY_AND_NO_MP_MERCHANTS%26page%3D1%26sort%3DDEFAULT" TargetMode="External" Id="rId111" /><Relationship Type="http://schemas.openxmlformats.org/officeDocument/2006/relationships/hyperlink" Target="https://www.mercadolivre.com.br/syi/core/modify?itemId=MLB2759814387&amp;callback_url=https%3A%2F%2Fwww.mercadolivre.com.br%2Fanuncios%2Flista%3Ffilters%3DOMNI_ACTIVE%257COMNI_INACTIVE%257CCHANNEL_NO_PROXIMITY_AND_NO_MP_MERCHANTS%26page%3D1%26sort%3DDEFAULT" TargetMode="External" Id="rId112" /><Relationship Type="http://schemas.openxmlformats.org/officeDocument/2006/relationships/hyperlink" Target="https://shopee.com.br/product/409809114/18998155737/" TargetMode="External" Id="rId113" /><Relationship Type="http://schemas.openxmlformats.org/officeDocument/2006/relationships/hyperlink" Target="https://shopee.com.br/product/409809114/22598333226/" TargetMode="External" Id="rId114" /><Relationship Type="http://schemas.openxmlformats.org/officeDocument/2006/relationships/hyperlink" Target="https://shopee.com.br/product/409809114/22593952433/" TargetMode="External" Id="rId115" /><Relationship Type="http://schemas.openxmlformats.org/officeDocument/2006/relationships/hyperlink" Target="https://shopee.com.br/product/409809114/23093941944/" TargetMode="External" Id="rId116" /><Relationship Type="http://schemas.openxmlformats.org/officeDocument/2006/relationships/hyperlink" Target="https://shopee.com.br/product/409809114/19397970874/" TargetMode="External" Id="rId117" /><Relationship Type="http://schemas.openxmlformats.org/officeDocument/2006/relationships/hyperlink" Target="https://shopee.com.br/product/409809114/19397970874/" TargetMode="External" Id="rId118" /><Relationship Type="http://schemas.openxmlformats.org/officeDocument/2006/relationships/hyperlink" Target="https://shopee.com.br/product/409809114/19397970874/" TargetMode="External" Id="rId119" /><Relationship Type="http://schemas.openxmlformats.org/officeDocument/2006/relationships/hyperlink" Target="https://shopee.com.br/product/409809114/22497988197/" TargetMode="External" Id="rId120" /><Relationship Type="http://schemas.openxmlformats.org/officeDocument/2006/relationships/hyperlink" Target="https://shopee.com.br/product/409809114/23794726968/" TargetMode="External" Id="rId121" /><Relationship Type="http://schemas.openxmlformats.org/officeDocument/2006/relationships/hyperlink" Target="https://shopee.com.br/product/409809114/22597511451/" TargetMode="External" Id="rId122" /><Relationship Type="http://schemas.openxmlformats.org/officeDocument/2006/relationships/hyperlink" Target="https://shopee.com.br/product/409809114/22393705945/" TargetMode="External" Id="rId123" /><Relationship Type="http://schemas.openxmlformats.org/officeDocument/2006/relationships/hyperlink" Target="https://www.mercadolivre.com.br/syi/core/modify?itemId=MLB3775290531&amp;callback_url=https%3A%2F%2Fwww.mercadolivre.com.br%2Fanuncios%2Flista%3Fpage%3D2%26sort%3DDEFAULT" TargetMode="External" Id="rId124" /><Relationship Type="http://schemas.openxmlformats.org/officeDocument/2006/relationships/hyperlink" Target="https://seller.shopee.com.br/portal/product/19899681728" TargetMode="External" Id="rId125" /><Relationship Type="http://schemas.openxmlformats.org/officeDocument/2006/relationships/hyperlink" Target="https://seller.shopee.com.br/portal/product/20999722785" TargetMode="External" Id="rId126" /><Relationship Type="http://schemas.openxmlformats.org/officeDocument/2006/relationships/hyperlink" Target="https://seller.shopee.com.br/portal/product/18098397480" TargetMode="External" Id="rId127" /><Relationship Type="http://schemas.openxmlformats.org/officeDocument/2006/relationships/hyperlink" Target="https://seller.shopee.com.br/portal/product/22698485819" TargetMode="External" Id="rId128" /><Relationship Type="http://schemas.openxmlformats.org/officeDocument/2006/relationships/hyperlink" Target="https://shopee.com.br/product/409809114/21398138404/" TargetMode="External" Id="rId129" /><Relationship Type="http://schemas.openxmlformats.org/officeDocument/2006/relationships/hyperlink" Target="https://seller.shopee.com.br/portal/product/19199833885" TargetMode="External" Id="rId130" /><Relationship Type="http://schemas.openxmlformats.org/officeDocument/2006/relationships/hyperlink" Target="https://seller.shopee.com.br/portal/product/23298388700" TargetMode="External" Id="rId131" /><Relationship Type="http://schemas.openxmlformats.org/officeDocument/2006/relationships/hyperlink" Target="https://shopee.com.br/product/409809114/23798658472/" TargetMode="External" Id="rId132" /><Relationship Type="http://schemas.openxmlformats.org/officeDocument/2006/relationships/hyperlink" Target="https://seller.shopee.com.br/portal/product/18199765484" TargetMode="External" Id="rId133" /><Relationship Type="http://schemas.openxmlformats.org/officeDocument/2006/relationships/hyperlink" Target="https://shopee.com.br/product/409809114/23193699662/" TargetMode="External" Id="rId134" /><Relationship Type="http://schemas.openxmlformats.org/officeDocument/2006/relationships/hyperlink" Target="https://shopee.com.br/product/409809114/22493699028/" TargetMode="External" Id="rId135" /><Relationship Type="http://schemas.openxmlformats.org/officeDocument/2006/relationships/hyperlink" Target="https://shopee.com.br/product/409809114/23593694821/" TargetMode="External" Id="rId136" /><Relationship Type="http://schemas.openxmlformats.org/officeDocument/2006/relationships/hyperlink" Target="https://shopee.com.br/product/409809114/22493057331/" TargetMode="External" Id="rId137" /><Relationship Type="http://schemas.openxmlformats.org/officeDocument/2006/relationships/hyperlink" Target="https://shopee.com.br/product/409809114/23497506416/" TargetMode="External" Id="rId138" /><Relationship Type="http://schemas.openxmlformats.org/officeDocument/2006/relationships/hyperlink" Target="https://shopee.com.br/product/409809114/23497506416/" TargetMode="External" Id="rId139" /><Relationship Type="http://schemas.openxmlformats.org/officeDocument/2006/relationships/hyperlink" Target="https://shopee.com.br/product/409809114/23497506416/" TargetMode="External" Id="rId140" /><Relationship Type="http://schemas.openxmlformats.org/officeDocument/2006/relationships/hyperlink" Target="https://shopee.com.br/product/409809114/23497506416/" TargetMode="External" Id="rId141" /><Relationship Type="http://schemas.openxmlformats.org/officeDocument/2006/relationships/hyperlink" Target="https://shopee.com.br/product/409809114/23798841568/" TargetMode="External" Id="rId142" /><Relationship Type="http://schemas.openxmlformats.org/officeDocument/2006/relationships/hyperlink" Target="https://shopee.com.br/product/409809114/23998877814/" TargetMode="External" Id="rId143" /><Relationship Type="http://schemas.openxmlformats.org/officeDocument/2006/relationships/hyperlink" Target="https://shopee.com.br/product/409809114/23998877814/" TargetMode="External" Id="rId144" /><Relationship Type="http://schemas.openxmlformats.org/officeDocument/2006/relationships/hyperlink" Target="https://shopee.com.br/product/409809114/23998877814/" TargetMode="External" Id="rId145" /><Relationship Type="http://schemas.openxmlformats.org/officeDocument/2006/relationships/hyperlink" Target="https://shopee.com.br/product/409809114/23798883172/" TargetMode="External" Id="rId146" /><Relationship Type="http://schemas.openxmlformats.org/officeDocument/2006/relationships/hyperlink" Target="https://shopee.com.br/product/409809114/23798883172/" TargetMode="External" Id="rId147" /><Relationship Type="http://schemas.openxmlformats.org/officeDocument/2006/relationships/hyperlink" Target="https://shopee.com.br/product/409809114/22798899057/" TargetMode="External" Id="rId148" /><Relationship Type="http://schemas.openxmlformats.org/officeDocument/2006/relationships/hyperlink" Target="https://shopee.com.br/product/409809114/23298893878/" TargetMode="External" Id="rId149" /><Relationship Type="http://schemas.openxmlformats.org/officeDocument/2006/relationships/hyperlink" Target="https://shopee.com.br/product/409809114/23499036914/" TargetMode="External" Id="rId150" /><Relationship Type="http://schemas.openxmlformats.org/officeDocument/2006/relationships/hyperlink" Target="https://shopee.com.br/product/409809114/23094549134/" TargetMode="External" Id="rId151" /><Relationship Type="http://schemas.openxmlformats.org/officeDocument/2006/relationships/hyperlink" Target="https://shopee.com.br/product/409809114/22894545755/" TargetMode="External" Id="rId152" /><Relationship Type="http://schemas.openxmlformats.org/officeDocument/2006/relationships/hyperlink" Target="https://shopee.com.br/product/409809114/23094545824/" TargetMode="External" Id="rId153" /><Relationship Type="http://schemas.openxmlformats.org/officeDocument/2006/relationships/hyperlink" Target="https://seller.shopee.com.br/portal/product/22899053723" TargetMode="External" Id="rId154" /><Relationship Type="http://schemas.openxmlformats.org/officeDocument/2006/relationships/hyperlink" Target="https://seller.shopee.com.br/portal/product/23899036330" TargetMode="External" Id="rId155" /><Relationship Type="http://schemas.openxmlformats.org/officeDocument/2006/relationships/hyperlink" Target="https://seller.shopee.com.br/portal/product/22094652788" TargetMode="External" Id="rId156" /><Relationship Type="http://schemas.openxmlformats.org/officeDocument/2006/relationships/hyperlink" Target="https://seller.shopee.com.br/portal/product/22094653338" TargetMode="External" Id="rId157" /><Relationship Type="http://schemas.openxmlformats.org/officeDocument/2006/relationships/hyperlink" Target="https://shopee.com.br/product/409809114/58250017862/" TargetMode="External" Id="rId158" /><Relationship Type="http://schemas.openxmlformats.org/officeDocument/2006/relationships/hyperlink" Target="https://shopee.com.br/product/409809114/58201857494/" TargetMode="External" Id="rId159" /><Relationship Type="http://schemas.openxmlformats.org/officeDocument/2006/relationships/hyperlink" Target="https://shopee.com.br/product/409809114/58201857494/" TargetMode="External" Id="rId160" /><Relationship Type="http://schemas.openxmlformats.org/officeDocument/2006/relationships/hyperlink" Target="https://shopee.com.br/product/409809114/58201857494/" TargetMode="External" Id="rId161" /><Relationship Type="http://schemas.openxmlformats.org/officeDocument/2006/relationships/hyperlink" Target="https://shopee.com.br/product/409809114/58201857494/" TargetMode="External" Id="rId162" /><Relationship Type="http://schemas.openxmlformats.org/officeDocument/2006/relationships/hyperlink" Target="https://shopee.com.br/product/409809114/58201860740/" TargetMode="External" Id="rId163" /><Relationship Type="http://schemas.openxmlformats.org/officeDocument/2006/relationships/hyperlink" Target="https://shopee.com.br/product/409809114/58251860643/" TargetMode="External" Id="rId164" /><Relationship Type="http://schemas.openxmlformats.org/officeDocument/2006/relationships/hyperlink" Target="https://shopee.com.br/product/409809114/58251863909/" TargetMode="External" Id="rId165" /><Relationship Type="http://schemas.openxmlformats.org/officeDocument/2006/relationships/hyperlink" Target="https://shopee.com.br/product/409809114/23094711763/" TargetMode="External" Id="rId166" /><Relationship Type="http://schemas.openxmlformats.org/officeDocument/2006/relationships/hyperlink" Target="https://shopee.com.br/product/409809114/58252049005/" TargetMode="External" Id="rId167" /><Relationship Type="http://schemas.openxmlformats.org/officeDocument/2006/relationships/hyperlink" Target="https://shopee.com.br/product/409809114/23893215585/" TargetMode="External" Id="rId168" /><Relationship Type="http://schemas.openxmlformats.org/officeDocument/2006/relationships/hyperlink" Target="https://shopee.com.br/product/409809114/23893998783/" TargetMode="External" Id="rId169" /><Relationship Type="http://schemas.openxmlformats.org/officeDocument/2006/relationships/hyperlink" Target="https://shopee.com.br/product/409809114/58202121379/" TargetMode="External" Id="rId170" /><Relationship Type="http://schemas.openxmlformats.org/officeDocument/2006/relationships/hyperlink" Target="https://shopee.com.br/product/409809114/22993009536/" TargetMode="External" Id="rId171" /><Relationship Type="http://schemas.openxmlformats.org/officeDocument/2006/relationships/hyperlink" Target="https://shopee.com.br/product/409809114/22993009536/" TargetMode="External" Id="rId172" /><Relationship Type="http://schemas.openxmlformats.org/officeDocument/2006/relationships/hyperlink" Target="https://shopee.com.br/product/409809114/22993009536/" TargetMode="External" Id="rId173" /><Relationship Type="http://schemas.openxmlformats.org/officeDocument/2006/relationships/hyperlink" Target="https://shopee.com.br/product/409809114/22993009536/" TargetMode="External" Id="rId174" /><Relationship Type="http://schemas.openxmlformats.org/officeDocument/2006/relationships/hyperlink" Target="https://shopee.com.br/product/409809114/22893052970/" TargetMode="External" Id="rId175" /><Relationship Type="http://schemas.openxmlformats.org/officeDocument/2006/relationships/hyperlink" Target="https://shopee.com.br/product/409809114/22698485819/" TargetMode="External" Id="rId176" /><Relationship Type="http://schemas.openxmlformats.org/officeDocument/2006/relationships/hyperlink" Target="https://seller.shopee.com.br/portal/product/20497682648" TargetMode="External" Id="rId177" /><Relationship Type="http://schemas.openxmlformats.org/officeDocument/2006/relationships/hyperlink" Target="https://shopee.com.br/product/409809114/23998392043/" TargetMode="External" Id="rId178" /><Relationship Type="http://schemas.openxmlformats.org/officeDocument/2006/relationships/hyperlink" Target="https://shopee.com.br/product/409809114/23098188889/" TargetMode="External" Id="rId179" /><Relationship Type="http://schemas.openxmlformats.org/officeDocument/2006/relationships/hyperlink" Target="https://shopee.com.br/product/409809114/22597725126/" TargetMode="External" Id="rId180" /><Relationship Type="http://schemas.openxmlformats.org/officeDocument/2006/relationships/hyperlink" Target="https://seller.shopee.com.br/portal/product/58209420529" TargetMode="External" Id="rId181" /><Relationship Type="http://schemas.openxmlformats.org/officeDocument/2006/relationships/hyperlink" Target="https://seller.shopee.com.br/portal/product/58209360939" TargetMode="External" Id="rId182" /><Relationship Type="http://schemas.openxmlformats.org/officeDocument/2006/relationships/hyperlink" Target="https://seller.shopee.com.br/portal/product/22399459450" TargetMode="External" Id="rId183" /><Relationship Type="http://schemas.openxmlformats.org/officeDocument/2006/relationships/hyperlink" Target="https://seller.shopee.com.br/portal/product/58260228950" TargetMode="External" Id="rId184" /><Relationship Type="http://schemas.openxmlformats.org/officeDocument/2006/relationships/hyperlink" Target="https://produto.mercadolivre.com.br/MLB-3633587828-kit-tela-de-alvenaria-pino-liso-14x28-fincapino-am27-_JM" TargetMode="External" Id="rId185" /><Relationship Type="http://schemas.openxmlformats.org/officeDocument/2006/relationships/hyperlink" Target="https://shopee.com.br/product/409809114/18999689167/" TargetMode="External" Id="rId186" /><Relationship Type="http://schemas.openxmlformats.org/officeDocument/2006/relationships/table" Target="/xl/tables/table6.xml" Id="rId187" /><Relationship Type="http://schemas.openxmlformats.org/officeDocument/2006/relationships/table" Target="/xl/tables/table7.xml" Id="rId188" /><Relationship Type="http://schemas.openxmlformats.org/officeDocument/2006/relationships/table" Target="/xl/tables/table8.xml" Id="rId189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produto.mercadolivre.com.br/MLB-5299456820-kit-50-oculos-sky-proteco-seguranca-fume-ou-incolor-ca39878-_JM" TargetMode="External" Id="rId1" /><Relationship Type="http://schemas.openxmlformats.org/officeDocument/2006/relationships/hyperlink" Target="https://produto.mercadolivre.com.br/MLB-4371209595-silicone-acetico-transparente-construco-selante-blister-3un-_JM" TargetMode="External" Id="rId2" /><Relationship Type="http://schemas.openxmlformats.org/officeDocument/2006/relationships/hyperlink" Target="http://produto.mercadolivre.com.br/MLB-6014680906-sabonete-liquido-citric-limpeza-pesada-aco-profunda-120ml-4-_JM" TargetMode="External" Id="rId3" /><Relationship Type="http://schemas.openxmlformats.org/officeDocument/2006/relationships/hyperlink" Target="https://produto.mercadolivre.com.br/MLB-6056500850-silicone-selante-acetico-branco-acabamento-limpo-256g-5un-_JM" TargetMode="External" Id="rId4" /><Relationship Type="http://schemas.openxmlformats.org/officeDocument/2006/relationships/hyperlink" Target="https://produto.mercadolivre.com.br/MLB-5877428880-kit-luva-latex-natural-silver-grip-nitrilica-reforcada-5un-_JM" TargetMode="External" Id="rId5" /><Relationship Type="http://schemas.openxmlformats.org/officeDocument/2006/relationships/hyperlink" Target="https://produto.mercadolivre.com.br/MLB-5971005000-silicone-incolor-acetico-construco-multi-uso-vedaco-10un-_JM" TargetMode="External" Id="rId6" /><Relationship Type="http://schemas.openxmlformats.org/officeDocument/2006/relationships/hyperlink" Target="https://www.mercadolivre.com.br/kit-10-broca-videa-5mm-316-concreto-parede-alvenaria-tijolo/up/MLBU3911505376" TargetMode="External" Id="rId7" /><Relationship Type="http://schemas.openxmlformats.org/officeDocument/2006/relationships/table" Target="/xl/tables/table9.xml" Id="rId8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9.779999999999999" customWidth="1" style="1349" min="1" max="1"/>
    <col width="8.33" customWidth="1" style="1349" min="2" max="2"/>
    <col width="11.67" customWidth="1" style="1349" min="3" max="3"/>
    <col width="31.56" customWidth="1" style="1349" min="4" max="4"/>
    <col width="6.67" customWidth="1" style="1349" min="5" max="5"/>
    <col width="11.33" customWidth="1" style="1349" min="6" max="6"/>
    <col width="11.67" customWidth="1" style="1349" min="7" max="7"/>
    <col width="7.22" customWidth="1" style="1349" min="8" max="9"/>
    <col width="11.78" customWidth="1" style="1349" min="10" max="10"/>
    <col width="11.33" customWidth="1" style="1349" min="11" max="11"/>
    <col width="12" customWidth="1" style="1349" min="12" max="12"/>
    <col width="10.67" customWidth="1" style="1349" min="13" max="14"/>
    <col width="9" customWidth="1" style="1349" min="15" max="15"/>
    <col width="11.22" customWidth="1" style="1349" min="16" max="16"/>
    <col width="8.56" customWidth="1" style="1349" min="17" max="17"/>
    <col width="9.890000000000001" customWidth="1" style="1349" min="18" max="18"/>
    <col width="23.11" customWidth="1" style="1349" min="19" max="19"/>
    <col width="20.89" customWidth="1" style="1349" min="20" max="20"/>
  </cols>
  <sheetData>
    <row r="1" ht="22.5" customHeight="1" s="1349">
      <c r="A1" s="6" t="inlineStr">
        <is>
          <t>ID</t>
        </is>
      </c>
      <c r="B1" s="6" t="inlineStr">
        <is>
          <t>SKU</t>
        </is>
      </c>
      <c r="C1" s="2" t="inlineStr">
        <is>
          <t>Categoria</t>
        </is>
      </c>
      <c r="D1" s="6" t="inlineStr">
        <is>
          <t>items</t>
        </is>
      </c>
      <c r="E1" s="6" t="inlineStr">
        <is>
          <t>Valor base</t>
        </is>
      </c>
      <c r="F1" s="3" t="inlineStr">
        <is>
          <t>Valor de Venda</t>
        </is>
      </c>
      <c r="G1" s="4" t="inlineStr">
        <is>
          <t>Taxa</t>
        </is>
      </c>
      <c r="H1" s="6" t="inlineStr">
        <is>
          <t>RT</t>
        </is>
      </c>
      <c r="I1" s="5" t="inlineStr">
        <is>
          <t>Frete</t>
        </is>
      </c>
      <c r="J1" s="6" t="inlineStr">
        <is>
          <t>ICMS (18%)</t>
        </is>
      </c>
      <c r="K1" s="6" t="inlineStr">
        <is>
          <t>PIS (1,65%)</t>
        </is>
      </c>
      <c r="L1" s="4" t="inlineStr">
        <is>
          <t>COFINS (7,6%)</t>
        </is>
      </c>
      <c r="M1" s="6" t="inlineStr">
        <is>
          <t>Imposto Recuperável</t>
        </is>
      </c>
      <c r="N1" s="6" t="inlineStr">
        <is>
          <t>crédito (Comissão + frete)</t>
        </is>
      </c>
      <c r="O1" s="3" t="inlineStr">
        <is>
          <t>CUSTO</t>
        </is>
      </c>
      <c r="P1" s="3" t="inlineStr">
        <is>
          <t>Lucro Líquido (Valor)</t>
        </is>
      </c>
      <c r="Q1" s="3" t="inlineStr">
        <is>
          <t>Lucro Líquido (%)</t>
        </is>
      </c>
      <c r="R1" s="7" t="inlineStr">
        <is>
          <t>Status</t>
        </is>
      </c>
      <c r="S1" s="9" t="inlineStr">
        <is>
          <t>obs</t>
        </is>
      </c>
      <c r="T1" s="9" t="inlineStr">
        <is>
          <t>Coluna 1</t>
        </is>
      </c>
      <c r="U1" s="9" t="inlineStr">
        <is>
          <t>Coluna 2</t>
        </is>
      </c>
      <c r="V1" s="9" t="inlineStr">
        <is>
          <t>Coluna 3</t>
        </is>
      </c>
      <c r="W1" s="9" t="inlineStr">
        <is>
          <t>Coluna 4</t>
        </is>
      </c>
      <c r="X1" s="9" t="inlineStr">
        <is>
          <t>Coluna 5</t>
        </is>
      </c>
      <c r="Y1" s="9" t="inlineStr">
        <is>
          <t>Coluna 6</t>
        </is>
      </c>
      <c r="Z1" s="9" t="inlineStr">
        <is>
          <t>Coluna 7</t>
        </is>
      </c>
      <c r="AA1" s="9" t="inlineStr">
        <is>
          <t>Coluna 8</t>
        </is>
      </c>
      <c r="AB1" s="9" t="inlineStr">
        <is>
          <t>Coluna 9</t>
        </is>
      </c>
      <c r="AC1" s="9" t="inlineStr">
        <is>
          <t>Coluna 10</t>
        </is>
      </c>
      <c r="AD1" s="9" t="inlineStr">
        <is>
          <t>Coluna 11</t>
        </is>
      </c>
      <c r="AE1" s="9" t="inlineStr">
        <is>
          <t>Coluna 12</t>
        </is>
      </c>
      <c r="AF1" s="9" t="inlineStr">
        <is>
          <t>Coluna 13</t>
        </is>
      </c>
      <c r="AG1" s="10" t="n"/>
    </row>
    <row r="2" ht="22.5" customHeight="1" s="1349">
      <c r="A2" s="316" t="inlineStr">
        <is>
          <t>8394429844084229 431421361873484</t>
        </is>
      </c>
      <c r="B2" s="317" t="n">
        <v>868649</v>
      </c>
      <c r="C2" s="318" t="inlineStr">
        <is>
          <t>Bracol</t>
        </is>
      </c>
      <c r="D2" s="1310" t="inlineStr">
        <is>
          <t>CASTOR 45</t>
        </is>
      </c>
      <c r="E2" s="320" t="n"/>
      <c r="F2" s="320" t="n">
        <v>123.15</v>
      </c>
      <c r="G2" s="321">
        <f>F2*12%</f>
        <v/>
      </c>
      <c r="H2" s="322" t="n"/>
      <c r="I2" s="331" t="n">
        <v>22.45</v>
      </c>
      <c r="J2" s="321">
        <f>F2*18%</f>
        <v/>
      </c>
      <c r="K2" s="321">
        <f>(F2-J2)*1.65%</f>
        <v/>
      </c>
      <c r="L2" s="321">
        <f>(F2-J2)*7.6%</f>
        <v/>
      </c>
      <c r="M2" s="1097" t="n">
        <v>16.8</v>
      </c>
      <c r="N2" s="1097">
        <f>((G2+I2) * 9.25%)</f>
        <v/>
      </c>
      <c r="O2" s="708" t="n">
        <v>83.40000000000001</v>
      </c>
      <c r="P2" s="447">
        <f>(F2 - (G2+I2+O2+(J2+K2+L2))) - (H2-M2-N2)</f>
        <v/>
      </c>
      <c r="Q2" s="328">
        <f>P2/F2</f>
        <v/>
      </c>
      <c r="R2" s="24" t="inlineStr">
        <is>
          <t>Estoque encalhado</t>
        </is>
      </c>
      <c r="S2" s="330" t="n"/>
      <c r="T2" s="209" t="n"/>
      <c r="U2" s="209" t="n"/>
      <c r="V2" s="209" t="n"/>
      <c r="W2" s="209" t="n"/>
      <c r="X2" s="209" t="n"/>
      <c r="Y2" s="209" t="n"/>
      <c r="Z2" s="209" t="n"/>
      <c r="AA2" s="209" t="n"/>
      <c r="AB2" s="209" t="n"/>
      <c r="AC2" s="209" t="n"/>
      <c r="AD2" s="209" t="n"/>
      <c r="AE2" s="209" t="n"/>
      <c r="AF2" s="209" t="n"/>
      <c r="AG2" s="10" t="n"/>
    </row>
    <row r="3" ht="22.5" customHeight="1" s="1349">
      <c r="A3" s="28" t="inlineStr">
        <is>
          <t>3351940369 2724537013904071 8400175421866683</t>
        </is>
      </c>
      <c r="B3" s="29" t="n">
        <v>912255</v>
      </c>
      <c r="C3" s="30" t="inlineStr">
        <is>
          <t>Camper</t>
        </is>
      </c>
      <c r="D3" s="31" t="inlineStr">
        <is>
          <t>OCUPACIONAL BR 33/34</t>
        </is>
      </c>
      <c r="E3" s="380" t="n"/>
      <c r="F3" s="747" t="n">
        <v>63.58</v>
      </c>
      <c r="G3" s="34">
        <f>F3*12%</f>
        <v/>
      </c>
      <c r="H3" s="380" t="n"/>
      <c r="I3" s="35" t="n">
        <v>8.949999999999999</v>
      </c>
      <c r="J3" s="36">
        <f>F3*18%</f>
        <v/>
      </c>
      <c r="K3" s="36">
        <f>(F3-J3)*1.65%</f>
        <v/>
      </c>
      <c r="L3" s="36">
        <f>(F3-J3)*7.6%</f>
        <v/>
      </c>
      <c r="M3" s="784" t="n">
        <v>8.5</v>
      </c>
      <c r="N3" s="784">
        <f>((G3+I3) * 9.25%)</f>
        <v/>
      </c>
      <c r="O3" s="674" t="n">
        <v>42.2</v>
      </c>
      <c r="P3" s="447">
        <f>(F3 - (G3+I3+O3+(J3+K3+L3))) - (H3-M3-N3)</f>
        <v/>
      </c>
      <c r="Q3" s="39">
        <f>P3/F3</f>
        <v/>
      </c>
      <c r="R3" s="40" t="inlineStr">
        <is>
          <t>Estoque encalhado</t>
        </is>
      </c>
      <c r="S3" s="41" t="n"/>
      <c r="T3" s="507" t="n"/>
      <c r="U3" s="507" t="n"/>
      <c r="V3" s="507" t="n"/>
      <c r="W3" s="507" t="n"/>
      <c r="X3" s="507" t="n"/>
      <c r="Y3" s="507" t="n"/>
      <c r="Z3" s="507" t="n"/>
      <c r="AA3" s="507" t="n"/>
      <c r="AB3" s="507" t="n"/>
      <c r="AC3" s="507" t="n"/>
      <c r="AD3" s="507" t="n"/>
      <c r="AE3" s="507" t="n"/>
      <c r="AF3" s="507" t="n"/>
      <c r="AG3" s="10" t="n"/>
    </row>
    <row r="4" ht="22.5" customHeight="1" s="1349">
      <c r="A4" s="1265" t="inlineStr">
        <is>
          <t>6175046035061968</t>
        </is>
      </c>
      <c r="B4" s="1263" t="n">
        <v>10034034166666</v>
      </c>
      <c r="C4" s="292" t="inlineStr">
        <is>
          <t>Delta plus</t>
        </is>
      </c>
      <c r="D4" s="1310" t="inlineStr">
        <is>
          <t>BRASILIA 35, 36</t>
        </is>
      </c>
      <c r="E4" s="492" t="n"/>
      <c r="F4" s="607" t="n">
        <v>220.4</v>
      </c>
      <c r="G4" s="447">
        <f>F4*12%</f>
        <v/>
      </c>
      <c r="H4" s="831" t="n"/>
      <c r="I4" s="492" t="n">
        <v>30.75</v>
      </c>
      <c r="J4" s="340">
        <f>F4*18%</f>
        <v/>
      </c>
      <c r="K4" s="340">
        <f>(F4-J4)*1.65%</f>
        <v/>
      </c>
      <c r="L4" s="340">
        <f>(F4-J4)*7.6%</f>
        <v/>
      </c>
      <c r="M4" s="1097" t="n">
        <v>28.65</v>
      </c>
      <c r="N4" s="1097">
        <f>((G4+I4) * 9.25%)</f>
        <v/>
      </c>
      <c r="O4" s="197" t="n">
        <v>142.25</v>
      </c>
      <c r="P4" s="447">
        <f>(F4 - (G4+I4+O4+(J4+K4+L4))) - (H4-M4-N4)</f>
        <v/>
      </c>
      <c r="Q4" s="328">
        <f>P4/F4</f>
        <v/>
      </c>
      <c r="R4" s="631" t="inlineStr">
        <is>
          <t>Estoque encalhado</t>
        </is>
      </c>
      <c r="S4" s="515" t="inlineStr">
        <is>
          <t>brasilia</t>
        </is>
      </c>
      <c r="T4" s="514" t="n"/>
      <c r="U4" s="514" t="n"/>
      <c r="V4" s="514" t="n"/>
      <c r="W4" s="514" t="n"/>
      <c r="X4" s="514" t="n"/>
      <c r="Y4" s="514" t="n"/>
      <c r="Z4" s="514" t="n"/>
      <c r="AA4" s="514" t="n"/>
      <c r="AB4" s="514" t="n"/>
      <c r="AC4" s="514" t="n"/>
      <c r="AD4" s="514" t="n"/>
      <c r="AE4" s="514" t="n"/>
      <c r="AF4" s="514" t="n"/>
      <c r="AG4" s="10" t="n"/>
    </row>
    <row r="5" ht="22.5" customHeight="1" s="1349">
      <c r="A5" s="669" t="inlineStr">
        <is>
          <t>228405876693927</t>
        </is>
      </c>
      <c r="B5" s="806" t="n"/>
      <c r="C5" s="56" t="inlineStr">
        <is>
          <t>Bracol</t>
        </is>
      </c>
      <c r="D5" s="317" t="inlineStr">
        <is>
          <t>DETROIT 36</t>
        </is>
      </c>
      <c r="E5" s="898" t="n">
        <v>299</v>
      </c>
      <c r="F5" s="747" t="n">
        <v>211.68</v>
      </c>
      <c r="G5" s="34">
        <f>F5*12%</f>
        <v/>
      </c>
      <c r="H5" s="783" t="n"/>
      <c r="I5" s="60" t="n">
        <v>26.25</v>
      </c>
      <c r="J5" s="61">
        <f>F5*18%</f>
        <v/>
      </c>
      <c r="K5" s="61">
        <f>(F5-J5)*1.65%</f>
        <v/>
      </c>
      <c r="L5" s="61">
        <f>(F5-J5)*7.6%</f>
        <v/>
      </c>
      <c r="M5" s="784" t="n">
        <v>28.12</v>
      </c>
      <c r="N5" s="784">
        <f>((G5+I5) * 9.25%)</f>
        <v/>
      </c>
      <c r="O5" s="62" t="n">
        <v>139.63</v>
      </c>
      <c r="P5" s="447">
        <f>(F5 - (G5+I5+O5+(J5+K5+L5))) - (H5-M5-N5)</f>
        <v/>
      </c>
      <c r="Q5" s="63">
        <f>P5/F5</f>
        <v/>
      </c>
      <c r="R5" s="64" t="inlineStr">
        <is>
          <t>Estoque encalhado</t>
        </is>
      </c>
      <c r="S5" s="139" t="n"/>
      <c r="T5" s="595" t="n"/>
      <c r="U5" s="595" t="n"/>
      <c r="V5" s="595" t="n"/>
      <c r="W5" s="595" t="n"/>
      <c r="X5" s="595" t="n"/>
      <c r="Y5" s="595" t="n"/>
      <c r="Z5" s="595" t="n"/>
      <c r="AA5" s="595" t="n"/>
      <c r="AB5" s="595" t="n"/>
      <c r="AC5" s="595" t="n"/>
      <c r="AD5" s="595" t="n"/>
      <c r="AE5" s="595" t="n"/>
      <c r="AF5" s="595" t="n"/>
      <c r="AG5" s="10" t="n"/>
    </row>
    <row r="6" ht="22.5" customHeight="1" s="1349">
      <c r="A6" s="1265" t="inlineStr">
        <is>
          <t>4133849293</t>
        </is>
      </c>
      <c r="B6" s="1263" t="n">
        <v>10034034167541</v>
      </c>
      <c r="C6" s="261" t="inlineStr">
        <is>
          <t>VOLK</t>
        </is>
      </c>
      <c r="D6" s="1310" t="inlineStr">
        <is>
          <t>Luva Sensi Black Nitrílica Descartável Resistente Alimentos</t>
        </is>
      </c>
      <c r="E6" s="492" t="n"/>
      <c r="F6" s="607" t="n">
        <v>43.46</v>
      </c>
      <c r="G6" s="447">
        <f>F6*12%</f>
        <v/>
      </c>
      <c r="H6" s="831" t="n"/>
      <c r="I6" s="515" t="n">
        <v>6.65</v>
      </c>
      <c r="J6" s="340">
        <f>F6*18%</f>
        <v/>
      </c>
      <c r="K6" s="340">
        <f>(F6-J6)*1.65%</f>
        <v/>
      </c>
      <c r="L6" s="340">
        <f>(F6-J6)*7.6%</f>
        <v/>
      </c>
      <c r="M6" s="1097" t="n">
        <v>2.7</v>
      </c>
      <c r="N6" s="1097">
        <f>((G6+I6) * 9.25%)</f>
        <v/>
      </c>
      <c r="O6" s="708" t="n">
        <v>23.99</v>
      </c>
      <c r="P6" s="447">
        <f>(F6 - (G6+I6+O6+(J6+K6+L6))) - (H6-M6-N6)</f>
        <v/>
      </c>
      <c r="Q6" s="328">
        <f>P6/F6</f>
        <v/>
      </c>
      <c r="R6" s="631" t="inlineStr">
        <is>
          <t>Reajuste de preço</t>
        </is>
      </c>
      <c r="S6" s="71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10" t="n"/>
    </row>
    <row r="7" ht="22.5" customHeight="1" s="1349">
      <c r="A7" s="292" t="inlineStr">
        <is>
          <t>2785364363</t>
        </is>
      </c>
      <c r="B7" s="73" t="inlineStr">
        <is>
          <t>BW0029</t>
        </is>
      </c>
      <c r="C7" s="292" t="inlineStr">
        <is>
          <t>Bracol</t>
        </is>
      </c>
      <c r="D7" s="156" t="inlineStr">
        <is>
          <t>Bota Botina Segurança Masculina Epi Bico Pvc Cano Baixo Top</t>
        </is>
      </c>
      <c r="E7" s="515" t="n"/>
      <c r="F7" s="705" t="n">
        <v>63.5</v>
      </c>
      <c r="G7" s="447">
        <f>F7*12%</f>
        <v/>
      </c>
      <c r="H7" s="831" t="n">
        <v>-0.84</v>
      </c>
      <c r="I7" s="515" t="n">
        <v>8.550000000000001</v>
      </c>
      <c r="J7" s="340">
        <f>F7*18%</f>
        <v/>
      </c>
      <c r="K7" s="340">
        <f>(F7-J7)*1.65%</f>
        <v/>
      </c>
      <c r="L7" s="340">
        <f>(F7-J7)*7.6%</f>
        <v/>
      </c>
      <c r="M7" s="1097" t="n">
        <v>6.9</v>
      </c>
      <c r="N7" s="1097">
        <f>((G7+I7) * 9.25%)</f>
        <v/>
      </c>
      <c r="O7" s="77" t="n">
        <v>38.9</v>
      </c>
      <c r="P7" s="447">
        <f>(F7 - (G7+I7+O7+(J7+K7+L7))) - (H7-M7-N7)</f>
        <v/>
      </c>
      <c r="Q7" s="1328">
        <f>P7/F7</f>
        <v/>
      </c>
      <c r="R7" s="515" t="inlineStr">
        <is>
          <t>Ativo</t>
        </is>
      </c>
      <c r="S7" s="515" t="inlineStr">
        <is>
          <t>crival</t>
        </is>
      </c>
      <c r="T7" s="514" t="n"/>
      <c r="U7" s="514" t="n"/>
      <c r="V7" s="514" t="n"/>
      <c r="W7" s="514" t="n"/>
      <c r="X7" s="514" t="n"/>
      <c r="Y7" s="514" t="n"/>
      <c r="Z7" s="514" t="n"/>
      <c r="AA7" s="514" t="n"/>
      <c r="AB7" s="514" t="n"/>
      <c r="AC7" s="514" t="n"/>
      <c r="AD7" s="514" t="n"/>
      <c r="AE7" s="514" t="n"/>
      <c r="AF7" s="514" t="n"/>
      <c r="AG7" s="10" t="n"/>
    </row>
    <row r="8" ht="22.5" customHeight="1" s="1349">
      <c r="A8" s="669" t="inlineStr">
        <is>
          <t>8810736502505038</t>
        </is>
      </c>
      <c r="B8" s="670" t="n">
        <v>10034034166216</v>
      </c>
      <c r="C8" s="81" t="inlineStr">
        <is>
          <t>Delta plus</t>
        </is>
      </c>
      <c r="D8" s="82" t="inlineStr">
        <is>
          <t>londrina PR 38, MR 39</t>
        </is>
      </c>
      <c r="E8" s="806" t="n"/>
      <c r="F8" s="747" t="n">
        <v>159</v>
      </c>
      <c r="G8" s="34">
        <f>F8*12%</f>
        <v/>
      </c>
      <c r="H8" s="783" t="n"/>
      <c r="I8" s="898" t="n">
        <v>22.45</v>
      </c>
      <c r="J8" s="61">
        <f>F8*18%</f>
        <v/>
      </c>
      <c r="K8" s="61">
        <f>(F8-J8)*1.65%</f>
        <v/>
      </c>
      <c r="L8" s="61">
        <f>(F8-J8)*7.6%</f>
        <v/>
      </c>
      <c r="M8" s="784" t="n">
        <v>18.79</v>
      </c>
      <c r="N8" s="784">
        <f>((G8+I8) * 9.25%)</f>
        <v/>
      </c>
      <c r="O8" s="674" t="n">
        <v>93.28</v>
      </c>
      <c r="P8" s="447">
        <f>(F8 - (G8+I8+O8+(J8+K8+L8))) - (H8-M8-N8)</f>
        <v/>
      </c>
      <c r="Q8" s="63">
        <f>P8/F8</f>
        <v/>
      </c>
      <c r="R8" s="84" t="inlineStr">
        <is>
          <t>Estoque encalhado</t>
        </is>
      </c>
      <c r="S8" s="139" t="n"/>
      <c r="T8" s="595" t="n"/>
      <c r="U8" s="595" t="n"/>
      <c r="V8" s="595" t="n"/>
      <c r="W8" s="595" t="n"/>
      <c r="X8" s="595" t="n"/>
      <c r="Y8" s="595" t="n"/>
      <c r="Z8" s="595" t="n"/>
      <c r="AA8" s="595" t="n"/>
      <c r="AB8" s="595" t="n"/>
      <c r="AC8" s="595" t="n"/>
      <c r="AD8" s="595" t="n"/>
      <c r="AE8" s="595" t="n"/>
      <c r="AF8" s="595" t="n"/>
      <c r="AG8" s="10" t="n"/>
    </row>
    <row r="9" ht="22.5" customHeight="1" s="1349">
      <c r="A9" s="1265" t="inlineStr">
        <is>
          <t>506310137819409</t>
        </is>
      </c>
      <c r="B9" s="1263" t="n">
        <v>10034034166616</v>
      </c>
      <c r="C9" s="292" t="inlineStr">
        <is>
          <t>Bracol</t>
        </is>
      </c>
      <c r="D9" s="654" t="inlineStr">
        <is>
          <t>Bota Manobreiro Metatarso Antiperfuro Composite Bidensidade</t>
        </is>
      </c>
      <c r="E9" s="654" t="n"/>
      <c r="F9" s="607" t="n">
        <v>196.68</v>
      </c>
      <c r="G9" s="447">
        <f>F9*12%</f>
        <v/>
      </c>
      <c r="H9" s="831" t="n"/>
      <c r="I9" s="492" t="n">
        <v>28.35</v>
      </c>
      <c r="J9" s="340">
        <f>F9*18%</f>
        <v/>
      </c>
      <c r="K9" s="340">
        <f>(F9-J9)*1.65%</f>
        <v/>
      </c>
      <c r="L9" s="340">
        <f>(F9-J9)*7.6%</f>
        <v/>
      </c>
      <c r="M9" s="98" t="n">
        <v>21.18</v>
      </c>
      <c r="N9" s="98">
        <f>((G9+I9) * 9.25%)</f>
        <v/>
      </c>
      <c r="O9" s="492" t="n">
        <v>112.78</v>
      </c>
      <c r="P9" s="447">
        <f>(F9 - (G9+I9+O9+(J9+K9+L9))) - (H9-M9-N9)</f>
        <v/>
      </c>
      <c r="Q9" s="328">
        <f>P9/F9</f>
        <v/>
      </c>
      <c r="R9" s="631" t="inlineStr">
        <is>
          <t>TRAVADO</t>
        </is>
      </c>
      <c r="S9" s="513" t="n"/>
      <c r="T9" s="514" t="n"/>
      <c r="U9" s="514" t="n"/>
      <c r="V9" s="514" t="n"/>
      <c r="W9" s="514" t="n"/>
      <c r="X9" s="514" t="n"/>
      <c r="Y9" s="514" t="n"/>
      <c r="Z9" s="514" t="n"/>
      <c r="AA9" s="514" t="n"/>
      <c r="AB9" s="514" t="n"/>
      <c r="AC9" s="514" t="n"/>
      <c r="AD9" s="514" t="n"/>
      <c r="AE9" s="514" t="n"/>
      <c r="AF9" s="514" t="n"/>
      <c r="AG9" s="10" t="n"/>
    </row>
    <row r="10" ht="22.5" customHeight="1" s="1349">
      <c r="A10" s="1265" t="inlineStr">
        <is>
          <t>4812318358565840</t>
        </is>
      </c>
      <c r="B10" s="1263" t="inlineStr">
        <is>
          <t>700302-42</t>
        </is>
      </c>
      <c r="C10" s="292" t="inlineStr">
        <is>
          <t>MARLUVAS</t>
        </is>
      </c>
      <c r="D10" s="712" t="inlineStr">
        <is>
          <t>Bota De Segurança Marluvas Vulcaflex Bico De Pvc - Ca 43377</t>
        </is>
      </c>
      <c r="E10" s="492" t="n"/>
      <c r="F10" s="607" t="n">
        <v>78.98999999999999</v>
      </c>
      <c r="G10" s="447">
        <f>F10*12%</f>
        <v/>
      </c>
      <c r="H10" s="831" t="n"/>
      <c r="I10" s="515" t="n">
        <v>8.949999999999999</v>
      </c>
      <c r="J10" s="340">
        <f>F10*18%</f>
        <v/>
      </c>
      <c r="K10" s="340">
        <f>(F10)*1.65%</f>
        <v/>
      </c>
      <c r="L10" s="340">
        <f>(F10)*7.6%</f>
        <v/>
      </c>
      <c r="M10" s="1097" t="n">
        <v>9.42</v>
      </c>
      <c r="N10" s="1097">
        <f>((G10+I10) * 9.25%)</f>
        <v/>
      </c>
      <c r="O10" s="708" t="n">
        <v>46.74</v>
      </c>
      <c r="P10" s="447">
        <f>(F10 - (G10+I10+O10+(J10+K10+L10))) - (H10-M10-N10)</f>
        <v/>
      </c>
      <c r="Q10" s="328">
        <f>P10/F10</f>
        <v/>
      </c>
      <c r="R10" s="515" t="inlineStr">
        <is>
          <t>Ativo</t>
        </is>
      </c>
      <c r="S10" s="513" t="n"/>
      <c r="T10" s="514" t="n"/>
      <c r="U10" s="514" t="n"/>
      <c r="V10" s="514" t="n"/>
      <c r="W10" s="514" t="n"/>
      <c r="X10" s="514" t="n"/>
      <c r="Y10" s="514" t="n"/>
      <c r="Z10" s="514" t="n"/>
      <c r="AA10" s="514" t="n"/>
      <c r="AB10" s="514" t="n"/>
      <c r="AC10" s="514" t="n"/>
      <c r="AD10" s="514" t="n"/>
      <c r="AE10" s="514" t="n"/>
      <c r="AF10" s="514" t="n"/>
      <c r="AG10" s="10" t="n"/>
    </row>
    <row r="11" ht="22.5" customHeight="1" s="1349">
      <c r="A11" s="1265" t="inlineStr">
        <is>
          <t>3763296548</t>
        </is>
      </c>
      <c r="B11" s="1263" t="n">
        <v>47</v>
      </c>
      <c r="C11" s="292" t="inlineStr">
        <is>
          <t>ÂNCORA</t>
        </is>
      </c>
      <c r="D11" s="92" t="inlineStr">
        <is>
          <t>Pistola De Fixação Pino E Fincapino Indireta Ancora Fai72n</t>
        </is>
      </c>
      <c r="E11" s="492" t="n"/>
      <c r="F11" s="607" t="n">
        <v>960.3</v>
      </c>
      <c r="G11" s="93">
        <f>F11*17%</f>
        <v/>
      </c>
      <c r="H11" s="831" t="n">
        <v>-29.7</v>
      </c>
      <c r="I11" s="515" t="n">
        <v>30.75</v>
      </c>
      <c r="J11" s="340">
        <f>F11*18%</f>
        <v/>
      </c>
      <c r="K11" s="340">
        <f>(F11-J11)*1.65%</f>
        <v/>
      </c>
      <c r="L11" s="340">
        <f>(F11-J11)*7.6%</f>
        <v/>
      </c>
      <c r="M11" s="1097" t="n">
        <v>77.15000000000001</v>
      </c>
      <c r="N11" s="1097">
        <f>((G11+I11) * 9.25%)</f>
        <v/>
      </c>
      <c r="O11" s="708" t="n">
        <v>599</v>
      </c>
      <c r="P11" s="447">
        <f>(F11 - (G11+I11+O11+(J11+K11+L11))) - (H11-M11-N11)</f>
        <v/>
      </c>
      <c r="Q11" s="328">
        <f>P11/F11</f>
        <v/>
      </c>
      <c r="R11" s="515" t="inlineStr">
        <is>
          <t>Ativo</t>
        </is>
      </c>
      <c r="S11" s="513" t="n"/>
      <c r="T11" s="95" t="n"/>
      <c r="U11" s="514" t="n"/>
      <c r="V11" s="514" t="n"/>
      <c r="W11" s="514" t="n"/>
      <c r="X11" s="514" t="n"/>
      <c r="Y11" s="514" t="n"/>
      <c r="Z11" s="514" t="n"/>
      <c r="AA11" s="514" t="n"/>
      <c r="AB11" s="514" t="n"/>
      <c r="AC11" s="514" t="n"/>
      <c r="AD11" s="514" t="n"/>
      <c r="AE11" s="514" t="n"/>
      <c r="AF11" s="514" t="n"/>
      <c r="AG11" s="579" t="n"/>
    </row>
    <row r="12" ht="22.5" customHeight="1" s="1349">
      <c r="A12" s="1265" t="n"/>
      <c r="B12" s="1263" t="n"/>
      <c r="C12" s="515" t="n"/>
      <c r="D12" s="712" t="inlineStr">
        <is>
          <t xml:space="preserve">Manobreiro Premium </t>
        </is>
      </c>
      <c r="E12" s="654" t="n"/>
      <c r="F12" s="607" t="n">
        <v>219.3</v>
      </c>
      <c r="G12" s="447">
        <f>F12*17%</f>
        <v/>
      </c>
      <c r="H12" s="831" t="n"/>
      <c r="I12" s="492" t="n">
        <v>28.35</v>
      </c>
      <c r="J12" s="340">
        <f>F12*18%</f>
        <v/>
      </c>
      <c r="K12" s="340">
        <f>(F12-J12)*1.65%</f>
        <v/>
      </c>
      <c r="L12" s="340">
        <f>(F12-J12)*7.6%</f>
        <v/>
      </c>
      <c r="M12" s="98" t="n">
        <v>21.18</v>
      </c>
      <c r="N12" s="98" t="n">
        <v>4.81</v>
      </c>
      <c r="O12" s="492" t="n">
        <v>112.78</v>
      </c>
      <c r="P12" s="447">
        <f>(F12 - (G12+I12+O12+(J12+K12+L12))) - (H12-M12-N12)</f>
        <v/>
      </c>
      <c r="Q12" s="328">
        <f>P12/F12</f>
        <v/>
      </c>
      <c r="R12" s="631" t="n"/>
      <c r="S12" s="513" t="n"/>
      <c r="T12" s="514" t="n"/>
      <c r="U12" s="514" t="n"/>
      <c r="V12" s="514" t="n"/>
      <c r="W12" s="514" t="n"/>
      <c r="X12" s="514" t="n"/>
      <c r="Y12" s="514" t="n"/>
      <c r="Z12" s="514" t="n"/>
      <c r="AA12" s="514" t="n"/>
      <c r="AB12" s="514" t="n"/>
      <c r="AC12" s="514" t="n"/>
      <c r="AD12" s="514" t="n"/>
      <c r="AE12" s="514" t="n"/>
      <c r="AF12" s="514" t="n"/>
      <c r="AG12" s="10" t="n"/>
    </row>
    <row r="13" ht="22.5" customHeight="1" s="1349">
      <c r="A13" s="166" t="inlineStr">
        <is>
          <t>8548824233871185</t>
        </is>
      </c>
      <c r="B13" s="317" t="n">
        <v>912288</v>
      </c>
      <c r="C13" s="318" t="inlineStr">
        <is>
          <t>Delta plus</t>
        </is>
      </c>
      <c r="D13" s="1310" t="inlineStr">
        <is>
          <t>Bota Botina Nobuck Couro Velcro Impermeável Bico Pvc Com Ca</t>
        </is>
      </c>
      <c r="E13" s="904" t="n"/>
      <c r="F13" s="320" t="n">
        <v>173.63</v>
      </c>
      <c r="G13" s="321">
        <f>F13*12%</f>
        <v/>
      </c>
      <c r="H13" s="366" t="n">
        <v>-4.73</v>
      </c>
      <c r="I13" s="538" t="n">
        <v>25.55</v>
      </c>
      <c r="J13" s="321">
        <f>F13*18%</f>
        <v/>
      </c>
      <c r="K13" s="321">
        <f>(F13-J13)*1.65%</f>
        <v/>
      </c>
      <c r="L13" s="321">
        <f>(F13-J13)*7.6%</f>
        <v/>
      </c>
      <c r="M13" s="1097" t="n">
        <v>21.64</v>
      </c>
      <c r="N13" s="1097">
        <f>((G13+I13) * 9.25%)</f>
        <v/>
      </c>
      <c r="O13" s="176" t="n">
        <v>104.5</v>
      </c>
      <c r="P13" s="447">
        <f>(F13 - (G13+I13+O13+(J13+K13+L13))) - (H13-M13-N13)</f>
        <v/>
      </c>
      <c r="Q13" s="328">
        <f>P13/F13</f>
        <v/>
      </c>
      <c r="R13" s="105" t="inlineStr">
        <is>
          <t>Ativo</t>
        </is>
      </c>
      <c r="S13" s="330" t="n"/>
      <c r="T13" s="509" t="n"/>
      <c r="U13" s="509" t="n"/>
      <c r="V13" s="509" t="n"/>
      <c r="W13" s="509" t="n"/>
      <c r="X13" s="509" t="n"/>
      <c r="Y13" s="509" t="n"/>
      <c r="Z13" s="509" t="n"/>
      <c r="AA13" s="509" t="n"/>
      <c r="AB13" s="509" t="n"/>
      <c r="AC13" s="509" t="n"/>
      <c r="AD13" s="509" t="n"/>
      <c r="AE13" s="509" t="n"/>
      <c r="AF13" s="509" t="n"/>
      <c r="AG13" s="10" t="n"/>
    </row>
    <row r="14" ht="22.5" customHeight="1" s="1349">
      <c r="A14" s="1265" t="inlineStr">
        <is>
          <t>1419383534607761</t>
        </is>
      </c>
      <c r="B14" s="1263" t="n">
        <v>10034034167181</v>
      </c>
      <c r="C14" s="292" t="inlineStr">
        <is>
          <t>Bracol</t>
        </is>
      </c>
      <c r="D14" s="112" t="inlineStr">
        <is>
          <t>Bota Couro Atacama Horizon Bico Pvc Bracol Confortável Epi</t>
        </is>
      </c>
      <c r="E14" s="492" t="n"/>
      <c r="F14" s="607" t="n">
        <v>281.39</v>
      </c>
      <c r="G14" s="447">
        <f>F14*12%</f>
        <v/>
      </c>
      <c r="H14" s="831" t="n"/>
      <c r="I14" s="492" t="n">
        <v>28.85</v>
      </c>
      <c r="J14" s="340">
        <f>F14*18%</f>
        <v/>
      </c>
      <c r="K14" s="340">
        <f>(F14-J14)*1.65%</f>
        <v/>
      </c>
      <c r="L14" s="340">
        <f>(F14-J14)*7.6%</f>
        <v/>
      </c>
      <c r="M14" s="1097" t="n">
        <v>47.27</v>
      </c>
      <c r="N14" s="1097">
        <f>((G14+I14) * 9.25%)</f>
        <v/>
      </c>
      <c r="O14" s="708" t="n">
        <v>184.74</v>
      </c>
      <c r="P14" s="447">
        <f>(F14 - (G14+I14+O14+(J14+K14+L14))) - (H14-M14-N14)</f>
        <v/>
      </c>
      <c r="Q14" s="328">
        <f>P14/F14</f>
        <v/>
      </c>
      <c r="R14" s="515" t="inlineStr">
        <is>
          <t>Ativo</t>
        </is>
      </c>
      <c r="S14" s="515" t="n"/>
      <c r="T14" s="514" t="n"/>
      <c r="U14" s="514" t="n"/>
      <c r="V14" s="514" t="n"/>
      <c r="W14" s="514" t="n"/>
      <c r="X14" s="514" t="n"/>
      <c r="Y14" s="514" t="n"/>
      <c r="Z14" s="514" t="n"/>
      <c r="AA14" s="514" t="n"/>
      <c r="AB14" s="514" t="n"/>
      <c r="AC14" s="514" t="n"/>
      <c r="AD14" s="514" t="n"/>
      <c r="AE14" s="514" t="n"/>
      <c r="AF14" s="514" t="n"/>
      <c r="AG14" s="10" t="n"/>
    </row>
    <row r="15" ht="22.5" customHeight="1" s="1349">
      <c r="A15" s="489" t="inlineStr">
        <is>
          <t>3832866504</t>
        </is>
      </c>
      <c r="B15" s="713" t="n">
        <v>10034034167193</v>
      </c>
      <c r="C15" s="292" t="inlineStr">
        <is>
          <t>Walsywa</t>
        </is>
      </c>
      <c r="D15" s="712" t="inlineStr">
        <is>
          <t>Pistola Fixação De Ação Direta Fincapino Pino Dfg-40 Walsywa</t>
        </is>
      </c>
      <c r="E15" s="712" t="n"/>
      <c r="F15" s="607" t="n">
        <v>1866.42</v>
      </c>
      <c r="G15" s="447">
        <f>F15*12%</f>
        <v/>
      </c>
      <c r="H15" s="831" t="n">
        <v>-57.72</v>
      </c>
      <c r="I15" s="492" t="n">
        <v>30.75</v>
      </c>
      <c r="J15" s="340">
        <f>F15*18%</f>
        <v/>
      </c>
      <c r="K15" s="340">
        <f>(F15-J15)*1.65%</f>
        <v/>
      </c>
      <c r="L15" s="340">
        <f>(F15-J15)*7.6%</f>
        <v/>
      </c>
      <c r="M15" s="1097" t="n">
        <v>164.86</v>
      </c>
      <c r="N15" s="1097">
        <f>((G15+I15) * 9.25%)</f>
        <v/>
      </c>
      <c r="O15" s="708" t="n">
        <v>1280</v>
      </c>
      <c r="P15" s="447">
        <f>(F15 - (G15+I15+O15+(J15+K15+L15))) - (H15-M15-N15)</f>
        <v/>
      </c>
      <c r="Q15" s="328">
        <f>P15/F15</f>
        <v/>
      </c>
      <c r="R15" s="515" t="inlineStr">
        <is>
          <t>Ativo</t>
        </is>
      </c>
      <c r="S15" s="513" t="n"/>
      <c r="T15" s="514" t="n"/>
      <c r="U15" s="514" t="n"/>
      <c r="V15" s="514" t="n"/>
      <c r="W15" s="514" t="n"/>
      <c r="X15" s="514" t="n"/>
      <c r="Y15" s="514" t="n"/>
      <c r="Z15" s="514" t="n"/>
      <c r="AA15" s="514" t="n"/>
      <c r="AB15" s="514" t="n"/>
      <c r="AC15" s="514" t="n"/>
      <c r="AD15" s="514" t="n"/>
      <c r="AE15" s="514" t="n"/>
      <c r="AF15" s="514" t="n"/>
      <c r="AG15" s="10" t="n"/>
    </row>
    <row r="16" ht="22.5" customHeight="1" s="1349">
      <c r="A16" s="1265" t="inlineStr">
        <is>
          <t>3638405000</t>
        </is>
      </c>
      <c r="B16" s="1263" t="n">
        <v>47</v>
      </c>
      <c r="C16" s="292" t="inlineStr">
        <is>
          <t>ÂNCORA</t>
        </is>
      </c>
      <c r="D16" s="112" t="inlineStr">
        <is>
          <t>Pistola De Fixação Ação Indireta Ancora Fai72n + Brinde</t>
        </is>
      </c>
      <c r="E16" s="492" t="n"/>
      <c r="F16" s="607" t="n">
        <v>899.9</v>
      </c>
      <c r="G16" s="447">
        <f>F16*12%</f>
        <v/>
      </c>
      <c r="H16" s="831" t="n">
        <v>-30.01</v>
      </c>
      <c r="I16" s="515" t="n">
        <v>30.75</v>
      </c>
      <c r="J16" s="340">
        <f>F16*18%</f>
        <v/>
      </c>
      <c r="K16" s="340">
        <f>(F16-J16)*1.65%</f>
        <v/>
      </c>
      <c r="L16" s="340">
        <f>(F16-J16)*7.6%</f>
        <v/>
      </c>
      <c r="M16" s="1097" t="n">
        <v>77.15000000000001</v>
      </c>
      <c r="N16" s="1097">
        <f>((G16+I16) * 9.25%)</f>
        <v/>
      </c>
      <c r="O16" s="708" t="n">
        <v>599</v>
      </c>
      <c r="P16" s="447">
        <f>(F16 - (G16+I16+O16+(J16+K16+L16))) - (H16-M16-N16)</f>
        <v/>
      </c>
      <c r="Q16" s="328">
        <f>P16/F16</f>
        <v/>
      </c>
      <c r="R16" s="515" t="inlineStr">
        <is>
          <t>Ativo</t>
        </is>
      </c>
      <c r="S16" s="513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10" t="n"/>
    </row>
    <row r="17" ht="22.5" customHeight="1" s="1349">
      <c r="A17" s="316" t="inlineStr">
        <is>
          <t>8394429844084229 431421361873484</t>
        </is>
      </c>
      <c r="B17" s="317" t="n">
        <v>868649</v>
      </c>
      <c r="C17" s="318" t="inlineStr">
        <is>
          <t>Bracol</t>
        </is>
      </c>
      <c r="D17" s="1310" t="inlineStr">
        <is>
          <t>Bota Botina Nobuck Couro Cadarço Impermeável Bico Pvc Com Ca</t>
        </is>
      </c>
      <c r="E17" s="320" t="n"/>
      <c r="F17" s="320" t="n">
        <v>139.86</v>
      </c>
      <c r="G17" s="321">
        <f>F17*12%</f>
        <v/>
      </c>
      <c r="H17" s="322" t="n">
        <v>-8.390000000000001</v>
      </c>
      <c r="I17" s="331" t="n">
        <v>22.45</v>
      </c>
      <c r="J17" s="321">
        <f>F17*18%</f>
        <v/>
      </c>
      <c r="K17" s="321">
        <f>(F17-J17)*1.65%</f>
        <v/>
      </c>
      <c r="L17" s="321">
        <f>(F17-J17)*7.6%</f>
        <v/>
      </c>
      <c r="M17" s="1097" t="n">
        <v>16.8</v>
      </c>
      <c r="N17" s="1097">
        <f>((G17+I17) * 9.25%)</f>
        <v/>
      </c>
      <c r="O17" s="708" t="n">
        <v>85.48</v>
      </c>
      <c r="P17" s="447">
        <f>(F17 - (G17+I17+O17+(J17+K17+L17))) - (H17-M17-N17)</f>
        <v/>
      </c>
      <c r="Q17" s="328">
        <f>P17/F17</f>
        <v/>
      </c>
      <c r="R17" s="111" t="inlineStr">
        <is>
          <t>TRAVADO</t>
        </is>
      </c>
      <c r="S17" s="330" t="n">
        <v>2648</v>
      </c>
      <c r="T17" s="209" t="n"/>
      <c r="U17" s="209" t="n"/>
      <c r="V17" s="209" t="n"/>
      <c r="W17" s="209" t="n"/>
      <c r="X17" s="209" t="n"/>
      <c r="Y17" s="209" t="n"/>
      <c r="Z17" s="209" t="n"/>
      <c r="AA17" s="209" t="n"/>
      <c r="AB17" s="209" t="n"/>
      <c r="AC17" s="209" t="n"/>
      <c r="AD17" s="209" t="n"/>
      <c r="AE17" s="209" t="n"/>
      <c r="AF17" s="209" t="n"/>
      <c r="AG17" s="10" t="n"/>
    </row>
    <row r="18" ht="22.5" customHeight="1" s="1349">
      <c r="A18" s="1265" t="n"/>
      <c r="B18" s="1263" t="n"/>
      <c r="C18" s="515" t="n"/>
      <c r="D18" s="112" t="inlineStr">
        <is>
          <t>Atacama Premium</t>
        </is>
      </c>
      <c r="E18" s="492" t="n"/>
      <c r="F18" s="607" t="n">
        <v>313.19</v>
      </c>
      <c r="G18" s="447">
        <f>F18*17%</f>
        <v/>
      </c>
      <c r="H18" s="831" t="n"/>
      <c r="I18" s="492" t="n">
        <v>28.85</v>
      </c>
      <c r="J18" s="340">
        <f>F18*18%</f>
        <v/>
      </c>
      <c r="K18" s="340">
        <f>(F18-J18)*1.65%</f>
        <v/>
      </c>
      <c r="L18" s="340">
        <f>(F18-J18)*7.6%</f>
        <v/>
      </c>
      <c r="M18" s="1097" t="n">
        <v>47.27</v>
      </c>
      <c r="N18" s="1097" t="n">
        <v>5.65</v>
      </c>
      <c r="O18" s="708" t="n">
        <v>184.74</v>
      </c>
      <c r="P18" s="447">
        <f>(F18 - (G18+I18+O18+(J18+K18+L18))) - (H18-M18-N18)</f>
        <v/>
      </c>
      <c r="Q18" s="328">
        <f>P18/F18</f>
        <v/>
      </c>
      <c r="R18" s="515" t="n"/>
      <c r="S18" s="515" t="n"/>
      <c r="T18" s="514" t="n"/>
      <c r="U18" s="514" t="n"/>
      <c r="V18" s="514" t="n"/>
      <c r="W18" s="514" t="n"/>
      <c r="X18" s="514" t="n"/>
      <c r="Y18" s="514" t="n"/>
      <c r="Z18" s="514" t="n"/>
      <c r="AA18" s="514" t="n"/>
      <c r="AB18" s="514" t="n"/>
      <c r="AC18" s="514" t="n"/>
      <c r="AD18" s="514" t="n"/>
      <c r="AE18" s="514" t="n"/>
      <c r="AF18" s="514" t="n"/>
      <c r="AG18" s="10" t="n"/>
    </row>
    <row r="19" ht="22.5" customHeight="1" s="1349">
      <c r="A19" s="1265" t="inlineStr">
        <is>
          <t>4677269039</t>
        </is>
      </c>
      <c r="B19" s="1263" t="inlineStr">
        <is>
          <t>800202C</t>
        </is>
      </c>
      <c r="C19" s="261" t="inlineStr">
        <is>
          <t>Camper</t>
        </is>
      </c>
      <c r="D19" s="1310" t="inlineStr">
        <is>
          <t>Abafador De Ruidos Auditivo P/ Acoplar Capacete Camper C/ Ca</t>
        </is>
      </c>
      <c r="E19" s="492" t="n"/>
      <c r="F19" s="607" t="n">
        <v>43.56</v>
      </c>
      <c r="G19" s="447">
        <f>F19*12%</f>
        <v/>
      </c>
      <c r="H19" s="831" t="n"/>
      <c r="I19" s="631" t="n">
        <v>6.85</v>
      </c>
      <c r="J19" s="340">
        <f>F19*18%</f>
        <v/>
      </c>
      <c r="K19" s="340">
        <f>(F19-J19)*1.65%</f>
        <v/>
      </c>
      <c r="L19" s="340">
        <f>(F19-J19)*7.6%</f>
        <v/>
      </c>
      <c r="M19" s="1097" t="n">
        <v>4.17</v>
      </c>
      <c r="N19" s="1097">
        <f>((G19+I19) * 9.25%)</f>
        <v/>
      </c>
      <c r="O19" s="708" t="n">
        <v>22.73</v>
      </c>
      <c r="P19" s="447">
        <f>(F19 - (G19+I19+O19+(J19+K19+L19))) - (H19-M19-N19)</f>
        <v/>
      </c>
      <c r="Q19" s="328">
        <f>P19/F19</f>
        <v/>
      </c>
      <c r="R19" s="515" t="inlineStr">
        <is>
          <t>Ativo</t>
        </is>
      </c>
      <c r="S19" s="114" t="n"/>
      <c r="T19" s="115" t="n"/>
      <c r="U19" s="209" t="n"/>
      <c r="V19" s="209" t="n"/>
      <c r="W19" s="209" t="n"/>
      <c r="X19" s="209" t="n"/>
      <c r="Y19" s="209" t="n"/>
      <c r="Z19" s="209" t="n"/>
      <c r="AA19" s="209" t="n"/>
      <c r="AB19" s="209" t="n"/>
      <c r="AC19" s="209" t="n"/>
      <c r="AD19" s="209" t="n"/>
      <c r="AE19" s="209" t="n"/>
      <c r="AF19" s="209" t="n"/>
      <c r="AG19" s="579" t="n"/>
    </row>
    <row r="20" ht="22.5" customHeight="1" s="1349">
      <c r="A20" s="166" t="inlineStr">
        <is>
          <t>3330174933 3513611567</t>
        </is>
      </c>
      <c r="B20" s="317" t="inlineStr">
        <is>
          <t>800200C</t>
        </is>
      </c>
      <c r="C20" s="168" t="inlineStr">
        <is>
          <t>Camper</t>
        </is>
      </c>
      <c r="D20" s="1310" t="inlineStr">
        <is>
          <t>Abafador Ruido Protetor Auricular Auditivo C200 Camper 15db</t>
        </is>
      </c>
      <c r="E20" s="320" t="n"/>
      <c r="F20" s="320" t="n">
        <v>32.57</v>
      </c>
      <c r="G20" s="321">
        <f>F20*12%</f>
        <v/>
      </c>
      <c r="H20" s="322" t="n"/>
      <c r="I20" s="331" t="n">
        <v>6.75</v>
      </c>
      <c r="J20" s="321">
        <f>F20*18%</f>
        <v/>
      </c>
      <c r="K20" s="321">
        <f>(F20-J20)*1.65%</f>
        <v/>
      </c>
      <c r="L20" s="321">
        <f>(F20-J20)*7.6%</f>
        <v/>
      </c>
      <c r="M20" s="1097" t="n">
        <v>2.76</v>
      </c>
      <c r="N20" s="1097">
        <f>((G20+I20) * 9.25%)</f>
        <v/>
      </c>
      <c r="O20" s="708" t="n">
        <v>15.03</v>
      </c>
      <c r="P20" s="447">
        <f>(F20 - (G20+I20+O20+(J20+K20+L20))) - (H20-M20-N20)</f>
        <v/>
      </c>
      <c r="Q20" s="328">
        <f>P20/F20</f>
        <v/>
      </c>
      <c r="R20" s="631" t="inlineStr">
        <is>
          <t>Ativo</t>
        </is>
      </c>
      <c r="S20" s="330" t="n"/>
      <c r="T20" s="209" t="n"/>
      <c r="U20" s="209" t="n"/>
      <c r="V20" s="209" t="n"/>
      <c r="W20" s="209" t="n"/>
      <c r="X20" s="209" t="n"/>
      <c r="Y20" s="209" t="n"/>
      <c r="Z20" s="209" t="n"/>
      <c r="AA20" s="209" t="n"/>
      <c r="AB20" s="209" t="n"/>
      <c r="AC20" s="209" t="n"/>
      <c r="AD20" s="209" t="n"/>
      <c r="AE20" s="209" t="n"/>
      <c r="AF20" s="209" t="n"/>
      <c r="AG20" s="10" t="n"/>
    </row>
    <row r="21" ht="22.5" customHeight="1" s="1349">
      <c r="A21" s="1265" t="inlineStr">
        <is>
          <t>3351940369 2724537013904071 8400175421866683</t>
        </is>
      </c>
      <c r="B21" s="1263" t="n">
        <v>912255</v>
      </c>
      <c r="C21" s="292" t="inlineStr">
        <is>
          <t>Camper</t>
        </is>
      </c>
      <c r="D21" s="654" t="inlineStr">
        <is>
          <t>Sapato Ocupacional Segurança Limpeza Cozinha Industria C/ Ca</t>
        </is>
      </c>
      <c r="E21" s="654" t="n"/>
      <c r="F21" s="607" t="n">
        <v>74.94</v>
      </c>
      <c r="G21" s="447">
        <f>F21*12%</f>
        <v/>
      </c>
      <c r="H21" s="831" t="n"/>
      <c r="I21" s="515" t="n">
        <v>8.949999999999999</v>
      </c>
      <c r="J21" s="340">
        <f>F21*18%</f>
        <v/>
      </c>
      <c r="K21" s="340">
        <f>(F21-J21)*1.65%</f>
        <v/>
      </c>
      <c r="L21" s="340">
        <f>(F21-J21)*7.6%</f>
        <v/>
      </c>
      <c r="M21" s="1097" t="n">
        <v>8.5</v>
      </c>
      <c r="N21" s="1097">
        <f>((G21+I21) * 9.25%)</f>
        <v/>
      </c>
      <c r="O21" s="708" t="n">
        <v>42.2</v>
      </c>
      <c r="P21" s="447">
        <f>(F21 - (G21+I21+O21+(J21+K21+L21))) - (H21-M21-N21)</f>
        <v/>
      </c>
      <c r="Q21" s="328">
        <f>P21/F21</f>
        <v/>
      </c>
      <c r="R21" s="515" t="inlineStr">
        <is>
          <t>Ativo</t>
        </is>
      </c>
      <c r="S21" s="513" t="n"/>
      <c r="T21" s="514" t="n"/>
      <c r="U21" s="514" t="n"/>
      <c r="V21" s="514" t="n"/>
      <c r="W21" s="514" t="n"/>
      <c r="X21" s="514" t="n"/>
      <c r="Y21" s="514" t="n"/>
      <c r="Z21" s="514" t="n"/>
      <c r="AA21" s="514" t="n"/>
      <c r="AB21" s="514" t="n"/>
      <c r="AC21" s="514" t="n"/>
      <c r="AD21" s="514" t="n"/>
      <c r="AE21" s="514" t="n"/>
      <c r="AF21" s="514" t="n"/>
      <c r="AG21" s="10" t="n"/>
    </row>
    <row r="22" ht="22.5" customHeight="1" s="1349">
      <c r="A22" s="1265" t="inlineStr">
        <is>
          <t>3358720059</t>
        </is>
      </c>
      <c r="B22" s="1263" t="n">
        <v>7898529715030</v>
      </c>
      <c r="C22" s="292" t="inlineStr">
        <is>
          <t>Walsywa</t>
        </is>
      </c>
      <c r="D22" s="654" t="inlineStr">
        <is>
          <t>Pistola De Fixação Ação Indireta Walsywa Pra10 + Brinde</t>
        </is>
      </c>
      <c r="E22" s="654" t="n"/>
      <c r="F22" s="607" t="n">
        <v>950.6</v>
      </c>
      <c r="G22" s="447">
        <f>F22*12%</f>
        <v/>
      </c>
      <c r="H22" s="831" t="n">
        <v>-29.4</v>
      </c>
      <c r="I22" s="492" t="n">
        <v>30.75</v>
      </c>
      <c r="J22" s="340">
        <f>F22*18%</f>
        <v/>
      </c>
      <c r="K22" s="340">
        <f>(F22-J22)*1.65%</f>
        <v/>
      </c>
      <c r="L22" s="340">
        <f>(F22-J22)*7.6%</f>
        <v/>
      </c>
      <c r="M22" s="1097" t="n">
        <v>78.31</v>
      </c>
      <c r="N22" s="1097">
        <f>((G22+I22) * 9.25%)</f>
        <v/>
      </c>
      <c r="O22" s="708" t="n">
        <v>608</v>
      </c>
      <c r="P22" s="447">
        <f>(F22 - (G22+I22+O22+(J22+K22+L22))) - (H22-M22-N22)</f>
        <v/>
      </c>
      <c r="Q22" s="328">
        <f>P22/F22</f>
        <v/>
      </c>
      <c r="R22" s="515" t="inlineStr">
        <is>
          <t>Ativo</t>
        </is>
      </c>
      <c r="S22" s="513" t="n"/>
      <c r="T22" s="514" t="n"/>
      <c r="U22" s="514" t="n"/>
      <c r="V22" s="514" t="n"/>
      <c r="W22" s="514" t="n"/>
      <c r="X22" s="514" t="n"/>
      <c r="Y22" s="514" t="n"/>
      <c r="Z22" s="514" t="n"/>
      <c r="AA22" s="514" t="n"/>
      <c r="AB22" s="514" t="n"/>
      <c r="AC22" s="514" t="n"/>
      <c r="AD22" s="514" t="n"/>
      <c r="AE22" s="514" t="n"/>
      <c r="AF22" s="514" t="n"/>
      <c r="AG22" s="10" t="n"/>
    </row>
    <row r="23" ht="22.5" customHeight="1" s="1349">
      <c r="A23" s="292" t="inlineStr">
        <is>
          <t>3311931496564433</t>
        </is>
      </c>
      <c r="B23" s="73" t="n">
        <v>10034034167980</v>
      </c>
      <c r="C23" s="261" t="inlineStr">
        <is>
          <t>Bracol</t>
        </is>
      </c>
      <c r="D23" s="404" t="inlineStr">
        <is>
          <t>Tênnis Detroit Lite Segurança Tridensidade Preto Bico Pvc</t>
        </is>
      </c>
      <c r="E23" s="515" t="n"/>
      <c r="F23" s="120" t="n">
        <v>257.63</v>
      </c>
      <c r="G23" s="447">
        <f>F23*13%</f>
        <v/>
      </c>
      <c r="H23" s="831" t="n">
        <v>-9.76</v>
      </c>
      <c r="I23" s="515" t="n">
        <v>23.45</v>
      </c>
      <c r="J23" s="340">
        <f>F23*18%</f>
        <v/>
      </c>
      <c r="K23" s="340">
        <f>(F23-J23)*1.65%</f>
        <v/>
      </c>
      <c r="L23" s="340">
        <f>(F23-J23)*7.6%</f>
        <v/>
      </c>
      <c r="M23" s="1097" t="n">
        <v>32.54</v>
      </c>
      <c r="N23" s="1097">
        <f>(G23+I23)*(9.25%)</f>
        <v/>
      </c>
      <c r="O23" s="121" t="n">
        <v>161.59</v>
      </c>
      <c r="P23" s="447">
        <f>(F23 - (G23+I23+O23+(J23+K23+L23))) - (H23-M23-N23)</f>
        <v/>
      </c>
      <c r="Q23" s="1328">
        <f>P23/F23</f>
        <v/>
      </c>
      <c r="R23" s="515" t="inlineStr">
        <is>
          <t>Ativo</t>
        </is>
      </c>
      <c r="S23" s="73" t="n"/>
      <c r="T23" s="209" t="n"/>
      <c r="U23" s="209" t="n"/>
      <c r="V23" s="209" t="n"/>
      <c r="W23" s="209" t="n"/>
      <c r="X23" s="209" t="n"/>
      <c r="Y23" s="209" t="n"/>
      <c r="Z23" s="209" t="n"/>
      <c r="AA23" s="209" t="n"/>
      <c r="AB23" s="209" t="n"/>
      <c r="AC23" s="209" t="n"/>
      <c r="AD23" s="209" t="n"/>
      <c r="AE23" s="209" t="n"/>
      <c r="AF23" s="209" t="n"/>
      <c r="AG23" s="10" t="n"/>
    </row>
    <row r="24" ht="22.5" customHeight="1" s="1349">
      <c r="A24" s="489" t="inlineStr">
        <is>
          <t>4041006461</t>
        </is>
      </c>
      <c r="B24" s="713" t="n">
        <v>47</v>
      </c>
      <c r="C24" s="292" t="inlineStr">
        <is>
          <t>ÂNCORA</t>
        </is>
      </c>
      <c r="D24" s="112" t="inlineStr">
        <is>
          <t>Pistola Fincapino Acao Indireta Calibre 27 Ancora Fai 72n</t>
        </is>
      </c>
      <c r="E24" s="492" t="n">
        <v>1100</v>
      </c>
      <c r="F24" s="607" t="n">
        <v>990</v>
      </c>
      <c r="G24" s="447">
        <f>F24*12%</f>
        <v/>
      </c>
      <c r="H24" s="831" t="n"/>
      <c r="I24" s="515" t="n">
        <v>30.75</v>
      </c>
      <c r="J24" s="340">
        <f>F24*18%</f>
        <v/>
      </c>
      <c r="K24" s="340">
        <f>(F24-J24)*1.65%</f>
        <v/>
      </c>
      <c r="L24" s="340">
        <f>(F24-J24)*7.6%</f>
        <v/>
      </c>
      <c r="M24" s="1097" t="n">
        <v>101.53</v>
      </c>
      <c r="N24" s="1097">
        <f>((G24+I24) * 9.25%)</f>
        <v/>
      </c>
      <c r="O24" s="708" t="n">
        <v>622.6900000000001</v>
      </c>
      <c r="P24" s="447">
        <f>(F24 - (G24+I24+O24+(J24+K24+L24))) - (H24-M24-N24)</f>
        <v/>
      </c>
      <c r="Q24" s="328">
        <f>P24/F24</f>
        <v/>
      </c>
      <c r="R24" s="515" t="inlineStr">
        <is>
          <t>Ativo</t>
        </is>
      </c>
      <c r="S24" s="513" t="n"/>
      <c r="T24" s="514" t="n"/>
      <c r="U24" s="514" t="n"/>
      <c r="V24" s="514" t="n"/>
      <c r="W24" s="514" t="n"/>
      <c r="X24" s="514" t="n"/>
      <c r="Y24" s="514" t="n"/>
      <c r="Z24" s="514" t="n"/>
      <c r="AA24" s="514" t="n"/>
      <c r="AB24" s="514" t="n"/>
      <c r="AC24" s="514" t="n"/>
      <c r="AD24" s="514" t="n"/>
      <c r="AE24" s="514" t="n"/>
      <c r="AF24" s="514" t="n"/>
      <c r="AG24" s="10" t="n"/>
    </row>
    <row r="25" ht="22.5" customHeight="1" s="1349">
      <c r="A25" s="1265" t="inlineStr">
        <is>
          <t>5344243526</t>
        </is>
      </c>
      <c r="B25" s="1263" t="n">
        <v>10034034166748</v>
      </c>
      <c r="C25" s="261" t="inlineStr">
        <is>
          <t>ÂNCORA</t>
        </is>
      </c>
      <c r="D25" s="654" t="inlineStr">
        <is>
          <t>Chumbador Químico 410 Ancora Aqi380pro C/ Aplicador Origina</t>
        </is>
      </c>
      <c r="E25" s="654" t="n"/>
      <c r="F25" s="607" t="n">
        <v>126.09</v>
      </c>
      <c r="G25" s="447">
        <f>F25*12%</f>
        <v/>
      </c>
      <c r="H25" s="831" t="n">
        <v>-7.56</v>
      </c>
      <c r="I25" s="492" t="n">
        <v>18.45</v>
      </c>
      <c r="J25" s="340">
        <f>F25*18%</f>
        <v/>
      </c>
      <c r="K25" s="340">
        <f>(F25-J25)*1.65%</f>
        <v/>
      </c>
      <c r="L25" s="340">
        <f>(F25-J25)*7.6%</f>
        <v/>
      </c>
      <c r="M25" s="1097" t="n">
        <v>8.859999999999999</v>
      </c>
      <c r="N25" s="1097">
        <f>((G25+I25) * 9.25%)</f>
        <v/>
      </c>
      <c r="O25" s="708" t="n">
        <v>69.56999999999999</v>
      </c>
      <c r="P25" s="447">
        <f>(F25 - (G25+I25+O25+(J25+K25+L25))) - (H25-M25-N25)</f>
        <v/>
      </c>
      <c r="Q25" s="328">
        <f>P25/F25</f>
        <v/>
      </c>
      <c r="R25" s="515" t="inlineStr">
        <is>
          <t>Ativo</t>
        </is>
      </c>
      <c r="S25" s="513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10" t="n"/>
    </row>
    <row r="26" ht="22.5" customHeight="1" s="1349">
      <c r="A26" s="1265" t="inlineStr">
        <is>
          <t>5772915416</t>
        </is>
      </c>
      <c r="B26" s="1263" t="n">
        <v>10034034167706</v>
      </c>
      <c r="C26" s="292" t="inlineStr">
        <is>
          <t>Bracol</t>
        </is>
      </c>
      <c r="D26" s="112" t="inlineStr">
        <is>
          <t>Bota Térmica Frigorífica Alaska Baixa Temperatura Bracol Epi</t>
        </is>
      </c>
      <c r="E26" s="492" t="n"/>
      <c r="F26" s="607" t="n">
        <v>192.25</v>
      </c>
      <c r="G26" s="447">
        <f>F26*12%</f>
        <v/>
      </c>
      <c r="H26" s="831" t="n">
        <v>-7.77</v>
      </c>
      <c r="I26" s="492" t="n">
        <v>23.65</v>
      </c>
      <c r="J26" s="340">
        <f>F26*18%</f>
        <v/>
      </c>
      <c r="K26" s="340">
        <f>(F26-J26)*1.65%</f>
        <v/>
      </c>
      <c r="L26" s="340">
        <f>(F26-J26)*7.6%</f>
        <v/>
      </c>
      <c r="M26" s="1097" t="n">
        <v>23.42</v>
      </c>
      <c r="N26" s="1097">
        <f>((G26+I26) * 9.25%)</f>
        <v/>
      </c>
      <c r="O26" s="708" t="n">
        <v>116.28</v>
      </c>
      <c r="P26" s="447">
        <f>(F26 - (G26+I26+O26+(J26+K26+L26))) - (H26-M26-N26)</f>
        <v/>
      </c>
      <c r="Q26" s="328">
        <f>P26/F26</f>
        <v/>
      </c>
      <c r="R26" s="515" t="inlineStr">
        <is>
          <t>Ativo</t>
        </is>
      </c>
      <c r="S26" s="513" t="n"/>
      <c r="T26" s="514" t="n"/>
      <c r="U26" s="514" t="n"/>
      <c r="V26" s="514" t="n"/>
      <c r="W26" s="514" t="n"/>
      <c r="X26" s="514" t="n"/>
      <c r="Y26" s="514" t="n"/>
      <c r="Z26" s="514" t="n"/>
      <c r="AA26" s="514" t="n"/>
      <c r="AB26" s="514" t="n"/>
      <c r="AC26" s="514" t="n"/>
      <c r="AD26" s="514" t="n"/>
      <c r="AE26" s="514" t="n"/>
      <c r="AF26" s="514" t="n"/>
      <c r="AG26" s="10" t="n"/>
    </row>
    <row r="27" ht="22.5" customHeight="1" s="1349">
      <c r="A27" s="1265" t="inlineStr">
        <is>
          <t>8810736502505038</t>
        </is>
      </c>
      <c r="B27" s="1263" t="n">
        <v>10034034166216</v>
      </c>
      <c r="C27" s="292" t="inlineStr">
        <is>
          <t>Delta plus</t>
        </is>
      </c>
      <c r="D27" s="654" t="inlineStr">
        <is>
          <t>Botina Londrina Bota Segurança Amarrar Couro Nobuck Com Ca</t>
        </is>
      </c>
      <c r="E27" s="654" t="n"/>
      <c r="F27" s="607" t="n">
        <v>163.11</v>
      </c>
      <c r="G27" s="447">
        <f>F27*12%</f>
        <v/>
      </c>
      <c r="H27" s="831" t="n">
        <v>-4.91</v>
      </c>
      <c r="I27" s="492" t="n">
        <v>22.45</v>
      </c>
      <c r="J27" s="340">
        <f>F27*18%</f>
        <v/>
      </c>
      <c r="K27" s="340">
        <f>(F27-J27)*1.65%</f>
        <v/>
      </c>
      <c r="L27" s="340">
        <f>(F27-J27)*7.6%</f>
        <v/>
      </c>
      <c r="M27" s="1097" t="n">
        <v>18.79</v>
      </c>
      <c r="N27" s="1097">
        <f>((G27+I27) * 9.25%)</f>
        <v/>
      </c>
      <c r="O27" s="708" t="n">
        <v>93.28</v>
      </c>
      <c r="P27" s="447">
        <f>(F27 - (G27+I27+O27+(J27+K27+L27))) - (H27-M27-N27)</f>
        <v/>
      </c>
      <c r="Q27" s="328">
        <f>P27/F27</f>
        <v/>
      </c>
      <c r="R27" s="515" t="inlineStr">
        <is>
          <t>TRAVADO</t>
        </is>
      </c>
      <c r="S27" s="513" t="n"/>
      <c r="T27" s="514" t="n"/>
      <c r="U27" s="514" t="n"/>
      <c r="V27" s="514" t="n"/>
      <c r="W27" s="514" t="n"/>
      <c r="X27" s="514" t="n"/>
      <c r="Y27" s="514" t="n"/>
      <c r="Z27" s="514" t="n"/>
      <c r="AA27" s="514" t="n"/>
      <c r="AB27" s="514" t="n"/>
      <c r="AC27" s="514" t="n"/>
      <c r="AD27" s="514" t="n"/>
      <c r="AE27" s="514" t="n"/>
      <c r="AF27" s="514" t="n"/>
      <c r="AG27" s="10" t="n"/>
    </row>
    <row r="28" ht="22.5" customHeight="1" s="1349">
      <c r="A28" s="1265" t="inlineStr">
        <is>
          <t>228405876693927</t>
        </is>
      </c>
      <c r="B28" s="1263" t="n"/>
      <c r="C28" s="631" t="inlineStr">
        <is>
          <t>Bracol</t>
        </is>
      </c>
      <c r="D28" s="112" t="inlineStr">
        <is>
          <t>Bota Tênis Segurança Tridensidade Bico Pvc Bracol Jordan Ca</t>
        </is>
      </c>
      <c r="E28" s="492" t="n">
        <v>299</v>
      </c>
      <c r="F28" s="607" t="n">
        <v>232.25</v>
      </c>
      <c r="G28" s="447">
        <f>F28*12%</f>
        <v/>
      </c>
      <c r="H28" s="124" t="n">
        <v>-7.44</v>
      </c>
      <c r="I28" s="515" t="n">
        <v>26.25</v>
      </c>
      <c r="J28" s="340">
        <f>F28*18%</f>
        <v/>
      </c>
      <c r="K28" s="340">
        <f>(F28-J28)*1.65%</f>
        <v/>
      </c>
      <c r="L28" s="340">
        <f>(F28-J28)*7.6%</f>
        <v/>
      </c>
      <c r="M28" s="1097" t="n">
        <v>28.12</v>
      </c>
      <c r="N28" s="1097">
        <f>((G28+I28) * 9.25%)</f>
        <v/>
      </c>
      <c r="O28" s="197" t="n">
        <v>139.63</v>
      </c>
      <c r="P28" s="447">
        <f>(F28 - (G28+I28+O28+(J28+K28+L28))) - (H28-M28-N28)</f>
        <v/>
      </c>
      <c r="Q28" s="328">
        <f>P28/F28</f>
        <v/>
      </c>
      <c r="R28" s="515" t="inlineStr">
        <is>
          <t>Ativo</t>
        </is>
      </c>
      <c r="S28" s="513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10" t="n"/>
    </row>
    <row r="29" ht="22.5" customHeight="1" s="1349">
      <c r="A29" s="1265" t="inlineStr">
        <is>
          <t>2424399251869394</t>
        </is>
      </c>
      <c r="B29" s="1263" t="n">
        <v>10034034166235</v>
      </c>
      <c r="C29" s="292" t="inlineStr">
        <is>
          <t>Delta plus</t>
        </is>
      </c>
      <c r="D29" s="112" t="inlineStr">
        <is>
          <t>Capacete Segurança Faixa Refletiva Carneira E Jugular Epi Ca</t>
        </is>
      </c>
      <c r="E29" s="492" t="n"/>
      <c r="F29" s="607" t="n">
        <v>57.46</v>
      </c>
      <c r="G29" s="447">
        <f>F29*12%</f>
        <v/>
      </c>
      <c r="H29" s="831" t="n">
        <v>-2.44</v>
      </c>
      <c r="I29" s="515" t="n">
        <v>8.85</v>
      </c>
      <c r="J29" s="340">
        <f>F29*18%</f>
        <v/>
      </c>
      <c r="K29" s="340">
        <f>(F29-J29)*1.65%</f>
        <v/>
      </c>
      <c r="L29" s="340">
        <f>(F29-J29)*7.6%</f>
        <v/>
      </c>
      <c r="M29" s="1097" t="n">
        <v>7.44</v>
      </c>
      <c r="N29" s="1097">
        <f>((G29+I29) * 9.25%)</f>
        <v/>
      </c>
      <c r="O29" s="708" t="n">
        <v>33.3</v>
      </c>
      <c r="P29" s="447">
        <f>(F29 - (G29+I29+O29+(J29+K29+L29))) - (H29-M29-N29)</f>
        <v/>
      </c>
      <c r="Q29" s="328">
        <f>P29/F29</f>
        <v/>
      </c>
      <c r="R29" s="515" t="inlineStr">
        <is>
          <t>Desativado</t>
        </is>
      </c>
      <c r="S29" s="515" t="inlineStr">
        <is>
          <t>diamond</t>
        </is>
      </c>
      <c r="T29" s="514" t="n"/>
      <c r="U29" s="514" t="n"/>
      <c r="V29" s="514" t="n"/>
      <c r="W29" s="514" t="n"/>
      <c r="X29" s="514" t="n"/>
      <c r="Y29" s="514" t="n"/>
      <c r="Z29" s="514" t="n"/>
      <c r="AA29" s="514" t="n"/>
      <c r="AB29" s="514" t="n"/>
      <c r="AC29" s="514" t="n"/>
      <c r="AD29" s="514" t="n"/>
      <c r="AE29" s="514" t="n"/>
      <c r="AF29" s="514" t="n"/>
      <c r="AG29" s="10" t="n"/>
    </row>
    <row r="30" ht="22.5" customHeight="1" s="1349">
      <c r="A30" s="1265" t="inlineStr">
        <is>
          <t>3400215313</t>
        </is>
      </c>
      <c r="B30" s="1263" t="inlineStr">
        <is>
          <t>PXCL142813</t>
        </is>
      </c>
      <c r="C30" s="261" t="inlineStr">
        <is>
          <t>ÂNCORA</t>
        </is>
      </c>
      <c r="D30" s="1310" t="inlineStr">
        <is>
          <t>Pino Liso Clip Cadeirinha 13mm Ação Indireta 1/4x28mm 100un</t>
        </is>
      </c>
      <c r="E30" s="492" t="n"/>
      <c r="F30" s="705" t="n">
        <v>45.03</v>
      </c>
      <c r="G30" s="447">
        <f>F30*12%</f>
        <v/>
      </c>
      <c r="H30" s="831" t="n"/>
      <c r="I30" s="515" t="n">
        <v>6.75</v>
      </c>
      <c r="J30" s="340">
        <f>F30*18%</f>
        <v/>
      </c>
      <c r="K30" s="340">
        <f>(F30-J30)*1.65%</f>
        <v/>
      </c>
      <c r="L30" s="340">
        <f>(F30-J30)*7.6%</f>
        <v/>
      </c>
      <c r="M30" s="1097" t="n">
        <v>2.54</v>
      </c>
      <c r="N30" s="1097">
        <f>((G30+I30) * 9.25%)</f>
        <v/>
      </c>
      <c r="O30" s="708" t="n">
        <v>21.04</v>
      </c>
      <c r="P30" s="447">
        <f>(F30 - (G30+I30+O30+(J30+K30+L30))) - (H30-M30-N30)</f>
        <v/>
      </c>
      <c r="Q30" s="328">
        <f>P30/F30</f>
        <v/>
      </c>
      <c r="R30" s="631" t="inlineStr">
        <is>
          <t>Ativo</t>
        </is>
      </c>
      <c r="S30" s="114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10" t="n"/>
    </row>
    <row r="31" ht="22.5" customHeight="1" s="1349">
      <c r="A31" s="1265" t="inlineStr">
        <is>
          <t>3295231772 3732730561747018</t>
        </is>
      </c>
      <c r="B31" s="713" t="n">
        <v>10034034166586</v>
      </c>
      <c r="C31" s="292" t="inlineStr">
        <is>
          <t>VOLK</t>
        </is>
      </c>
      <c r="D31" s="712" t="inlineStr">
        <is>
          <t>Kit 10 Luva De Látex Natural E Neoprene Bicolor - Volk 16779</t>
        </is>
      </c>
      <c r="E31" s="712" t="n"/>
      <c r="F31" s="607" t="n">
        <v>105.51</v>
      </c>
      <c r="G31" s="447">
        <f>F31*12%</f>
        <v/>
      </c>
      <c r="H31" s="831" t="n">
        <v>-3.4</v>
      </c>
      <c r="I31" s="515" t="n">
        <v>16.45</v>
      </c>
      <c r="J31" s="340">
        <f>F31*18%</f>
        <v/>
      </c>
      <c r="K31" s="340">
        <f>(F31-J31)*1.65%</f>
        <v/>
      </c>
      <c r="L31" s="340">
        <f>(F31-J31)*7.6%</f>
        <v/>
      </c>
      <c r="M31" s="1097">
        <f>0.683*10</f>
        <v/>
      </c>
      <c r="N31" s="1097">
        <f>((G31+I31) * 9.25%)</f>
        <v/>
      </c>
      <c r="O31" s="708">
        <f>5.3*10</f>
        <v/>
      </c>
      <c r="P31" s="447">
        <f>(F31 - (G31+I31+O31+(J31+K31+L31))) - (H31-M31-N31)</f>
        <v/>
      </c>
      <c r="Q31" s="328">
        <f>P31/F31</f>
        <v/>
      </c>
      <c r="R31" s="515" t="inlineStr">
        <is>
          <t>Ativo</t>
        </is>
      </c>
      <c r="S31" s="513" t="n"/>
      <c r="T31" s="514" t="n"/>
      <c r="U31" s="514" t="n"/>
      <c r="V31" s="514" t="n"/>
      <c r="W31" s="514" t="n"/>
      <c r="X31" s="514" t="n"/>
      <c r="Y31" s="514" t="n"/>
      <c r="Z31" s="514" t="n"/>
      <c r="AA31" s="514" t="n"/>
      <c r="AB31" s="514" t="n"/>
      <c r="AC31" s="514" t="n"/>
      <c r="AD31" s="514" t="n"/>
      <c r="AE31" s="514" t="n"/>
      <c r="AF31" s="514" t="n"/>
      <c r="AG31" s="10" t="n"/>
    </row>
    <row r="32" ht="15.75" customHeight="1" s="1349">
      <c r="A32" s="489" t="inlineStr">
        <is>
          <t>8970904202453967</t>
        </is>
      </c>
      <c r="B32" s="713" t="n">
        <v>10034034166381</v>
      </c>
      <c r="C32" s="292" t="inlineStr">
        <is>
          <t>Camper</t>
        </is>
      </c>
      <c r="D32" s="125" t="inlineStr">
        <is>
          <t>Kit Obra Epi Capacete + Luva + Protetor + Mascara + 2 Óculos</t>
        </is>
      </c>
      <c r="E32" s="654" t="n"/>
      <c r="F32" s="607" t="n">
        <v>40.59</v>
      </c>
      <c r="G32" s="447">
        <f>F32*12%</f>
        <v/>
      </c>
      <c r="H32" s="831" t="n"/>
      <c r="I32" s="515" t="n">
        <v>7.95</v>
      </c>
      <c r="J32" s="340">
        <f>F32*18%</f>
        <v/>
      </c>
      <c r="K32" s="340">
        <f>(F32-J32)*1.65%</f>
        <v/>
      </c>
      <c r="L32" s="340">
        <f>(F32-J32)*7.6%</f>
        <v/>
      </c>
      <c r="M32" s="1097">
        <f>1.66 + 0.42 + 0.18 + (0.48*2) + 0.2</f>
        <v/>
      </c>
      <c r="N32" s="1097">
        <f>((G32+I32) * 9.25%)</f>
        <v/>
      </c>
      <c r="O32" s="708">
        <f>10 + 2.09 + 0.89 + (1.93*2) + 1.52</f>
        <v/>
      </c>
      <c r="P32" s="447">
        <f>(F32 - (G32+I32+O32+(J32+K32+L32))) - (H32-M32-N32)</f>
        <v/>
      </c>
      <c r="Q32" s="328">
        <f>P32/F32</f>
        <v/>
      </c>
      <c r="R32" s="515" t="inlineStr">
        <is>
          <t>Ativo</t>
        </is>
      </c>
      <c r="S32" s="126" t="n"/>
      <c r="T32" s="515" t="n"/>
      <c r="U32" s="514" t="n"/>
      <c r="V32" s="514" t="n"/>
      <c r="W32" s="514" t="n"/>
      <c r="X32" s="514" t="n"/>
      <c r="Y32" s="514" t="n"/>
      <c r="Z32" s="514" t="n"/>
      <c r="AA32" s="514" t="n"/>
      <c r="AB32" s="514" t="n"/>
      <c r="AC32" s="514" t="n"/>
      <c r="AD32" s="514" t="n"/>
      <c r="AE32" s="514" t="n"/>
      <c r="AF32" s="514" t="n"/>
    </row>
    <row r="33" ht="22.5" customHeight="1" s="1349">
      <c r="A33" s="779" t="inlineStr">
        <is>
          <t>1094492145898258</t>
        </is>
      </c>
      <c r="B33" s="806" t="n"/>
      <c r="C33" s="604" t="inlineStr">
        <is>
          <t>VOLK</t>
        </is>
      </c>
      <c r="D33" s="835" t="inlineStr">
        <is>
          <t>10 Luva Uso Geral Proteção Vulcanizada Orange Smart Ca46816</t>
        </is>
      </c>
      <c r="E33" s="887" t="n">
        <v>149.9</v>
      </c>
      <c r="F33" s="607" t="n">
        <v>78.90000000000001</v>
      </c>
      <c r="G33" s="134">
        <f>F33*12%</f>
        <v/>
      </c>
      <c r="H33" s="806" t="n"/>
      <c r="I33" s="762" t="n">
        <v>8.050000000000001</v>
      </c>
      <c r="J33" s="136">
        <f>F33*18%</f>
        <v/>
      </c>
      <c r="K33" s="136">
        <f>(F33-J33)*1.65%</f>
        <v/>
      </c>
      <c r="L33" s="136">
        <f>(F33-J33)*7.6%</f>
        <v/>
      </c>
      <c r="M33" s="1097">
        <f>0.616*10</f>
        <v/>
      </c>
      <c r="N33" s="1097">
        <f>((G33+I33) * 9.25%)</f>
        <v/>
      </c>
      <c r="O33" s="708">
        <f>4.18*10</f>
        <v/>
      </c>
      <c r="P33" s="447">
        <f>(F33 - (G33+I33+O33+(J33+K33+L33))) - (H33-M33-N33)</f>
        <v/>
      </c>
      <c r="Q33" s="137">
        <f>P33/F33</f>
        <v/>
      </c>
      <c r="R33" s="762" t="inlineStr">
        <is>
          <t>Ativo</t>
        </is>
      </c>
      <c r="S33" s="139" t="n"/>
      <c r="T33" s="514" t="n"/>
      <c r="U33" s="514" t="n"/>
      <c r="V33" s="514" t="n"/>
      <c r="W33" s="514" t="n"/>
      <c r="X33" s="514" t="n"/>
      <c r="Y33" s="514" t="n"/>
      <c r="Z33" s="514" t="n"/>
      <c r="AA33" s="514" t="n"/>
      <c r="AB33" s="514" t="n"/>
      <c r="AC33" s="514" t="n"/>
      <c r="AD33" s="514" t="n"/>
      <c r="AE33" s="514" t="n"/>
      <c r="AF33" s="514" t="n"/>
      <c r="AG33" s="10" t="n"/>
    </row>
    <row r="34" ht="22.5" customHeight="1" s="1349">
      <c r="A34" s="1265" t="inlineStr">
        <is>
          <t>5846711552</t>
        </is>
      </c>
      <c r="B34" s="713" t="n">
        <v>10034034167669</v>
      </c>
      <c r="C34" s="292" t="inlineStr">
        <is>
          <t>ÂNCORA</t>
        </is>
      </c>
      <c r="D34" s="112" t="inlineStr">
        <is>
          <t>Kit Pistola Fai72n Indireta + Cartucho + Pino Arruela Cônica</t>
        </is>
      </c>
      <c r="E34" s="492" t="n"/>
      <c r="F34" s="607" t="n">
        <v>1028.1</v>
      </c>
      <c r="G34" s="447">
        <f>F34*12%</f>
        <v/>
      </c>
      <c r="H34" s="831" t="n">
        <v>-31.8</v>
      </c>
      <c r="I34" s="515" t="n">
        <v>30.75</v>
      </c>
      <c r="J34" s="340">
        <f>F34*18%</f>
        <v/>
      </c>
      <c r="K34" s="340">
        <f>(F34-J34)*1.65%</f>
        <v/>
      </c>
      <c r="L34" s="340">
        <f>(F34-J34)*7.6%</f>
        <v/>
      </c>
      <c r="M34" s="1097" t="n">
        <v>107.12</v>
      </c>
      <c r="N34" s="1097">
        <f>((G34+I34) * 9.25%)</f>
        <v/>
      </c>
      <c r="O34" s="708" t="n">
        <v>668.91</v>
      </c>
      <c r="P34" s="447">
        <f>(F34 - (G34+I34+O34+(J34+K34+L34))) - (H34-M34-N34)</f>
        <v/>
      </c>
      <c r="Q34" s="328">
        <f>P34/F34</f>
        <v/>
      </c>
      <c r="R34" s="515" t="inlineStr">
        <is>
          <t>Ativo</t>
        </is>
      </c>
      <c r="S34" s="513" t="n"/>
      <c r="T34" s="514" t="n"/>
      <c r="U34" s="514" t="n"/>
      <c r="V34" s="514" t="n"/>
      <c r="W34" s="514" t="n"/>
      <c r="X34" s="514" t="n"/>
      <c r="Y34" s="514" t="n"/>
      <c r="Z34" s="514" t="n"/>
      <c r="AA34" s="514" t="n"/>
      <c r="AB34" s="514" t="n"/>
      <c r="AC34" s="514" t="n"/>
      <c r="AD34" s="514" t="n"/>
      <c r="AE34" s="514" t="n"/>
      <c r="AF34" s="514" t="n"/>
      <c r="AG34" s="10" t="n"/>
    </row>
    <row r="35" ht="22.5" customHeight="1" s="1349">
      <c r="A35" s="489" t="inlineStr">
        <is>
          <t>4021488509</t>
        </is>
      </c>
      <c r="B35" s="713" t="n">
        <v>10034034166963</v>
      </c>
      <c r="C35" s="292" t="inlineStr">
        <is>
          <t>ÂNCORA</t>
        </is>
      </c>
      <c r="D35" s="112" t="inlineStr">
        <is>
          <t>Tela Fibra Vidro Reforço Alvenaria Fachada Cimenticia 1x50m</t>
        </is>
      </c>
      <c r="E35" s="492" t="n"/>
      <c r="F35" s="607" t="n">
        <v>396.79</v>
      </c>
      <c r="G35" s="447">
        <f>F35*11.5%</f>
        <v/>
      </c>
      <c r="H35" s="831" t="n">
        <v>-10.32</v>
      </c>
      <c r="I35" s="492" t="n">
        <v>49.35</v>
      </c>
      <c r="J35" s="340">
        <f>F35*18%</f>
        <v/>
      </c>
      <c r="K35" s="340">
        <f>(F35-J35)*1.65%</f>
        <v/>
      </c>
      <c r="L35" s="340">
        <f>(F35-J35)*7.6%</f>
        <v/>
      </c>
      <c r="M35" s="1097" t="n">
        <v>25.12</v>
      </c>
      <c r="N35" s="1097">
        <f>((G35+I35) * 9.25%)</f>
        <v/>
      </c>
      <c r="O35" s="708" t="n">
        <v>207.68</v>
      </c>
      <c r="P35" s="447">
        <f>(F35 - (G35+I35+O35+(J35+K35+L35))) - (H35-M35-N35)</f>
        <v/>
      </c>
      <c r="Q35" s="328">
        <f>P35/F35</f>
        <v/>
      </c>
      <c r="R35" s="515" t="inlineStr">
        <is>
          <t>Ativo</t>
        </is>
      </c>
      <c r="S35" s="513" t="n"/>
      <c r="T35" s="514" t="n"/>
      <c r="U35" s="514" t="n"/>
      <c r="V35" s="514" t="n"/>
      <c r="W35" s="514" t="n"/>
      <c r="X35" s="514" t="n"/>
      <c r="Y35" s="514" t="n"/>
      <c r="Z35" s="514" t="n"/>
      <c r="AA35" s="514" t="n"/>
      <c r="AB35" s="514" t="n"/>
      <c r="AC35" s="514" t="n"/>
      <c r="AD35" s="514" t="n"/>
      <c r="AE35" s="514" t="n"/>
      <c r="AF35" s="514" t="n"/>
      <c r="AG35" s="10" t="n"/>
    </row>
    <row r="36" ht="22.5" customHeight="1" s="1349">
      <c r="A36" s="1265" t="inlineStr">
        <is>
          <t>3872784502</t>
        </is>
      </c>
      <c r="B36" s="1263" t="inlineStr">
        <is>
          <t>XC22S</t>
        </is>
      </c>
      <c r="C36" s="292" t="inlineStr">
        <is>
          <t>ÂNCORA</t>
        </is>
      </c>
      <c r="D36" s="112" t="inlineStr">
        <is>
          <t>Fincapino Calibre 22 Gesso Concreto Ponta Vermelha 100un</t>
        </is>
      </c>
      <c r="E36" s="492" t="n"/>
      <c r="F36" s="607" t="n">
        <v>61.61</v>
      </c>
      <c r="G36" s="447">
        <f>F36*12%</f>
        <v/>
      </c>
      <c r="H36" s="831" t="n"/>
      <c r="I36" s="515" t="n">
        <v>7.75</v>
      </c>
      <c r="J36" s="340">
        <f>F36*18%</f>
        <v/>
      </c>
      <c r="K36" s="340">
        <f>(F36-J36)*1.65%</f>
        <v/>
      </c>
      <c r="L36" s="340">
        <f>(F36-J36)*7.6%</f>
        <v/>
      </c>
      <c r="M36" s="1097" t="n">
        <v>3.7</v>
      </c>
      <c r="N36" s="1097">
        <f>((G36+I36) * 9.25%)</f>
        <v/>
      </c>
      <c r="O36" s="708" t="n">
        <v>29.76</v>
      </c>
      <c r="P36" s="447">
        <f>(F36 - (G36+I36+O36+(J36+K36+L36))) - (H36-M36-N36)</f>
        <v/>
      </c>
      <c r="Q36" s="328">
        <f>P36/F36</f>
        <v/>
      </c>
      <c r="R36" s="631" t="inlineStr">
        <is>
          <t>Desativado</t>
        </is>
      </c>
      <c r="S36" s="513" t="n"/>
      <c r="T36" s="514" t="n"/>
      <c r="U36" s="514" t="n"/>
      <c r="V36" s="514" t="n"/>
      <c r="W36" s="514" t="n"/>
      <c r="X36" s="514" t="n"/>
      <c r="Y36" s="514" t="n"/>
      <c r="Z36" s="514" t="n"/>
      <c r="AA36" s="514" t="n"/>
      <c r="AB36" s="514" t="n"/>
      <c r="AC36" s="514" t="n"/>
      <c r="AD36" s="514" t="n"/>
      <c r="AE36" s="514" t="n"/>
      <c r="AF36" s="514" t="n"/>
      <c r="AG36" s="10" t="n"/>
    </row>
    <row r="37" ht="22.5" customHeight="1" s="1349">
      <c r="A37" s="245" t="inlineStr">
        <is>
          <t>6953613790</t>
        </is>
      </c>
      <c r="B37" s="1263" t="inlineStr">
        <is>
          <t>XC22S</t>
        </is>
      </c>
      <c r="C37" s="1292" t="inlineStr">
        <is>
          <t>Walsywa</t>
        </is>
      </c>
      <c r="D37" s="492" t="inlineStr">
        <is>
          <t>Fincapino Cal 22 Espoleta Concreto Ponta Vermelha 100un</t>
        </is>
      </c>
      <c r="E37" s="492" t="n"/>
      <c r="F37" s="607" t="n">
        <v>61.61</v>
      </c>
      <c r="G37" s="447">
        <f>F37*12%</f>
        <v/>
      </c>
      <c r="H37" s="831" t="n"/>
      <c r="I37" s="515" t="n">
        <v>7.75</v>
      </c>
      <c r="J37" s="340">
        <f>F37*18%</f>
        <v/>
      </c>
      <c r="K37" s="340">
        <f>(F37-J37)*1.65%</f>
        <v/>
      </c>
      <c r="L37" s="340">
        <f>(F37-J37)*7.6%</f>
        <v/>
      </c>
      <c r="M37" s="1097" t="n">
        <v>3.7</v>
      </c>
      <c r="N37" s="1097">
        <f>((G37+I37) * 9.25%)</f>
        <v/>
      </c>
      <c r="O37" s="146" t="n">
        <v>29.76</v>
      </c>
      <c r="P37" s="447">
        <f>(F37 - (G37+I37+O37+(J37+K37+L37))) - (H37-M37-N37)</f>
        <v/>
      </c>
      <c r="Q37" s="328">
        <f>P37/F37</f>
        <v/>
      </c>
      <c r="R37" s="904" t="inlineStr">
        <is>
          <t>Ativo</t>
        </is>
      </c>
      <c r="S37" s="904" t="n"/>
      <c r="T37" s="746" t="n"/>
      <c r="U37" s="1206" t="n"/>
      <c r="V37" s="1206" t="n"/>
      <c r="W37" s="1206" t="n"/>
      <c r="X37" s="1206" t="n"/>
      <c r="Y37" s="1206" t="n"/>
      <c r="Z37" s="1206" t="n"/>
      <c r="AA37" s="1206" t="n"/>
      <c r="AB37" s="1206" t="n"/>
      <c r="AC37" s="1206" t="n"/>
      <c r="AD37" s="1206" t="n"/>
      <c r="AE37" s="1206" t="n"/>
      <c r="AF37" s="1206" t="n"/>
      <c r="AG37" s="10" t="n"/>
    </row>
    <row r="38" ht="22.5" customHeight="1" s="1349">
      <c r="A38" s="1265" t="inlineStr">
        <is>
          <t>4222433138</t>
        </is>
      </c>
      <c r="B38" s="1263" t="n">
        <v>64</v>
      </c>
      <c r="C38" s="292" t="inlineStr">
        <is>
          <t>VOLK</t>
        </is>
      </c>
      <c r="D38" s="92" t="inlineStr">
        <is>
          <t>Luva Soldador Weld Master Alta Temperatura Até 500ºc 41cm</t>
        </is>
      </c>
      <c r="E38" s="492" t="n"/>
      <c r="F38" s="607" t="n">
        <v>109.49</v>
      </c>
      <c r="G38" s="447">
        <f>F38*12%</f>
        <v/>
      </c>
      <c r="H38" s="831" t="n"/>
      <c r="I38" s="515" t="n">
        <v>16.15</v>
      </c>
      <c r="J38" s="340">
        <f>F38*18%</f>
        <v/>
      </c>
      <c r="K38" s="340">
        <f>(F38-J38)*1.65%</f>
        <v/>
      </c>
      <c r="L38" s="340">
        <f>(F38-J38)*7.6%</f>
        <v/>
      </c>
      <c r="M38" s="1097" t="n">
        <v>6.52</v>
      </c>
      <c r="N38" s="1097">
        <f>((G38+I38) * 9.25%)</f>
        <v/>
      </c>
      <c r="O38" s="708" t="n">
        <v>50.62</v>
      </c>
      <c r="P38" s="447">
        <f>(F38 - (G38+I38+O38+(J38+K38+L38))) - (H38-M38-N38)</f>
        <v/>
      </c>
      <c r="Q38" s="328">
        <f>P38/F38</f>
        <v/>
      </c>
      <c r="R38" s="514" t="inlineStr">
        <is>
          <t>Ativo</t>
        </is>
      </c>
      <c r="S38" s="513" t="n"/>
      <c r="U38" s="1206" t="n"/>
      <c r="V38" s="1206" t="n"/>
      <c r="W38" s="1206" t="n"/>
      <c r="X38" s="1206" t="n"/>
      <c r="Y38" s="1206" t="n"/>
      <c r="Z38" s="1206" t="n"/>
      <c r="AA38" s="1206" t="n"/>
      <c r="AB38" s="1206" t="n"/>
      <c r="AC38" s="1206" t="n"/>
      <c r="AD38" s="1206" t="n"/>
      <c r="AE38" s="1206" t="n"/>
      <c r="AF38" s="1206" t="n"/>
      <c r="AG38" s="10" t="n"/>
    </row>
    <row r="39" ht="22.5" customHeight="1" s="1349">
      <c r="A39" s="1265" t="inlineStr">
        <is>
          <t>3436767961</t>
        </is>
      </c>
      <c r="B39" s="1263" t="n">
        <v>335</v>
      </c>
      <c r="C39" s="261" t="inlineStr">
        <is>
          <t>VOLK</t>
        </is>
      </c>
      <c r="D39" s="1310" t="inlineStr">
        <is>
          <t>Luva Latex Ranhadura Limpeza Quimico Resistente 40cm Rosa</t>
        </is>
      </c>
      <c r="E39" s="712" t="n"/>
      <c r="F39" s="607" t="n">
        <v>20.99</v>
      </c>
      <c r="G39" s="447">
        <f>F39*12%</f>
        <v/>
      </c>
      <c r="H39" s="831" t="n"/>
      <c r="I39" s="631" t="n">
        <v>6.55</v>
      </c>
      <c r="J39" s="340">
        <f>F39*18%</f>
        <v/>
      </c>
      <c r="K39" s="340">
        <f>(F39-J39)*1.65%</f>
        <v/>
      </c>
      <c r="L39" s="340">
        <f>(F39-J39)*7.6%</f>
        <v/>
      </c>
      <c r="M39" s="1097" t="n">
        <v>0.77</v>
      </c>
      <c r="N39" s="1097">
        <f>((G39+I39) * 9.25%)</f>
        <v/>
      </c>
      <c r="O39" s="708" t="n">
        <v>5.98</v>
      </c>
      <c r="P39" s="447">
        <f>(F39 - (G39+I39+O39+(J39+K39+L39))) - (H39-M39-N39)</f>
        <v/>
      </c>
      <c r="Q39" s="328">
        <f>P39/F39</f>
        <v/>
      </c>
      <c r="R39" s="514" t="inlineStr">
        <is>
          <t>Ativo</t>
        </is>
      </c>
      <c r="S39" s="114" t="n"/>
      <c r="T39" s="579" t="n"/>
      <c r="U39" s="579" t="n"/>
      <c r="V39" s="579" t="n"/>
      <c r="W39" s="579" t="n"/>
      <c r="X39" s="579" t="n"/>
      <c r="Y39" s="579" t="n"/>
      <c r="Z39" s="579" t="n"/>
      <c r="AA39" s="579" t="n"/>
      <c r="AB39" s="579" t="n"/>
      <c r="AC39" s="579" t="n"/>
      <c r="AD39" s="579" t="n"/>
      <c r="AE39" s="579" t="n"/>
      <c r="AF39" s="579" t="n"/>
      <c r="AG39" s="10" t="n"/>
    </row>
    <row r="40" ht="22.5" customHeight="1" s="1349">
      <c r="A40" s="292" t="n"/>
      <c r="B40" s="73" t="n"/>
      <c r="C40" s="515" t="n"/>
      <c r="D40" s="156" t="inlineStr">
        <is>
          <t>Weld Smart Separado</t>
        </is>
      </c>
      <c r="E40" s="515" t="n"/>
      <c r="F40" s="705" t="n">
        <v>31.99</v>
      </c>
      <c r="G40" s="447">
        <f>F40*12%</f>
        <v/>
      </c>
      <c r="H40" s="157" t="n"/>
      <c r="I40" s="515" t="n"/>
      <c r="J40" s="340">
        <f>F40*18%</f>
        <v/>
      </c>
      <c r="K40" s="340">
        <f>(F40-J40)*1.65%</f>
        <v/>
      </c>
      <c r="L40" s="340">
        <f>(F40-J40)*7.6%</f>
        <v/>
      </c>
      <c r="M40" s="1097" t="n">
        <v>2.51</v>
      </c>
      <c r="N40" s="1097">
        <f>((G40+I40) * 9.25%)</f>
        <v/>
      </c>
      <c r="O40" s="121">
        <f>38.95/2</f>
        <v/>
      </c>
      <c r="P40" s="447">
        <f>(F40 - (G40+I40+O40+(J40+K40+L40))) - (H40-M40-N40)</f>
        <v/>
      </c>
      <c r="Q40" s="1328">
        <f>P40/F40</f>
        <v/>
      </c>
      <c r="R40" s="514" t="n"/>
      <c r="S40" s="515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10" t="n"/>
    </row>
    <row r="41" ht="22.5" customHeight="1" s="1349">
      <c r="A41" s="1265" t="inlineStr">
        <is>
          <t>3633227036</t>
        </is>
      </c>
      <c r="B41" s="1263" t="inlineStr">
        <is>
          <t>AM27</t>
        </is>
      </c>
      <c r="C41" s="292" t="inlineStr">
        <is>
          <t>ÂNCORA</t>
        </is>
      </c>
      <c r="D41" s="712" t="inlineStr">
        <is>
          <t>Fincapino Calibre.27 Magazinado Amarelo Am27 C/100un</t>
        </is>
      </c>
      <c r="E41" s="654" t="n"/>
      <c r="F41" s="607" t="n">
        <v>62.83</v>
      </c>
      <c r="G41" s="447">
        <f>F41*12%</f>
        <v/>
      </c>
      <c r="H41" s="831" t="n">
        <v>-1.94</v>
      </c>
      <c r="I41" s="515" t="n">
        <v>7.75</v>
      </c>
      <c r="J41" s="340">
        <f>F41*18%</f>
        <v/>
      </c>
      <c r="K41" s="340">
        <f>(F41-J41)*1.65%</f>
        <v/>
      </c>
      <c r="L41" s="340">
        <f>(F41-J41)*7.6%</f>
        <v/>
      </c>
      <c r="M41" s="1097" t="n">
        <v>3.86</v>
      </c>
      <c r="N41" s="1097">
        <f>((G41+I41) * 9.25%)</f>
        <v/>
      </c>
      <c r="O41" s="708" t="n">
        <v>31.95</v>
      </c>
      <c r="P41" s="447">
        <f>(F41 - (G41+I41+O41+(J41+K41+L41))) - (H41-M41-N41)</f>
        <v/>
      </c>
      <c r="Q41" s="328">
        <f>P41/F41</f>
        <v/>
      </c>
      <c r="R41" s="515" t="inlineStr">
        <is>
          <t>Ativo</t>
        </is>
      </c>
      <c r="S41" s="513" t="n"/>
      <c r="T41" s="514" t="n"/>
      <c r="U41" s="514" t="n"/>
      <c r="V41" s="514" t="n"/>
      <c r="W41" s="514" t="n"/>
      <c r="X41" s="514" t="n"/>
      <c r="Y41" s="514" t="n"/>
      <c r="Z41" s="514" t="n"/>
      <c r="AA41" s="514" t="n"/>
      <c r="AB41" s="514" t="n"/>
      <c r="AC41" s="514" t="n"/>
      <c r="AD41" s="514" t="n"/>
      <c r="AE41" s="514" t="n"/>
      <c r="AF41" s="514" t="n"/>
      <c r="AG41" s="10" t="n"/>
    </row>
    <row r="42" ht="22.5" customHeight="1" s="1349">
      <c r="A42" s="292" t="inlineStr">
        <is>
          <t>5086287215133521</t>
        </is>
      </c>
      <c r="B42" s="73" t="inlineStr">
        <is>
          <t>WELD515PAR</t>
        </is>
      </c>
      <c r="C42" s="515" t="inlineStr">
        <is>
          <t>VOLK</t>
        </is>
      </c>
      <c r="D42" s="156" t="inlineStr">
        <is>
          <t>Luva Soldador Weld Smart Alta Temperatura Até 100ºc 41cm</t>
        </is>
      </c>
      <c r="E42" s="514" t="n"/>
      <c r="F42" s="705" t="n">
        <v>78.98999999999999</v>
      </c>
      <c r="G42" s="447">
        <f>F42*12%</f>
        <v/>
      </c>
      <c r="H42" s="157" t="n"/>
      <c r="I42" s="631" t="n">
        <v>8.550000000000001</v>
      </c>
      <c r="J42" s="340">
        <f>F42*18%</f>
        <v/>
      </c>
      <c r="K42" s="340">
        <f>(F42-J42)*1.65%</f>
        <v/>
      </c>
      <c r="L42" s="340">
        <f>(F42-J42)*7.6%</f>
        <v/>
      </c>
      <c r="M42" s="1120" t="n">
        <v>5.017</v>
      </c>
      <c r="N42" s="1120">
        <f>((G42+I42) * 9.25%)</f>
        <v/>
      </c>
      <c r="O42" s="121" t="n">
        <v>38.95</v>
      </c>
      <c r="P42" s="447">
        <f>(F42 - (G42+I42+O42+(J42+K42+L42))) - (H42-M42-N42)</f>
        <v/>
      </c>
      <c r="Q42" s="1328">
        <f>P42/F42</f>
        <v/>
      </c>
      <c r="R42" s="515" t="inlineStr">
        <is>
          <t>Ativo</t>
        </is>
      </c>
      <c r="S42" s="515" t="n"/>
      <c r="T42" s="514" t="n"/>
      <c r="U42" s="514" t="n"/>
      <c r="V42" s="514" t="n"/>
      <c r="W42" s="514" t="n"/>
      <c r="X42" s="514" t="n"/>
      <c r="Y42" s="514" t="n"/>
      <c r="Z42" s="514" t="n"/>
      <c r="AA42" s="514" t="n"/>
      <c r="AB42" s="514" t="n"/>
      <c r="AC42" s="514" t="n"/>
      <c r="AD42" s="514" t="n"/>
      <c r="AE42" s="514" t="n"/>
      <c r="AF42" s="514" t="n"/>
      <c r="AG42" s="10" t="n"/>
    </row>
    <row r="43" ht="22.5" customHeight="1" s="1349">
      <c r="A43" s="1265" t="inlineStr">
        <is>
          <t>3310866759</t>
        </is>
      </c>
      <c r="B43" s="1263" t="n">
        <v>42</v>
      </c>
      <c r="C43" s="292" t="inlineStr">
        <is>
          <t>ÂNCORA</t>
        </is>
      </c>
      <c r="D43" s="712" t="inlineStr">
        <is>
          <t>Pino Liso Ação Indireta 1/4x28 C/ Arruela Conica 23mm Ancora 100un</t>
        </is>
      </c>
      <c r="E43" s="1249" t="n"/>
      <c r="F43" s="607" t="n">
        <v>32.15</v>
      </c>
      <c r="G43" s="447">
        <f>F43*12%</f>
        <v/>
      </c>
      <c r="H43" s="831" t="n">
        <v>-1.48</v>
      </c>
      <c r="I43" s="515">
        <f>IFS(
  F43&lt;12.5, F43/2,
  F43&lt;29, 6.25,
  F43&lt;50, 6.5,
  F43&lt;=79, 6.75,
  TRUE, 25
)</f>
        <v/>
      </c>
      <c r="J43" s="340">
        <f>F43*18%</f>
        <v/>
      </c>
      <c r="K43" s="340">
        <f>(F43-J43)*1.65%</f>
        <v/>
      </c>
      <c r="L43" s="340">
        <f>(F43-J43)*7.6%</f>
        <v/>
      </c>
      <c r="M43" s="1120" t="n">
        <v>1.73</v>
      </c>
      <c r="N43" s="1120">
        <f>((G43+I43) * 9.25%)</f>
        <v/>
      </c>
      <c r="O43" s="708" t="n">
        <v>14.27</v>
      </c>
      <c r="P43" s="447">
        <f>(F43 - (G43+I43+O43+(J43+K43+L43))) - (H43-M43-N43)</f>
        <v/>
      </c>
      <c r="Q43" s="328">
        <f>P43/F43</f>
        <v/>
      </c>
      <c r="R43" s="515" t="inlineStr">
        <is>
          <t>Ativo</t>
        </is>
      </c>
      <c r="S43" s="513" t="n"/>
      <c r="T43" s="514" t="n"/>
      <c r="U43" s="514" t="n"/>
      <c r="V43" s="514" t="n"/>
      <c r="W43" s="514" t="n"/>
      <c r="X43" s="514" t="n"/>
      <c r="Y43" s="514" t="n"/>
      <c r="Z43" s="514" t="n"/>
      <c r="AA43" s="514" t="n"/>
      <c r="AB43" s="514" t="n"/>
      <c r="AC43" s="514" t="n"/>
      <c r="AD43" s="514" t="n"/>
      <c r="AE43" s="514" t="n"/>
      <c r="AF43" s="514" t="n"/>
      <c r="AG43" s="10" t="n"/>
    </row>
    <row r="44" ht="22.5" customHeight="1" s="1349">
      <c r="A44" s="1265" t="inlineStr">
        <is>
          <t>7046050472</t>
        </is>
      </c>
      <c r="B44" s="1263" t="n"/>
      <c r="C44" s="292" t="inlineStr">
        <is>
          <t>ÂNCORA</t>
        </is>
      </c>
      <c r="D44" s="712" t="inlineStr">
        <is>
          <t>20 conico + 20 fincapino 27</t>
        </is>
      </c>
      <c r="E44" s="1249" t="n"/>
      <c r="F44" s="607" t="n">
        <v>1799</v>
      </c>
      <c r="G44" s="447">
        <f>F44*12%</f>
        <v/>
      </c>
      <c r="H44" s="831" t="n"/>
      <c r="I44" s="631" t="n">
        <v>105.95</v>
      </c>
      <c r="J44" s="340">
        <f>F44*18%</f>
        <v/>
      </c>
      <c r="K44" s="340">
        <f>(F44-J44)*1.65%</f>
        <v/>
      </c>
      <c r="L44" s="340">
        <f>(F44-J44)*7.6%</f>
        <v/>
      </c>
      <c r="M44" s="1120">
        <f>(1.73*20) + (3.86*20)</f>
        <v/>
      </c>
      <c r="N44" s="1120">
        <f>((G44+I44) * 9.25%)</f>
        <v/>
      </c>
      <c r="O44" s="708">
        <f>(14.27*20) + (31.95*20)</f>
        <v/>
      </c>
      <c r="P44" s="447">
        <f>(F44 - (G44+I44+O44+(J44+K44+L44))) - (H44-M44-N44)</f>
        <v/>
      </c>
      <c r="Q44" s="328">
        <f>P44/F44</f>
        <v/>
      </c>
      <c r="R44" s="515" t="inlineStr">
        <is>
          <t>Ativo</t>
        </is>
      </c>
      <c r="S44" s="513" t="n"/>
      <c r="T44" s="514" t="n"/>
      <c r="U44" s="514" t="n"/>
      <c r="V44" s="514" t="n"/>
      <c r="W44" s="514" t="n"/>
      <c r="X44" s="514" t="n"/>
      <c r="Y44" s="514" t="n"/>
      <c r="Z44" s="514" t="n"/>
      <c r="AA44" s="514" t="n"/>
      <c r="AB44" s="514" t="n"/>
      <c r="AC44" s="514" t="n"/>
      <c r="AD44" s="514" t="n"/>
      <c r="AE44" s="514" t="n"/>
      <c r="AF44" s="514" t="n"/>
      <c r="AG44" s="10" t="n"/>
    </row>
    <row r="45" ht="22.5" customHeight="1" s="1349">
      <c r="A45" s="1265" t="inlineStr">
        <is>
          <t>4819060099</t>
        </is>
      </c>
      <c r="B45" s="1263" t="n"/>
      <c r="C45" s="292" t="inlineStr">
        <is>
          <t>ÂNCORA</t>
        </is>
      </c>
      <c r="D45" s="712" t="inlineStr">
        <is>
          <t>20 conico</t>
        </is>
      </c>
      <c r="E45" s="1249" t="n"/>
      <c r="F45" s="607" t="n">
        <v>699</v>
      </c>
      <c r="G45" s="447">
        <f>F45*12%</f>
        <v/>
      </c>
      <c r="H45" s="831" t="n"/>
      <c r="I45" s="631" t="n">
        <v>96</v>
      </c>
      <c r="J45" s="340">
        <f>F45*18%</f>
        <v/>
      </c>
      <c r="K45" s="340">
        <f>(F45-J45)*1.65%</f>
        <v/>
      </c>
      <c r="L45" s="340">
        <f>(F45-J45)*7.6%</f>
        <v/>
      </c>
      <c r="M45" s="1120">
        <f>1.73*20</f>
        <v/>
      </c>
      <c r="N45" s="1120">
        <f>((G45+I45) * 9.25%)</f>
        <v/>
      </c>
      <c r="O45" s="708">
        <f>14.27*20</f>
        <v/>
      </c>
      <c r="P45" s="447">
        <f>(F45 - (G45+I45+O45+(J45+K45+L45))) - (H45-M45-N45)</f>
        <v/>
      </c>
      <c r="Q45" s="328">
        <f>P45/F45</f>
        <v/>
      </c>
      <c r="R45" s="515" t="inlineStr">
        <is>
          <t>Ativo</t>
        </is>
      </c>
      <c r="S45" s="513" t="n"/>
      <c r="T45" s="514" t="n"/>
      <c r="U45" s="514" t="n"/>
      <c r="V45" s="514" t="n"/>
      <c r="W45" s="514" t="n"/>
      <c r="X45" s="514" t="n"/>
      <c r="Y45" s="514" t="n"/>
      <c r="Z45" s="514" t="n"/>
      <c r="AA45" s="514" t="n"/>
      <c r="AB45" s="514" t="n"/>
      <c r="AC45" s="514" t="n"/>
      <c r="AD45" s="514" t="n"/>
      <c r="AE45" s="514" t="n"/>
      <c r="AF45" s="514" t="n"/>
      <c r="AG45" s="10" t="n"/>
    </row>
    <row r="46" ht="22.5" customHeight="1" s="1349">
      <c r="A46" s="1265" t="inlineStr">
        <is>
          <t>4276004799</t>
        </is>
      </c>
      <c r="B46" s="1263" t="n">
        <v>10034034167673</v>
      </c>
      <c r="C46" s="292" t="inlineStr">
        <is>
          <t>ÂNCORA</t>
        </is>
      </c>
      <c r="D46" s="712" t="inlineStr">
        <is>
          <t>Kit 10 Fincapino Calibre.27 Magazinado Amarelo Am27 C/1000un</t>
        </is>
      </c>
      <c r="E46" s="492" t="n"/>
      <c r="F46" s="607" t="n">
        <v>555.54</v>
      </c>
      <c r="G46" s="447">
        <f>F46*12%</f>
        <v/>
      </c>
      <c r="H46" s="831" t="n">
        <v>-17.18</v>
      </c>
      <c r="I46" s="515" t="n">
        <v>30.75</v>
      </c>
      <c r="J46" s="340">
        <f>F46*18%</f>
        <v/>
      </c>
      <c r="K46" s="340">
        <f>(F46-J46)*1.65%</f>
        <v/>
      </c>
      <c r="L46" s="340">
        <f>(F46-J46)*7.6%</f>
        <v/>
      </c>
      <c r="M46" s="1097">
        <f>3.86*10</f>
        <v/>
      </c>
      <c r="N46" s="1097">
        <f>((G46+I46) * 9.25%)</f>
        <v/>
      </c>
      <c r="O46" s="708">
        <f>31.95*10</f>
        <v/>
      </c>
      <c r="P46" s="447">
        <f>(F46 - (G46+I46+O46+(J46+K46+L46))) - (H46-M46-N46)</f>
        <v/>
      </c>
      <c r="Q46" s="328">
        <f>P46/F46</f>
        <v/>
      </c>
      <c r="R46" s="515" t="inlineStr">
        <is>
          <t>Ativo</t>
        </is>
      </c>
      <c r="S46" s="513" t="n"/>
      <c r="T46" s="514" t="n"/>
      <c r="U46" s="514" t="n"/>
      <c r="V46" s="514" t="n"/>
      <c r="W46" s="514" t="n"/>
      <c r="X46" s="514" t="n"/>
      <c r="Y46" s="514" t="n"/>
      <c r="Z46" s="514" t="n"/>
      <c r="AA46" s="514" t="n"/>
      <c r="AB46" s="514" t="n"/>
      <c r="AC46" s="514" t="n"/>
      <c r="AD46" s="514" t="n"/>
      <c r="AE46" s="514" t="n"/>
      <c r="AF46" s="514" t="n"/>
      <c r="AG46" s="10" t="n"/>
    </row>
    <row r="47" ht="22.5" customHeight="1" s="1349">
      <c r="A47" s="1265" t="inlineStr">
        <is>
          <t>6175046035061968</t>
        </is>
      </c>
      <c r="B47" s="1263" t="n">
        <v>10034034166666</v>
      </c>
      <c r="C47" s="292" t="inlineStr">
        <is>
          <t>Delta plus</t>
        </is>
      </c>
      <c r="D47" s="112" t="inlineStr">
        <is>
          <t>Botina Impermeável Composite Antiperfurante Eletricista C/ca</t>
        </is>
      </c>
      <c r="E47" s="492" t="n"/>
      <c r="F47" s="607" t="n">
        <v>241.53</v>
      </c>
      <c r="G47" s="447">
        <f>F47*12%</f>
        <v/>
      </c>
      <c r="H47" s="831" t="n">
        <v>-14.9</v>
      </c>
      <c r="I47" s="492" t="n">
        <v>30.75</v>
      </c>
      <c r="J47" s="340">
        <f>F47*18%</f>
        <v/>
      </c>
      <c r="K47" s="340">
        <f>(F47-J47)*1.65%</f>
        <v/>
      </c>
      <c r="L47" s="340">
        <f>(F47-J47)*7.6%</f>
        <v/>
      </c>
      <c r="M47" s="1120" t="n">
        <v>28.65</v>
      </c>
      <c r="N47" s="1120">
        <f>((G47+I47) * 9.25%)</f>
        <v/>
      </c>
      <c r="O47" s="197" t="n">
        <v>142.25</v>
      </c>
      <c r="P47" s="447">
        <f>(F47 - (G47+I47+O47+(J47+K47+L47))) - (H47-M47-N47)</f>
        <v/>
      </c>
      <c r="Q47" s="328">
        <f>P47/F47</f>
        <v/>
      </c>
      <c r="R47" s="515" t="inlineStr">
        <is>
          <t>Ativo</t>
        </is>
      </c>
      <c r="S47" s="515" t="inlineStr">
        <is>
          <t>brasilia</t>
        </is>
      </c>
      <c r="T47" s="514" t="n"/>
      <c r="U47" s="514" t="n"/>
      <c r="V47" s="514" t="n"/>
      <c r="W47" s="514" t="n"/>
      <c r="X47" s="514" t="n"/>
      <c r="Y47" s="514" t="n"/>
      <c r="Z47" s="514" t="n"/>
      <c r="AA47" s="514" t="n"/>
      <c r="AB47" s="514" t="n"/>
      <c r="AC47" s="514" t="n"/>
      <c r="AD47" s="514" t="n"/>
      <c r="AE47" s="514" t="n"/>
      <c r="AF47" s="514" t="n"/>
      <c r="AG47" s="10" t="n"/>
    </row>
    <row r="48" ht="22.5" customHeight="1" s="1349">
      <c r="A48" s="489" t="inlineStr">
        <is>
          <t>5660136210747983</t>
        </is>
      </c>
      <c r="B48" s="713" t="n">
        <v>10034034167167</v>
      </c>
      <c r="C48" s="292" t="inlineStr">
        <is>
          <t>Camper</t>
        </is>
      </c>
      <c r="D48" s="654" t="inlineStr">
        <is>
          <t>Galocha Pvc Bota Infantil Kids Pampeana C/ Amarra Conforto</t>
        </is>
      </c>
      <c r="E48" s="654" t="n"/>
      <c r="F48" s="607" t="n">
        <v>70.90000000000001</v>
      </c>
      <c r="G48" s="447">
        <f>(F48*14%)</f>
        <v/>
      </c>
      <c r="H48" s="831" t="n"/>
      <c r="I48" s="515">
        <f>IFS(
  F48&lt;12.5, F48/2,
  F48&lt;29, 6.25,
  F48&lt;50, 6.5,
  F48&lt;=79, 6.75,
  TRUE, 25
)</f>
        <v/>
      </c>
      <c r="J48" s="340">
        <f>F48*18%</f>
        <v/>
      </c>
      <c r="K48" s="340">
        <f>(F48-J48)*1.65%</f>
        <v/>
      </c>
      <c r="L48" s="340">
        <f>(F48-J48)*7.6%</f>
        <v/>
      </c>
      <c r="M48" s="1120" t="n">
        <v>7.44</v>
      </c>
      <c r="N48" s="1120">
        <f>((G48+I48) * 9.25%)</f>
        <v/>
      </c>
      <c r="O48" s="708" t="n">
        <v>36.95</v>
      </c>
      <c r="P48" s="447">
        <f>(F48 - (G48+I48+O48+(J48+K48+L48))) - (H48-M48-N48)</f>
        <v/>
      </c>
      <c r="Q48" s="328">
        <f>P48/F48</f>
        <v/>
      </c>
      <c r="R48" s="515" t="inlineStr">
        <is>
          <t>Ativo</t>
        </is>
      </c>
      <c r="S48" s="513" t="n"/>
      <c r="T48" s="514" t="n"/>
      <c r="U48" s="514" t="n"/>
      <c r="V48" s="514" t="n"/>
      <c r="W48" s="514" t="n"/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10" t="n"/>
    </row>
    <row r="49" ht="22.5" customHeight="1" s="1349">
      <c r="A49" s="489" t="inlineStr">
        <is>
          <t>5897355500</t>
        </is>
      </c>
      <c r="B49" s="713" t="n">
        <v>10034034167669</v>
      </c>
      <c r="C49" s="292" t="inlineStr">
        <is>
          <t>ÂNCORA</t>
        </is>
      </c>
      <c r="D49" s="712" t="inlineStr">
        <is>
          <t>Pistola Fixação Indireta Fai72n + Pino Conico E Fincapino 27</t>
        </is>
      </c>
      <c r="E49" s="492" t="n"/>
      <c r="F49" s="607" t="n">
        <v>1066</v>
      </c>
      <c r="G49" s="447">
        <f>F49*17%</f>
        <v/>
      </c>
      <c r="H49" s="831" t="n">
        <v>-47.59</v>
      </c>
      <c r="I49" s="515" t="n">
        <v>30.75</v>
      </c>
      <c r="J49" s="340">
        <f>F49*18%</f>
        <v/>
      </c>
      <c r="K49" s="340">
        <f>(F49-J49)*1.65%</f>
        <v/>
      </c>
      <c r="L49" s="340">
        <f>(F49-J49)*7.6%</f>
        <v/>
      </c>
      <c r="M49" s="1097" t="n">
        <v>78</v>
      </c>
      <c r="N49" s="1097">
        <f>((G49+I49) * 9.25%)</f>
        <v/>
      </c>
      <c r="O49" s="708">
        <f>599+3.1+1.4</f>
        <v/>
      </c>
      <c r="P49" s="447">
        <f>(F49 - (G49+I49+O49+(J49+K49+L49))) - (H49-M49-N49)</f>
        <v/>
      </c>
      <c r="Q49" s="328">
        <f>P49/F49</f>
        <v/>
      </c>
      <c r="R49" s="515" t="inlineStr">
        <is>
          <t>Ativo</t>
        </is>
      </c>
      <c r="S49" s="513" t="n"/>
      <c r="T49" s="514" t="n"/>
      <c r="U49" s="514" t="n"/>
      <c r="V49" s="514" t="n"/>
      <c r="W49" s="514" t="n"/>
      <c r="X49" s="514" t="n"/>
      <c r="Y49" s="514" t="n"/>
      <c r="Z49" s="514" t="n"/>
      <c r="AA49" s="514" t="n"/>
      <c r="AB49" s="514" t="n"/>
      <c r="AC49" s="514" t="n"/>
      <c r="AD49" s="514" t="n"/>
      <c r="AE49" s="514" t="n"/>
      <c r="AF49" s="514" t="n"/>
      <c r="AG49" s="10" t="n"/>
    </row>
    <row r="50" ht="22.5" customHeight="1" s="1349">
      <c r="A50" s="292" t="inlineStr">
        <is>
          <t>6605030142</t>
        </is>
      </c>
      <c r="B50" s="515" t="inlineStr">
        <is>
          <t>1000PINOLISO3X27</t>
        </is>
      </c>
      <c r="C50" s="515" t="inlineStr">
        <is>
          <t>ÂNCORA</t>
        </is>
      </c>
      <c r="D50" s="156" t="inlineStr">
        <is>
          <t>Kit 1000 Pino Liso 3x27mm Aço Galvanizado P/ Pistola Fga850n</t>
        </is>
      </c>
      <c r="E50" s="515" t="n">
        <v>149</v>
      </c>
      <c r="F50" s="705" t="n">
        <v>139.99</v>
      </c>
      <c r="G50" s="447">
        <f>F50*12%</f>
        <v/>
      </c>
      <c r="H50" s="157" t="n"/>
      <c r="I50" s="515" t="n">
        <v>21.05</v>
      </c>
      <c r="J50" s="340">
        <f>F50*18%</f>
        <v/>
      </c>
      <c r="K50" s="340">
        <f>(F50-J50)*1.65%</f>
        <v/>
      </c>
      <c r="L50" s="340">
        <f>(F50-J50)*7.6%</f>
        <v/>
      </c>
      <c r="M50" s="162" t="n">
        <v>7.27</v>
      </c>
      <c r="N50" s="162">
        <f>((G50+I50) * 9.25%)</f>
        <v/>
      </c>
      <c r="O50" s="121" t="n">
        <v>60.1</v>
      </c>
      <c r="P50" s="447">
        <f>(F50 - (G50+I50+O50+(J50+K50+L50))) - (H50-M50-N50)</f>
        <v/>
      </c>
      <c r="Q50" s="1328">
        <f>P50/F50</f>
        <v/>
      </c>
      <c r="R50" s="515" t="inlineStr">
        <is>
          <t>Ativo</t>
        </is>
      </c>
      <c r="S50" s="515" t="n"/>
      <c r="T50" s="163" t="n"/>
      <c r="U50" s="514" t="n"/>
      <c r="V50" s="514" t="n"/>
      <c r="W50" s="514" t="n"/>
      <c r="X50" s="514" t="n"/>
      <c r="Y50" s="514" t="n"/>
      <c r="Z50" s="514" t="n"/>
      <c r="AA50" s="514" t="n"/>
      <c r="AB50" s="514" t="n"/>
      <c r="AC50" s="514" t="n"/>
      <c r="AD50" s="514" t="n"/>
      <c r="AE50" s="514" t="n"/>
      <c r="AF50" s="514" t="n"/>
      <c r="AG50" s="579" t="n"/>
    </row>
    <row r="51" ht="22.5" customHeight="1" s="1349">
      <c r="A51" s="489" t="inlineStr">
        <is>
          <t>3532560898</t>
        </is>
      </c>
      <c r="B51" s="713" t="n">
        <v>10034034166319</v>
      </c>
      <c r="C51" s="292" t="inlineStr">
        <is>
          <t>VOLK</t>
        </is>
      </c>
      <c r="D51" s="112" t="inlineStr">
        <is>
          <t>Luva Uso Geral Paisagismo Volk Orange Smart Ca46816 10 Pares</t>
        </is>
      </c>
      <c r="E51" s="492" t="n">
        <v>149.9</v>
      </c>
      <c r="F51" s="607" t="n">
        <v>76.53</v>
      </c>
      <c r="G51" s="447">
        <f>F51*12%</f>
        <v/>
      </c>
      <c r="H51" s="831" t="n">
        <v>-4.59</v>
      </c>
      <c r="I51" s="515" t="n">
        <v>8.15</v>
      </c>
      <c r="J51" s="340">
        <f>F51*18%</f>
        <v/>
      </c>
      <c r="K51" s="340">
        <f>(F51-J51)*1.65%</f>
        <v/>
      </c>
      <c r="L51" s="340">
        <f>(F51-J51)*7.6%</f>
        <v/>
      </c>
      <c r="M51" s="1120">
        <f>0.616*10</f>
        <v/>
      </c>
      <c r="N51" s="1120">
        <f>((G51+I51) * 9.25%)</f>
        <v/>
      </c>
      <c r="O51" s="708">
        <f>4.18*10</f>
        <v/>
      </c>
      <c r="P51" s="447">
        <f>(F51 - (G51+I51+O51+(J51+K51+L51))) - (H51-M51-N51)</f>
        <v/>
      </c>
      <c r="Q51" s="328">
        <f>P51/F51</f>
        <v/>
      </c>
      <c r="R51" s="515" t="inlineStr">
        <is>
          <t>Ativo</t>
        </is>
      </c>
      <c r="S51" s="513" t="n"/>
      <c r="T51" s="514" t="n"/>
      <c r="U51" s="514" t="n"/>
      <c r="V51" s="514" t="n"/>
      <c r="W51" s="514" t="n"/>
      <c r="X51" s="514" t="n"/>
      <c r="Y51" s="514" t="n"/>
      <c r="Z51" s="514" t="n"/>
      <c r="AA51" s="514" t="n"/>
      <c r="AB51" s="514" t="n"/>
      <c r="AC51" s="514" t="n"/>
      <c r="AD51" s="514" t="n"/>
      <c r="AE51" s="514" t="n"/>
      <c r="AF51" s="514" t="n"/>
      <c r="AG51" s="10" t="n"/>
    </row>
    <row r="52" ht="22.5" customHeight="1" s="1349">
      <c r="A52" s="1265" t="inlineStr">
        <is>
          <t>3956529572</t>
        </is>
      </c>
      <c r="B52" s="1263" t="inlineStr">
        <is>
          <t>PA1721</t>
        </is>
      </c>
      <c r="C52" s="261" t="inlineStr">
        <is>
          <t>ÂNCORA</t>
        </is>
      </c>
      <c r="D52" s="654" t="inlineStr">
        <is>
          <t>Prego 17x21 Aço Galvanizado A Fogo Zincado Com Cabeça 100un</t>
        </is>
      </c>
      <c r="E52" s="654" t="n"/>
      <c r="F52" s="607" t="n">
        <v>21.89</v>
      </c>
      <c r="G52" s="447">
        <f>F52*11.5%</f>
        <v/>
      </c>
      <c r="H52" s="831" t="n">
        <v>-0.8100000000000001</v>
      </c>
      <c r="I52" s="515">
        <f>IFS(
  F52&lt;12.5, F52/2,
  F52&lt;29, 6.25,
  F52&lt;50, 6.5,
  F52&lt;=79, 6.75,
  TRUE, 25
)</f>
        <v/>
      </c>
      <c r="J52" s="340">
        <f>F52*18%</f>
        <v/>
      </c>
      <c r="K52" s="340">
        <f>(F52-J52)*1.65%</f>
        <v/>
      </c>
      <c r="L52" s="340">
        <f>(F52-J52)*7.6%</f>
        <v/>
      </c>
      <c r="M52" s="1097" t="n">
        <v>0.82</v>
      </c>
      <c r="N52" s="1097">
        <f>((G52+I52) * 9.25%)</f>
        <v/>
      </c>
      <c r="O52" s="708" t="n">
        <v>6.82</v>
      </c>
      <c r="P52" s="447">
        <f>(F52 - (G52+I52+O52+(J52+K52+L52))) - (H52-M52-N52)</f>
        <v/>
      </c>
      <c r="Q52" s="328">
        <f>P52/F52</f>
        <v/>
      </c>
      <c r="R52" s="515" t="inlineStr">
        <is>
          <t>Ativo</t>
        </is>
      </c>
      <c r="S52" s="513" t="n"/>
      <c r="T52" s="209" t="n"/>
      <c r="U52" s="209" t="n"/>
      <c r="V52" s="209" t="n"/>
      <c r="W52" s="209" t="n"/>
      <c r="X52" s="209" t="n"/>
      <c r="Y52" s="209" t="n"/>
      <c r="Z52" s="209" t="n"/>
      <c r="AA52" s="209" t="n"/>
      <c r="AB52" s="209" t="n"/>
      <c r="AC52" s="209" t="n"/>
      <c r="AD52" s="209" t="n"/>
      <c r="AE52" s="209" t="n"/>
      <c r="AF52" s="209" t="n"/>
      <c r="AG52" s="10" t="n"/>
    </row>
    <row r="53" ht="22.5" customHeight="1" s="1349">
      <c r="A53" s="166" t="inlineStr">
        <is>
          <t>4193676017</t>
        </is>
      </c>
      <c r="B53" s="167" t="n">
        <v>10034034167566</v>
      </c>
      <c r="C53" s="168" t="inlineStr">
        <is>
          <t>ÂNCORA</t>
        </is>
      </c>
      <c r="D53" s="1310" t="inlineStr">
        <is>
          <t>kit 1000 pino com arruela conica</t>
        </is>
      </c>
      <c r="E53" s="904" t="n"/>
      <c r="F53" s="320" t="n">
        <v>357</v>
      </c>
      <c r="G53" s="321">
        <f>F53*12%</f>
        <v/>
      </c>
      <c r="H53" s="366" t="n">
        <v>-13.91</v>
      </c>
      <c r="I53" s="538" t="n">
        <v>68.84999999999999</v>
      </c>
      <c r="J53" s="321">
        <f>F53*18%</f>
        <v/>
      </c>
      <c r="K53" s="321">
        <f>(F53-J53)*1.65%</f>
        <v/>
      </c>
      <c r="L53" s="321">
        <f>(F53-J53)*7.6%</f>
        <v/>
      </c>
      <c r="M53" s="1097">
        <f>1.73*10</f>
        <v/>
      </c>
      <c r="N53" s="1097">
        <f>((G53+I53) * 9.25%)</f>
        <v/>
      </c>
      <c r="O53" s="176">
        <f>14.27*10</f>
        <v/>
      </c>
      <c r="P53" s="447">
        <f>(F53 - (G53+I53+O53+(J53+K53+L53))) - (H53-M53-N53)</f>
        <v/>
      </c>
      <c r="Q53" s="328">
        <f>P53/F53</f>
        <v/>
      </c>
      <c r="R53" s="178" t="n"/>
      <c r="S53" s="330" t="n"/>
      <c r="T53" s="509" t="n"/>
      <c r="U53" s="509" t="n"/>
      <c r="V53" s="509" t="n"/>
      <c r="W53" s="509" t="n"/>
      <c r="X53" s="509" t="n"/>
      <c r="Y53" s="509" t="n"/>
      <c r="Z53" s="509" t="n"/>
      <c r="AA53" s="509" t="n"/>
      <c r="AB53" s="509" t="n"/>
      <c r="AC53" s="509" t="n"/>
      <c r="AD53" s="509" t="n"/>
      <c r="AE53" s="509" t="n"/>
      <c r="AF53" s="509" t="n"/>
      <c r="AG53" s="10" t="n"/>
    </row>
    <row r="54" ht="22.5" customHeight="1" s="1349">
      <c r="A54" s="180" t="inlineStr">
        <is>
          <t>3837714802</t>
        </is>
      </c>
      <c r="B54" s="181" t="n">
        <v>10034034166340</v>
      </c>
      <c r="C54" s="182" t="inlineStr">
        <is>
          <t>ÂNCORA</t>
        </is>
      </c>
      <c r="D54" s="184" t="inlineStr">
        <is>
          <t>Tela Amarração Alvenaria 7,5cm Tel75 Construfix Ancora 150un</t>
        </is>
      </c>
      <c r="E54" s="184" t="n"/>
      <c r="F54" s="185" t="n">
        <v>233.93</v>
      </c>
      <c r="G54" s="1154">
        <f>F54*12%</f>
        <v/>
      </c>
      <c r="H54" s="187" t="n">
        <v>-7.23</v>
      </c>
      <c r="I54" s="1249" t="n">
        <v>44.45</v>
      </c>
      <c r="J54" s="188">
        <f>F54*18%</f>
        <v/>
      </c>
      <c r="K54" s="188">
        <f>(F54-J54)*1.65%</f>
        <v/>
      </c>
      <c r="L54" s="188">
        <f>(F54-J54)*7.6%</f>
        <v/>
      </c>
      <c r="M54" s="189" t="n">
        <v>11.59</v>
      </c>
      <c r="N54" s="189">
        <f>((G54+I54) * 9.25%)</f>
        <v/>
      </c>
      <c r="O54" s="190" t="n">
        <v>91.81</v>
      </c>
      <c r="P54" s="447">
        <f>(F54 - (G54+I54+O54+(J54+K54+L54))) - (H54-M54-N54)</f>
        <v/>
      </c>
      <c r="Q54" s="191">
        <f>P54/F54</f>
        <v/>
      </c>
      <c r="R54" s="1337" t="inlineStr">
        <is>
          <t>Ativo</t>
        </is>
      </c>
      <c r="S54" s="126" t="n"/>
      <c r="T54" s="514" t="n"/>
      <c r="U54" s="514" t="n"/>
      <c r="V54" s="514" t="n"/>
      <c r="W54" s="514" t="n"/>
      <c r="X54" s="514" t="n"/>
      <c r="Y54" s="514" t="n"/>
      <c r="Z54" s="514" t="n"/>
      <c r="AA54" s="514" t="n"/>
      <c r="AB54" s="514" t="n"/>
      <c r="AC54" s="514" t="n"/>
      <c r="AD54" s="514" t="n"/>
      <c r="AE54" s="514" t="n"/>
      <c r="AF54" s="514" t="n"/>
      <c r="AG54" s="10" t="n"/>
    </row>
    <row r="55" ht="22.5" customHeight="1" s="1349">
      <c r="A55" s="489" t="inlineStr">
        <is>
          <t>1738432827895818</t>
        </is>
      </c>
      <c r="B55" s="713" t="n">
        <v>49</v>
      </c>
      <c r="C55" s="292" t="inlineStr">
        <is>
          <t>ÂNCORA</t>
        </is>
      </c>
      <c r="D55" s="112" t="inlineStr">
        <is>
          <t>Tela Soldada Reforço Fachada Alvenaria Galvanizada 0,50x25m</t>
        </is>
      </c>
      <c r="E55" s="492" t="n"/>
      <c r="F55" s="607" t="n">
        <v>283.29</v>
      </c>
      <c r="G55" s="93">
        <f>F55*12%</f>
        <v/>
      </c>
      <c r="H55" s="831" t="n">
        <v>-8.76</v>
      </c>
      <c r="I55" s="492" t="n">
        <v>68.65000000000001</v>
      </c>
      <c r="J55" s="340">
        <f>F55*18%</f>
        <v/>
      </c>
      <c r="K55" s="340">
        <f>(F55-J55)*1.65%</f>
        <v/>
      </c>
      <c r="L55" s="340">
        <f>(F55-J55)*7.6%</f>
        <v/>
      </c>
      <c r="M55" s="1097" t="n">
        <v>17</v>
      </c>
      <c r="N55" s="1097">
        <f>((G55+I55) * 9.25%)</f>
        <v/>
      </c>
      <c r="O55" s="708" t="n">
        <v>99</v>
      </c>
      <c r="P55" s="447">
        <f>(F55 - (G55+I55+O55+(J55+K55+L55))) - (H55-M55-N55)</f>
        <v/>
      </c>
      <c r="Q55" s="328">
        <f>P55/F55</f>
        <v/>
      </c>
      <c r="R55" s="515" t="inlineStr">
        <is>
          <t>Ativo</t>
        </is>
      </c>
      <c r="S55" s="513" t="n"/>
      <c r="T55" s="514" t="n"/>
      <c r="U55" s="514" t="n"/>
      <c r="V55" s="514" t="n"/>
      <c r="W55" s="514" t="n"/>
      <c r="X55" s="514" t="n"/>
      <c r="Y55" s="514" t="n"/>
      <c r="Z55" s="514" t="n"/>
      <c r="AA55" s="514" t="n"/>
      <c r="AB55" s="514" t="n"/>
      <c r="AC55" s="514" t="n"/>
      <c r="AD55" s="514" t="n"/>
      <c r="AE55" s="514" t="n"/>
      <c r="AF55" s="514" t="n"/>
      <c r="AG55" s="10" t="n"/>
    </row>
    <row r="56" ht="22.5" customHeight="1" s="1349">
      <c r="A56" s="292" t="inlineStr">
        <is>
          <t>6824766210</t>
        </is>
      </c>
      <c r="B56" s="515" t="n"/>
      <c r="C56" s="515" t="inlineStr">
        <is>
          <t>VOLK</t>
        </is>
      </c>
      <c r="D56" s="515" t="inlineStr">
        <is>
          <t>10 Luva Uso Geral Proteção Vulcanizada Orange Smart Ca46816</t>
        </is>
      </c>
      <c r="E56" s="515" t="n">
        <v>149.9</v>
      </c>
      <c r="F56" s="705" t="n">
        <v>139</v>
      </c>
      <c r="G56" s="447">
        <f>F56*17%</f>
        <v/>
      </c>
      <c r="H56" s="515" t="n"/>
      <c r="I56" s="631" t="n">
        <v>18.85</v>
      </c>
      <c r="J56" s="340">
        <f>F56*18%</f>
        <v/>
      </c>
      <c r="K56" s="340">
        <f>(F56-J56)*1.65%</f>
        <v/>
      </c>
      <c r="L56" s="340">
        <f>(F56-J56)*7.6%</f>
        <v/>
      </c>
      <c r="M56" s="1097">
        <f>0.616*10</f>
        <v/>
      </c>
      <c r="N56" s="1097">
        <f>((G56+I56) * 9.25%)</f>
        <v/>
      </c>
      <c r="O56" s="708">
        <f>4.18*10</f>
        <v/>
      </c>
      <c r="P56" s="447">
        <f>(F56 - (G56+I56+O56+(J56+K56+L56))) - (H56-M56-N56)</f>
        <v/>
      </c>
      <c r="Q56" s="1328">
        <f>P56/F56</f>
        <v/>
      </c>
      <c r="R56" s="631" t="inlineStr">
        <is>
          <t>Sem Estoque</t>
        </is>
      </c>
      <c r="S56" s="515" t="n"/>
      <c r="T56" s="514" t="n"/>
      <c r="U56" s="514" t="n"/>
      <c r="V56" s="514" t="n"/>
      <c r="W56" s="514" t="n"/>
      <c r="X56" s="514" t="n"/>
      <c r="Y56" s="514" t="n"/>
      <c r="Z56" s="514" t="n"/>
      <c r="AA56" s="514" t="n"/>
      <c r="AB56" s="514" t="n"/>
      <c r="AC56" s="514" t="n"/>
      <c r="AD56" s="514" t="n"/>
      <c r="AE56" s="514" t="n"/>
      <c r="AF56" s="514" t="n"/>
    </row>
    <row r="57" ht="22.5" customHeight="1" s="1349">
      <c r="A57" s="1265" t="inlineStr">
        <is>
          <t>3628301390</t>
        </is>
      </c>
      <c r="B57" s="713" t="n">
        <v>10034034166336</v>
      </c>
      <c r="C57" s="292" t="inlineStr">
        <is>
          <t>ÂNCORA</t>
        </is>
      </c>
      <c r="D57" s="112" t="inlineStr">
        <is>
          <t>Tela Alvenaria 1,2x105x500mm Tl105 Amarração De Blocos 20un</t>
        </is>
      </c>
      <c r="E57" s="654" t="n"/>
      <c r="F57" s="607" t="n">
        <v>51.6</v>
      </c>
      <c r="G57" s="447">
        <f>F57*12%</f>
        <v/>
      </c>
      <c r="H57" s="831" t="n">
        <v>-2.3</v>
      </c>
      <c r="I57" s="515" t="n">
        <v>8.050000000000001</v>
      </c>
      <c r="J57" s="340">
        <f>F57*18%</f>
        <v/>
      </c>
      <c r="K57" s="340">
        <f>(F57-J57)*1.65%</f>
        <v/>
      </c>
      <c r="L57" s="340">
        <f>(F57-J57)*7.6%</f>
        <v/>
      </c>
      <c r="M57" s="1097">
        <f>10.44/5</f>
        <v/>
      </c>
      <c r="N57" s="1097">
        <f>((G57+I57) * 9.25%)</f>
        <v/>
      </c>
      <c r="O57" s="708">
        <f>81.05/5</f>
        <v/>
      </c>
      <c r="P57" s="447">
        <f>(F57 - (G57+I57+O57+(J57+K57+L57))) - (H57-M57-N57)</f>
        <v/>
      </c>
      <c r="Q57" s="328">
        <f>P57/F57</f>
        <v/>
      </c>
      <c r="R57" s="631" t="inlineStr">
        <is>
          <t>Ativo</t>
        </is>
      </c>
      <c r="S57" s="513" t="n"/>
      <c r="T57" s="514" t="n"/>
      <c r="U57" s="514" t="n"/>
      <c r="V57" s="514" t="n"/>
      <c r="W57" s="514" t="n"/>
      <c r="X57" s="514" t="n"/>
      <c r="Y57" s="514" t="n"/>
      <c r="Z57" s="514" t="n"/>
      <c r="AA57" s="514" t="n"/>
      <c r="AB57" s="514" t="n"/>
      <c r="AC57" s="514" t="n"/>
      <c r="AD57" s="514" t="n"/>
      <c r="AE57" s="514" t="n"/>
      <c r="AF57" s="514" t="n"/>
      <c r="AG57" s="10" t="n"/>
    </row>
    <row r="58" ht="15.75" customHeight="1" s="1349">
      <c r="A58" s="1265" t="inlineStr">
        <is>
          <t>8153249700986192</t>
        </is>
      </c>
      <c r="B58" s="1263" t="n">
        <v>10034034166450</v>
      </c>
      <c r="C58" s="1292" t="inlineStr">
        <is>
          <t>Bracol</t>
        </is>
      </c>
      <c r="D58" s="194">
        <f>hyperlink("https://produto.mercadolivre.com.br/MLB-3955520933-palmilha-ortopedica-anatomica-em-pu-conforto-botina-trabalho-_JM","Palmilha Ortopédica Anatomica Em Pu Conforto Botina Trabalho")</f>
        <v/>
      </c>
      <c r="E58" s="654" t="n"/>
      <c r="F58" s="607" t="n">
        <v>25.12</v>
      </c>
      <c r="G58" s="447">
        <f>F58*12%</f>
        <v/>
      </c>
      <c r="H58" s="831" t="n">
        <v>-0.98</v>
      </c>
      <c r="I58" s="904" t="n">
        <v>6.65</v>
      </c>
      <c r="J58" s="340">
        <f>F58*18%</f>
        <v/>
      </c>
      <c r="K58" s="340">
        <f>(F58-J58)*1.65%</f>
        <v/>
      </c>
      <c r="L58" s="340">
        <f>(F58-J58)*7.6%</f>
        <v/>
      </c>
      <c r="M58" s="1097" t="n">
        <v>1.84</v>
      </c>
      <c r="N58" s="785">
        <f>(G58+I58)*(9.25%)</f>
        <v/>
      </c>
      <c r="O58" s="197" t="n">
        <v>9.130000000000001</v>
      </c>
      <c r="P58" s="1016">
        <f>(F58 - (G58+I58+O58+(J58+K58+L58))) - (H58-M58-N58)</f>
        <v/>
      </c>
      <c r="Q58" s="328">
        <f>P58/F58</f>
        <v/>
      </c>
      <c r="R58" s="904" t="inlineStr">
        <is>
          <t>Ativo</t>
        </is>
      </c>
      <c r="S58" s="651" t="n"/>
      <c r="T58" s="569" t="n">
        <v>201</v>
      </c>
      <c r="U58" s="1030" t="n"/>
      <c r="V58" s="1030" t="n"/>
      <c r="W58" s="1030" t="n"/>
      <c r="AG58" s="10" t="n"/>
    </row>
    <row r="59" ht="26.25" customHeight="1" s="1349">
      <c r="A59" s="202" t="n"/>
      <c r="B59" s="204" t="n"/>
      <c r="C59" s="204" t="n"/>
      <c r="D59" s="205" t="inlineStr">
        <is>
          <t>Novos produtos de B para classe A - JUNHO</t>
        </is>
      </c>
      <c r="E59" s="204" t="n"/>
      <c r="F59" s="206" t="n"/>
      <c r="G59" s="207" t="n"/>
      <c r="H59" s="204" t="n"/>
      <c r="I59" s="204" t="n"/>
      <c r="J59" s="207" t="n"/>
      <c r="K59" s="207" t="n"/>
      <c r="L59" s="207" t="n"/>
      <c r="M59" s="206" t="n"/>
      <c r="N59" s="206">
        <f>((G59+I59) * 9.25%)</f>
        <v/>
      </c>
      <c r="O59" s="204" t="n"/>
      <c r="P59" s="447">
        <f>(F59 - (G59+I59+O59+(J59+K59+L59))) - (H59-M59-N59)</f>
        <v/>
      </c>
      <c r="Q59" s="208" t="n"/>
      <c r="R59" s="209" t="n"/>
      <c r="S59" s="1050" t="n"/>
      <c r="T59" s="209" t="n"/>
      <c r="U59" s="209" t="n"/>
      <c r="V59" s="209" t="n"/>
      <c r="W59" s="209" t="n"/>
      <c r="X59" s="209" t="n"/>
      <c r="Y59" s="209" t="n"/>
      <c r="Z59" s="209" t="n"/>
      <c r="AA59" s="209" t="n"/>
      <c r="AB59" s="209" t="n"/>
      <c r="AC59" s="209" t="n"/>
      <c r="AD59" s="209" t="n"/>
      <c r="AE59" s="209" t="n"/>
      <c r="AF59" s="209" t="n"/>
      <c r="AG59" s="10" t="n"/>
    </row>
    <row r="60" ht="18.75" customHeight="1" s="1349">
      <c r="A60" s="211" t="n"/>
      <c r="B60" s="209" t="n"/>
      <c r="C60" s="209" t="n"/>
      <c r="D60" s="209" t="n"/>
      <c r="E60" s="209" t="n"/>
      <c r="F60" s="212" t="n"/>
      <c r="G60" s="1154" t="n"/>
      <c r="H60" s="209" t="n"/>
      <c r="I60" s="209" t="n"/>
      <c r="J60" s="1154" t="n"/>
      <c r="K60" s="1154" t="n"/>
      <c r="L60" s="1154" t="n"/>
      <c r="M60" s="212" t="n"/>
      <c r="N60" s="212">
        <f>((G60+I60) * 9.25%)</f>
        <v/>
      </c>
      <c r="O60" s="209" t="n"/>
      <c r="P60" s="447">
        <f>(F60 - (G60+I60+O60+(J60+K60+L60))) - (H60-M60-N60)</f>
        <v/>
      </c>
      <c r="Q60" s="191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209" t="n"/>
      <c r="AB60" s="209" t="n"/>
      <c r="AC60" s="209" t="n"/>
      <c r="AD60" s="209" t="n"/>
      <c r="AE60" s="209" t="n"/>
      <c r="AF60" s="209" t="n"/>
      <c r="AG60" s="10" t="n"/>
    </row>
    <row r="61" ht="18.75" customHeight="1" s="1349">
      <c r="A61" s="211" t="n"/>
      <c r="B61" s="209" t="n"/>
      <c r="C61" s="209" t="n"/>
      <c r="D61" s="209" t="n"/>
      <c r="E61" s="209" t="n"/>
      <c r="F61" s="212" t="n"/>
      <c r="G61" s="1154" t="n"/>
      <c r="H61" s="209" t="n"/>
      <c r="I61" s="209" t="n"/>
      <c r="J61" s="1154" t="n"/>
      <c r="K61" s="1154" t="n"/>
      <c r="L61" s="1154" t="n"/>
      <c r="M61" s="212" t="n"/>
      <c r="N61" s="212">
        <f>((G61+I61) * 9.25%)</f>
        <v/>
      </c>
      <c r="O61" s="209" t="n"/>
      <c r="P61" s="447">
        <f>(F61 - (G61+I61+O61+(J61+K61+L61))) - (H61-M61-N61)</f>
        <v/>
      </c>
      <c r="Q61" s="191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  <c r="AB61" s="209" t="n"/>
      <c r="AC61" s="209" t="n"/>
      <c r="AD61" s="209" t="n"/>
      <c r="AE61" s="209" t="n"/>
      <c r="AF61" s="209" t="n"/>
      <c r="AG61" s="10" t="n"/>
    </row>
    <row r="62" ht="18.75" customHeight="1" s="1349">
      <c r="A62" s="211" t="n"/>
      <c r="B62" s="209" t="n"/>
      <c r="C62" s="209" t="n"/>
      <c r="D62" s="209" t="n"/>
      <c r="E62" s="209" t="n"/>
      <c r="F62" s="212" t="n"/>
      <c r="G62" s="1154" t="n"/>
      <c r="H62" s="209" t="n"/>
      <c r="I62" s="209" t="n"/>
      <c r="J62" s="1154" t="n"/>
      <c r="K62" s="1154" t="n"/>
      <c r="L62" s="1154" t="n"/>
      <c r="M62" s="212" t="n"/>
      <c r="N62" s="212">
        <f>((G62+I62) * 9.25%)</f>
        <v/>
      </c>
      <c r="O62" s="209" t="n"/>
      <c r="P62" s="447">
        <f>(F62 - (G62+I62+O62+(J62+K62+L62))) - (H62-M62-N62)</f>
        <v/>
      </c>
      <c r="Q62" s="191" t="n"/>
      <c r="R62" s="209" t="n"/>
      <c r="S62" s="209" t="n"/>
      <c r="T62" s="209" t="n"/>
      <c r="U62" s="209" t="n"/>
      <c r="V62" s="209" t="n"/>
      <c r="W62" s="209" t="n"/>
      <c r="X62" s="209" t="n"/>
      <c r="Y62" s="209" t="n"/>
      <c r="Z62" s="209" t="n"/>
      <c r="AA62" s="209" t="n"/>
      <c r="AB62" s="209" t="n"/>
      <c r="AC62" s="209" t="n"/>
      <c r="AD62" s="209" t="n"/>
      <c r="AE62" s="209" t="n"/>
      <c r="AF62" s="209" t="n"/>
      <c r="AG62" s="10" t="n"/>
    </row>
    <row r="63" ht="18.75" customHeight="1" s="1349">
      <c r="A63" s="211" t="n"/>
      <c r="B63" s="209" t="n"/>
      <c r="C63" s="209" t="n"/>
      <c r="D63" s="209" t="n"/>
      <c r="E63" s="209" t="n"/>
      <c r="F63" s="212" t="n"/>
      <c r="G63" s="1154" t="n"/>
      <c r="H63" s="209" t="n"/>
      <c r="I63" s="209" t="n"/>
      <c r="J63" s="1154" t="n"/>
      <c r="K63" s="1154" t="n"/>
      <c r="L63" s="1154" t="n"/>
      <c r="M63" s="212" t="n"/>
      <c r="N63" s="212">
        <f>((G63+I63) * 9.25%)</f>
        <v/>
      </c>
      <c r="O63" s="209" t="n"/>
      <c r="P63" s="447">
        <f>(F63 - (G63+I63+O63+(J63+K63+L63))) - (H63-M63-N63)</f>
        <v/>
      </c>
      <c r="Q63" s="191" t="n"/>
      <c r="R63" s="209" t="n"/>
      <c r="S63" s="209" t="n"/>
      <c r="T63" s="209" t="n"/>
      <c r="U63" s="209" t="n"/>
      <c r="V63" s="209" t="n"/>
      <c r="W63" s="209" t="n"/>
      <c r="X63" s="209" t="n"/>
      <c r="Y63" s="209" t="n"/>
      <c r="Z63" s="209" t="n"/>
      <c r="AA63" s="209" t="n"/>
      <c r="AB63" s="209" t="n"/>
      <c r="AC63" s="209" t="n"/>
      <c r="AD63" s="209" t="n"/>
      <c r="AE63" s="209" t="n"/>
      <c r="AF63" s="209" t="n"/>
      <c r="AG63" s="10" t="n"/>
    </row>
    <row r="64" ht="18.75" customHeight="1" s="1349">
      <c r="A64" s="211" t="n"/>
      <c r="B64" s="209" t="n"/>
      <c r="C64" s="209" t="n"/>
      <c r="D64" s="209" t="n"/>
      <c r="E64" s="209" t="n"/>
      <c r="F64" s="212" t="n"/>
      <c r="G64" s="1154" t="n"/>
      <c r="H64" s="209" t="n"/>
      <c r="I64" s="209" t="n"/>
      <c r="J64" s="1154" t="n"/>
      <c r="K64" s="1154" t="n"/>
      <c r="L64" s="1154" t="n"/>
      <c r="M64" s="212" t="n"/>
      <c r="N64" s="212">
        <f>((G64+I64) * 9.25%)</f>
        <v/>
      </c>
      <c r="O64" s="209" t="n"/>
      <c r="P64" s="447">
        <f>(F64 - (G64+I64+O64+(J64+K64+L64))) - (H64-M64-N64)</f>
        <v/>
      </c>
      <c r="Q64" s="191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  <c r="AB64" s="209" t="n"/>
      <c r="AC64" s="209" t="n"/>
      <c r="AD64" s="209" t="n"/>
      <c r="AE64" s="209" t="n"/>
      <c r="AF64" s="209" t="n"/>
      <c r="AG64" s="10" t="n"/>
    </row>
    <row r="65" ht="18.75" customHeight="1" s="1349">
      <c r="A65" s="211" t="n"/>
      <c r="B65" s="209" t="n"/>
      <c r="C65" s="209" t="n"/>
      <c r="D65" s="209" t="n"/>
      <c r="E65" s="209" t="n"/>
      <c r="F65" s="212" t="n"/>
      <c r="G65" s="1154" t="n"/>
      <c r="H65" s="209" t="n"/>
      <c r="I65" s="209" t="n"/>
      <c r="J65" s="1154" t="n"/>
      <c r="K65" s="1154" t="n"/>
      <c r="L65" s="1154" t="n"/>
      <c r="M65" s="212" t="n"/>
      <c r="N65" s="212">
        <f>((G65+I65) * 9.25%)</f>
        <v/>
      </c>
      <c r="O65" s="209" t="n"/>
      <c r="P65" s="447">
        <f>(F65 - (G65+I65+O65+(J65+K65+L65))) - (H65-M65-N65)</f>
        <v/>
      </c>
      <c r="Q65" s="191" t="n"/>
      <c r="R65" s="209" t="n"/>
      <c r="S65" s="209" t="n"/>
      <c r="T65" s="209" t="n"/>
      <c r="U65" s="209" t="n"/>
      <c r="V65" s="209" t="n"/>
      <c r="W65" s="209" t="n"/>
      <c r="X65" s="209" t="n"/>
      <c r="Y65" s="209" t="n"/>
      <c r="Z65" s="209" t="n"/>
      <c r="AA65" s="209" t="n"/>
      <c r="AB65" s="209" t="n"/>
      <c r="AC65" s="209" t="n"/>
      <c r="AD65" s="209" t="n"/>
      <c r="AE65" s="209" t="n"/>
      <c r="AF65" s="209" t="n"/>
      <c r="AG65" s="10" t="n"/>
    </row>
    <row r="66" ht="18.75" customHeight="1" s="134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</row>
    <row r="67" ht="18.75" customHeight="1" s="134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 ht="18.75" customHeight="1" s="134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 ht="18.75" customHeight="1" s="134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 ht="18.75" customHeight="1" s="134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 ht="18.75" customHeight="1" s="134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 ht="18.75" customHeight="1" s="134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 ht="18.75" customHeight="1" s="134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 ht="18.75" customHeight="1" s="134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 ht="18.75" customHeight="1" s="134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 ht="18.75" customHeight="1" s="134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 ht="18.75" customHeight="1" s="134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 ht="18.75" customHeight="1" s="134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</row>
    <row r="79" ht="18.75" customHeight="1" s="134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</row>
    <row r="80" ht="18.75" customHeight="1" s="134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</row>
    <row r="81" ht="18.75" customHeight="1" s="134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</row>
    <row r="82" ht="18.75" customHeight="1" s="134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</row>
    <row r="83" ht="18.75" customHeight="1" s="134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</row>
    <row r="84" ht="18.75" customHeight="1" s="134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</row>
    <row r="85" ht="18.75" customHeight="1" s="134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</row>
    <row r="86" ht="18.75" customHeight="1" s="1349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</row>
    <row r="87" ht="18.75" customHeight="1" s="1349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</row>
    <row r="88" ht="18.75" customHeight="1" s="1349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</row>
    <row r="89" ht="18.75" customHeight="1" s="134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</row>
    <row r="90" ht="18.75" customHeight="1" s="1349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</row>
    <row r="91" ht="18.75" customHeight="1" s="1349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</row>
    <row r="92" ht="18.75" customHeight="1" s="1349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</row>
    <row r="93" ht="18.75" customHeight="1" s="1349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</row>
    <row r="94" ht="18.75" customHeight="1" s="1349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</row>
    <row r="95" ht="18.75" customHeight="1" s="1349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</row>
    <row r="96" ht="18.75" customHeight="1" s="1349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</row>
    <row r="97" ht="18.75" customHeight="1" s="1349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</row>
    <row r="98" ht="18.75" customHeight="1" s="1349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</row>
    <row r="99" ht="18.75" customHeight="1" s="134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</row>
    <row r="100" ht="18.75" customHeight="1" s="1349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</row>
    <row r="101" ht="18.75" customHeight="1" s="1349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</row>
    <row r="102" ht="18.75" customHeight="1" s="1349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</row>
    <row r="103" ht="18.75" customHeight="1" s="1349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</row>
    <row r="104" ht="18.75" customHeight="1" s="1349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</row>
    <row r="105" ht="18.75" customHeight="1" s="1349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</row>
    <row r="106" ht="18.75" customHeight="1" s="1349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</row>
    <row r="107" ht="18.75" customHeight="1" s="1349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</row>
    <row r="108" ht="18.75" customHeight="1" s="1349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</row>
    <row r="109" ht="15.75" customHeight="1" s="134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</row>
    <row r="110" ht="15.75" customHeight="1" s="1349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</row>
    <row r="111" ht="15.75" customHeight="1" s="1349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</row>
    <row r="112" ht="15.75" customHeight="1" s="1349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</row>
    <row r="113" ht="15.75" customHeight="1" s="1349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</row>
    <row r="114" ht="15.75" customHeight="1" s="1349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</row>
    <row r="115" ht="15.75" customHeight="1" s="1349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</row>
    <row r="116" ht="15.75" customHeight="1" s="1349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</row>
    <row r="117" ht="15.75" customHeight="1" s="1349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</row>
    <row r="118" ht="15.75" customHeight="1" s="1349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</row>
    <row r="119" ht="15.75" customHeight="1" s="134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</row>
    <row r="120" ht="15.75" customHeight="1" s="1349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</row>
    <row r="121" ht="15.75" customHeight="1" s="1349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</row>
    <row r="122" ht="15.75" customHeight="1" s="1349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</row>
    <row r="123" ht="15.75" customHeight="1" s="1349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</row>
    <row r="124" ht="15.75" customHeight="1" s="1349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</row>
    <row r="125" ht="15.75" customHeight="1" s="1349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</row>
    <row r="126" ht="15.75" customHeight="1" s="1349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</row>
    <row r="127" ht="15.75" customHeight="1" s="1349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 ht="15.75" customHeight="1" s="1349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</row>
    <row r="129" ht="15.75" customHeight="1" s="134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</row>
    <row r="130" ht="15.75" customHeight="1" s="1349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</row>
    <row r="131" ht="15.75" customHeight="1" s="1349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</row>
    <row r="132" ht="15.75" customHeight="1" s="1349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</row>
    <row r="133" ht="15.75" customHeight="1" s="1349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</row>
    <row r="134" ht="15.75" customHeight="1" s="1349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</row>
    <row r="135" ht="15.75" customHeight="1" s="1349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</row>
    <row r="136" ht="15.75" customHeight="1" s="1349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</row>
    <row r="137" ht="15.75" customHeight="1" s="1349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</row>
    <row r="138" ht="15.75" customHeight="1" s="1349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 ht="15.75" customHeight="1" s="134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</row>
    <row r="140" ht="15.75" customHeight="1" s="1349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</row>
    <row r="141" ht="15.75" customHeight="1" s="1349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</row>
    <row r="142" ht="15.75" customHeight="1" s="1349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</row>
    <row r="143" ht="15.75" customHeight="1" s="1349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</row>
    <row r="144" ht="15.75" customHeight="1" s="1349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</row>
    <row r="145" ht="15.75" customHeight="1" s="1349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</row>
    <row r="146" ht="15.75" customHeight="1" s="1349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</row>
    <row r="147" ht="15.75" customHeight="1" s="1349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</row>
    <row r="148" ht="15.75" customHeight="1" s="1349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</row>
    <row r="149" ht="15.75" customHeight="1" s="13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 ht="15.75" customHeight="1" s="1349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</row>
    <row r="151" ht="15.75" customHeight="1" s="1349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</row>
    <row r="152" ht="15.75" customHeight="1" s="1349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</row>
    <row r="153" ht="15.75" customHeight="1" s="1349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</row>
    <row r="154" ht="15.75" customHeight="1" s="1349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</row>
    <row r="155" ht="15.75" customHeight="1" s="1349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</row>
    <row r="156" ht="15.75" customHeight="1" s="1349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</row>
    <row r="157" ht="15.75" customHeight="1" s="1349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</row>
    <row r="158" ht="15.75" customHeight="1" s="1349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</row>
    <row r="159" ht="15.75" customHeight="1" s="134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</row>
    <row r="160" ht="15.75" customHeight="1" s="1349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</row>
    <row r="161" ht="15.75" customHeight="1" s="1349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</row>
    <row r="162" ht="15.75" customHeight="1" s="1349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</row>
    <row r="163" ht="15.75" customHeight="1" s="1349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</row>
    <row r="164" ht="15.75" customHeight="1" s="1349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</row>
    <row r="165" ht="15.75" customHeight="1" s="1349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</row>
    <row r="166" ht="15.75" customHeight="1" s="1349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</row>
    <row r="167" ht="15.75" customHeight="1" s="1349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</row>
    <row r="168" ht="15.75" customHeight="1" s="1349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</row>
    <row r="169" ht="15.75" customHeight="1" s="134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</row>
    <row r="170" ht="15.75" customHeight="1" s="1349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</row>
    <row r="171" ht="15.75" customHeight="1" s="1349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</row>
    <row r="172" ht="15.75" customHeight="1" s="1349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</row>
    <row r="173" ht="15.75" customHeight="1" s="1349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</row>
    <row r="174" ht="15.75" customHeight="1" s="1349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</row>
    <row r="175" ht="15.75" customHeight="1" s="1349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</row>
    <row r="176" ht="15.75" customHeight="1" s="1349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</row>
    <row r="177" ht="15.75" customHeight="1" s="1349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</row>
    <row r="178" ht="15.75" customHeight="1" s="1349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</row>
    <row r="179" ht="15.75" customHeight="1" s="134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</row>
    <row r="180" ht="15.75" customHeight="1" s="1349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</row>
    <row r="181" ht="15.75" customHeight="1" s="1349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</row>
    <row r="182" ht="15.75" customHeight="1" s="1349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</row>
    <row r="183" ht="15.75" customHeight="1" s="1349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</row>
    <row r="184" ht="15.75" customHeight="1" s="1349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</row>
    <row r="185" ht="15.75" customHeight="1" s="1349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</row>
    <row r="186" ht="15.75" customHeight="1" s="1349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</row>
    <row r="187" ht="15.75" customHeight="1" s="1349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 ht="22.5" customHeight="1" s="1349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</row>
    <row r="189" ht="22.5" customHeight="1" s="134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</row>
    <row r="190" ht="15.75" customHeight="1" s="1349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</row>
    <row r="191" ht="15.75" customHeight="1" s="1349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</row>
    <row r="192" ht="15.75" customHeight="1" s="1349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</row>
    <row r="193" ht="15.75" customHeight="1" s="1349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</row>
    <row r="194" ht="15.75" customHeight="1" s="1349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</row>
    <row r="195" ht="15.75" customHeight="1" s="1349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</row>
    <row r="196" ht="15.75" customHeight="1" s="1349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</row>
    <row r="197" ht="15.75" customHeight="1" s="1349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</row>
    <row r="198" ht="15.75" customHeight="1" s="1349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</row>
    <row r="199" ht="15.75" customHeight="1" s="134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 ht="15.75" customHeight="1" s="1349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</row>
    <row r="201" ht="15.75" customHeight="1" s="1349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</row>
    <row r="202" ht="15.75" customHeight="1" s="1349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</row>
    <row r="203" ht="15.75" customHeight="1" s="1349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</row>
    <row r="204" ht="15.75" customHeight="1" s="1349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</row>
    <row r="205" ht="15.75" customHeight="1" s="1349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</row>
    <row r="206" ht="15.75" customHeight="1" s="1349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</row>
    <row r="207" ht="15.75" customHeight="1" s="1349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</row>
    <row r="208" ht="15.75" customHeight="1" s="1349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</row>
    <row r="209" ht="15.75" customHeight="1" s="134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</row>
    <row r="210" ht="15.75" customHeight="1" s="1349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</row>
    <row r="211" ht="15.75" customHeight="1" s="1349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</row>
    <row r="212" ht="15.75" customHeight="1" s="1349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</row>
    <row r="213" ht="15.75" customHeight="1" s="1349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</row>
    <row r="214" ht="15.75" customHeight="1" s="1349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</row>
    <row r="215" ht="15.75" customHeight="1" s="1349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</row>
    <row r="216" ht="15.75" customHeight="1" s="1349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</row>
    <row r="217" ht="15.75" customHeight="1" s="1349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</row>
    <row r="218" ht="15.75" customHeight="1" s="1349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</row>
    <row r="219" ht="15.75" customHeight="1" s="134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</row>
    <row r="220" ht="15.75" customHeight="1" s="1349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</row>
    <row r="221" ht="15.75" customHeight="1" s="1349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</row>
    <row r="222" ht="15.75" customHeight="1" s="1349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</row>
    <row r="223" ht="15.75" customHeight="1" s="1349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</row>
    <row r="224" ht="15.75" customHeight="1" s="1349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</row>
    <row r="225" ht="15.75" customHeight="1" s="1349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</row>
    <row r="226" ht="15.75" customHeight="1" s="1349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</row>
    <row r="227" ht="15.75" customHeight="1" s="1349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</row>
    <row r="228" ht="15.75" customHeight="1" s="1349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</row>
    <row r="229" ht="15.75" customHeight="1" s="134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</row>
    <row r="230" ht="15.75" customHeight="1" s="1349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</row>
    <row r="231" ht="15.75" customHeight="1" s="1349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</row>
    <row r="232" ht="15.75" customHeight="1" s="1349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</row>
    <row r="233" ht="15.75" customHeight="1" s="1349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</row>
    <row r="234" ht="15.75" customHeight="1" s="1349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</row>
    <row r="235" ht="15.75" customHeight="1" s="1349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</row>
    <row r="236" ht="15.75" customHeight="1" s="1349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</row>
    <row r="237" ht="15.75" customHeight="1" s="1349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</row>
    <row r="238" ht="15.75" customHeight="1" s="1349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</row>
    <row r="239" ht="15.75" customHeight="1" s="134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</row>
    <row r="240" ht="15.75" customHeight="1" s="1349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</row>
    <row r="241" ht="15.75" customHeight="1" s="1349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</row>
    <row r="242" ht="15.75" customHeight="1" s="1349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</row>
    <row r="243" ht="15.75" customHeight="1" s="1349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</row>
    <row r="244" ht="15.75" customHeight="1" s="1349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</row>
    <row r="245" ht="22.5" customHeight="1" s="1349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</row>
    <row r="246" ht="15.75" customHeight="1" s="1349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</row>
    <row r="247" ht="15.75" customHeight="1" s="1349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</row>
    <row r="248" ht="15.75" customHeight="1" s="1349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</row>
    <row r="249" ht="15.75" customHeight="1" s="13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</row>
    <row r="250" ht="15.75" customHeight="1" s="1349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</row>
    <row r="251" ht="15.75" customHeight="1" s="1349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</row>
    <row r="252" ht="15.75" customHeight="1" s="1349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</row>
    <row r="253" ht="15.75" customHeight="1" s="1349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</row>
    <row r="254" ht="15.75" customHeight="1" s="1349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</row>
    <row r="255" ht="15.75" customHeight="1" s="1349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</row>
    <row r="256" ht="15.75" customHeight="1" s="1349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</row>
    <row r="257" ht="15.75" customHeight="1" s="1349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</row>
    <row r="258" ht="15.75" customHeight="1" s="1349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</row>
    <row r="259" ht="15.75" customHeight="1" s="134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</row>
    <row r="260" ht="15.75" customHeight="1" s="1349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</row>
    <row r="261" ht="15.75" customHeight="1" s="1349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</row>
    <row r="262" ht="15.75" customHeight="1" s="1349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</row>
    <row r="263" ht="15.75" customHeight="1" s="1349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</row>
    <row r="264" ht="15.75" customHeight="1" s="1349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</row>
    <row r="265" ht="15.75" customHeight="1" s="1349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</row>
    <row r="266" ht="15.75" customHeight="1" s="1349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</row>
    <row r="267" ht="15.75" customHeight="1" s="1349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</row>
    <row r="268" ht="15.75" customHeight="1" s="1349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</row>
    <row r="269" ht="15.75" customHeight="1" s="134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</row>
    <row r="270" ht="15.75" customHeight="1" s="1349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</row>
    <row r="271" ht="15.75" customHeight="1" s="1349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</row>
    <row r="272" ht="15.75" customHeight="1" s="1349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</row>
    <row r="273" ht="15.75" customHeight="1" s="1349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</row>
    <row r="274" ht="15.75" customHeight="1" s="1349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</row>
    <row r="275" ht="15.75" customHeight="1" s="1349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</row>
    <row r="276" ht="15.75" customHeight="1" s="1349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</row>
    <row r="277" ht="15.75" customHeight="1" s="1349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</row>
    <row r="278" ht="15.75" customHeight="1" s="1349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</row>
    <row r="279" ht="15.75" customHeight="1" s="134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</row>
    <row r="280" ht="15.75" customHeight="1" s="1349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</row>
    <row r="281" ht="15.75" customHeight="1" s="1349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</row>
    <row r="282" ht="15.75" customHeight="1" s="1349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</row>
    <row r="283" ht="15.75" customHeight="1" s="1349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</row>
    <row r="284" ht="15.75" customHeight="1" s="1349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</row>
    <row r="285" ht="15.75" customHeight="1" s="1349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</row>
    <row r="286" ht="15.75" customHeight="1" s="1349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</row>
    <row r="287" ht="15.75" customHeight="1" s="1349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</row>
    <row r="288" ht="15.75" customHeight="1" s="1349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</row>
    <row r="289" ht="15.75" customHeight="1" s="134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</row>
    <row r="290" ht="15.75" customHeight="1" s="1349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</row>
    <row r="291" ht="15.75" customHeight="1" s="1349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</row>
    <row r="292" ht="15.75" customHeight="1" s="1349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</row>
    <row r="293" ht="15.75" customHeight="1" s="1349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</row>
    <row r="294" ht="15.75" customHeight="1" s="1349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</row>
    <row r="295" ht="15.75" customHeight="1" s="1349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</row>
    <row r="296" ht="15.75" customHeight="1" s="1349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</row>
    <row r="297" ht="15.75" customHeight="1" s="1349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</row>
    <row r="298" ht="15.75" customHeight="1" s="1349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</row>
    <row r="299" ht="15.75" customHeight="1" s="134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</row>
    <row r="300" ht="15.75" customHeight="1" s="1349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</row>
    <row r="301" ht="15.75" customHeight="1" s="1349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</row>
    <row r="302" ht="15.75" customHeight="1" s="1349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</row>
    <row r="303" ht="15.75" customHeight="1" s="1349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</row>
    <row r="304" ht="15.75" customHeight="1" s="1349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</row>
    <row r="305" ht="15.75" customHeight="1" s="1349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</row>
    <row r="306" ht="15.75" customHeight="1" s="1349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</row>
    <row r="307" ht="15.75" customHeight="1" s="1349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</row>
    <row r="308" ht="15.75" customHeight="1" s="1349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</row>
    <row r="309" ht="15.75" customHeight="1" s="134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</row>
    <row r="310" ht="15.75" customHeight="1" s="1349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</row>
    <row r="311" ht="15.75" customHeight="1" s="1349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</row>
    <row r="312" ht="15.75" customHeight="1" s="1349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</row>
    <row r="313" ht="15.75" customHeight="1" s="1349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</row>
    <row r="314" ht="15.75" customHeight="1" s="1349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</row>
    <row r="315" ht="15.75" customHeight="1" s="1349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</row>
    <row r="316" ht="15.75" customHeight="1" s="1349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</row>
    <row r="317" ht="15.75" customHeight="1" s="1349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</row>
    <row r="318" ht="15.75" customHeight="1" s="1349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</row>
    <row r="319" ht="15.75" customHeight="1" s="134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</row>
    <row r="320" ht="15.75" customHeight="1" s="1349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</row>
    <row r="321" ht="15.75" customHeight="1" s="1349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</row>
    <row r="322" ht="15.75" customHeight="1" s="1349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</row>
    <row r="323" ht="15.75" customHeight="1" s="1349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</row>
    <row r="324" ht="15.75" customHeight="1" s="1349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</row>
    <row r="325" ht="15.75" customHeight="1" s="1349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</row>
    <row r="326" ht="15.75" customHeight="1" s="1349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</row>
    <row r="327" ht="15.75" customHeight="1" s="1349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</row>
    <row r="328" ht="15.75" customHeight="1" s="1349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</row>
    <row r="329" ht="15.75" customHeight="1" s="134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</row>
    <row r="330" ht="15.75" customHeight="1" s="1349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</row>
    <row r="331" ht="15.75" customHeight="1" s="1349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</row>
    <row r="332" ht="15.75" customHeight="1" s="1349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</row>
    <row r="333" ht="15.75" customHeight="1" s="1349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</row>
    <row r="334" ht="15.75" customHeight="1" s="1349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</row>
    <row r="335" ht="15.75" customHeight="1" s="1349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</row>
    <row r="336" ht="15.75" customHeight="1" s="1349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</row>
    <row r="337" ht="15.75" customHeight="1" s="1349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</row>
    <row r="338" ht="15.75" customHeight="1" s="1349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</row>
    <row r="339" ht="15.75" customHeight="1" s="134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</row>
    <row r="340" ht="15.75" customHeight="1" s="1349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</row>
    <row r="341" ht="15.75" customHeight="1" s="1349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</row>
    <row r="342" ht="15.75" customHeight="1" s="1349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</row>
    <row r="343" ht="15.75" customHeight="1" s="1349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</row>
    <row r="344" ht="15.75" customHeight="1" s="1349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</row>
    <row r="345" ht="15.75" customHeight="1" s="1349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</row>
    <row r="346" ht="15.75" customHeight="1" s="1349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</row>
    <row r="347" ht="15.75" customHeight="1" s="1349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</row>
    <row r="348" ht="15.75" customHeight="1" s="1349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</row>
    <row r="349" ht="15.75" customHeight="1" s="1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</row>
    <row r="350" ht="15.75" customHeight="1" s="1349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</row>
    <row r="351" ht="15.75" customHeight="1" s="1349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</row>
    <row r="352" ht="15.75" customHeight="1" s="1349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</row>
    <row r="353" ht="15.75" customHeight="1" s="1349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</row>
    <row r="354" ht="15.75" customHeight="1" s="1349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</row>
    <row r="355" ht="15.75" customHeight="1" s="1349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</row>
    <row r="356" ht="15.75" customHeight="1" s="1349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</row>
    <row r="357" ht="15.75" customHeight="1" s="1349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</row>
    <row r="358" ht="15.75" customHeight="1" s="1349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</row>
    <row r="359" ht="15.75" customHeight="1" s="134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</row>
    <row r="360" ht="15.75" customHeight="1" s="1349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</row>
    <row r="361" ht="15.75" customHeight="1" s="1349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</row>
    <row r="362" ht="15.75" customHeight="1" s="1349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</row>
    <row r="363" ht="15.75" customHeight="1" s="1349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</row>
    <row r="364" ht="15.75" customHeight="1" s="1349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</row>
    <row r="365" ht="15.75" customHeight="1" s="1349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</row>
    <row r="366" ht="15.75" customHeight="1" s="1349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</row>
    <row r="367" ht="15.75" customHeight="1" s="1349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</row>
    <row r="368" ht="15.75" customHeight="1" s="1349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</row>
    <row r="369" ht="15.75" customHeight="1" s="134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</row>
    <row r="370" ht="15.75" customHeight="1" s="1349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</row>
    <row r="371" ht="15.75" customHeight="1" s="1349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</row>
    <row r="372" ht="15.75" customHeight="1" s="1349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</row>
    <row r="373" ht="15.75" customHeight="1" s="1349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</row>
    <row r="374" ht="15.75" customHeight="1" s="1349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</row>
    <row r="375" ht="15.75" customHeight="1" s="1349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</row>
    <row r="376" ht="15.75" customHeight="1" s="1349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</row>
    <row r="377" ht="15.75" customHeight="1" s="1349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</row>
    <row r="378" ht="15.75" customHeight="1" s="1349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</row>
    <row r="379" ht="15.75" customHeight="1" s="134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</row>
    <row r="380" ht="15.75" customHeight="1" s="1349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</row>
    <row r="381" ht="15.75" customHeight="1" s="1349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</row>
    <row r="382" ht="15.75" customHeight="1" s="1349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</row>
    <row r="383" ht="15.75" customHeight="1" s="1349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</row>
    <row r="384" ht="15.75" customHeight="1" s="1349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</row>
    <row r="385" ht="15.75" customHeight="1" s="1349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</row>
    <row r="386" ht="15.75" customHeight="1" s="1349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</row>
    <row r="387" ht="15.75" customHeight="1" s="1349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</row>
    <row r="388" ht="15.75" customHeight="1" s="1349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</row>
    <row r="389" ht="15.75" customHeight="1" s="134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</row>
    <row r="390" ht="15.75" customHeight="1" s="1349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</row>
    <row r="391" ht="15.75" customHeight="1" s="1349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</row>
    <row r="392" ht="15.75" customHeight="1" s="1349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</row>
    <row r="393" ht="15.75" customHeight="1" s="1349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</row>
    <row r="394" ht="15.75" customHeight="1" s="1349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</row>
    <row r="395" ht="15.75" customHeight="1" s="1349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</row>
    <row r="396" ht="15.75" customHeight="1" s="1349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</row>
    <row r="397" ht="15.75" customHeight="1" s="1349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</row>
    <row r="398" ht="15.75" customHeight="1" s="1349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</row>
    <row r="399" ht="15.75" customHeight="1" s="134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</row>
    <row r="400" ht="15.75" customHeight="1" s="1349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</row>
    <row r="401" ht="15.75" customHeight="1" s="1349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</row>
    <row r="402" ht="15.75" customHeight="1" s="1349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</row>
    <row r="403" ht="15.75" customHeight="1" s="1349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</row>
    <row r="404" ht="15.75" customHeight="1" s="1349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</row>
    <row r="405" ht="15.75" customHeight="1" s="1349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</row>
    <row r="406" ht="15.75" customHeight="1" s="1349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</row>
    <row r="407" ht="15.75" customHeight="1" s="1349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</row>
    <row r="408" ht="15.75" customHeight="1" s="1349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</row>
    <row r="409" ht="15.75" customHeight="1" s="134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</row>
    <row r="410" ht="15.75" customHeight="1" s="1349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</row>
    <row r="411" ht="15.75" customHeight="1" s="1349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</row>
    <row r="412" ht="15.75" customHeight="1" s="1349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</row>
    <row r="413" ht="15.75" customHeight="1" s="1349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</row>
    <row r="414" ht="15.75" customHeight="1" s="1349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</row>
    <row r="415" ht="15.75" customHeight="1" s="1349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</row>
    <row r="416" ht="15.75" customHeight="1" s="1349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</row>
    <row r="417" ht="15.75" customHeight="1" s="1349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</row>
    <row r="418" ht="15.75" customHeight="1" s="1349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</row>
    <row r="419" ht="15.75" customHeight="1" s="134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</row>
    <row r="420" ht="15.75" customHeight="1" s="1349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</row>
    <row r="421" ht="15.75" customHeight="1" s="1349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</row>
    <row r="422" ht="15.75" customHeight="1" s="1349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</row>
    <row r="423" ht="15.75" customHeight="1" s="1349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</row>
    <row r="424" ht="15.75" customHeight="1" s="1349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</row>
    <row r="425" ht="15.75" customHeight="1" s="1349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</row>
    <row r="426" ht="15.75" customHeight="1" s="1349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</row>
    <row r="427" ht="15.75" customHeight="1" s="1349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</row>
    <row r="428" ht="15.75" customHeight="1" s="1349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</row>
    <row r="429" ht="15.75" customHeight="1" s="134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</row>
    <row r="430" ht="15.75" customHeight="1" s="1349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</row>
    <row r="431" ht="15.75" customHeight="1" s="1349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</row>
    <row r="432" ht="15.75" customHeight="1" s="1349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</row>
    <row r="433" ht="15.75" customHeight="1" s="1349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</row>
    <row r="434" ht="15.75" customHeight="1" s="1349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</row>
    <row r="435" ht="15.75" customHeight="1" s="1349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</row>
    <row r="436" ht="15.75" customHeight="1" s="1349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</row>
    <row r="437" ht="15.75" customHeight="1" s="1349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</row>
    <row r="438" ht="15.75" customHeight="1" s="1349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</row>
    <row r="439" ht="15.75" customHeight="1" s="134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</row>
    <row r="440" ht="15.75" customHeight="1" s="1349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</row>
    <row r="441" ht="15.75" customHeight="1" s="1349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</row>
    <row r="442" ht="15.75" customHeight="1" s="1349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</row>
    <row r="443" ht="15.75" customHeight="1" s="1349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</row>
    <row r="444" ht="15.75" customHeight="1" s="1349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</row>
    <row r="445" ht="15.75" customHeight="1" s="1349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  <c r="AG445" s="10" t="n"/>
    </row>
    <row r="446" ht="15.75" customHeight="1" s="1349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/>
    </row>
    <row r="447" ht="15.75" customHeight="1" s="1349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/>
    </row>
    <row r="448" ht="15.75" customHeight="1" s="1349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</row>
    <row r="449" ht="15.75" customHeight="1" s="13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</row>
    <row r="450" ht="15.75" customHeight="1" s="1349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</row>
    <row r="451" ht="15.75" customHeight="1" s="1349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  <c r="AG451" s="10" t="n"/>
    </row>
    <row r="452" ht="15.75" customHeight="1" s="1349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</row>
    <row r="453" ht="15.75" customHeight="1" s="1349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</row>
    <row r="454" ht="15.75" customHeight="1" s="1349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0" t="n"/>
    </row>
    <row r="455" ht="15.75" customHeight="1" s="1349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0" t="n"/>
    </row>
    <row r="456" ht="15.75" customHeight="1" s="1349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</row>
    <row r="457" ht="15.75" customHeight="1" s="1349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</row>
    <row r="458" ht="15.75" customHeight="1" s="1349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</row>
    <row r="459" ht="15.75" customHeight="1" s="134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/>
    </row>
    <row r="460" ht="15.75" customHeight="1" s="1349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</row>
    <row r="461" ht="15.75" customHeight="1" s="1349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</row>
    <row r="462" ht="15.75" customHeight="1" s="1349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</row>
    <row r="463" ht="15.75" customHeight="1" s="1349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</row>
    <row r="464" ht="15.75" customHeight="1" s="1349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</row>
    <row r="465" ht="15.75" customHeight="1" s="1349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</row>
    <row r="466" ht="15.75" customHeight="1" s="1349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</row>
    <row r="467" ht="15.75" customHeight="1" s="1349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</row>
    <row r="468" ht="15.75" customHeight="1" s="1349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</row>
    <row r="469" ht="15.75" customHeight="1" s="134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  <c r="AG469" s="10" t="n"/>
    </row>
    <row r="470" ht="15.75" customHeight="1" s="1349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</row>
    <row r="471" ht="15.75" customHeight="1" s="1349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</row>
    <row r="472" ht="15.75" customHeight="1" s="1349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  <c r="AD472" s="10" t="n"/>
      <c r="AE472" s="10" t="n"/>
      <c r="AF472" s="10" t="n"/>
      <c r="AG472" s="10" t="n"/>
    </row>
    <row r="473" ht="15.75" customHeight="1" s="1349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</row>
    <row r="474" ht="15.75" customHeight="1" s="1349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</row>
    <row r="475" ht="15.75" customHeight="1" s="1349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  <c r="AG475" s="10" t="n"/>
    </row>
    <row r="476" ht="15.75" customHeight="1" s="1349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</row>
    <row r="477" ht="15.75" customHeight="1" s="1349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</row>
    <row r="478" ht="15.75" customHeight="1" s="1349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</row>
    <row r="479" ht="15.75" customHeight="1" s="134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</row>
    <row r="480" ht="15.75" customHeight="1" s="1349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  <c r="AD480" s="10" t="n"/>
      <c r="AE480" s="10" t="n"/>
      <c r="AF480" s="10" t="n"/>
      <c r="AG480" s="10" t="n"/>
    </row>
    <row r="481" ht="15.75" customHeight="1" s="1349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  <c r="AG481" s="10" t="n"/>
    </row>
    <row r="482" ht="15.75" customHeight="1" s="1349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</row>
    <row r="483" ht="15.75" customHeight="1" s="1349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</row>
    <row r="484" ht="15.75" customHeight="1" s="1349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</row>
    <row r="485" ht="15.75" customHeight="1" s="1349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</row>
    <row r="486" ht="15.75" customHeight="1" s="1349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</row>
    <row r="487" ht="15.75" customHeight="1" s="1349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</row>
    <row r="488" ht="15.75" customHeight="1" s="1349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  <c r="AD488" s="10" t="n"/>
      <c r="AE488" s="10" t="n"/>
      <c r="AF488" s="10" t="n"/>
      <c r="AG488" s="10" t="n"/>
    </row>
    <row r="489" ht="15.75" customHeight="1" s="134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</row>
    <row r="490" ht="15.75" customHeight="1" s="1349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</row>
    <row r="491" ht="15.75" customHeight="1" s="1349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  <c r="AG491" s="10" t="n"/>
    </row>
    <row r="492" ht="15.75" customHeight="1" s="1349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</row>
    <row r="493" ht="15.75" customHeight="1" s="1349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</row>
    <row r="494" ht="15.75" customHeight="1" s="1349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  <c r="AF494" s="10" t="n"/>
      <c r="AG494" s="10" t="n"/>
    </row>
    <row r="495" ht="15.75" customHeight="1" s="1349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</row>
    <row r="496" ht="15.75" customHeight="1" s="1349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</row>
    <row r="497" ht="15.75" customHeight="1" s="1349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</row>
    <row r="498" ht="15.75" customHeight="1" s="1349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</row>
    <row r="499" ht="15.75" customHeight="1" s="134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  <c r="AG499" s="10" t="n"/>
    </row>
    <row r="500" ht="15.75" customHeight="1" s="1349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  <c r="AF500" s="10" t="n"/>
      <c r="AG500" s="10" t="n"/>
    </row>
    <row r="501" ht="15.75" customHeight="1" s="1349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  <c r="AD501" s="10" t="n"/>
      <c r="AE501" s="10" t="n"/>
      <c r="AF501" s="10" t="n"/>
      <c r="AG501" s="10" t="n"/>
    </row>
    <row r="502" ht="15.75" customHeight="1" s="1349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  <c r="AD502" s="10" t="n"/>
      <c r="AE502" s="10" t="n"/>
      <c r="AF502" s="10" t="n"/>
      <c r="AG502" s="10" t="n"/>
    </row>
    <row r="503" ht="15.75" customHeight="1" s="1349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</row>
    <row r="504" ht="15.75" customHeight="1" s="1349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</row>
    <row r="505" ht="15.75" customHeight="1" s="1349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  <c r="AD505" s="10" t="n"/>
      <c r="AE505" s="10" t="n"/>
      <c r="AF505" s="10" t="n"/>
      <c r="AG505" s="10" t="n"/>
    </row>
    <row r="506" ht="15.75" customHeight="1" s="1349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  <c r="AD506" s="10" t="n"/>
      <c r="AE506" s="10" t="n"/>
      <c r="AF506" s="10" t="n"/>
      <c r="AG506" s="10" t="n"/>
    </row>
    <row r="507" ht="15.75" customHeight="1" s="1349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</row>
    <row r="508" ht="15.75" customHeight="1" s="1349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</row>
    <row r="509" ht="15.75" customHeight="1" s="134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</row>
    <row r="510" ht="15.75" customHeight="1" s="1349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  <c r="AD510" s="10" t="n"/>
      <c r="AE510" s="10" t="n"/>
      <c r="AF510" s="10" t="n"/>
      <c r="AG510" s="10" t="n"/>
    </row>
    <row r="511" ht="15.75" customHeight="1" s="1349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</row>
    <row r="512" ht="15.75" customHeight="1" s="1349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</row>
    <row r="513" ht="15.75" customHeight="1" s="1349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  <c r="AD513" s="10" t="n"/>
      <c r="AE513" s="10" t="n"/>
      <c r="AF513" s="10" t="n"/>
      <c r="AG513" s="10" t="n"/>
    </row>
    <row r="514" ht="15.75" customHeight="1" s="1349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</row>
    <row r="515" ht="15.75" customHeight="1" s="1349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  <c r="AD515" s="10" t="n"/>
      <c r="AE515" s="10" t="n"/>
      <c r="AF515" s="10" t="n"/>
      <c r="AG515" s="10" t="n"/>
    </row>
    <row r="516" ht="15.75" customHeight="1" s="1349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</row>
    <row r="517" ht="15.75" customHeight="1" s="1349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  <c r="AD517" s="10" t="n"/>
      <c r="AE517" s="10" t="n"/>
      <c r="AF517" s="10" t="n"/>
      <c r="AG517" s="10" t="n"/>
    </row>
    <row r="518" ht="15.75" customHeight="1" s="1349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  <c r="AF518" s="10" t="n"/>
      <c r="AG518" s="10" t="n"/>
    </row>
    <row r="519" ht="15.75" customHeight="1" s="134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  <c r="AD519" s="10" t="n"/>
      <c r="AE519" s="10" t="n"/>
      <c r="AF519" s="10" t="n"/>
      <c r="AG519" s="10" t="n"/>
    </row>
    <row r="520" ht="15.75" customHeight="1" s="1349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  <c r="AD520" s="10" t="n"/>
      <c r="AE520" s="10" t="n"/>
      <c r="AF520" s="10" t="n"/>
      <c r="AG520" s="10" t="n"/>
    </row>
    <row r="521" ht="15.75" customHeight="1" s="1349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  <c r="AD521" s="10" t="n"/>
      <c r="AE521" s="10" t="n"/>
      <c r="AF521" s="10" t="n"/>
      <c r="AG521" s="10" t="n"/>
    </row>
    <row r="522" ht="15.75" customHeight="1" s="1349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  <c r="AD522" s="10" t="n"/>
      <c r="AE522" s="10" t="n"/>
      <c r="AF522" s="10" t="n"/>
      <c r="AG522" s="10" t="n"/>
    </row>
    <row r="523" ht="15.75" customHeight="1" s="1349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  <c r="AD523" s="10" t="n"/>
      <c r="AE523" s="10" t="n"/>
      <c r="AF523" s="10" t="n"/>
      <c r="AG523" s="10" t="n"/>
    </row>
    <row r="524" ht="15.75" customHeight="1" s="1349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</row>
    <row r="525" ht="15.75" customHeight="1" s="1349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  <c r="AD525" s="10" t="n"/>
      <c r="AE525" s="10" t="n"/>
      <c r="AF525" s="10" t="n"/>
      <c r="AG525" s="10" t="n"/>
    </row>
    <row r="526" ht="15.75" customHeight="1" s="1349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</row>
    <row r="527" ht="15.75" customHeight="1" s="1349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</row>
    <row r="528" ht="15.75" customHeight="1" s="1349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  <c r="AF528" s="10" t="n"/>
      <c r="AG528" s="10" t="n"/>
    </row>
    <row r="529" ht="15.75" customHeight="1" s="134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</row>
    <row r="530" ht="15.75" customHeight="1" s="1349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  <c r="AD530" s="10" t="n"/>
      <c r="AE530" s="10" t="n"/>
      <c r="AF530" s="10" t="n"/>
      <c r="AG530" s="10" t="n"/>
    </row>
    <row r="531" ht="15.75" customHeight="1" s="1349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</row>
    <row r="532" ht="15.75" customHeight="1" s="1349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  <c r="AD532" s="10" t="n"/>
      <c r="AE532" s="10" t="n"/>
      <c r="AF532" s="10" t="n"/>
      <c r="AG532" s="10" t="n"/>
    </row>
    <row r="533" ht="15.75" customHeight="1" s="1349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  <c r="AD533" s="10" t="n"/>
      <c r="AE533" s="10" t="n"/>
      <c r="AF533" s="10" t="n"/>
      <c r="AG533" s="10" t="n"/>
    </row>
    <row r="534" ht="15.75" customHeight="1" s="1349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  <c r="AD534" s="10" t="n"/>
      <c r="AE534" s="10" t="n"/>
      <c r="AF534" s="10" t="n"/>
      <c r="AG534" s="10" t="n"/>
    </row>
    <row r="535" ht="15.75" customHeight="1" s="1349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  <c r="AD535" s="10" t="n"/>
      <c r="AE535" s="10" t="n"/>
      <c r="AF535" s="10" t="n"/>
      <c r="AG535" s="10" t="n"/>
    </row>
    <row r="536" ht="15.75" customHeight="1" s="1349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  <c r="AF536" s="10" t="n"/>
      <c r="AG536" s="10" t="n"/>
    </row>
    <row r="537" ht="15.75" customHeight="1" s="1349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</row>
    <row r="538" ht="15.75" customHeight="1" s="1349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</row>
    <row r="539" ht="15.75" customHeight="1" s="134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</row>
    <row r="540" ht="15.75" customHeight="1" s="1349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  <c r="AD540" s="10" t="n"/>
      <c r="AE540" s="10" t="n"/>
      <c r="AF540" s="10" t="n"/>
      <c r="AG540" s="10" t="n"/>
    </row>
    <row r="541" ht="15.75" customHeight="1" s="1349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</row>
    <row r="542" ht="15.75" customHeight="1" s="1349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</row>
    <row r="543" ht="15.75" customHeight="1" s="1349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  <c r="AD543" s="10" t="n"/>
      <c r="AE543" s="10" t="n"/>
      <c r="AF543" s="10" t="n"/>
      <c r="AG543" s="10" t="n"/>
    </row>
    <row r="544" ht="15.75" customHeight="1" s="1349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</row>
    <row r="545" ht="15.75" customHeight="1" s="1349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  <c r="AD545" s="10" t="n"/>
      <c r="AE545" s="10" t="n"/>
      <c r="AF545" s="10" t="n"/>
      <c r="AG545" s="10" t="n"/>
    </row>
    <row r="546" ht="15.75" customHeight="1" s="1349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</row>
    <row r="547" ht="15.75" customHeight="1" s="1349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0" t="n"/>
    </row>
    <row r="548" ht="15.75" customHeight="1" s="1349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  <c r="AD548" s="10" t="n"/>
      <c r="AE548" s="10" t="n"/>
      <c r="AF548" s="10" t="n"/>
      <c r="AG548" s="10" t="n"/>
    </row>
    <row r="549" ht="15.75" customHeight="1" s="13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  <c r="AD549" s="10" t="n"/>
      <c r="AE549" s="10" t="n"/>
      <c r="AF549" s="10" t="n"/>
      <c r="AG549" s="10" t="n"/>
    </row>
    <row r="550" ht="15.75" customHeight="1" s="1349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  <c r="AD550" s="10" t="n"/>
      <c r="AE550" s="10" t="n"/>
      <c r="AF550" s="10" t="n"/>
      <c r="AG550" s="10" t="n"/>
    </row>
    <row r="551" ht="15.75" customHeight="1" s="1349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  <c r="AD551" s="10" t="n"/>
      <c r="AE551" s="10" t="n"/>
      <c r="AF551" s="10" t="n"/>
      <c r="AG551" s="10" t="n"/>
    </row>
    <row r="552" ht="15.75" customHeight="1" s="1349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  <c r="AD552" s="10" t="n"/>
      <c r="AE552" s="10" t="n"/>
      <c r="AF552" s="10" t="n"/>
      <c r="AG552" s="10" t="n"/>
    </row>
    <row r="553" ht="15.75" customHeight="1" s="1349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  <c r="AD553" s="10" t="n"/>
      <c r="AE553" s="10" t="n"/>
      <c r="AF553" s="10" t="n"/>
      <c r="AG553" s="10" t="n"/>
    </row>
    <row r="554" ht="15.75" customHeight="1" s="1349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  <c r="AD554" s="10" t="n"/>
      <c r="AE554" s="10" t="n"/>
      <c r="AF554" s="10" t="n"/>
      <c r="AG554" s="10" t="n"/>
    </row>
    <row r="555" ht="15.75" customHeight="1" s="1349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  <c r="AD555" s="10" t="n"/>
      <c r="AE555" s="10" t="n"/>
      <c r="AF555" s="10" t="n"/>
      <c r="AG555" s="10" t="n"/>
    </row>
    <row r="556" ht="15.75" customHeight="1" s="1349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</row>
    <row r="557" ht="15.75" customHeight="1" s="1349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  <c r="AD557" s="10" t="n"/>
      <c r="AE557" s="10" t="n"/>
      <c r="AF557" s="10" t="n"/>
      <c r="AG557" s="10" t="n"/>
    </row>
    <row r="558" ht="15.75" customHeight="1" s="1349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</row>
    <row r="559" ht="15.75" customHeight="1" s="134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</row>
    <row r="560" ht="15.75" customHeight="1" s="1349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</row>
    <row r="561" ht="15.75" customHeight="1" s="1349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</row>
    <row r="562" ht="15.75" customHeight="1" s="1349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</row>
    <row r="563" ht="15.75" customHeight="1" s="1349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</row>
    <row r="564" ht="15.75" customHeight="1" s="1349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</row>
    <row r="565" ht="15.75" customHeight="1" s="1349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</row>
    <row r="566" ht="15.75" customHeight="1" s="1349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</row>
    <row r="567" ht="15.75" customHeight="1" s="1349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</row>
    <row r="568" ht="15.75" customHeight="1" s="1349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</row>
    <row r="569" ht="15.75" customHeight="1" s="134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</row>
    <row r="570" ht="15.75" customHeight="1" s="1349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</row>
    <row r="571" ht="15.75" customHeight="1" s="1349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</row>
    <row r="572" ht="15.75" customHeight="1" s="1349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</row>
    <row r="573" ht="15.75" customHeight="1" s="1349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</row>
    <row r="574" ht="15.75" customHeight="1" s="1349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</row>
    <row r="575" ht="15.75" customHeight="1" s="1349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</row>
    <row r="576" ht="15.75" customHeight="1" s="1349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</row>
    <row r="577" ht="15.75" customHeight="1" s="1349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</row>
    <row r="578" ht="15.75" customHeight="1" s="1349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</row>
    <row r="579" ht="15.75" customHeight="1" s="134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</row>
    <row r="580" ht="15.75" customHeight="1" s="1349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</row>
    <row r="581" ht="15.75" customHeight="1" s="1349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</row>
    <row r="582" ht="15.75" customHeight="1" s="1349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</row>
    <row r="583" ht="15.75" customHeight="1" s="1349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</row>
    <row r="584" ht="15.75" customHeight="1" s="1349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  <c r="AF584" s="10" t="n"/>
      <c r="AG584" s="10" t="n"/>
    </row>
    <row r="585" ht="15.75" customHeight="1" s="1349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  <c r="AD585" s="10" t="n"/>
      <c r="AE585" s="10" t="n"/>
      <c r="AF585" s="10" t="n"/>
      <c r="AG585" s="10" t="n"/>
    </row>
    <row r="586" ht="15.75" customHeight="1" s="1349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  <c r="AD586" s="10" t="n"/>
      <c r="AE586" s="10" t="n"/>
      <c r="AF586" s="10" t="n"/>
      <c r="AG586" s="10" t="n"/>
    </row>
    <row r="587" ht="15.75" customHeight="1" s="1349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  <c r="AD587" s="10" t="n"/>
      <c r="AE587" s="10" t="n"/>
      <c r="AF587" s="10" t="n"/>
      <c r="AG587" s="10" t="n"/>
    </row>
    <row r="588" ht="15.75" customHeight="1" s="1349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0" t="n"/>
    </row>
    <row r="589" ht="15.75" customHeight="1" s="134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</row>
    <row r="590" ht="15.75" customHeight="1" s="1349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  <c r="AD590" s="10" t="n"/>
      <c r="AE590" s="10" t="n"/>
      <c r="AF590" s="10" t="n"/>
      <c r="AG590" s="10" t="n"/>
    </row>
    <row r="591" ht="15.75" customHeight="1" s="1349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  <c r="AD591" s="10" t="n"/>
      <c r="AE591" s="10" t="n"/>
      <c r="AF591" s="10" t="n"/>
      <c r="AG591" s="10" t="n"/>
    </row>
    <row r="592" ht="15.75" customHeight="1" s="1349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  <c r="AD592" s="10" t="n"/>
      <c r="AE592" s="10" t="n"/>
      <c r="AF592" s="10" t="n"/>
      <c r="AG592" s="10" t="n"/>
    </row>
    <row r="593" ht="15.75" customHeight="1" s="1349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  <c r="AD593" s="10" t="n"/>
      <c r="AE593" s="10" t="n"/>
      <c r="AF593" s="10" t="n"/>
      <c r="AG593" s="10" t="n"/>
    </row>
    <row r="594" ht="15.75" customHeight="1" s="1349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  <c r="AD594" s="10" t="n"/>
      <c r="AE594" s="10" t="n"/>
      <c r="AF594" s="10" t="n"/>
      <c r="AG594" s="10" t="n"/>
    </row>
    <row r="595" ht="15.75" customHeight="1" s="1349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0" t="n"/>
    </row>
    <row r="596" ht="15.75" customHeight="1" s="1349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  <c r="AD596" s="10" t="n"/>
      <c r="AE596" s="10" t="n"/>
      <c r="AF596" s="10" t="n"/>
      <c r="AG596" s="10" t="n"/>
    </row>
    <row r="597" ht="15.75" customHeight="1" s="1349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  <c r="AD597" s="10" t="n"/>
      <c r="AE597" s="10" t="n"/>
      <c r="AF597" s="10" t="n"/>
      <c r="AG597" s="10" t="n"/>
    </row>
    <row r="598" ht="15.75" customHeight="1" s="1349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n"/>
    </row>
    <row r="599" ht="15.75" customHeight="1" s="134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  <c r="AD599" s="10" t="n"/>
      <c r="AE599" s="10" t="n"/>
      <c r="AF599" s="10" t="n"/>
      <c r="AG599" s="10" t="n"/>
    </row>
    <row r="600" ht="15.75" customHeight="1" s="1349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  <c r="AF600" s="10" t="n"/>
      <c r="AG600" s="10" t="n"/>
    </row>
    <row r="601" ht="15.75" customHeight="1" s="1349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  <c r="AD601" s="10" t="n"/>
      <c r="AE601" s="10" t="n"/>
      <c r="AF601" s="10" t="n"/>
      <c r="AG601" s="10" t="n"/>
    </row>
    <row r="602" ht="15.75" customHeight="1" s="1349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  <c r="AD602" s="10" t="n"/>
      <c r="AE602" s="10" t="n"/>
      <c r="AF602" s="10" t="n"/>
      <c r="AG602" s="10" t="n"/>
    </row>
    <row r="603" ht="15.75" customHeight="1" s="1349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</row>
    <row r="604" ht="15.75" customHeight="1" s="1349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</row>
    <row r="605" ht="15.75" customHeight="1" s="1349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  <c r="AD605" s="10" t="n"/>
      <c r="AE605" s="10" t="n"/>
      <c r="AF605" s="10" t="n"/>
      <c r="AG605" s="10" t="n"/>
    </row>
    <row r="606" ht="15.75" customHeight="1" s="1349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  <c r="AD606" s="10" t="n"/>
      <c r="AE606" s="10" t="n"/>
      <c r="AF606" s="10" t="n"/>
      <c r="AG606" s="10" t="n"/>
    </row>
    <row r="607" ht="15.75" customHeight="1" s="1349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  <c r="AD607" s="10" t="n"/>
      <c r="AE607" s="10" t="n"/>
      <c r="AF607" s="10" t="n"/>
      <c r="AG607" s="10" t="n"/>
    </row>
    <row r="608" ht="15.75" customHeight="1" s="1349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</row>
    <row r="609" ht="15.75" customHeight="1" s="134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  <c r="AD609" s="10" t="n"/>
      <c r="AE609" s="10" t="n"/>
      <c r="AF609" s="10" t="n"/>
      <c r="AG609" s="10" t="n"/>
    </row>
    <row r="610" ht="15.75" customHeight="1" s="1349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</row>
    <row r="611" ht="15.75" customHeight="1" s="1349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  <c r="AD611" s="10" t="n"/>
      <c r="AE611" s="10" t="n"/>
      <c r="AF611" s="10" t="n"/>
      <c r="AG611" s="10" t="n"/>
    </row>
    <row r="612" ht="15.75" customHeight="1" s="1349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  <c r="AD612" s="10" t="n"/>
      <c r="AE612" s="10" t="n"/>
      <c r="AF612" s="10" t="n"/>
      <c r="AG612" s="10" t="n"/>
    </row>
    <row r="613" ht="15.75" customHeight="1" s="1349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  <c r="AD613" s="10" t="n"/>
      <c r="AE613" s="10" t="n"/>
      <c r="AF613" s="10" t="n"/>
      <c r="AG613" s="10" t="n"/>
    </row>
    <row r="614" ht="15.75" customHeight="1" s="1349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  <c r="AF614" s="10" t="n"/>
      <c r="AG614" s="10" t="n"/>
    </row>
    <row r="615" ht="15.75" customHeight="1" s="1349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  <c r="AD615" s="10" t="n"/>
      <c r="AE615" s="10" t="n"/>
      <c r="AF615" s="10" t="n"/>
      <c r="AG615" s="10" t="n"/>
    </row>
    <row r="616" ht="15.75" customHeight="1" s="1349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  <c r="AD616" s="10" t="n"/>
      <c r="AE616" s="10" t="n"/>
      <c r="AF616" s="10" t="n"/>
      <c r="AG616" s="10" t="n"/>
    </row>
    <row r="617" ht="15.75" customHeight="1" s="1349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  <c r="AD617" s="10" t="n"/>
      <c r="AE617" s="10" t="n"/>
      <c r="AF617" s="10" t="n"/>
      <c r="AG617" s="10" t="n"/>
    </row>
    <row r="618" ht="15.75" customHeight="1" s="1349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  <c r="AD618" s="10" t="n"/>
      <c r="AE618" s="10" t="n"/>
      <c r="AF618" s="10" t="n"/>
      <c r="AG618" s="10" t="n"/>
    </row>
    <row r="619" ht="15.75" customHeight="1" s="134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  <c r="AD619" s="10" t="n"/>
      <c r="AE619" s="10" t="n"/>
      <c r="AF619" s="10" t="n"/>
      <c r="AG619" s="10" t="n"/>
    </row>
    <row r="620" ht="15.75" customHeight="1" s="1349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  <c r="AF620" s="10" t="n"/>
      <c r="AG620" s="10" t="n"/>
    </row>
    <row r="621" ht="15.75" customHeight="1" s="1349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  <c r="AD621" s="10" t="n"/>
      <c r="AE621" s="10" t="n"/>
      <c r="AF621" s="10" t="n"/>
      <c r="AG621" s="10" t="n"/>
    </row>
    <row r="622" ht="15.75" customHeight="1" s="1349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  <c r="AD622" s="10" t="n"/>
      <c r="AE622" s="10" t="n"/>
      <c r="AF622" s="10" t="n"/>
      <c r="AG622" s="10" t="n"/>
    </row>
    <row r="623" ht="15.75" customHeight="1" s="1349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  <c r="AD623" s="10" t="n"/>
      <c r="AE623" s="10" t="n"/>
      <c r="AF623" s="10" t="n"/>
      <c r="AG623" s="10" t="n"/>
    </row>
    <row r="624" ht="15.75" customHeight="1" s="1349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  <c r="AD624" s="10" t="n"/>
      <c r="AE624" s="10" t="n"/>
      <c r="AF624" s="10" t="n"/>
      <c r="AG624" s="10" t="n"/>
    </row>
    <row r="625" ht="15.75" customHeight="1" s="1349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  <c r="AD625" s="10" t="n"/>
      <c r="AE625" s="10" t="n"/>
      <c r="AF625" s="10" t="n"/>
      <c r="AG625" s="10" t="n"/>
    </row>
    <row r="626" ht="15.75" customHeight="1" s="1349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  <c r="AD626" s="10" t="n"/>
      <c r="AE626" s="10" t="n"/>
      <c r="AF626" s="10" t="n"/>
      <c r="AG626" s="10" t="n"/>
    </row>
    <row r="627" ht="15.75" customHeight="1" s="1349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  <c r="AD627" s="10" t="n"/>
      <c r="AE627" s="10" t="n"/>
      <c r="AF627" s="10" t="n"/>
      <c r="AG627" s="10" t="n"/>
    </row>
    <row r="628" ht="15.75" customHeight="1" s="1349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  <c r="AF628" s="10" t="n"/>
      <c r="AG628" s="10" t="n"/>
    </row>
    <row r="629" ht="15.75" customHeight="1" s="134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  <c r="AD629" s="10" t="n"/>
      <c r="AE629" s="10" t="n"/>
      <c r="AF629" s="10" t="n"/>
      <c r="AG629" s="10" t="n"/>
    </row>
    <row r="630" ht="15.75" customHeight="1" s="1349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  <c r="AD630" s="10" t="n"/>
      <c r="AE630" s="10" t="n"/>
      <c r="AF630" s="10" t="n"/>
      <c r="AG630" s="10" t="n"/>
    </row>
    <row r="631" ht="15.75" customHeight="1" s="1349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  <c r="AD631" s="10" t="n"/>
      <c r="AE631" s="10" t="n"/>
      <c r="AF631" s="10" t="n"/>
      <c r="AG631" s="10" t="n"/>
    </row>
    <row r="632" ht="15.75" customHeight="1" s="1349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  <c r="AD632" s="10" t="n"/>
      <c r="AE632" s="10" t="n"/>
      <c r="AF632" s="10" t="n"/>
      <c r="AG632" s="10" t="n"/>
    </row>
    <row r="633" ht="15.75" customHeight="1" s="1349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</row>
    <row r="634" ht="15.75" customHeight="1" s="1349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  <c r="AD634" s="10" t="n"/>
      <c r="AE634" s="10" t="n"/>
      <c r="AF634" s="10" t="n"/>
      <c r="AG634" s="10" t="n"/>
    </row>
    <row r="635" ht="15.75" customHeight="1" s="1349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  <c r="AD635" s="10" t="n"/>
      <c r="AE635" s="10" t="n"/>
      <c r="AF635" s="10" t="n"/>
      <c r="AG635" s="10" t="n"/>
    </row>
    <row r="636" ht="15.75" customHeight="1" s="1349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  <c r="AD636" s="10" t="n"/>
      <c r="AE636" s="10" t="n"/>
      <c r="AF636" s="10" t="n"/>
      <c r="AG636" s="10" t="n"/>
    </row>
    <row r="637" ht="15.75" customHeight="1" s="1349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  <c r="AD637" s="10" t="n"/>
      <c r="AE637" s="10" t="n"/>
      <c r="AF637" s="10" t="n"/>
      <c r="AG637" s="10" t="n"/>
    </row>
    <row r="638" ht="15.75" customHeight="1" s="1349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  <c r="AD638" s="10" t="n"/>
      <c r="AE638" s="10" t="n"/>
      <c r="AF638" s="10" t="n"/>
      <c r="AG638" s="10" t="n"/>
    </row>
    <row r="639" ht="15.75" customHeight="1" s="134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  <c r="AD639" s="10" t="n"/>
      <c r="AE639" s="10" t="n"/>
      <c r="AF639" s="10" t="n"/>
      <c r="AG639" s="10" t="n"/>
    </row>
    <row r="640" ht="15.75" customHeight="1" s="1349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  <c r="AD640" s="10" t="n"/>
      <c r="AE640" s="10" t="n"/>
      <c r="AF640" s="10" t="n"/>
      <c r="AG640" s="10" t="n"/>
    </row>
    <row r="641" ht="15.75" customHeight="1" s="1349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  <c r="AD641" s="10" t="n"/>
      <c r="AE641" s="10" t="n"/>
      <c r="AF641" s="10" t="n"/>
      <c r="AG641" s="10" t="n"/>
    </row>
    <row r="642" ht="15.75" customHeight="1" s="1349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</row>
    <row r="643" ht="15.75" customHeight="1" s="1349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</row>
    <row r="644" ht="15.75" customHeight="1" s="1349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  <c r="AD644" s="10" t="n"/>
      <c r="AE644" s="10" t="n"/>
      <c r="AF644" s="10" t="n"/>
      <c r="AG644" s="10" t="n"/>
    </row>
    <row r="645" ht="15.75" customHeight="1" s="1349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</row>
    <row r="646" ht="15.75" customHeight="1" s="1349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</row>
    <row r="647" ht="15.75" customHeight="1" s="1349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  <c r="AD647" s="10" t="n"/>
      <c r="AE647" s="10" t="n"/>
      <c r="AF647" s="10" t="n"/>
      <c r="AG647" s="10" t="n"/>
    </row>
    <row r="648" ht="15.75" customHeight="1" s="1349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  <c r="AD648" s="10" t="n"/>
      <c r="AE648" s="10" t="n"/>
      <c r="AF648" s="10" t="n"/>
      <c r="AG648" s="10" t="n"/>
    </row>
    <row r="649" ht="15.75" customHeight="1" s="13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  <c r="AD649" s="10" t="n"/>
      <c r="AE649" s="10" t="n"/>
      <c r="AF649" s="10" t="n"/>
      <c r="AG649" s="10" t="n"/>
    </row>
    <row r="650" ht="15.75" customHeight="1" s="1349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</row>
    <row r="651" ht="15.75" customHeight="1" s="1349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  <c r="AD651" s="10" t="n"/>
      <c r="AE651" s="10" t="n"/>
      <c r="AF651" s="10" t="n"/>
      <c r="AG651" s="10" t="n"/>
    </row>
    <row r="652" ht="15.75" customHeight="1" s="1349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  <c r="AD652" s="10" t="n"/>
      <c r="AE652" s="10" t="n"/>
      <c r="AF652" s="10" t="n"/>
      <c r="AG652" s="10" t="n"/>
    </row>
    <row r="653" ht="15.75" customHeight="1" s="1349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  <c r="AD653" s="10" t="n"/>
      <c r="AE653" s="10" t="n"/>
      <c r="AF653" s="10" t="n"/>
      <c r="AG653" s="10" t="n"/>
    </row>
    <row r="654" ht="15.75" customHeight="1" s="1349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</row>
    <row r="655" ht="15.75" customHeight="1" s="1349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</row>
    <row r="656" ht="15.75" customHeight="1" s="1349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</row>
    <row r="657" ht="15.75" customHeight="1" s="1349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</row>
    <row r="658" ht="15.75" customHeight="1" s="1349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</row>
    <row r="659" ht="15.75" customHeight="1" s="134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</row>
    <row r="660" ht="15.75" customHeight="1" s="1349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</row>
    <row r="661" ht="15.75" customHeight="1" s="1349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</row>
    <row r="662" ht="15.75" customHeight="1" s="1349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</row>
    <row r="663" ht="15.75" customHeight="1" s="1349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</row>
    <row r="664" ht="15.75" customHeight="1" s="1349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</row>
    <row r="665" ht="15.75" customHeight="1" s="1349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</row>
    <row r="666" ht="15.75" customHeight="1" s="1349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</row>
    <row r="667" ht="15.75" customHeight="1" s="1349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</row>
    <row r="668" ht="15.75" customHeight="1" s="1349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</row>
    <row r="669" ht="15.75" customHeight="1" s="134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  <c r="AD669" s="10" t="n"/>
      <c r="AE669" s="10" t="n"/>
      <c r="AF669" s="10" t="n"/>
      <c r="AG669" s="10" t="n"/>
    </row>
    <row r="670" ht="15.75" customHeight="1" s="1349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  <c r="AD670" s="10" t="n"/>
      <c r="AE670" s="10" t="n"/>
      <c r="AF670" s="10" t="n"/>
      <c r="AG670" s="10" t="n"/>
    </row>
    <row r="671" ht="15.75" customHeight="1" s="1349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</row>
    <row r="672" ht="15.75" customHeight="1" s="1349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  <c r="AD672" s="10" t="n"/>
      <c r="AE672" s="10" t="n"/>
      <c r="AF672" s="10" t="n"/>
      <c r="AG672" s="10" t="n"/>
    </row>
    <row r="673" ht="15.75" customHeight="1" s="1349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  <c r="AD673" s="10" t="n"/>
      <c r="AE673" s="10" t="n"/>
      <c r="AF673" s="10" t="n"/>
      <c r="AG673" s="10" t="n"/>
    </row>
    <row r="674" ht="15.75" customHeight="1" s="1349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  <c r="AD674" s="10" t="n"/>
      <c r="AE674" s="10" t="n"/>
      <c r="AF674" s="10" t="n"/>
      <c r="AG674" s="10" t="n"/>
    </row>
    <row r="675" ht="15.75" customHeight="1" s="1349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  <c r="AD675" s="10" t="n"/>
      <c r="AE675" s="10" t="n"/>
      <c r="AF675" s="10" t="n"/>
      <c r="AG675" s="10" t="n"/>
    </row>
    <row r="676" ht="15.75" customHeight="1" s="1349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  <c r="AD676" s="10" t="n"/>
      <c r="AE676" s="10" t="n"/>
      <c r="AF676" s="10" t="n"/>
      <c r="AG676" s="10" t="n"/>
    </row>
    <row r="677" ht="15.75" customHeight="1" s="1349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</row>
    <row r="678" ht="15.75" customHeight="1" s="1349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</row>
    <row r="679" ht="15.75" customHeight="1" s="134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</row>
    <row r="680" ht="15.75" customHeight="1" s="1349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</row>
    <row r="681" ht="15.75" customHeight="1" s="1349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</row>
    <row r="682" ht="15.75" customHeight="1" s="1349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</row>
    <row r="683" ht="15.75" customHeight="1" s="1349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</row>
    <row r="684" ht="15.75" customHeight="1" s="1349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</row>
    <row r="685" ht="15.75" customHeight="1" s="1349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</row>
    <row r="686" ht="15.75" customHeight="1" s="1349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</row>
    <row r="687" ht="15.75" customHeight="1" s="1349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</row>
    <row r="688" ht="15.75" customHeight="1" s="1349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</row>
    <row r="689" ht="15.75" customHeight="1" s="134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</row>
    <row r="690" ht="15.75" customHeight="1" s="1349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</row>
    <row r="691" ht="15.75" customHeight="1" s="1349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</row>
    <row r="692" ht="15.75" customHeight="1" s="1349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</row>
    <row r="693" ht="15.75" customHeight="1" s="1349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</row>
    <row r="694" ht="15.75" customHeight="1" s="1349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</row>
    <row r="695" ht="15.75" customHeight="1" s="1349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</row>
    <row r="696" ht="15.75" customHeight="1" s="1349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</row>
    <row r="697" ht="15.75" customHeight="1" s="1349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</row>
    <row r="698" ht="15.75" customHeight="1" s="1349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</row>
    <row r="699" ht="15.75" customHeight="1" s="134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</row>
    <row r="700" ht="15.75" customHeight="1" s="1349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</row>
    <row r="701" ht="15.75" customHeight="1" s="1349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</row>
    <row r="702" ht="15.75" customHeight="1" s="1349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</row>
    <row r="703" ht="15.75" customHeight="1" s="1349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</row>
    <row r="704" ht="15.75" customHeight="1" s="1349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</row>
    <row r="705" ht="15.75" customHeight="1" s="1349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</row>
    <row r="706" ht="15.75" customHeight="1" s="1349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</row>
    <row r="707" ht="15.75" customHeight="1" s="1349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</row>
    <row r="708" ht="15.75" customHeight="1" s="1349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</row>
    <row r="709" ht="15.75" customHeight="1" s="134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</row>
    <row r="710" ht="15.75" customHeight="1" s="1349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</row>
    <row r="711" ht="15.75" customHeight="1" s="1349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</row>
    <row r="712" ht="15.75" customHeight="1" s="1349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</row>
    <row r="713" ht="15.75" customHeight="1" s="1349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  <c r="AD713" s="10" t="n"/>
      <c r="AE713" s="10" t="n"/>
      <c r="AF713" s="10" t="n"/>
      <c r="AG713" s="10" t="n"/>
    </row>
    <row r="714" ht="15.75" customHeight="1" s="1349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</row>
    <row r="715" ht="15.75" customHeight="1" s="1349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</row>
    <row r="716" ht="15.75" customHeight="1" s="1349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</row>
    <row r="717" ht="15.75" customHeight="1" s="1349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</row>
    <row r="718" ht="15.75" customHeight="1" s="1349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</row>
    <row r="719" ht="15.75" customHeight="1" s="134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</row>
    <row r="720" ht="15.75" customHeight="1" s="1349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  <c r="AF720" s="10" t="n"/>
      <c r="AG720" s="10" t="n"/>
    </row>
    <row r="721" ht="15.75" customHeight="1" s="1349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  <c r="AD721" s="10" t="n"/>
      <c r="AE721" s="10" t="n"/>
      <c r="AF721" s="10" t="n"/>
      <c r="AG721" s="10" t="n"/>
    </row>
    <row r="722" ht="15.75" customHeight="1" s="1349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  <c r="AF722" s="10" t="n"/>
      <c r="AG722" s="10" t="n"/>
    </row>
    <row r="723" ht="15.75" customHeight="1" s="1349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  <c r="AD723" s="10" t="n"/>
      <c r="AE723" s="10" t="n"/>
      <c r="AF723" s="10" t="n"/>
      <c r="AG723" s="10" t="n"/>
    </row>
    <row r="724" ht="15.75" customHeight="1" s="1349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  <c r="AD724" s="10" t="n"/>
      <c r="AE724" s="10" t="n"/>
      <c r="AF724" s="10" t="n"/>
      <c r="AG724" s="10" t="n"/>
    </row>
    <row r="725" ht="15.75" customHeight="1" s="1349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  <c r="AD725" s="10" t="n"/>
      <c r="AE725" s="10" t="n"/>
      <c r="AF725" s="10" t="n"/>
      <c r="AG725" s="10" t="n"/>
    </row>
    <row r="726" ht="15.75" customHeight="1" s="1349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  <c r="AD726" s="10" t="n"/>
      <c r="AE726" s="10" t="n"/>
      <c r="AF726" s="10" t="n"/>
      <c r="AG726" s="10" t="n"/>
    </row>
    <row r="727" ht="15.75" customHeight="1" s="1349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  <c r="AD727" s="10" t="n"/>
      <c r="AE727" s="10" t="n"/>
      <c r="AF727" s="10" t="n"/>
      <c r="AG727" s="10" t="n"/>
    </row>
    <row r="728" ht="15.75" customHeight="1" s="1349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  <c r="AD728" s="10" t="n"/>
      <c r="AE728" s="10" t="n"/>
      <c r="AF728" s="10" t="n"/>
      <c r="AG728" s="10" t="n"/>
    </row>
    <row r="729" ht="15.75" customHeight="1" s="134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</row>
    <row r="730" ht="15.75" customHeight="1" s="1349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</row>
    <row r="731" ht="15.75" customHeight="1" s="1349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</row>
    <row r="732" ht="15.75" customHeight="1" s="1349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</row>
    <row r="733" ht="15.75" customHeight="1" s="1349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</row>
    <row r="734" ht="15.75" customHeight="1" s="1349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</row>
    <row r="735" ht="15.75" customHeight="1" s="1349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</row>
    <row r="736" ht="15.75" customHeight="1" s="1349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  <c r="AF736" s="10" t="n"/>
      <c r="AG736" s="10" t="n"/>
    </row>
    <row r="737" ht="15.75" customHeight="1" s="1349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0" t="n"/>
    </row>
    <row r="738" ht="15.75" customHeight="1" s="1349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  <c r="AF738" s="10" t="n"/>
      <c r="AG738" s="10" t="n"/>
    </row>
    <row r="739" ht="15.75" customHeight="1" s="134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</row>
    <row r="740" ht="15.75" customHeight="1" s="1349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</row>
    <row r="741" ht="15.75" customHeight="1" s="1349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</row>
    <row r="742" ht="15.75" customHeight="1" s="1349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  <c r="AF742" s="10" t="n"/>
      <c r="AG742" s="10" t="n"/>
    </row>
    <row r="743" ht="15.75" customHeight="1" s="1349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</row>
    <row r="744" ht="15.75" customHeight="1" s="1349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</row>
    <row r="745" ht="15.75" customHeight="1" s="1349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</row>
    <row r="746" ht="15.75" customHeight="1" s="1349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  <c r="AF746" s="10" t="n"/>
      <c r="AG746" s="10" t="n"/>
    </row>
    <row r="747" ht="15.75" customHeight="1" s="1349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  <c r="AD747" s="10" t="n"/>
      <c r="AE747" s="10" t="n"/>
      <c r="AF747" s="10" t="n"/>
      <c r="AG747" s="10" t="n"/>
    </row>
    <row r="748" ht="15.75" customHeight="1" s="1349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</row>
    <row r="749" ht="15.75" customHeight="1" s="13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</row>
    <row r="750" ht="15.75" customHeight="1" s="1349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  <c r="AF750" s="10" t="n"/>
      <c r="AG750" s="10" t="n"/>
    </row>
    <row r="751" ht="15.75" customHeight="1" s="1349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  <c r="AD751" s="10" t="n"/>
      <c r="AE751" s="10" t="n"/>
      <c r="AF751" s="10" t="n"/>
      <c r="AG751" s="10" t="n"/>
    </row>
    <row r="752" ht="15.75" customHeight="1" s="1349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  <c r="AD752" s="10" t="n"/>
      <c r="AE752" s="10" t="n"/>
      <c r="AF752" s="10" t="n"/>
      <c r="AG752" s="10" t="n"/>
    </row>
    <row r="753" ht="15.75" customHeight="1" s="1349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  <c r="AD753" s="10" t="n"/>
      <c r="AE753" s="10" t="n"/>
      <c r="AF753" s="10" t="n"/>
      <c r="AG753" s="10" t="n"/>
    </row>
    <row r="754" ht="15.75" customHeight="1" s="1349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  <c r="AD754" s="10" t="n"/>
      <c r="AE754" s="10" t="n"/>
      <c r="AF754" s="10" t="n"/>
      <c r="AG754" s="10" t="n"/>
    </row>
    <row r="755" ht="15.75" customHeight="1" s="1349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</row>
    <row r="756" ht="15.75" customHeight="1" s="1349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</row>
    <row r="757" ht="15.75" customHeight="1" s="1349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  <c r="AD757" s="10" t="n"/>
      <c r="AE757" s="10" t="n"/>
      <c r="AF757" s="10" t="n"/>
      <c r="AG757" s="10" t="n"/>
    </row>
    <row r="758" ht="15.75" customHeight="1" s="1349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  <c r="AF758" s="10" t="n"/>
      <c r="AG758" s="10" t="n"/>
    </row>
    <row r="759" ht="15.75" customHeight="1" s="134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  <c r="AD759" s="10" t="n"/>
      <c r="AE759" s="10" t="n"/>
      <c r="AF759" s="10" t="n"/>
      <c r="AG759" s="10" t="n"/>
    </row>
    <row r="760" ht="15.75" customHeight="1" s="1349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  <c r="AF760" s="10" t="n"/>
      <c r="AG760" s="10" t="n"/>
    </row>
    <row r="761" ht="15.75" customHeight="1" s="1349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  <c r="AD761" s="10" t="n"/>
      <c r="AE761" s="10" t="n"/>
      <c r="AF761" s="10" t="n"/>
      <c r="AG761" s="10" t="n"/>
    </row>
    <row r="762" ht="15.75" customHeight="1" s="1349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</row>
    <row r="763" ht="15.75" customHeight="1" s="1349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</row>
    <row r="764" ht="15.75" customHeight="1" s="1349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  <c r="AD764" s="10" t="n"/>
      <c r="AE764" s="10" t="n"/>
      <c r="AF764" s="10" t="n"/>
      <c r="AG764" s="10" t="n"/>
    </row>
    <row r="765" ht="15.75" customHeight="1" s="1349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  <c r="AD765" s="10" t="n"/>
      <c r="AE765" s="10" t="n"/>
      <c r="AF765" s="10" t="n"/>
      <c r="AG765" s="10" t="n"/>
    </row>
    <row r="766" ht="15.75" customHeight="1" s="1349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  <c r="AD766" s="10" t="n"/>
      <c r="AE766" s="10" t="n"/>
      <c r="AF766" s="10" t="n"/>
      <c r="AG766" s="10" t="n"/>
    </row>
    <row r="767" ht="15.75" customHeight="1" s="1349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  <c r="AD767" s="10" t="n"/>
      <c r="AE767" s="10" t="n"/>
      <c r="AF767" s="10" t="n"/>
      <c r="AG767" s="10" t="n"/>
    </row>
    <row r="768" ht="15.75" customHeight="1" s="1349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  <c r="AD768" s="10" t="n"/>
      <c r="AE768" s="10" t="n"/>
      <c r="AF768" s="10" t="n"/>
      <c r="AG768" s="10" t="n"/>
    </row>
    <row r="769" ht="15.75" customHeight="1" s="134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  <c r="AD769" s="10" t="n"/>
      <c r="AE769" s="10" t="n"/>
      <c r="AF769" s="10" t="n"/>
      <c r="AG769" s="10" t="n"/>
    </row>
    <row r="770" ht="15.75" customHeight="1" s="1349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</row>
    <row r="771" ht="15.75" customHeight="1" s="1349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</row>
    <row r="772" ht="15.75" customHeight="1" s="1349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  <c r="AF772" s="10" t="n"/>
      <c r="AG772" s="10" t="n"/>
    </row>
    <row r="773" ht="15.75" customHeight="1" s="1349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  <c r="AD773" s="10" t="n"/>
      <c r="AE773" s="10" t="n"/>
      <c r="AF773" s="10" t="n"/>
      <c r="AG773" s="10" t="n"/>
    </row>
    <row r="774" ht="15.75" customHeight="1" s="1349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  <c r="AF774" s="10" t="n"/>
      <c r="AG774" s="10" t="n"/>
    </row>
    <row r="775" ht="15.75" customHeight="1" s="1349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</row>
    <row r="776" ht="15.75" customHeight="1" s="1349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  <c r="AD776" s="10" t="n"/>
      <c r="AE776" s="10" t="n"/>
      <c r="AF776" s="10" t="n"/>
      <c r="AG776" s="10" t="n"/>
    </row>
    <row r="777" ht="15.75" customHeight="1" s="1349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  <c r="AD777" s="10" t="n"/>
      <c r="AE777" s="10" t="n"/>
      <c r="AF777" s="10" t="n"/>
      <c r="AG777" s="10" t="n"/>
    </row>
    <row r="778" ht="15.75" customHeight="1" s="1349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  <c r="AD778" s="10" t="n"/>
      <c r="AE778" s="10" t="n"/>
      <c r="AF778" s="10" t="n"/>
      <c r="AG778" s="10" t="n"/>
    </row>
    <row r="779" ht="15.75" customHeight="1" s="134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  <c r="AD779" s="10" t="n"/>
      <c r="AE779" s="10" t="n"/>
      <c r="AF779" s="10" t="n"/>
      <c r="AG779" s="10" t="n"/>
    </row>
    <row r="780" ht="15.75" customHeight="1" s="1349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  <c r="AD780" s="10" t="n"/>
      <c r="AE780" s="10" t="n"/>
      <c r="AF780" s="10" t="n"/>
      <c r="AG780" s="10" t="n"/>
    </row>
    <row r="781" ht="15.75" customHeight="1" s="1349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  <c r="AD781" s="10" t="n"/>
      <c r="AE781" s="10" t="n"/>
      <c r="AF781" s="10" t="n"/>
      <c r="AG781" s="10" t="n"/>
    </row>
    <row r="782" ht="15.75" customHeight="1" s="1349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  <c r="AD782" s="10" t="n"/>
      <c r="AE782" s="10" t="n"/>
      <c r="AF782" s="10" t="n"/>
      <c r="AG782" s="10" t="n"/>
    </row>
    <row r="783" ht="15.75" customHeight="1" s="1349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</row>
    <row r="784" ht="15.75" customHeight="1" s="1349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</row>
    <row r="785" ht="15.75" customHeight="1" s="1349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  <c r="AD785" s="10" t="n"/>
      <c r="AE785" s="10" t="n"/>
      <c r="AF785" s="10" t="n"/>
      <c r="AG785" s="10" t="n"/>
    </row>
    <row r="786" ht="15.75" customHeight="1" s="1349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  <c r="AD786" s="10" t="n"/>
      <c r="AE786" s="10" t="n"/>
      <c r="AF786" s="10" t="n"/>
      <c r="AG786" s="10" t="n"/>
    </row>
    <row r="787" ht="15.75" customHeight="1" s="1349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  <c r="AD787" s="10" t="n"/>
      <c r="AE787" s="10" t="n"/>
      <c r="AF787" s="10" t="n"/>
      <c r="AG787" s="10" t="n"/>
    </row>
    <row r="788" ht="15.75" customHeight="1" s="1349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  <c r="AD788" s="10" t="n"/>
      <c r="AE788" s="10" t="n"/>
      <c r="AF788" s="10" t="n"/>
      <c r="AG788" s="10" t="n"/>
    </row>
    <row r="789" ht="15.75" customHeight="1" s="134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</row>
    <row r="790" ht="15.75" customHeight="1" s="1349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  <c r="AF790" s="10" t="n"/>
      <c r="AG790" s="10" t="n"/>
    </row>
    <row r="791" ht="15.75" customHeight="1" s="1349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  <c r="AD791" s="10" t="n"/>
      <c r="AE791" s="10" t="n"/>
      <c r="AF791" s="10" t="n"/>
      <c r="AG791" s="10" t="n"/>
    </row>
    <row r="792" ht="15.75" customHeight="1" s="1349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  <c r="AF792" s="10" t="n"/>
      <c r="AG792" s="10" t="n"/>
    </row>
    <row r="793" ht="15.75" customHeight="1" s="1349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  <c r="AD793" s="10" t="n"/>
      <c r="AE793" s="10" t="n"/>
      <c r="AF793" s="10" t="n"/>
      <c r="AG793" s="10" t="n"/>
    </row>
    <row r="794" ht="15.75" customHeight="1" s="1349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  <c r="AD794" s="10" t="n"/>
      <c r="AE794" s="10" t="n"/>
      <c r="AF794" s="10" t="n"/>
      <c r="AG794" s="10" t="n"/>
    </row>
    <row r="795" ht="15.75" customHeight="1" s="1349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  <c r="AD795" s="10" t="n"/>
      <c r="AE795" s="10" t="n"/>
      <c r="AF795" s="10" t="n"/>
      <c r="AG795" s="10" t="n"/>
    </row>
    <row r="796" ht="15.75" customHeight="1" s="1349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  <c r="AD796" s="10" t="n"/>
      <c r="AE796" s="10" t="n"/>
      <c r="AF796" s="10" t="n"/>
      <c r="AG796" s="10" t="n"/>
    </row>
    <row r="797" ht="15.75" customHeight="1" s="1349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  <c r="AD797" s="10" t="n"/>
      <c r="AE797" s="10" t="n"/>
      <c r="AF797" s="10" t="n"/>
      <c r="AG797" s="10" t="n"/>
    </row>
    <row r="798" ht="15.75" customHeight="1" s="1349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  <c r="AD798" s="10" t="n"/>
      <c r="AE798" s="10" t="n"/>
      <c r="AF798" s="10" t="n"/>
      <c r="AG798" s="10" t="n"/>
    </row>
    <row r="799" ht="15.75" customHeight="1" s="134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  <c r="AD799" s="10" t="n"/>
      <c r="AE799" s="10" t="n"/>
      <c r="AF799" s="10" t="n"/>
      <c r="AG799" s="10" t="n"/>
    </row>
    <row r="800" ht="15.75" customHeight="1" s="1349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  <c r="AF800" s="10" t="n"/>
      <c r="AG800" s="10" t="n"/>
    </row>
    <row r="801" ht="15.75" customHeight="1" s="1349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</row>
    <row r="802" ht="15.75" customHeight="1" s="1349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  <c r="AD802" s="10" t="n"/>
      <c r="AE802" s="10" t="n"/>
      <c r="AF802" s="10" t="n"/>
      <c r="AG802" s="10" t="n"/>
    </row>
    <row r="803" ht="15.75" customHeight="1" s="1349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  <c r="AD803" s="10" t="n"/>
      <c r="AE803" s="10" t="n"/>
      <c r="AF803" s="10" t="n"/>
      <c r="AG803" s="10" t="n"/>
    </row>
    <row r="804" ht="15.75" customHeight="1" s="1349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  <c r="AD804" s="10" t="n"/>
      <c r="AE804" s="10" t="n"/>
      <c r="AF804" s="10" t="n"/>
      <c r="AG804" s="10" t="n"/>
    </row>
    <row r="805" ht="15.75" customHeight="1" s="1349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  <c r="AD805" s="10" t="n"/>
      <c r="AE805" s="10" t="n"/>
      <c r="AF805" s="10" t="n"/>
      <c r="AG805" s="10" t="n"/>
    </row>
    <row r="806" ht="15.75" customHeight="1" s="1349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  <c r="AD806" s="10" t="n"/>
      <c r="AE806" s="10" t="n"/>
      <c r="AF806" s="10" t="n"/>
      <c r="AG806" s="10" t="n"/>
    </row>
    <row r="807" ht="15.75" customHeight="1" s="1349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  <c r="AD807" s="10" t="n"/>
      <c r="AE807" s="10" t="n"/>
      <c r="AF807" s="10" t="n"/>
      <c r="AG807" s="10" t="n"/>
    </row>
    <row r="808" ht="15.75" customHeight="1" s="1349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  <c r="AD808" s="10" t="n"/>
      <c r="AE808" s="10" t="n"/>
      <c r="AF808" s="10" t="n"/>
      <c r="AG808" s="10" t="n"/>
    </row>
    <row r="809" ht="15.75" customHeight="1" s="134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  <c r="AD809" s="10" t="n"/>
      <c r="AE809" s="10" t="n"/>
      <c r="AF809" s="10" t="n"/>
      <c r="AG809" s="10" t="n"/>
    </row>
    <row r="810" ht="15.75" customHeight="1" s="1349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  <c r="AD810" s="10" t="n"/>
      <c r="AE810" s="10" t="n"/>
      <c r="AF810" s="10" t="n"/>
      <c r="AG810" s="10" t="n"/>
    </row>
    <row r="811" ht="15.75" customHeight="1" s="1349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  <c r="AD811" s="10" t="n"/>
      <c r="AE811" s="10" t="n"/>
      <c r="AF811" s="10" t="n"/>
      <c r="AG811" s="10" t="n"/>
    </row>
    <row r="812" ht="15.75" customHeight="1" s="1349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  <c r="AD812" s="10" t="n"/>
      <c r="AE812" s="10" t="n"/>
      <c r="AF812" s="10" t="n"/>
      <c r="AG812" s="10" t="n"/>
    </row>
    <row r="813" ht="15.75" customHeight="1" s="1349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  <c r="AD813" s="10" t="n"/>
      <c r="AE813" s="10" t="n"/>
      <c r="AF813" s="10" t="n"/>
      <c r="AG813" s="10" t="n"/>
    </row>
    <row r="814" ht="15.75" customHeight="1" s="1349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  <c r="AD814" s="10" t="n"/>
      <c r="AE814" s="10" t="n"/>
      <c r="AF814" s="10" t="n"/>
      <c r="AG814" s="10" t="n"/>
    </row>
    <row r="815" ht="15.75" customHeight="1" s="1349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  <c r="AD815" s="10" t="n"/>
      <c r="AE815" s="10" t="n"/>
      <c r="AF815" s="10" t="n"/>
      <c r="AG815" s="10" t="n"/>
    </row>
    <row r="816" ht="15.75" customHeight="1" s="1349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  <c r="AD816" s="10" t="n"/>
      <c r="AE816" s="10" t="n"/>
      <c r="AF816" s="10" t="n"/>
      <c r="AG816" s="10" t="n"/>
    </row>
    <row r="817" ht="15.75" customHeight="1" s="1349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  <c r="AD817" s="10" t="n"/>
      <c r="AE817" s="10" t="n"/>
      <c r="AF817" s="10" t="n"/>
      <c r="AG817" s="10" t="n"/>
    </row>
    <row r="818" ht="15.75" customHeight="1" s="1349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  <c r="AD818" s="10" t="n"/>
      <c r="AE818" s="10" t="n"/>
      <c r="AF818" s="10" t="n"/>
      <c r="AG818" s="10" t="n"/>
    </row>
    <row r="819" ht="15.75" customHeight="1" s="134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  <c r="AD819" s="10" t="n"/>
      <c r="AE819" s="10" t="n"/>
      <c r="AF819" s="10" t="n"/>
      <c r="AG819" s="10" t="n"/>
    </row>
    <row r="820" ht="15.75" customHeight="1" s="1349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  <c r="AF820" s="10" t="n"/>
      <c r="AG820" s="10" t="n"/>
    </row>
    <row r="821" ht="15.75" customHeight="1" s="1349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  <c r="AD821" s="10" t="n"/>
      <c r="AE821" s="10" t="n"/>
      <c r="AF821" s="10" t="n"/>
      <c r="AG821" s="10" t="n"/>
    </row>
    <row r="822" ht="15.75" customHeight="1" s="1349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0" t="n"/>
    </row>
    <row r="823" ht="15.75" customHeight="1" s="1349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  <c r="AD823" s="10" t="n"/>
      <c r="AE823" s="10" t="n"/>
      <c r="AF823" s="10" t="n"/>
      <c r="AG823" s="10" t="n"/>
    </row>
    <row r="824" ht="15.75" customHeight="1" s="1349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  <c r="AF824" s="10" t="n"/>
      <c r="AG824" s="10" t="n"/>
    </row>
    <row r="825" ht="15.75" customHeight="1" s="1349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  <c r="AD825" s="10" t="n"/>
      <c r="AE825" s="10" t="n"/>
      <c r="AF825" s="10" t="n"/>
      <c r="AG825" s="10" t="n"/>
    </row>
    <row r="826" ht="15.75" customHeight="1" s="1349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  <c r="AD826" s="10" t="n"/>
      <c r="AE826" s="10" t="n"/>
      <c r="AF826" s="10" t="n"/>
      <c r="AG826" s="10" t="n"/>
    </row>
    <row r="827" ht="15.75" customHeight="1" s="1349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  <c r="AD827" s="10" t="n"/>
      <c r="AE827" s="10" t="n"/>
      <c r="AF827" s="10" t="n"/>
      <c r="AG827" s="10" t="n"/>
    </row>
    <row r="828" ht="15.75" customHeight="1" s="1349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  <c r="AF828" s="10" t="n"/>
      <c r="AG828" s="10" t="n"/>
    </row>
    <row r="829" ht="15.75" customHeight="1" s="134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  <c r="AD829" s="10" t="n"/>
      <c r="AE829" s="10" t="n"/>
      <c r="AF829" s="10" t="n"/>
      <c r="AG829" s="10" t="n"/>
    </row>
    <row r="830" ht="15.75" customHeight="1" s="1349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  <c r="AD830" s="10" t="n"/>
      <c r="AE830" s="10" t="n"/>
      <c r="AF830" s="10" t="n"/>
      <c r="AG830" s="10" t="n"/>
    </row>
    <row r="831" ht="15.75" customHeight="1" s="1349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  <c r="AD831" s="10" t="n"/>
      <c r="AE831" s="10" t="n"/>
      <c r="AF831" s="10" t="n"/>
      <c r="AG831" s="10" t="n"/>
    </row>
    <row r="832" ht="15.75" customHeight="1" s="1349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  <c r="AF832" s="10" t="n"/>
      <c r="AG832" s="10" t="n"/>
    </row>
    <row r="833" ht="15.75" customHeight="1" s="1349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  <c r="AD833" s="10" t="n"/>
      <c r="AE833" s="10" t="n"/>
      <c r="AF833" s="10" t="n"/>
      <c r="AG833" s="10" t="n"/>
    </row>
    <row r="834" ht="15.75" customHeight="1" s="1349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  <c r="AF834" s="10" t="n"/>
      <c r="AG834" s="10" t="n"/>
    </row>
    <row r="835" ht="15.75" customHeight="1" s="1349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  <c r="AD835" s="10" t="n"/>
      <c r="AE835" s="10" t="n"/>
      <c r="AF835" s="10" t="n"/>
      <c r="AG835" s="10" t="n"/>
    </row>
    <row r="836" ht="15.75" customHeight="1" s="1349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  <c r="AF836" s="10" t="n"/>
      <c r="AG836" s="10" t="n"/>
    </row>
    <row r="837" ht="15.75" customHeight="1" s="1349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  <c r="AD837" s="10" t="n"/>
      <c r="AE837" s="10" t="n"/>
      <c r="AF837" s="10" t="n"/>
      <c r="AG837" s="10" t="n"/>
    </row>
    <row r="838" ht="15.75" customHeight="1" s="1349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  <c r="AF838" s="10" t="n"/>
      <c r="AG838" s="10" t="n"/>
    </row>
    <row r="839" ht="15.75" customHeight="1" s="134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  <c r="AD839" s="10" t="n"/>
      <c r="AE839" s="10" t="n"/>
      <c r="AF839" s="10" t="n"/>
      <c r="AG839" s="10" t="n"/>
    </row>
    <row r="840" ht="15.75" customHeight="1" s="1349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  <c r="AD840" s="10" t="n"/>
      <c r="AE840" s="10" t="n"/>
      <c r="AF840" s="10" t="n"/>
      <c r="AG840" s="10" t="n"/>
    </row>
    <row r="841" ht="15.75" customHeight="1" s="1349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  <c r="AD841" s="10" t="n"/>
      <c r="AE841" s="10" t="n"/>
      <c r="AF841" s="10" t="n"/>
      <c r="AG841" s="10" t="n"/>
    </row>
    <row r="842" ht="15.75" customHeight="1" s="1349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  <c r="AD842" s="10" t="n"/>
      <c r="AE842" s="10" t="n"/>
      <c r="AF842" s="10" t="n"/>
      <c r="AG842" s="10" t="n"/>
    </row>
    <row r="843" ht="15.75" customHeight="1" s="1349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  <c r="AD843" s="10" t="n"/>
      <c r="AE843" s="10" t="n"/>
      <c r="AF843" s="10" t="n"/>
      <c r="AG843" s="10" t="n"/>
    </row>
    <row r="844" ht="15.75" customHeight="1" s="1349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  <c r="AD844" s="10" t="n"/>
      <c r="AE844" s="10" t="n"/>
      <c r="AF844" s="10" t="n"/>
      <c r="AG844" s="10" t="n"/>
    </row>
    <row r="845" ht="15.75" customHeight="1" s="1349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  <c r="AD845" s="10" t="n"/>
      <c r="AE845" s="10" t="n"/>
      <c r="AF845" s="10" t="n"/>
      <c r="AG845" s="10" t="n"/>
    </row>
    <row r="846" ht="15.75" customHeight="1" s="1349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  <c r="AF846" s="10" t="n"/>
      <c r="AG846" s="10" t="n"/>
    </row>
    <row r="847" ht="15.75" customHeight="1" s="1349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  <c r="AD847" s="10" t="n"/>
      <c r="AE847" s="10" t="n"/>
      <c r="AF847" s="10" t="n"/>
      <c r="AG847" s="10" t="n"/>
    </row>
    <row r="848" ht="15.75" customHeight="1" s="1349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  <c r="AF848" s="10" t="n"/>
      <c r="AG848" s="10" t="n"/>
    </row>
    <row r="849" ht="15.75" customHeight="1" s="13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  <c r="AD849" s="10" t="n"/>
      <c r="AE849" s="10" t="n"/>
      <c r="AF849" s="10" t="n"/>
      <c r="AG849" s="10" t="n"/>
    </row>
    <row r="850" ht="15.75" customHeight="1" s="1349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n"/>
    </row>
    <row r="851" ht="15.75" customHeight="1" s="1349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  <c r="AD851" s="10" t="n"/>
      <c r="AE851" s="10" t="n"/>
      <c r="AF851" s="10" t="n"/>
      <c r="AG851" s="10" t="n"/>
    </row>
    <row r="852" ht="15.75" customHeight="1" s="1349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  <c r="AD852" s="10" t="n"/>
      <c r="AE852" s="10" t="n"/>
      <c r="AF852" s="10" t="n"/>
      <c r="AG852" s="10" t="n"/>
    </row>
    <row r="853" ht="15.75" customHeight="1" s="1349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  <c r="AD853" s="10" t="n"/>
      <c r="AE853" s="10" t="n"/>
      <c r="AF853" s="10" t="n"/>
      <c r="AG853" s="10" t="n"/>
    </row>
    <row r="854" ht="15.75" customHeight="1" s="1349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  <c r="AF854" s="10" t="n"/>
      <c r="AG854" s="10" t="n"/>
    </row>
    <row r="855" ht="15.75" customHeight="1" s="1349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n"/>
    </row>
    <row r="856" ht="15.75" customHeight="1" s="1349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  <c r="AF856" s="10" t="n"/>
      <c r="AG856" s="10" t="n"/>
    </row>
    <row r="857" ht="15.75" customHeight="1" s="1349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  <c r="AD857" s="10" t="n"/>
      <c r="AE857" s="10" t="n"/>
      <c r="AF857" s="10" t="n"/>
      <c r="AG857" s="10" t="n"/>
    </row>
    <row r="858" ht="15.75" customHeight="1" s="1349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  <c r="AF858" s="10" t="n"/>
      <c r="AG858" s="10" t="n"/>
    </row>
    <row r="859" ht="15.75" customHeight="1" s="134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  <c r="AD859" s="10" t="n"/>
      <c r="AE859" s="10" t="n"/>
      <c r="AF859" s="10" t="n"/>
      <c r="AG859" s="10" t="n"/>
    </row>
    <row r="860" ht="15.75" customHeight="1" s="1349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  <c r="AF860" s="10" t="n"/>
      <c r="AG860" s="10" t="n"/>
    </row>
    <row r="861" ht="15.75" customHeight="1" s="1349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  <c r="AD861" s="10" t="n"/>
      <c r="AE861" s="10" t="n"/>
      <c r="AF861" s="10" t="n"/>
      <c r="AG861" s="10" t="n"/>
    </row>
    <row r="862" ht="15.75" customHeight="1" s="1349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  <c r="AF862" s="10" t="n"/>
      <c r="AG862" s="10" t="n"/>
    </row>
    <row r="863" ht="15.75" customHeight="1" s="1349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  <c r="AD863" s="10" t="n"/>
      <c r="AE863" s="10" t="n"/>
      <c r="AF863" s="10" t="n"/>
      <c r="AG863" s="10" t="n"/>
    </row>
    <row r="864" ht="15.75" customHeight="1" s="1349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0" t="n"/>
    </row>
    <row r="865" ht="15.75" customHeight="1" s="1349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  <c r="AD865" s="10" t="n"/>
      <c r="AE865" s="10" t="n"/>
      <c r="AF865" s="10" t="n"/>
      <c r="AG865" s="10" t="n"/>
    </row>
    <row r="866" ht="15.75" customHeight="1" s="1349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  <c r="AD866" s="10" t="n"/>
      <c r="AE866" s="10" t="n"/>
      <c r="AF866" s="10" t="n"/>
      <c r="AG866" s="10" t="n"/>
    </row>
    <row r="867" ht="15.75" customHeight="1" s="1349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  <c r="AD867" s="10" t="n"/>
      <c r="AE867" s="10" t="n"/>
      <c r="AF867" s="10" t="n"/>
      <c r="AG867" s="10" t="n"/>
    </row>
    <row r="868" ht="15.75" customHeight="1" s="1349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  <c r="AD868" s="10" t="n"/>
      <c r="AE868" s="10" t="n"/>
      <c r="AF868" s="10" t="n"/>
      <c r="AG868" s="10" t="n"/>
    </row>
    <row r="869" ht="15.75" customHeight="1" s="134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  <c r="AD869" s="10" t="n"/>
      <c r="AE869" s="10" t="n"/>
      <c r="AF869" s="10" t="n"/>
      <c r="AG869" s="10" t="n"/>
    </row>
    <row r="870" ht="15.75" customHeight="1" s="1349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  <c r="AD870" s="10" t="n"/>
      <c r="AE870" s="10" t="n"/>
      <c r="AF870" s="10" t="n"/>
      <c r="AG870" s="10" t="n"/>
    </row>
    <row r="871" ht="15.75" customHeight="1" s="1349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  <c r="AD871" s="10" t="n"/>
      <c r="AE871" s="10" t="n"/>
      <c r="AF871" s="10" t="n"/>
      <c r="AG871" s="10" t="n"/>
    </row>
    <row r="872" ht="15.75" customHeight="1" s="1349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  <c r="AD872" s="10" t="n"/>
      <c r="AE872" s="10" t="n"/>
      <c r="AF872" s="10" t="n"/>
      <c r="AG872" s="10" t="n"/>
    </row>
    <row r="873" ht="15.75" customHeight="1" s="1349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  <c r="AD873" s="10" t="n"/>
      <c r="AE873" s="10" t="n"/>
      <c r="AF873" s="10" t="n"/>
      <c r="AG873" s="10" t="n"/>
    </row>
    <row r="874" ht="15.75" customHeight="1" s="1349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  <c r="AF874" s="10" t="n"/>
      <c r="AG874" s="10" t="n"/>
    </row>
    <row r="875" ht="15.75" customHeight="1" s="1349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  <c r="AD875" s="10" t="n"/>
      <c r="AE875" s="10" t="n"/>
      <c r="AF875" s="10" t="n"/>
      <c r="AG875" s="10" t="n"/>
    </row>
    <row r="876" ht="15.75" customHeight="1" s="1349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  <c r="AF876" s="10" t="n"/>
      <c r="AG876" s="10" t="n"/>
    </row>
    <row r="877" ht="15.75" customHeight="1" s="1349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  <c r="AD877" s="10" t="n"/>
      <c r="AE877" s="10" t="n"/>
      <c r="AF877" s="10" t="n"/>
      <c r="AG877" s="10" t="n"/>
    </row>
    <row r="878" ht="15.75" customHeight="1" s="1349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  <c r="AF878" s="10" t="n"/>
      <c r="AG878" s="10" t="n"/>
    </row>
    <row r="879" ht="15.75" customHeight="1" s="134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  <c r="AD879" s="10" t="n"/>
      <c r="AE879" s="10" t="n"/>
      <c r="AF879" s="10" t="n"/>
      <c r="AG879" s="10" t="n"/>
    </row>
    <row r="880" ht="15.75" customHeight="1" s="1349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  <c r="AF880" s="10" t="n"/>
      <c r="AG880" s="10" t="n"/>
    </row>
    <row r="881" ht="15.75" customHeight="1" s="1349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  <c r="AD881" s="10" t="n"/>
      <c r="AE881" s="10" t="n"/>
      <c r="AF881" s="10" t="n"/>
      <c r="AG881" s="10" t="n"/>
    </row>
    <row r="882" ht="15.75" customHeight="1" s="1349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  <c r="AF882" s="10" t="n"/>
      <c r="AG882" s="10" t="n"/>
    </row>
    <row r="883" ht="15.75" customHeight="1" s="1349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  <c r="AD883" s="10" t="n"/>
      <c r="AE883" s="10" t="n"/>
      <c r="AF883" s="10" t="n"/>
      <c r="AG883" s="10" t="n"/>
    </row>
    <row r="884" ht="15.75" customHeight="1" s="1349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  <c r="AF884" s="10" t="n"/>
      <c r="AG884" s="10" t="n"/>
    </row>
    <row r="885" ht="15.75" customHeight="1" s="1349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  <c r="AD885" s="10" t="n"/>
      <c r="AE885" s="10" t="n"/>
      <c r="AF885" s="10" t="n"/>
      <c r="AG885" s="10" t="n"/>
    </row>
    <row r="886" ht="15.75" customHeight="1" s="1349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  <c r="AF886" s="10" t="n"/>
      <c r="AG886" s="10" t="n"/>
    </row>
    <row r="887" ht="15.75" customHeight="1" s="1349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  <c r="AD887" s="10" t="n"/>
      <c r="AE887" s="10" t="n"/>
      <c r="AF887" s="10" t="n"/>
      <c r="AG887" s="10" t="n"/>
    </row>
    <row r="888" ht="15.75" customHeight="1" s="1349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  <c r="AF888" s="10" t="n"/>
      <c r="AG888" s="10" t="n"/>
    </row>
    <row r="889" ht="15.75" customHeight="1" s="134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  <c r="AD889" s="10" t="n"/>
      <c r="AE889" s="10" t="n"/>
      <c r="AF889" s="10" t="n"/>
      <c r="AG889" s="10" t="n"/>
    </row>
    <row r="890" ht="15.75" customHeight="1" s="1349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  <c r="AD890" s="10" t="n"/>
      <c r="AE890" s="10" t="n"/>
      <c r="AF890" s="10" t="n"/>
      <c r="AG890" s="10" t="n"/>
    </row>
    <row r="891" ht="15.75" customHeight="1" s="1349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  <c r="AD891" s="10" t="n"/>
      <c r="AE891" s="10" t="n"/>
      <c r="AF891" s="10" t="n"/>
      <c r="AG891" s="10" t="n"/>
    </row>
    <row r="892" ht="15.75" customHeight="1" s="1349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  <c r="AD892" s="10" t="n"/>
      <c r="AE892" s="10" t="n"/>
      <c r="AF892" s="10" t="n"/>
      <c r="AG892" s="10" t="n"/>
    </row>
    <row r="893" ht="15.75" customHeight="1" s="1349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  <c r="AD893" s="10" t="n"/>
      <c r="AE893" s="10" t="n"/>
      <c r="AF893" s="10" t="n"/>
      <c r="AG893" s="10" t="n"/>
    </row>
    <row r="894" ht="15.75" customHeight="1" s="1349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  <c r="AD894" s="10" t="n"/>
      <c r="AE894" s="10" t="n"/>
      <c r="AF894" s="10" t="n"/>
      <c r="AG894" s="10" t="n"/>
    </row>
    <row r="895" ht="15.75" customHeight="1" s="1349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  <c r="AD895" s="10" t="n"/>
      <c r="AE895" s="10" t="n"/>
      <c r="AF895" s="10" t="n"/>
      <c r="AG895" s="10" t="n"/>
    </row>
    <row r="896" ht="15.75" customHeight="1" s="1349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  <c r="AD896" s="10" t="n"/>
      <c r="AE896" s="10" t="n"/>
      <c r="AF896" s="10" t="n"/>
      <c r="AG896" s="10" t="n"/>
    </row>
    <row r="897" ht="15.75" customHeight="1" s="1349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  <c r="AD897" s="10" t="n"/>
      <c r="AE897" s="10" t="n"/>
      <c r="AF897" s="10" t="n"/>
      <c r="AG897" s="10" t="n"/>
    </row>
    <row r="898" ht="15.75" customHeight="1" s="1349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  <c r="AD898" s="10" t="n"/>
      <c r="AE898" s="10" t="n"/>
      <c r="AF898" s="10" t="n"/>
      <c r="AG898" s="10" t="n"/>
    </row>
    <row r="899" ht="15.75" customHeight="1" s="134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  <c r="AD899" s="10" t="n"/>
      <c r="AE899" s="10" t="n"/>
      <c r="AF899" s="10" t="n"/>
      <c r="AG899" s="10" t="n"/>
    </row>
    <row r="900" ht="15.75" customHeight="1" s="1349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  <c r="AD900" s="10" t="n"/>
      <c r="AE900" s="10" t="n"/>
      <c r="AF900" s="10" t="n"/>
      <c r="AG900" s="10" t="n"/>
    </row>
    <row r="901" ht="15.75" customHeight="1" s="1349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  <c r="AD901" s="10" t="n"/>
      <c r="AE901" s="10" t="n"/>
      <c r="AF901" s="10" t="n"/>
      <c r="AG901" s="10" t="n"/>
    </row>
    <row r="902" ht="15.75" customHeight="1" s="1349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  <c r="AD902" s="10" t="n"/>
      <c r="AE902" s="10" t="n"/>
      <c r="AF902" s="10" t="n"/>
      <c r="AG902" s="10" t="n"/>
    </row>
    <row r="903" ht="15.75" customHeight="1" s="1349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  <c r="AD903" s="10" t="n"/>
      <c r="AE903" s="10" t="n"/>
      <c r="AF903" s="10" t="n"/>
      <c r="AG903" s="10" t="n"/>
    </row>
    <row r="904" ht="15.75" customHeight="1" s="1349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  <c r="AD904" s="10" t="n"/>
      <c r="AE904" s="10" t="n"/>
      <c r="AF904" s="10" t="n"/>
      <c r="AG904" s="10" t="n"/>
    </row>
    <row r="905" ht="15.75" customHeight="1" s="1349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  <c r="AD905" s="10" t="n"/>
      <c r="AE905" s="10" t="n"/>
      <c r="AF905" s="10" t="n"/>
      <c r="AG905" s="10" t="n"/>
    </row>
    <row r="906" ht="15.75" customHeight="1" s="1349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  <c r="AD906" s="10" t="n"/>
      <c r="AE906" s="10" t="n"/>
      <c r="AF906" s="10" t="n"/>
      <c r="AG906" s="10" t="n"/>
    </row>
    <row r="907" ht="15.75" customHeight="1" s="1349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  <c r="AD907" s="10" t="n"/>
      <c r="AE907" s="10" t="n"/>
      <c r="AF907" s="10" t="n"/>
      <c r="AG907" s="10" t="n"/>
    </row>
    <row r="908" ht="15.75" customHeight="1" s="1349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  <c r="AD908" s="10" t="n"/>
      <c r="AE908" s="10" t="n"/>
      <c r="AF908" s="10" t="n"/>
      <c r="AG908" s="10" t="n"/>
    </row>
    <row r="909" ht="15.75" customHeight="1" s="134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  <c r="AD909" s="10" t="n"/>
      <c r="AE909" s="10" t="n"/>
      <c r="AF909" s="10" t="n"/>
      <c r="AG909" s="10" t="n"/>
    </row>
    <row r="910" ht="15.75" customHeight="1" s="1349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  <c r="AD910" s="10" t="n"/>
      <c r="AE910" s="10" t="n"/>
      <c r="AF910" s="10" t="n"/>
      <c r="AG910" s="10" t="n"/>
    </row>
    <row r="911" ht="15.75" customHeight="1" s="1349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  <c r="AD911" s="10" t="n"/>
      <c r="AE911" s="10" t="n"/>
      <c r="AF911" s="10" t="n"/>
      <c r="AG911" s="10" t="n"/>
    </row>
    <row r="912" ht="15.75" customHeight="1" s="1349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  <c r="AD912" s="10" t="n"/>
      <c r="AE912" s="10" t="n"/>
      <c r="AF912" s="10" t="n"/>
      <c r="AG912" s="10" t="n"/>
    </row>
    <row r="913" ht="15.75" customHeight="1" s="1349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  <c r="AD913" s="10" t="n"/>
      <c r="AE913" s="10" t="n"/>
      <c r="AF913" s="10" t="n"/>
      <c r="AG913" s="10" t="n"/>
    </row>
    <row r="914" ht="15.75" customHeight="1" s="1349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  <c r="AD914" s="10" t="n"/>
      <c r="AE914" s="10" t="n"/>
      <c r="AF914" s="10" t="n"/>
      <c r="AG914" s="10" t="n"/>
    </row>
    <row r="915" ht="15.75" customHeight="1" s="1349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  <c r="AD915" s="10" t="n"/>
      <c r="AE915" s="10" t="n"/>
      <c r="AF915" s="10" t="n"/>
      <c r="AG915" s="10" t="n"/>
    </row>
    <row r="916" ht="15.75" customHeight="1" s="1349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  <c r="AD916" s="10" t="n"/>
      <c r="AE916" s="10" t="n"/>
      <c r="AF916" s="10" t="n"/>
      <c r="AG916" s="10" t="n"/>
    </row>
    <row r="917" ht="15.75" customHeight="1" s="1349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  <c r="AD917" s="10" t="n"/>
      <c r="AE917" s="10" t="n"/>
      <c r="AF917" s="10" t="n"/>
      <c r="AG917" s="10" t="n"/>
    </row>
    <row r="918" ht="15.75" customHeight="1" s="1349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  <c r="AD918" s="10" t="n"/>
      <c r="AE918" s="10" t="n"/>
      <c r="AF918" s="10" t="n"/>
      <c r="AG918" s="10" t="n"/>
    </row>
    <row r="919" ht="15.75" customHeight="1" s="134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  <c r="AD919" s="10" t="n"/>
      <c r="AE919" s="10" t="n"/>
      <c r="AF919" s="10" t="n"/>
      <c r="AG919" s="10" t="n"/>
    </row>
    <row r="920" ht="15.75" customHeight="1" s="1349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  <c r="AD920" s="10" t="n"/>
      <c r="AE920" s="10" t="n"/>
      <c r="AF920" s="10" t="n"/>
      <c r="AG920" s="10" t="n"/>
    </row>
    <row r="921" ht="15.75" customHeight="1" s="1349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  <c r="AD921" s="10" t="n"/>
      <c r="AE921" s="10" t="n"/>
      <c r="AF921" s="10" t="n"/>
      <c r="AG921" s="10" t="n"/>
    </row>
    <row r="922" ht="15.75" customHeight="1" s="1349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  <c r="AD922" s="10" t="n"/>
      <c r="AE922" s="10" t="n"/>
      <c r="AF922" s="10" t="n"/>
      <c r="AG922" s="10" t="n"/>
    </row>
    <row r="923" ht="15.75" customHeight="1" s="1349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  <c r="AD923" s="10" t="n"/>
      <c r="AE923" s="10" t="n"/>
      <c r="AF923" s="10" t="n"/>
      <c r="AG923" s="10" t="n"/>
    </row>
    <row r="924" ht="15.75" customHeight="1" s="1349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  <c r="AD924" s="10" t="n"/>
      <c r="AE924" s="10" t="n"/>
      <c r="AF924" s="10" t="n"/>
      <c r="AG924" s="10" t="n"/>
    </row>
    <row r="925" ht="15.75" customHeight="1" s="1349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  <c r="AD925" s="10" t="n"/>
      <c r="AE925" s="10" t="n"/>
      <c r="AF925" s="10" t="n"/>
      <c r="AG925" s="10" t="n"/>
    </row>
    <row r="926" ht="15.75" customHeight="1" s="1349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  <c r="AD926" s="10" t="n"/>
      <c r="AE926" s="10" t="n"/>
      <c r="AF926" s="10" t="n"/>
      <c r="AG926" s="10" t="n"/>
    </row>
    <row r="927" ht="15.75" customHeight="1" s="1349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  <c r="AD927" s="10" t="n"/>
      <c r="AE927" s="10" t="n"/>
      <c r="AF927" s="10" t="n"/>
      <c r="AG927" s="10" t="n"/>
    </row>
    <row r="928" ht="15.75" customHeight="1" s="1349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  <c r="AD928" s="10" t="n"/>
      <c r="AE928" s="10" t="n"/>
      <c r="AF928" s="10" t="n"/>
      <c r="AG928" s="10" t="n"/>
    </row>
    <row r="929" ht="15.75" customHeight="1" s="134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  <c r="AD929" s="10" t="n"/>
      <c r="AE929" s="10" t="n"/>
      <c r="AF929" s="10" t="n"/>
      <c r="AG929" s="10" t="n"/>
    </row>
    <row r="930" ht="15.75" customHeight="1" s="1349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  <c r="AD930" s="10" t="n"/>
      <c r="AE930" s="10" t="n"/>
      <c r="AF930" s="10" t="n"/>
      <c r="AG930" s="10" t="n"/>
    </row>
    <row r="931" ht="15.75" customHeight="1" s="1349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  <c r="AD931" s="10" t="n"/>
      <c r="AE931" s="10" t="n"/>
      <c r="AF931" s="10" t="n"/>
      <c r="AG931" s="10" t="n"/>
    </row>
    <row r="932" ht="15.75" customHeight="1" s="1349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  <c r="AD932" s="10" t="n"/>
      <c r="AE932" s="10" t="n"/>
      <c r="AF932" s="10" t="n"/>
      <c r="AG932" s="10" t="n"/>
    </row>
    <row r="933" ht="15.75" customHeight="1" s="1349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  <c r="AD933" s="10" t="n"/>
      <c r="AE933" s="10" t="n"/>
      <c r="AF933" s="10" t="n"/>
      <c r="AG933" s="10" t="n"/>
    </row>
    <row r="934" ht="15.75" customHeight="1" s="1349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  <c r="AD934" s="10" t="n"/>
      <c r="AE934" s="10" t="n"/>
      <c r="AF934" s="10" t="n"/>
      <c r="AG934" s="10" t="n"/>
    </row>
    <row r="935" ht="15.75" customHeight="1" s="1349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</row>
    <row r="936" ht="15.75" customHeight="1" s="1349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  <c r="AD936" s="10" t="n"/>
      <c r="AE936" s="10" t="n"/>
      <c r="AF936" s="10" t="n"/>
      <c r="AG936" s="10" t="n"/>
    </row>
    <row r="937" ht="15.75" customHeight="1" s="1349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  <c r="AD937" s="10" t="n"/>
      <c r="AE937" s="10" t="n"/>
      <c r="AF937" s="10" t="n"/>
      <c r="AG937" s="10" t="n"/>
    </row>
    <row r="938" ht="15.75" customHeight="1" s="1349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  <c r="AF938" s="10" t="n"/>
      <c r="AG938" s="10" t="n"/>
    </row>
    <row r="939" ht="15.75" customHeight="1" s="134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  <c r="AD939" s="10" t="n"/>
      <c r="AE939" s="10" t="n"/>
      <c r="AF939" s="10" t="n"/>
      <c r="AG939" s="10" t="n"/>
    </row>
    <row r="940" ht="15.75" customHeight="1" s="1349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  <c r="AD940" s="10" t="n"/>
      <c r="AE940" s="10" t="n"/>
      <c r="AF940" s="10" t="n"/>
      <c r="AG940" s="10" t="n"/>
    </row>
    <row r="941" ht="15.75" customHeight="1" s="1349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  <c r="AD941" s="10" t="n"/>
      <c r="AE941" s="10" t="n"/>
      <c r="AF941" s="10" t="n"/>
      <c r="AG941" s="10" t="n"/>
    </row>
    <row r="942" ht="15.75" customHeight="1" s="1349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  <c r="AD942" s="10" t="n"/>
      <c r="AE942" s="10" t="n"/>
      <c r="AF942" s="10" t="n"/>
      <c r="AG942" s="10" t="n"/>
    </row>
    <row r="943" ht="15.75" customHeight="1" s="1349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  <c r="AD943" s="10" t="n"/>
      <c r="AE943" s="10" t="n"/>
      <c r="AF943" s="10" t="n"/>
      <c r="AG943" s="10" t="n"/>
    </row>
    <row r="944" ht="15.75" customHeight="1" s="1349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  <c r="AD944" s="10" t="n"/>
      <c r="AE944" s="10" t="n"/>
      <c r="AF944" s="10" t="n"/>
      <c r="AG944" s="10" t="n"/>
    </row>
    <row r="945" ht="15.75" customHeight="1" s="1349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  <c r="AD945" s="10" t="n"/>
      <c r="AE945" s="10" t="n"/>
      <c r="AF945" s="10" t="n"/>
      <c r="AG945" s="10" t="n"/>
    </row>
    <row r="946" ht="15.75" customHeight="1" s="1349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  <c r="AF946" s="10" t="n"/>
      <c r="AG946" s="10" t="n"/>
    </row>
    <row r="947" ht="15.75" customHeight="1" s="1349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  <c r="AD947" s="10" t="n"/>
      <c r="AE947" s="10" t="n"/>
      <c r="AF947" s="10" t="n"/>
      <c r="AG947" s="10" t="n"/>
    </row>
    <row r="948" ht="15.75" customHeight="1" s="1349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  <c r="AD948" s="10" t="n"/>
      <c r="AE948" s="10" t="n"/>
      <c r="AF948" s="10" t="n"/>
      <c r="AG948" s="10" t="n"/>
    </row>
    <row r="949" ht="15.75" customHeight="1" s="13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  <c r="AD949" s="10" t="n"/>
      <c r="AE949" s="10" t="n"/>
      <c r="AF949" s="10" t="n"/>
      <c r="AG949" s="10" t="n"/>
    </row>
    <row r="950" ht="15.75" customHeight="1" s="1349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  <c r="AD950" s="10" t="n"/>
      <c r="AE950" s="10" t="n"/>
      <c r="AF950" s="10" t="n"/>
      <c r="AG950" s="10" t="n"/>
    </row>
    <row r="951" ht="15.75" customHeight="1" s="1349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  <c r="AD951" s="10" t="n"/>
      <c r="AE951" s="10" t="n"/>
      <c r="AF951" s="10" t="n"/>
      <c r="AG951" s="10" t="n"/>
    </row>
    <row r="952" ht="15.75" customHeight="1" s="1349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  <c r="AD952" s="10" t="n"/>
      <c r="AE952" s="10" t="n"/>
      <c r="AF952" s="10" t="n"/>
      <c r="AG952" s="10" t="n"/>
    </row>
    <row r="953" ht="15.75" customHeight="1" s="1349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  <c r="AD953" s="10" t="n"/>
      <c r="AE953" s="10" t="n"/>
      <c r="AF953" s="10" t="n"/>
      <c r="AG953" s="10" t="n"/>
    </row>
    <row r="954" ht="15.75" customHeight="1" s="1349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  <c r="AD954" s="10" t="n"/>
      <c r="AE954" s="10" t="n"/>
      <c r="AF954" s="10" t="n"/>
      <c r="AG954" s="10" t="n"/>
    </row>
    <row r="955" ht="15.75" customHeight="1" s="1349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  <c r="AD955" s="10" t="n"/>
      <c r="AE955" s="10" t="n"/>
      <c r="AF955" s="10" t="n"/>
      <c r="AG955" s="10" t="n"/>
    </row>
    <row r="956" ht="15.75" customHeight="1" s="1349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  <c r="AD956" s="10" t="n"/>
      <c r="AE956" s="10" t="n"/>
      <c r="AF956" s="10" t="n"/>
      <c r="AG956" s="10" t="n"/>
    </row>
    <row r="957" ht="15.75" customHeight="1" s="1349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  <c r="AD957" s="10" t="n"/>
      <c r="AE957" s="10" t="n"/>
      <c r="AF957" s="10" t="n"/>
      <c r="AG957" s="10" t="n"/>
    </row>
    <row r="958" ht="15.75" customHeight="1" s="1349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  <c r="AF958" s="10" t="n"/>
      <c r="AG958" s="10" t="n"/>
    </row>
    <row r="959" ht="15.75" customHeight="1" s="134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  <c r="AD959" s="10" t="n"/>
      <c r="AE959" s="10" t="n"/>
      <c r="AF959" s="10" t="n"/>
      <c r="AG959" s="10" t="n"/>
    </row>
    <row r="960" ht="15.75" customHeight="1" s="1349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  <c r="AD960" s="10" t="n"/>
      <c r="AE960" s="10" t="n"/>
      <c r="AF960" s="10" t="n"/>
      <c r="AG960" s="10" t="n"/>
    </row>
    <row r="961" ht="15.75" customHeight="1" s="1349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  <c r="AD961" s="10" t="n"/>
      <c r="AE961" s="10" t="n"/>
      <c r="AF961" s="10" t="n"/>
      <c r="AG961" s="10" t="n"/>
    </row>
    <row r="962" ht="15.75" customHeight="1" s="1349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  <c r="AD962" s="10" t="n"/>
      <c r="AE962" s="10" t="n"/>
      <c r="AF962" s="10" t="n"/>
      <c r="AG962" s="10" t="n"/>
    </row>
    <row r="963" ht="15.75" customHeight="1" s="1349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  <c r="AD963" s="10" t="n"/>
      <c r="AE963" s="10" t="n"/>
      <c r="AF963" s="10" t="n"/>
      <c r="AG963" s="10" t="n"/>
    </row>
    <row r="964" ht="15.75" customHeight="1" s="1349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  <c r="AF964" s="10" t="n"/>
      <c r="AG964" s="10" t="n"/>
    </row>
    <row r="965" ht="15.75" customHeight="1" s="1349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  <c r="AD965" s="10" t="n"/>
      <c r="AE965" s="10" t="n"/>
      <c r="AF965" s="10" t="n"/>
      <c r="AG965" s="10" t="n"/>
    </row>
    <row r="966" ht="15.75" customHeight="1" s="1349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  <c r="AD966" s="10" t="n"/>
      <c r="AE966" s="10" t="n"/>
      <c r="AF966" s="10" t="n"/>
      <c r="AG966" s="10" t="n"/>
    </row>
    <row r="967" ht="15.75" customHeight="1" s="1349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  <c r="AD967" s="10" t="n"/>
      <c r="AE967" s="10" t="n"/>
      <c r="AF967" s="10" t="n"/>
      <c r="AG967" s="10" t="n"/>
    </row>
    <row r="968" ht="15.75" customHeight="1" s="1349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  <c r="AD968" s="10" t="n"/>
      <c r="AE968" s="10" t="n"/>
      <c r="AF968" s="10" t="n"/>
      <c r="AG968" s="10" t="n"/>
    </row>
    <row r="969" ht="15.75" customHeight="1" s="134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  <c r="AD969" s="10" t="n"/>
      <c r="AE969" s="10" t="n"/>
      <c r="AF969" s="10" t="n"/>
      <c r="AG969" s="10" t="n"/>
    </row>
    <row r="970" ht="15.75" customHeight="1" s="1349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  <c r="AD970" s="10" t="n"/>
      <c r="AE970" s="10" t="n"/>
      <c r="AF970" s="10" t="n"/>
      <c r="AG970" s="10" t="n"/>
    </row>
    <row r="971" ht="15.75" customHeight="1" s="1349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  <c r="AD971" s="10" t="n"/>
      <c r="AE971" s="10" t="n"/>
      <c r="AF971" s="10" t="n"/>
      <c r="AG971" s="10" t="n"/>
    </row>
    <row r="972" ht="15.75" customHeight="1" s="1349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  <c r="AD972" s="10" t="n"/>
      <c r="AE972" s="10" t="n"/>
      <c r="AF972" s="10" t="n"/>
      <c r="AG972" s="10" t="n"/>
    </row>
    <row r="973" ht="15.75" customHeight="1" s="1349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</row>
    <row r="974" ht="15.75" customHeight="1" s="1349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  <c r="AF974" s="10" t="n"/>
      <c r="AG974" s="10" t="n"/>
    </row>
    <row r="975" ht="15.75" customHeight="1" s="1349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  <c r="AD975" s="10" t="n"/>
      <c r="AE975" s="10" t="n"/>
      <c r="AF975" s="10" t="n"/>
      <c r="AG975" s="10" t="n"/>
    </row>
    <row r="976" ht="15.75" customHeight="1" s="1349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  <c r="AD976" s="10" t="n"/>
      <c r="AE976" s="10" t="n"/>
      <c r="AF976" s="10" t="n"/>
      <c r="AG976" s="10" t="n"/>
    </row>
    <row r="977" ht="15.75" customHeight="1" s="1349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  <c r="AD977" s="10" t="n"/>
      <c r="AE977" s="10" t="n"/>
      <c r="AF977" s="10" t="n"/>
      <c r="AG977" s="10" t="n"/>
    </row>
    <row r="978" ht="15.75" customHeight="1" s="1349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  <c r="AF978" s="10" t="n"/>
      <c r="AG978" s="10" t="n"/>
    </row>
    <row r="979" ht="15.75" customHeight="1" s="134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  <c r="AD979" s="10" t="n"/>
      <c r="AE979" s="10" t="n"/>
      <c r="AF979" s="10" t="n"/>
      <c r="AG979" s="10" t="n"/>
    </row>
    <row r="980" ht="15.75" customHeight="1" s="1349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  <c r="AD980" s="10" t="n"/>
      <c r="AE980" s="10" t="n"/>
      <c r="AF980" s="10" t="n"/>
      <c r="AG980" s="10" t="n"/>
    </row>
    <row r="981" ht="15.75" customHeight="1" s="1349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  <c r="AD981" s="10" t="n"/>
      <c r="AE981" s="10" t="n"/>
      <c r="AF981" s="10" t="n"/>
      <c r="AG981" s="10" t="n"/>
    </row>
    <row r="982" ht="15.75" customHeight="1" s="1349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  <c r="AD982" s="10" t="n"/>
      <c r="AE982" s="10" t="n"/>
      <c r="AF982" s="10" t="n"/>
      <c r="AG982" s="10" t="n"/>
    </row>
    <row r="983" ht="15.75" customHeight="1" s="1349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  <c r="AD983" s="10" t="n"/>
      <c r="AE983" s="10" t="n"/>
      <c r="AF983" s="10" t="n"/>
      <c r="AG983" s="10" t="n"/>
    </row>
    <row r="984" ht="15.75" customHeight="1" s="1349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  <c r="AD984" s="10" t="n"/>
      <c r="AE984" s="10" t="n"/>
      <c r="AF984" s="10" t="n"/>
      <c r="AG984" s="10" t="n"/>
    </row>
    <row r="985" ht="15.75" customHeight="1" s="1349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  <c r="AD985" s="10" t="n"/>
      <c r="AE985" s="10" t="n"/>
      <c r="AF985" s="10" t="n"/>
      <c r="AG985" s="10" t="n"/>
    </row>
    <row r="986" ht="15.75" customHeight="1" s="1349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  <c r="AD986" s="10" t="n"/>
      <c r="AE986" s="10" t="n"/>
      <c r="AF986" s="10" t="n"/>
      <c r="AG986" s="10" t="n"/>
    </row>
    <row r="987" ht="15.75" customHeight="1" s="1349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  <c r="AD987" s="10" t="n"/>
      <c r="AE987" s="10" t="n"/>
      <c r="AF987" s="10" t="n"/>
      <c r="AG987" s="10" t="n"/>
    </row>
    <row r="988" ht="15.75" customHeight="1" s="1349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  <c r="AD988" s="10" t="n"/>
      <c r="AE988" s="10" t="n"/>
      <c r="AF988" s="10" t="n"/>
      <c r="AG988" s="10" t="n"/>
    </row>
    <row r="989" ht="15.75" customHeight="1" s="134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  <c r="AD989" s="10" t="n"/>
      <c r="AE989" s="10" t="n"/>
      <c r="AF989" s="10" t="n"/>
      <c r="AG989" s="10" t="n"/>
    </row>
    <row r="990" ht="15.75" customHeight="1" s="1349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  <c r="AD990" s="10" t="n"/>
      <c r="AE990" s="10" t="n"/>
      <c r="AF990" s="10" t="n"/>
      <c r="AG990" s="10" t="n"/>
    </row>
    <row r="991" ht="15.75" customHeight="1" s="1349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  <c r="AD991" s="10" t="n"/>
      <c r="AE991" s="10" t="n"/>
      <c r="AF991" s="10" t="n"/>
      <c r="AG991" s="10" t="n"/>
    </row>
    <row r="992" ht="15.75" customHeight="1" s="1349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  <c r="AD992" s="10" t="n"/>
      <c r="AE992" s="10" t="n"/>
      <c r="AF992" s="10" t="n"/>
      <c r="AG992" s="10" t="n"/>
    </row>
    <row r="993" ht="15.75" customHeight="1" s="1349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  <c r="AD993" s="10" t="n"/>
      <c r="AE993" s="10" t="n"/>
      <c r="AF993" s="10" t="n"/>
      <c r="AG993" s="10" t="n"/>
    </row>
    <row r="994" ht="15.75" customHeight="1" s="1349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  <c r="AD994" s="10" t="n"/>
      <c r="AE994" s="10" t="n"/>
      <c r="AF994" s="10" t="n"/>
      <c r="AG994" s="10" t="n"/>
    </row>
    <row r="995" ht="15.75" customHeight="1" s="1349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  <c r="AD995" s="10" t="n"/>
      <c r="AE995" s="10" t="n"/>
      <c r="AF995" s="10" t="n"/>
      <c r="AG995" s="10" t="n"/>
    </row>
    <row r="996" ht="15.75" customHeight="1" s="1349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  <c r="AD996" s="10" t="n"/>
      <c r="AE996" s="10" t="n"/>
      <c r="AF996" s="10" t="n"/>
      <c r="AG996" s="10" t="n"/>
    </row>
    <row r="997" ht="15.75" customHeight="1" s="1349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  <c r="AD997" s="10" t="n"/>
      <c r="AE997" s="10" t="n"/>
      <c r="AF997" s="10" t="n"/>
      <c r="AG997" s="10" t="n"/>
    </row>
    <row r="998" ht="15.75" customHeight="1" s="1349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  <c r="AD998" s="10" t="n"/>
      <c r="AE998" s="10" t="n"/>
      <c r="AF998" s="10" t="n"/>
      <c r="AG998" s="10" t="n"/>
    </row>
    <row r="999" ht="15.75" customHeight="1" s="134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  <c r="AD999" s="10" t="n"/>
      <c r="AE999" s="10" t="n"/>
      <c r="AF999" s="10" t="n"/>
      <c r="AG999" s="10" t="n"/>
    </row>
    <row r="1000" ht="15.75" customHeight="1" s="1349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  <c r="AD1000" s="10" t="n"/>
      <c r="AE1000" s="10" t="n"/>
      <c r="AF1000" s="10" t="n"/>
      <c r="AG1000" s="10" t="n"/>
    </row>
    <row r="1001" ht="15.75" customHeight="1" s="1349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  <c r="AC1001" s="10" t="n"/>
      <c r="AD1001" s="10" t="n"/>
      <c r="AE1001" s="10" t="n"/>
      <c r="AF1001" s="10" t="n"/>
      <c r="AG1001" s="10" t="n"/>
    </row>
    <row r="1002" ht="15.75" customHeight="1" s="1349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  <c r="AC1002" s="10" t="n"/>
      <c r="AD1002" s="10" t="n"/>
      <c r="AE1002" s="10" t="n"/>
      <c r="AF1002" s="10" t="n"/>
      <c r="AG1002" s="10" t="n"/>
    </row>
    <row r="1003" ht="15.75" customHeight="1" s="1349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  <c r="AA1003" s="10" t="n"/>
      <c r="AB1003" s="10" t="n"/>
      <c r="AC1003" s="10" t="n"/>
      <c r="AD1003" s="10" t="n"/>
      <c r="AE1003" s="10" t="n"/>
      <c r="AF1003" s="10" t="n"/>
      <c r="AG1003" s="10" t="n"/>
    </row>
    <row r="1004" ht="15.75" customHeight="1" s="1349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  <c r="AA1004" s="10" t="n"/>
      <c r="AB1004" s="10" t="n"/>
      <c r="AC1004" s="10" t="n"/>
      <c r="AD1004" s="10" t="n"/>
      <c r="AE1004" s="10" t="n"/>
      <c r="AF1004" s="10" t="n"/>
      <c r="AG1004" s="10" t="n"/>
    </row>
    <row r="1005" ht="15.75" customHeight="1" s="1349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  <c r="AA1005" s="10" t="n"/>
      <c r="AB1005" s="10" t="n"/>
      <c r="AC1005" s="10" t="n"/>
      <c r="AD1005" s="10" t="n"/>
      <c r="AE1005" s="10" t="n"/>
      <c r="AF1005" s="10" t="n"/>
      <c r="AG1005" s="10" t="n"/>
    </row>
    <row r="1006" ht="15.75" customHeight="1" s="1349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  <c r="AD1006" s="10" t="n"/>
      <c r="AE1006" s="10" t="n"/>
      <c r="AF1006" s="10" t="n"/>
      <c r="AG1006" s="10" t="n"/>
    </row>
    <row r="1007" ht="15.75" customHeight="1" s="1349">
      <c r="A1007" s="10" t="n"/>
      <c r="B1007" s="10" t="n"/>
      <c r="C1007" s="10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  <c r="S1007" s="10" t="n"/>
      <c r="T1007" s="10" t="n"/>
      <c r="U1007" s="10" t="n"/>
      <c r="V1007" s="10" t="n"/>
      <c r="W1007" s="10" t="n"/>
      <c r="X1007" s="10" t="n"/>
      <c r="Y1007" s="10" t="n"/>
      <c r="Z1007" s="10" t="n"/>
      <c r="AA1007" s="10" t="n"/>
      <c r="AB1007" s="10" t="n"/>
      <c r="AC1007" s="10" t="n"/>
      <c r="AD1007" s="10" t="n"/>
      <c r="AE1007" s="10" t="n"/>
      <c r="AF1007" s="10" t="n"/>
      <c r="AG1007" s="10" t="n"/>
    </row>
    <row r="1008" ht="15.75" customHeight="1" s="1349">
      <c r="A1008" s="10" t="n"/>
      <c r="B1008" s="10" t="n"/>
      <c r="C1008" s="10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  <c r="S1008" s="10" t="n"/>
      <c r="T1008" s="10" t="n"/>
      <c r="U1008" s="10" t="n"/>
      <c r="V1008" s="10" t="n"/>
      <c r="W1008" s="10" t="n"/>
      <c r="X1008" s="10" t="n"/>
      <c r="Y1008" s="10" t="n"/>
      <c r="Z1008" s="10" t="n"/>
      <c r="AA1008" s="10" t="n"/>
      <c r="AB1008" s="10" t="n"/>
      <c r="AC1008" s="10" t="n"/>
      <c r="AD1008" s="10" t="n"/>
      <c r="AE1008" s="10" t="n"/>
      <c r="AF1008" s="10" t="n"/>
      <c r="AG1008" s="10" t="n"/>
    </row>
    <row r="1009" ht="15.75" customHeight="1" s="1349">
      <c r="A1009" s="10" t="n"/>
      <c r="B1009" s="10" t="n"/>
      <c r="C1009" s="10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  <c r="S1009" s="10" t="n"/>
      <c r="T1009" s="10" t="n"/>
      <c r="U1009" s="10" t="n"/>
      <c r="V1009" s="10" t="n"/>
      <c r="W1009" s="10" t="n"/>
      <c r="X1009" s="10" t="n"/>
      <c r="Y1009" s="10" t="n"/>
      <c r="Z1009" s="10" t="n"/>
      <c r="AA1009" s="10" t="n"/>
      <c r="AB1009" s="10" t="n"/>
      <c r="AC1009" s="10" t="n"/>
      <c r="AD1009" s="10" t="n"/>
      <c r="AE1009" s="10" t="n"/>
      <c r="AF1009" s="10" t="n"/>
      <c r="AG1009" s="10" t="n"/>
    </row>
  </sheetData>
  <conditionalFormatting sqref="A58:R58">
    <cfRule type="expression" priority="1" dxfId="5">
      <formula>$R58="sem estoque"</formula>
    </cfRule>
  </conditionalFormatting>
  <conditionalFormatting sqref="Q57:Q58">
    <cfRule type="cellIs" priority="2" operator="lessThan" dxfId="6">
      <formula>"10%"</formula>
    </cfRule>
    <cfRule type="cellIs" priority="3" operator="greaterThan" dxfId="7">
      <formula>"9.99%"</formula>
    </cfRule>
  </conditionalFormatting>
  <conditionalFormatting sqref="A57:R58">
    <cfRule type="expression" priority="4" dxfId="8">
      <formula>$R57="Sem Estoque"</formula>
    </cfRule>
    <cfRule type="expression" priority="5" dxfId="9">
      <formula>$R57="Estoque encalhado"</formula>
    </cfRule>
  </conditionalFormatting>
  <conditionalFormatting sqref="G57:G58">
    <cfRule type="expression" priority="6" dxfId="10">
      <formula>AND(ROUND(G57/F57,2)&gt;=0.149, ROUND(G57/F57,2)&lt;=0.3)</formula>
    </cfRule>
    <cfRule type="expression" priority="7" dxfId="11">
      <formula>ROUND(G57/F57,2)&lt;=0.149</formula>
    </cfRule>
  </conditionalFormatting>
  <conditionalFormatting sqref="Q55">
    <cfRule type="cellIs" priority="8" operator="greaterThan" dxfId="7">
      <formula>"9.99%"</formula>
    </cfRule>
    <cfRule type="cellIs" priority="9" operator="lessThan" dxfId="6">
      <formula>"10%"</formula>
    </cfRule>
  </conditionalFormatting>
  <conditionalFormatting sqref="G55">
    <cfRule type="expression" priority="10" dxfId="11">
      <formula>ROUND(G55/F55,2)&lt;=0.149</formula>
    </cfRule>
    <cfRule type="expression" priority="11" dxfId="10">
      <formula>AND(ROUND(G55/F55,2)&gt;=0.149, ROUND(G55/F55,2)&lt;=0.3)</formula>
    </cfRule>
  </conditionalFormatting>
  <conditionalFormatting sqref="A55:R55">
    <cfRule type="expression" priority="12" dxfId="9">
      <formula>$R55="Estoque encalhado"</formula>
    </cfRule>
    <cfRule type="expression" priority="13" dxfId="8">
      <formula>$R55="Sem Estoque"</formula>
    </cfRule>
  </conditionalFormatting>
  <conditionalFormatting sqref="A53:R53">
    <cfRule type="expression" priority="14" dxfId="8">
      <formula>$R53="Sem Estoque"</formula>
    </cfRule>
    <cfRule type="expression" priority="15" dxfId="9">
      <formula>$R53="Estoque encalhado"</formula>
    </cfRule>
  </conditionalFormatting>
  <conditionalFormatting sqref="G53">
    <cfRule type="expression" priority="16" dxfId="10">
      <formula>AND(ROUND(G53/F53,2)&gt;=0.149, ROUND(G53/F53,2)&lt;=0.3)</formula>
    </cfRule>
    <cfRule type="expression" priority="17" dxfId="11">
      <formula>ROUND(G53/F53,2)&lt;=0.149</formula>
    </cfRule>
  </conditionalFormatting>
  <conditionalFormatting sqref="Q53">
    <cfRule type="cellIs" priority="18" operator="lessThan" dxfId="6">
      <formula>"10%"</formula>
    </cfRule>
    <cfRule type="cellIs" priority="19" operator="greaterThan" dxfId="7">
      <formula>"9.99%"</formula>
    </cfRule>
  </conditionalFormatting>
  <conditionalFormatting sqref="Q32 Q58">
    <cfRule type="cellIs" priority="20" operator="greaterThan" dxfId="7">
      <formula>"10%"</formula>
    </cfRule>
    <cfRule type="cellIs" priority="21" operator="lessThan" dxfId="12">
      <formula>9.99%</formula>
    </cfRule>
  </conditionalFormatting>
  <conditionalFormatting sqref="Q52">
    <cfRule type="cellIs" priority="22" operator="greaterThan" dxfId="7">
      <formula>"9.99%"</formula>
    </cfRule>
    <cfRule type="cellIs" priority="23" operator="lessThan" dxfId="6">
      <formula>"10%"</formula>
    </cfRule>
  </conditionalFormatting>
  <conditionalFormatting sqref="G52">
    <cfRule type="expression" priority="24" dxfId="11">
      <formula>ROUND(G52/F52,2)&lt;=0.149</formula>
    </cfRule>
    <cfRule type="expression" priority="25" dxfId="10">
      <formula>AND(ROUND(G52/F52,2)&gt;=0.149, ROUND(G52/F52,2)&lt;=0.3)</formula>
    </cfRule>
  </conditionalFormatting>
  <conditionalFormatting sqref="A52:R52">
    <cfRule type="expression" priority="26" dxfId="9">
      <formula>$R52="Estoque encalhado"</formula>
    </cfRule>
    <cfRule type="expression" priority="27" dxfId="8">
      <formula>$R52="Sem Estoque"</formula>
    </cfRule>
  </conditionalFormatting>
  <conditionalFormatting sqref="G51">
    <cfRule type="expression" priority="28" dxfId="11">
      <formula>ROUND(G51/F51,2)&lt;=0.149</formula>
    </cfRule>
    <cfRule type="expression" priority="29" dxfId="10">
      <formula>AND(ROUND(G51/F51,2)&gt;=0.149, ROUND(H51/G51,2)&lt;=0.3)</formula>
    </cfRule>
  </conditionalFormatting>
  <conditionalFormatting sqref="Q51 Q59">
    <cfRule type="cellIs" priority="30" operator="greaterThan" dxfId="13">
      <formula>"10%"</formula>
    </cfRule>
    <cfRule type="cellIs" priority="31" operator="lessThan" dxfId="14">
      <formula>"10%"</formula>
    </cfRule>
  </conditionalFormatting>
  <conditionalFormatting sqref="A2:O50 A54:O54 A56:O56 A59:O108 P2:P108 Q2:Q50 Q54:R54 Q56:R56 Q59:R108 R2:R52">
    <cfRule type="expression" priority="32" dxfId="9">
      <formula>$R2="Estoque encalhado"</formula>
    </cfRule>
  </conditionalFormatting>
  <conditionalFormatting sqref="Q47:Q48">
    <cfRule type="cellIs" priority="33" operator="lessThan" dxfId="14">
      <formula>"10%"</formula>
    </cfRule>
    <cfRule type="cellIs" priority="34" operator="greaterThan" dxfId="13">
      <formula>"10%"</formula>
    </cfRule>
  </conditionalFormatting>
  <conditionalFormatting sqref="G47:G48">
    <cfRule type="expression" priority="35" dxfId="10">
      <formula>AND(ROUND(G47/F47,2)&gt;=0.149, ROUND(H47/G47,2)&lt;=0.3)</formula>
    </cfRule>
    <cfRule type="expression" priority="36" dxfId="11">
      <formula>ROUND(G47/F47,2)&lt;=0.149</formula>
    </cfRule>
  </conditionalFormatting>
  <conditionalFormatting sqref="A46:R46">
    <cfRule type="expression" priority="37" dxfId="8">
      <formula>$R46="Sem Estoque"</formula>
    </cfRule>
  </conditionalFormatting>
  <conditionalFormatting sqref="G46">
    <cfRule type="expression" priority="38" dxfId="10">
      <formula>AND(ROUND(G46/F46,2)&gt;=0.149, ROUND(G46/F46,2)&lt;=0.3)</formula>
    </cfRule>
    <cfRule type="expression" priority="39" dxfId="11">
      <formula>ROUND(G46/F46,2)&lt;=0.149</formula>
    </cfRule>
  </conditionalFormatting>
  <conditionalFormatting sqref="Q46">
    <cfRule type="cellIs" priority="40" operator="lessThan" dxfId="6">
      <formula>"10%"</formula>
    </cfRule>
    <cfRule type="cellIs" priority="41" operator="greaterThan" dxfId="7">
      <formula>"9.99%"</formula>
    </cfRule>
  </conditionalFormatting>
  <conditionalFormatting sqref="A32:S32 M40:O40">
    <cfRule type="expression" priority="42" dxfId="9">
      <formula>$S32="Estoque encalhado"</formula>
    </cfRule>
    <cfRule type="expression" priority="43" dxfId="5">
      <formula>$S32="sem estoque"</formula>
    </cfRule>
  </conditionalFormatting>
  <conditionalFormatting sqref="A1:O45 A48:O50 A54:O54 A56:O56 A59:O108 P1:P108 Q1:R45 Q48:Q50 Q54:R54 Q56:R56 Q59:R108 R48:R52">
    <cfRule type="expression" priority="44" dxfId="8">
      <formula>$R1="Sem Estoque"</formula>
    </cfRule>
  </conditionalFormatting>
  <conditionalFormatting sqref="G2:G45 G48:G50 G54 G56 G59:G108">
    <cfRule type="expression" priority="45" dxfId="11">
      <formula>ROUND(G2/F2,2)&lt;=0.149</formula>
    </cfRule>
    <cfRule type="expression" priority="48" dxfId="10">
      <formula>AND(ROUND(G2/F2,2)&gt;=0.149, ROUND(G2/F2,2)&lt;=0.3)</formula>
    </cfRule>
  </conditionalFormatting>
  <conditionalFormatting sqref="P32 Q2:Q31 Q33:Q45 Q48:Q50 Q54 Q56 Q59:Q108">
    <cfRule type="cellIs" priority="46" operator="greaterThan" dxfId="7">
      <formula>"9.99%"</formula>
    </cfRule>
    <cfRule type="cellIs" priority="47" operator="lessThan" dxfId="6">
      <formula>"10%"</formula>
    </cfRule>
  </conditionalFormatting>
  <dataValidations count="4">
    <dataValidation sqref="C2:C65" showDropDown="0" showInputMessage="0" showErrorMessage="0" allowBlank="1" type="list">
      <formula1>"ÂNCORA,Camper,MARLUVAS,VOLK,Bracol,Delta plus,Walsywa,EPI"</formula1>
    </dataValidation>
    <dataValidation sqref="R2:R65" showDropDown="0" showInputMessage="0" showErrorMessage="0" allowBlank="1" type="list">
      <formula1>"Ativo,TRAVADO,Desativado,Sem Estoque,Estoque encalhado,Reajuste de preço"</formula1>
    </dataValidation>
    <dataValidation sqref="F2:G65 J2:M65 P2:Q65" showDropDown="1" showInputMessage="0" showErrorMessage="0" allowBlank="1" type="custom">
      <formula1>AND(ISNUMBER(F2),(NOT(OR(NOT(ISERROR(DATEVALUE(F2))), AND(ISNUMBER(F2), LEFT(CELL("format", F2))="D")))))</formula1>
    </dataValidation>
    <dataValidation sqref="A2:A65" showDropDown="1" showInputMessage="0" showErrorMessage="0" allowBlank="1"/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7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7.78" customWidth="1" style="1349" min="1" max="1"/>
    <col width="7.33" customWidth="1" style="1349" min="2" max="2"/>
    <col width="8.67" customWidth="1" style="1349" min="3" max="3"/>
    <col width="29.33" customWidth="1" style="1349" min="4" max="4"/>
    <col width="10.67" customWidth="1" style="1349" min="5" max="5"/>
    <col width="10.56" customWidth="1" style="1349" min="6" max="6"/>
    <col width="11.22" customWidth="1" style="1349" min="7" max="7"/>
    <col width="6.89" customWidth="1" style="1349" min="8" max="8"/>
    <col width="7.78" customWidth="1" style="1349" min="9" max="9"/>
    <col width="8.56" customWidth="1" style="1349" min="10" max="10"/>
    <col width="8.44" customWidth="1" style="1349" min="11" max="11"/>
    <col width="7.67" customWidth="1" style="1349" min="12" max="12"/>
    <col width="10.11" customWidth="1" style="1349" min="13" max="14"/>
    <col width="8.44" customWidth="1" style="1349" min="15" max="15"/>
    <col width="10.89" customWidth="1" style="1349" min="16" max="16"/>
    <col width="9.220000000000001" customWidth="1" style="1349" min="17" max="17"/>
    <col width="10.44" customWidth="1" style="1349" min="18" max="18"/>
    <col width="39.56" customWidth="1" style="1349" min="19" max="19"/>
    <col width="20.89" customWidth="1" style="1349" min="20" max="20"/>
    <col width="14" customWidth="1" style="1349" min="21" max="21"/>
    <col width="11" customWidth="1" style="1349" min="22" max="33"/>
  </cols>
  <sheetData>
    <row r="1" ht="26.25" customHeight="1" s="1349">
      <c r="A1" s="6" t="inlineStr">
        <is>
          <t>id</t>
        </is>
      </c>
      <c r="B1" s="6" t="inlineStr">
        <is>
          <t>SKU</t>
        </is>
      </c>
      <c r="C1" s="213" t="inlineStr">
        <is>
          <t>Categoria</t>
        </is>
      </c>
      <c r="D1" s="6" t="inlineStr">
        <is>
          <t>items</t>
        </is>
      </c>
      <c r="E1" s="6" t="inlineStr">
        <is>
          <t>Valor base</t>
        </is>
      </c>
      <c r="F1" s="3" t="inlineStr">
        <is>
          <t>Valor de Venda</t>
        </is>
      </c>
      <c r="G1" s="4" t="inlineStr">
        <is>
          <t>Taxa</t>
        </is>
      </c>
      <c r="H1" s="6" t="inlineStr">
        <is>
          <t>RT</t>
        </is>
      </c>
      <c r="I1" s="5" t="inlineStr">
        <is>
          <t>Frete</t>
        </is>
      </c>
      <c r="J1" s="6" t="inlineStr">
        <is>
          <t>ICMS (18%)</t>
        </is>
      </c>
      <c r="K1" s="6" t="inlineStr">
        <is>
          <t>PIS (1,65%)</t>
        </is>
      </c>
      <c r="L1" s="4" t="inlineStr">
        <is>
          <t>COFINS (7,6%)</t>
        </is>
      </c>
      <c r="M1" s="6" t="inlineStr">
        <is>
          <t>Imposto Recuperável</t>
        </is>
      </c>
      <c r="N1" s="6" t="inlineStr">
        <is>
          <t>créditos Comissão + frete</t>
        </is>
      </c>
      <c r="O1" s="3" t="inlineStr">
        <is>
          <t>CUSTO</t>
        </is>
      </c>
      <c r="P1" s="3" t="inlineStr">
        <is>
          <t>Lucro Líquido (Valor)</t>
        </is>
      </c>
      <c r="Q1" s="3" t="inlineStr">
        <is>
          <t>Lucro Líquido (%)</t>
        </is>
      </c>
      <c r="R1" s="7" t="inlineStr">
        <is>
          <t>Status</t>
        </is>
      </c>
      <c r="S1" s="9" t="inlineStr">
        <is>
          <t>obs</t>
        </is>
      </c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ht="26.25" customHeight="1" s="1349">
      <c r="A2" s="292" t="inlineStr">
        <is>
          <t>4325306577</t>
        </is>
      </c>
      <c r="B2" s="73" t="n">
        <v>10034034167883</v>
      </c>
      <c r="C2" s="261" t="inlineStr">
        <is>
          <t>Medix</t>
        </is>
      </c>
      <c r="D2" s="404" t="inlineStr">
        <is>
          <t>Luva Látex Natural Macia C/ Pó Nitrílica Descartável 500 Un</t>
        </is>
      </c>
      <c r="E2" s="515" t="n"/>
      <c r="F2" s="120" t="n">
        <v>128.51</v>
      </c>
      <c r="G2" s="447">
        <f>F2*17%</f>
        <v/>
      </c>
      <c r="H2" s="831" t="n">
        <v>-3.97</v>
      </c>
      <c r="I2" s="515" t="n">
        <v>19.96</v>
      </c>
      <c r="J2" s="340">
        <f>F2*18%</f>
        <v/>
      </c>
      <c r="K2" s="340">
        <f>(F2-J2)*1.65%</f>
        <v/>
      </c>
      <c r="L2" s="340">
        <f>(F2-J2)*7.6%</f>
        <v/>
      </c>
      <c r="M2" s="341">
        <f>1.76*5</f>
        <v/>
      </c>
      <c r="N2" s="1097">
        <f>(G2+I2)*(9.25%)</f>
        <v/>
      </c>
      <c r="O2" s="121">
        <f>13.7*5</f>
        <v/>
      </c>
      <c r="P2" s="447">
        <f>(F2 - (G2+I2+O2+(J2+K2+L2))) - (H2-M2-N2)</f>
        <v/>
      </c>
      <c r="Q2" s="1328">
        <f>P2/F2</f>
        <v/>
      </c>
      <c r="R2" s="515" t="inlineStr">
        <is>
          <t>sem estoque</t>
        </is>
      </c>
      <c r="S2" s="73" t="inlineStr">
        <is>
          <t>5 CT</t>
        </is>
      </c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ht="26.25" customHeight="1" s="1349">
      <c r="A3" s="489" t="inlineStr">
        <is>
          <t>3330228937</t>
        </is>
      </c>
      <c r="B3" s="713" t="n">
        <v>10034034167326</v>
      </c>
      <c r="C3" s="261" t="inlineStr">
        <is>
          <t>Camper</t>
        </is>
      </c>
      <c r="D3" s="265" t="inlineStr">
        <is>
          <t>Abafador Ruido Protetor Auricular Auditivo Camper C200 5un</t>
        </is>
      </c>
      <c r="E3" s="654" t="n"/>
      <c r="F3" s="607" t="n">
        <v>99</v>
      </c>
      <c r="G3" s="447">
        <f>F3*12%</f>
        <v/>
      </c>
      <c r="H3" s="831" t="n">
        <v>-3.79</v>
      </c>
      <c r="I3" s="492" t="n">
        <v>19.85</v>
      </c>
      <c r="J3" s="340">
        <f>F3*18%</f>
        <v/>
      </c>
      <c r="K3" s="340">
        <f>(F3-J3)*1.65%</f>
        <v/>
      </c>
      <c r="L3" s="340">
        <f>(F3-J3)*7.6%</f>
        <v/>
      </c>
      <c r="M3" s="341">
        <f>2.03*5</f>
        <v/>
      </c>
      <c r="N3" s="1097">
        <f>(G3+I3)*(9.25%)</f>
        <v/>
      </c>
      <c r="O3" s="197">
        <f>11.08*5</f>
        <v/>
      </c>
      <c r="P3" s="447">
        <f>(F3 - (G3+I3+O3+(J3+K3+L3))) - (H3-M3-N3)</f>
        <v/>
      </c>
      <c r="Q3" s="328">
        <f>P3/F3</f>
        <v/>
      </c>
      <c r="R3" s="631" t="inlineStr">
        <is>
          <t>Estoque encalhado</t>
        </is>
      </c>
      <c r="S3" s="114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</row>
    <row r="4" ht="26.25" customHeight="1" s="1349">
      <c r="A4" s="1265" t="inlineStr">
        <is>
          <t>5376461500 3285272779</t>
        </is>
      </c>
      <c r="B4" s="1263" t="inlineStr">
        <is>
          <t>800204C</t>
        </is>
      </c>
      <c r="C4" s="261" t="inlineStr">
        <is>
          <t>Camper</t>
        </is>
      </c>
      <c r="D4" s="317" t="inlineStr">
        <is>
          <t>Protetor Auricular Abafador Ruído 26db Camper Confort Plus Cor Cinza</t>
        </is>
      </c>
      <c r="E4" s="712" t="n"/>
      <c r="F4" s="607" t="n">
        <v>64.90000000000001</v>
      </c>
      <c r="G4" s="447">
        <f>F4*12%</f>
        <v/>
      </c>
      <c r="H4" s="831" t="n"/>
      <c r="I4" s="515" t="n">
        <v>7.95</v>
      </c>
      <c r="J4" s="340">
        <f>F4*18%</f>
        <v/>
      </c>
      <c r="K4" s="340">
        <f>(F4-J4)*1.65%</f>
        <v/>
      </c>
      <c r="L4" s="340">
        <f>(F4-J4)*7.6%</f>
        <v/>
      </c>
      <c r="M4" s="341">
        <f>6.08*1.17</f>
        <v/>
      </c>
      <c r="N4" s="1097">
        <f>(G4+I4)*(9.25%)</f>
        <v/>
      </c>
      <c r="O4" s="708" t="n">
        <v>38.77</v>
      </c>
      <c r="P4" s="447">
        <f>(F4 - (G4+I4+O4+(J4+K4+L4))) - (H4-M4-N4)</f>
        <v/>
      </c>
      <c r="Q4" s="328">
        <f>P4/F4</f>
        <v/>
      </c>
      <c r="R4" s="631" t="inlineStr">
        <is>
          <t>Reajuste de preço</t>
        </is>
      </c>
      <c r="S4" s="71" t="inlineStr">
        <is>
          <t>Reajuste de preço. 05/06 &gt; 62,9 | 12/06 &gt; 64,9 | 19/06 &gt; 68,34</t>
        </is>
      </c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</row>
    <row r="5" ht="26.25" customHeight="1" s="1349">
      <c r="A5" s="1265" t="inlineStr">
        <is>
          <t>5135813632757073</t>
        </is>
      </c>
      <c r="B5" s="713" t="inlineStr">
        <is>
          <t>5135813632757073</t>
        </is>
      </c>
      <c r="C5" s="261" t="inlineStr">
        <is>
          <t>Bracol</t>
        </is>
      </c>
      <c r="D5" s="265" t="inlineStr">
        <is>
          <t>Bota Motosafe Motociclista Pvc Antiderrapante Motoboy Chuva</t>
        </is>
      </c>
      <c r="E5" s="654" t="n"/>
      <c r="F5" s="607" t="n">
        <v>76.62</v>
      </c>
      <c r="G5" s="447">
        <f>F5*12%</f>
        <v/>
      </c>
      <c r="H5" s="831" t="n">
        <v>-4.23</v>
      </c>
      <c r="I5" s="631" t="n">
        <v>8.949999999999999</v>
      </c>
      <c r="J5" s="340">
        <f>F5*18%</f>
        <v/>
      </c>
      <c r="K5" s="340">
        <f>(F5-J5)*1.65%</f>
        <v/>
      </c>
      <c r="L5" s="340">
        <f>(F5-J5)*7.6%</f>
        <v/>
      </c>
      <c r="M5" s="341" t="n">
        <v>10.54</v>
      </c>
      <c r="N5" s="1097">
        <f>(G5+I5)*(9.25%)</f>
        <v/>
      </c>
      <c r="O5" s="197" t="n">
        <v>52.33</v>
      </c>
      <c r="P5" s="447">
        <f>(F5 - (G5+I5+O5+(J5+K5+L5))) - (H5-M5-N5)</f>
        <v/>
      </c>
      <c r="Q5" s="328">
        <f>P5/F5</f>
        <v/>
      </c>
      <c r="R5" s="515" t="inlineStr">
        <is>
          <t>Ativo</t>
        </is>
      </c>
      <c r="S5" s="114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</row>
    <row r="6" ht="26.25" customHeight="1" s="1349">
      <c r="A6" s="28" t="inlineStr">
        <is>
          <t>5135813632757073</t>
        </is>
      </c>
      <c r="B6" s="216" t="inlineStr">
        <is>
          <t>5135813632757073</t>
        </is>
      </c>
      <c r="C6" s="217" t="inlineStr">
        <is>
          <t>Bracol</t>
        </is>
      </c>
      <c r="D6" s="1310" t="inlineStr">
        <is>
          <t>PR 39</t>
        </is>
      </c>
      <c r="E6" s="380" t="n"/>
      <c r="F6" s="219" t="n">
        <v>76.62</v>
      </c>
      <c r="G6" s="34">
        <f>F6*12%</f>
        <v/>
      </c>
      <c r="H6" s="220" t="n">
        <v>-4.23</v>
      </c>
      <c r="I6" s="901" t="n">
        <v>8.949999999999999</v>
      </c>
      <c r="J6" s="36">
        <f>F6*18%</f>
        <v/>
      </c>
      <c r="K6" s="36">
        <f>(F6-J6)*1.65%</f>
        <v/>
      </c>
      <c r="L6" s="36">
        <f>(F6-J6)*7.6%</f>
        <v/>
      </c>
      <c r="M6" s="222" t="n">
        <v>10.54</v>
      </c>
      <c r="N6" s="1097">
        <f>(G6+I6)*(9.25%)</f>
        <v/>
      </c>
      <c r="O6" s="62" t="n">
        <v>52.33</v>
      </c>
      <c r="P6" s="223">
        <f>(F6 - (G6+I6+O6+(J6+K6+L6))) - (H6-M6-N6)</f>
        <v/>
      </c>
      <c r="Q6" s="39">
        <f>P6/F6</f>
        <v/>
      </c>
      <c r="R6" s="40" t="inlineStr">
        <is>
          <t>Estoque encalhado</t>
        </is>
      </c>
      <c r="S6" s="224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</row>
    <row r="7" ht="26.25" customHeight="1" s="1349">
      <c r="A7" s="669" t="inlineStr">
        <is>
          <t>5862550516</t>
        </is>
      </c>
      <c r="B7" s="734" t="n">
        <v>10034034167258</v>
      </c>
      <c r="C7" s="261" t="inlineStr">
        <is>
          <t>MARLUVAS</t>
        </is>
      </c>
      <c r="D7" s="1310" t="inlineStr">
        <is>
          <t>Bota New Prime Nobuck Anti Chamas Eletricista Nr10 Bico Pvc</t>
        </is>
      </c>
      <c r="E7" s="712" t="n"/>
      <c r="F7" s="607" t="n">
        <v>221.2</v>
      </c>
      <c r="G7" s="227">
        <f>F7*12%</f>
        <v/>
      </c>
      <c r="H7" s="759" t="n">
        <v>-3.88</v>
      </c>
      <c r="I7" s="761" t="n">
        <v>24.65</v>
      </c>
      <c r="J7" s="340">
        <f>F7*18%</f>
        <v/>
      </c>
      <c r="K7" s="340">
        <f>(F7-J7)*1.65%</f>
        <v/>
      </c>
      <c r="L7" s="340">
        <f>(F7-J7)*7.6%</f>
        <v/>
      </c>
      <c r="M7" s="341" t="n">
        <v>28.44</v>
      </c>
      <c r="N7" s="1097">
        <f>(G7+I7)*(9.25%)</f>
        <v/>
      </c>
      <c r="O7" s="708" t="n">
        <v>141.2</v>
      </c>
      <c r="P7" s="447">
        <f>(F7 - (G7+I7+O7+(J7+K7+L7))) - (H7-M7-N7)</f>
        <v/>
      </c>
      <c r="Q7" s="1328">
        <f>P7/F7</f>
        <v/>
      </c>
      <c r="R7" s="825" t="inlineStr">
        <is>
          <t>Revitalizar</t>
        </is>
      </c>
      <c r="S7" s="73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26.25" customHeight="1" s="1349">
      <c r="A8" s="758" t="inlineStr">
        <is>
          <t>360913492941714</t>
        </is>
      </c>
      <c r="B8" s="762" t="n">
        <v>268</v>
      </c>
      <c r="C8" s="233" t="inlineStr">
        <is>
          <t>VOLK</t>
        </is>
      </c>
      <c r="D8" s="234" t="inlineStr">
        <is>
          <t>Colete Refletivo Blusão Zíper 4 Bolsos Faixa Refletiva Epi</t>
        </is>
      </c>
      <c r="E8" s="806" t="n"/>
      <c r="F8" s="747" t="n">
        <v>26.5</v>
      </c>
      <c r="G8" s="34">
        <f>F8*14%</f>
        <v/>
      </c>
      <c r="H8" s="783" t="n">
        <v>-0.82</v>
      </c>
      <c r="I8" s="898" t="n">
        <v>7.85</v>
      </c>
      <c r="J8" s="1024">
        <f>F8*18%</f>
        <v/>
      </c>
      <c r="K8" s="1024">
        <f>(F8-J8)*1.65%</f>
        <v/>
      </c>
      <c r="L8" s="1024">
        <f>(F8-J8)*7.6%</f>
        <v/>
      </c>
      <c r="M8" s="222" t="n">
        <v>1.31</v>
      </c>
      <c r="N8" s="1097">
        <f>(G8+I8)*(9.25%)</f>
        <v/>
      </c>
      <c r="O8" s="674" t="n">
        <v>10.15</v>
      </c>
      <c r="P8" s="447">
        <f>(F8 - (G8+I8+O8+(J8+K8+L8))) - (H8-M8-N8)</f>
        <v/>
      </c>
      <c r="Q8" s="240">
        <f>P8/F8</f>
        <v/>
      </c>
      <c r="R8" s="64" t="inlineStr">
        <is>
          <t>Novo</t>
        </is>
      </c>
      <c r="S8" s="303" t="inlineStr">
        <is>
          <t>preço médio 27,45 | TODAS AS VARIAÇÕES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 ht="26.25" customHeight="1" s="1349">
      <c r="A9" s="1265" t="inlineStr">
        <is>
          <t>3943414937</t>
        </is>
      </c>
      <c r="B9" s="1263" t="n">
        <v>10034034167482</v>
      </c>
      <c r="C9" s="261" t="inlineStr">
        <is>
          <t>EPI</t>
        </is>
      </c>
      <c r="D9" s="265" t="inlineStr">
        <is>
          <t>Fita Telada Azul Drywall Premium Autoadesiva 45m X 48mm Obra</t>
        </is>
      </c>
      <c r="E9" s="654" t="n"/>
      <c r="F9" s="607" t="n">
        <v>26.09</v>
      </c>
      <c r="G9" s="447">
        <f>F9*12%</f>
        <v/>
      </c>
      <c r="H9" s="831" t="n">
        <v>-0.89</v>
      </c>
      <c r="I9" s="515" t="n">
        <v>6.65</v>
      </c>
      <c r="J9" s="340">
        <f>F9*18%</f>
        <v/>
      </c>
      <c r="K9" s="340">
        <f>(F9-J9)*1.65%</f>
        <v/>
      </c>
      <c r="L9" s="340">
        <f>(F9-J9)*7.6%</f>
        <v/>
      </c>
      <c r="M9" s="341" t="n">
        <v>1.69</v>
      </c>
      <c r="N9" s="1097">
        <f>(G9+I9)*(9.25%)</f>
        <v/>
      </c>
      <c r="O9" s="703" t="n">
        <v>11.91</v>
      </c>
      <c r="P9" s="447">
        <f>(F9 - (G9+I9+O9+(J9+K9+L9))) - (H9-M9-N9)</f>
        <v/>
      </c>
      <c r="Q9" s="328">
        <f>P9/F9</f>
        <v/>
      </c>
      <c r="R9" s="515" t="inlineStr">
        <is>
          <t>Ativo</t>
        </is>
      </c>
      <c r="S9" s="114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 ht="26.25" customHeight="1" s="1349">
      <c r="A10" s="755" t="inlineStr">
        <is>
          <t>5864766062</t>
        </is>
      </c>
      <c r="B10" s="756" t="n">
        <v>10034034166266</v>
      </c>
      <c r="C10" s="261" t="inlineStr">
        <is>
          <t>ÂNCORA</t>
        </is>
      </c>
      <c r="D10" s="1310" t="inlineStr">
        <is>
          <t>Célula Carga De Gás Para Pistola Fixação Fga850n 1000 Tiros</t>
        </is>
      </c>
      <c r="E10" s="492" t="n"/>
      <c r="F10" s="705" t="n">
        <v>216.58</v>
      </c>
      <c r="G10" s="227">
        <f>F10*12%</f>
        <v/>
      </c>
      <c r="H10" s="759" t="n"/>
      <c r="I10" s="515" t="n">
        <v>20.95</v>
      </c>
      <c r="J10" s="340">
        <f>F10*18%</f>
        <v/>
      </c>
      <c r="K10" s="340">
        <f>(F10-J10)*1.65%</f>
        <v/>
      </c>
      <c r="L10" s="340">
        <f>(F10-J10)*7.6%</f>
        <v/>
      </c>
      <c r="M10" s="341" t="n">
        <v>16.01</v>
      </c>
      <c r="N10" s="1097">
        <f>(G10+I10)*(9.25%)</f>
        <v/>
      </c>
      <c r="O10" s="121" t="n">
        <v>124.34</v>
      </c>
      <c r="P10" s="447">
        <f>(F10 - (G10+I10+O10+(J10+K10+L10))) - (H10-M10-N10)</f>
        <v/>
      </c>
      <c r="Q10" s="1328">
        <f>P10/F10</f>
        <v/>
      </c>
      <c r="R10" s="515" t="inlineStr">
        <is>
          <t>Ativo</t>
        </is>
      </c>
      <c r="S10" s="71" t="inlineStr">
        <is>
          <t>Preço baixo para movimentar venda</t>
        </is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 ht="26.25" customHeight="1" s="1349">
      <c r="A11" s="489" t="inlineStr">
        <is>
          <t>2785525387</t>
        </is>
      </c>
      <c r="B11" s="713" t="n">
        <v>10034034166366</v>
      </c>
      <c r="C11" s="261" t="inlineStr">
        <is>
          <t>Delta plus</t>
        </is>
      </c>
      <c r="D11" s="265" t="inlineStr">
        <is>
          <t>Kit 20 Óculos Proteção Uvb/uva Delta Plus Summer Incolor</t>
        </is>
      </c>
      <c r="E11" s="654" t="n"/>
      <c r="F11" s="607" t="n">
        <v>78.98999999999999</v>
      </c>
      <c r="G11" s="447">
        <f>F11*12%</f>
        <v/>
      </c>
      <c r="H11" s="831" t="n"/>
      <c r="I11" s="631" t="n">
        <v>8.550000000000001</v>
      </c>
      <c r="J11" s="340">
        <f>F11*18%</f>
        <v/>
      </c>
      <c r="K11" s="340">
        <f>(F11-J11)*1.65%</f>
        <v/>
      </c>
      <c r="L11" s="340">
        <f>(F11-J11)*7.6%</f>
        <v/>
      </c>
      <c r="M11" s="341" t="n">
        <v>0.48</v>
      </c>
      <c r="N11" s="1097">
        <f>(G11+I11)*(9.25%)</f>
        <v/>
      </c>
      <c r="O11" s="197">
        <f>1.93*20</f>
        <v/>
      </c>
      <c r="P11" s="447">
        <f>(F11 - (G11+I11+O11+(J11+K11+L11))) - (H11-M11-N11)</f>
        <v/>
      </c>
      <c r="Q11" s="328">
        <f>P11/F11</f>
        <v/>
      </c>
      <c r="R11" s="515" t="inlineStr">
        <is>
          <t>TRAVADO</t>
        </is>
      </c>
      <c r="S11" s="114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 ht="26.25" customHeight="1" s="1349">
      <c r="A12" s="245" t="inlineStr">
        <is>
          <t>3291642506 5335589630 5335501126 4100208353</t>
        </is>
      </c>
      <c r="B12" s="697" t="n">
        <v>117266</v>
      </c>
      <c r="C12" s="631" t="inlineStr">
        <is>
          <t>EPI</t>
        </is>
      </c>
      <c r="D12" s="404" t="inlineStr">
        <is>
          <t>Capacete Msa V-gard Branco Engenheiro Push Key Jugular</t>
        </is>
      </c>
      <c r="E12" s="515" t="n"/>
      <c r="F12" s="607" t="n">
        <v>74.72</v>
      </c>
      <c r="G12" s="447">
        <f>F12*12%</f>
        <v/>
      </c>
      <c r="H12" s="831" t="n">
        <v>-2.81</v>
      </c>
      <c r="I12" s="515" t="n">
        <v>8.550000000000001</v>
      </c>
      <c r="J12" s="340">
        <f>F12*18%</f>
        <v/>
      </c>
      <c r="K12" s="340">
        <f>(F12-J12)*1.65%</f>
        <v/>
      </c>
      <c r="L12" s="340">
        <f>(F12-J12)*7.6%</f>
        <v/>
      </c>
      <c r="M12" s="341" t="n">
        <v>13.05</v>
      </c>
      <c r="N12" s="1097">
        <f>(G12+I12)*(9.25%)</f>
        <v/>
      </c>
      <c r="O12" s="708" t="n">
        <v>51</v>
      </c>
      <c r="P12" s="447">
        <f>(F12 - (G12+I12+O12+(J12+K12+L12))) - (H12-M12-N12)</f>
        <v/>
      </c>
      <c r="Q12" s="328">
        <f>P12/F12</f>
        <v/>
      </c>
      <c r="R12" s="515" t="inlineStr">
        <is>
          <t>Ativo</t>
        </is>
      </c>
      <c r="S12" s="71" t="inlineStr">
        <is>
          <t>preço médio 59,2</t>
        </is>
      </c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 ht="26.25" customHeight="1" s="1349">
      <c r="A13" s="1265" t="inlineStr">
        <is>
          <t>3637835650</t>
        </is>
      </c>
      <c r="B13" s="1263" t="n">
        <v>10034034166357</v>
      </c>
      <c r="C13" s="261" t="inlineStr">
        <is>
          <t>MUCAMBO</t>
        </is>
      </c>
      <c r="D13" s="1310" t="inlineStr">
        <is>
          <t>Luva Mucambo Pro 157 Latex Antiderrapante Reforçada 10un</t>
        </is>
      </c>
      <c r="E13" s="712" t="n">
        <v>93</v>
      </c>
      <c r="F13" s="607" t="n">
        <v>78.98999999999999</v>
      </c>
      <c r="G13" s="447">
        <f>F13*13%</f>
        <v/>
      </c>
      <c r="H13" s="831" t="n"/>
      <c r="I13" s="515" t="n">
        <v>8.15</v>
      </c>
      <c r="J13" s="340">
        <f>F13*18%</f>
        <v/>
      </c>
      <c r="K13" s="340">
        <f>(F13-J13)*1.65%</f>
        <v/>
      </c>
      <c r="L13" s="340">
        <f>(F13-J13)*7.6%</f>
        <v/>
      </c>
      <c r="M13" s="341">
        <f>0.93*10</f>
        <v/>
      </c>
      <c r="N13" s="1097">
        <f>(G13+I13)*(9.25%)</f>
        <v/>
      </c>
      <c r="O13" s="197">
        <f>4.64*10</f>
        <v/>
      </c>
      <c r="P13" s="447">
        <f>(F13 - (G13+I13+O13+(J13+K13+L13))) - (H13-M13-N13)</f>
        <v/>
      </c>
      <c r="Q13" s="328">
        <f>P13/F13</f>
        <v/>
      </c>
      <c r="R13" s="631" t="inlineStr">
        <is>
          <t>Ativo</t>
        </is>
      </c>
      <c r="S13" s="114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26.25" customHeight="1" s="1349">
      <c r="A14" s="669" t="inlineStr">
        <is>
          <t>3253294579</t>
        </is>
      </c>
      <c r="B14" s="581" t="n">
        <v>10034034166589</v>
      </c>
      <c r="C14" s="631" t="inlineStr">
        <is>
          <t>VOLK</t>
        </is>
      </c>
      <c r="D14" s="1310" t="inlineStr">
        <is>
          <t>Kit 5 Luva De Látex Natural E Neoprene Bicolor - Volk 16779</t>
        </is>
      </c>
      <c r="E14" s="762" t="n"/>
      <c r="F14" s="607" t="n">
        <v>53</v>
      </c>
      <c r="G14" s="250">
        <f>F14*12%</f>
        <v/>
      </c>
      <c r="H14" s="783" t="n"/>
      <c r="I14" s="887" t="n">
        <v>7.95</v>
      </c>
      <c r="J14" s="136">
        <f>F14*18%</f>
        <v/>
      </c>
      <c r="K14" s="136">
        <f>(F14-J14)*1.65%</f>
        <v/>
      </c>
      <c r="L14" s="136">
        <f>(F14-J14)*7.6%</f>
        <v/>
      </c>
      <c r="M14" s="341">
        <f>0.68*5</f>
        <v/>
      </c>
      <c r="N14" s="1097">
        <f>(G14+I14)*(9.25%)</f>
        <v/>
      </c>
      <c r="O14" s="674">
        <f>5.3*5</f>
        <v/>
      </c>
      <c r="P14" s="134">
        <f>(F14 - (G14+I14+O14+(J14+K14+L14))) - (H14-M14-N14)</f>
        <v/>
      </c>
      <c r="Q14" s="137">
        <f>P14/F14</f>
        <v/>
      </c>
      <c r="R14" s="676" t="inlineStr">
        <is>
          <t>Reajuste de preço</t>
        </is>
      </c>
      <c r="S14" s="303" t="inlineStr">
        <is>
          <t>M,G,EG  55 dia 23/06 e 57 p dia 30/06</t>
        </is>
      </c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 ht="26.25" customHeight="1" s="1349">
      <c r="A15" s="489" t="inlineStr">
        <is>
          <t>3477876047</t>
        </is>
      </c>
      <c r="B15" s="1263" t="n">
        <v>10034034166294</v>
      </c>
      <c r="C15" s="261" t="inlineStr">
        <is>
          <t>Vonder</t>
        </is>
      </c>
      <c r="D15" s="1310" t="inlineStr">
        <is>
          <t>Gaveteiro Expositor Organizador N3 8x10,4x16cm Azul 6un</t>
        </is>
      </c>
      <c r="E15" s="492" t="n"/>
      <c r="F15" s="607" t="n">
        <v>23.1</v>
      </c>
      <c r="G15" s="447">
        <f>F15*12%</f>
        <v/>
      </c>
      <c r="H15" s="748" t="n"/>
      <c r="I15" s="631" t="n">
        <v>6.75</v>
      </c>
      <c r="J15" s="340">
        <f>F15*18%</f>
        <v/>
      </c>
      <c r="K15" s="340">
        <f>(F15-J15)*1.65%</f>
        <v/>
      </c>
      <c r="L15" s="340">
        <f>(F15-J15)*7.6%</f>
        <v/>
      </c>
      <c r="M15" s="341">
        <f>0.41*6</f>
        <v/>
      </c>
      <c r="N15" s="1097">
        <f>(G15+I15)*(9.25%)</f>
        <v/>
      </c>
      <c r="O15" s="197">
        <f>1.59*6</f>
        <v/>
      </c>
      <c r="P15" s="447">
        <f>(F15 - (G15+I15+O15+(J15+K15+L15))) - (H15-M15-N15)</f>
        <v/>
      </c>
      <c r="Q15" s="328">
        <f>P15/F15</f>
        <v/>
      </c>
      <c r="R15" s="515" t="inlineStr">
        <is>
          <t>Ativo</t>
        </is>
      </c>
      <c r="S15" s="114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 ht="26.25" customHeight="1" s="1349">
      <c r="A16" s="628" t="inlineStr">
        <is>
          <t>5538257962</t>
        </is>
      </c>
      <c r="B16" s="629" t="n">
        <v>0</v>
      </c>
      <c r="C16" s="261" t="inlineStr">
        <is>
          <t>EPI</t>
        </is>
      </c>
      <c r="D16" s="538" t="inlineStr">
        <is>
          <t>Bateria De Lítio Recarregável P/ Pistola De Fixação Fga850n</t>
        </is>
      </c>
      <c r="E16" s="631" t="n"/>
      <c r="F16" s="705" t="n">
        <v>1798.99</v>
      </c>
      <c r="G16" s="447">
        <f>F16*17%</f>
        <v/>
      </c>
      <c r="H16" s="124" t="n"/>
      <c r="I16" s="631" t="n">
        <v>30.75</v>
      </c>
      <c r="J16" s="340">
        <f>F16*18%</f>
        <v/>
      </c>
      <c r="K16" s="340">
        <f>(F16-J16)*1.65%</f>
        <v/>
      </c>
      <c r="L16" s="340">
        <f>(F16-J16)*7.6%</f>
        <v/>
      </c>
      <c r="M16" s="259" t="n"/>
      <c r="N16" s="1097">
        <f>(G16+I16)*(9.25%)</f>
        <v/>
      </c>
      <c r="O16" s="260" t="n">
        <v>917.79</v>
      </c>
      <c r="P16" s="447">
        <f>(F16 - (G16+I16+O16+(J16+K16+L16))) - (H16-M16-N16)</f>
        <v/>
      </c>
      <c r="Q16" s="328">
        <f>P16/F16</f>
        <v/>
      </c>
      <c r="R16" s="515" t="inlineStr">
        <is>
          <t>Ativo</t>
        </is>
      </c>
      <c r="S16" s="114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 ht="26.25" customHeight="1" s="1349">
      <c r="A17" s="1265" t="inlineStr">
        <is>
          <t>600440819847956</t>
        </is>
      </c>
      <c r="B17" s="1263" t="n">
        <v>10034034167099</v>
      </c>
      <c r="C17" s="631" t="inlineStr">
        <is>
          <t>Calfor</t>
        </is>
      </c>
      <c r="D17" s="265" t="inlineStr">
        <is>
          <t>Bota Galocha Pvc Calfor Supermax Longo Ca28489 Impermeável</t>
        </is>
      </c>
      <c r="E17" s="654" t="n"/>
      <c r="F17" s="607" t="n">
        <v>61.11</v>
      </c>
      <c r="G17" s="447">
        <f>F17*12%</f>
        <v/>
      </c>
      <c r="H17" s="831" t="n">
        <v>-1.88</v>
      </c>
      <c r="I17" s="515" t="n">
        <v>9.75</v>
      </c>
      <c r="J17" s="340">
        <f>F17*18%</f>
        <v/>
      </c>
      <c r="K17" s="340">
        <f>(F17-J17)*1.65%</f>
        <v/>
      </c>
      <c r="L17" s="340">
        <f>(F17-J17)*7.6%</f>
        <v/>
      </c>
      <c r="M17" s="341" t="n">
        <v>6.93</v>
      </c>
      <c r="N17" s="1097">
        <f>(G17+I17)*(9.25%)</f>
        <v/>
      </c>
      <c r="O17" s="708" t="n">
        <v>34.41</v>
      </c>
      <c r="P17" s="447">
        <f>(F17 - (G17+I17+O17+(J17+K17+L17))) - (H17-M17-N17)</f>
        <v/>
      </c>
      <c r="Q17" s="328">
        <f>P17/F17</f>
        <v/>
      </c>
      <c r="R17" s="515" t="inlineStr">
        <is>
          <t>Ativo</t>
        </is>
      </c>
      <c r="S17" s="114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 ht="26.25" customHeight="1" s="1349">
      <c r="A18" s="261" t="inlineStr">
        <is>
          <t>6623873336</t>
        </is>
      </c>
      <c r="B18" s="515" t="n">
        <v>10034034168370</v>
      </c>
      <c r="C18" s="631" t="inlineStr">
        <is>
          <t>Delta plus</t>
        </is>
      </c>
      <c r="D18" s="331" t="inlineStr">
        <is>
          <t>Abafador Tipo Concha Magny Cours 2 Anti Ruído EPI</t>
        </is>
      </c>
      <c r="E18" s="515" t="n">
        <v>190.8</v>
      </c>
      <c r="F18" s="120" t="n">
        <v>135.02</v>
      </c>
      <c r="G18" s="447">
        <f>F18*17%</f>
        <v/>
      </c>
      <c r="H18" s="157" t="n">
        <v>-5.57</v>
      </c>
      <c r="I18" s="631" t="n">
        <v>18.45</v>
      </c>
      <c r="J18" s="340">
        <f>F18*18%</f>
        <v/>
      </c>
      <c r="K18" s="340">
        <f>(F18-J18)*1.65%</f>
        <v/>
      </c>
      <c r="L18" s="340">
        <f>(F18-J18)*7.6%</f>
        <v/>
      </c>
      <c r="M18" s="341" t="n">
        <v>20.21</v>
      </c>
      <c r="N18" s="1097">
        <f>(G18+I18)*(9.25%)</f>
        <v/>
      </c>
      <c r="O18" s="121" t="n">
        <v>78.98999999999999</v>
      </c>
      <c r="P18" s="447">
        <f>(F18 - (G18+I18+O18+(J18+K18+L18))) - (H18-M18-N18)</f>
        <v/>
      </c>
      <c r="Q18" s="1328">
        <f>P18/F18</f>
        <v/>
      </c>
      <c r="R18" s="631" t="inlineStr">
        <is>
          <t>Revitalizar</t>
        </is>
      </c>
      <c r="S18" s="73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 ht="26.25" customHeight="1" s="1349">
      <c r="A19" s="1265" t="inlineStr">
        <is>
          <t>7891881113530599</t>
        </is>
      </c>
      <c r="B19" s="1263" t="n">
        <v>10034034166621</v>
      </c>
      <c r="C19" s="631" t="inlineStr">
        <is>
          <t>Bracol</t>
        </is>
      </c>
      <c r="D19" s="1310" t="inlineStr">
        <is>
          <t>Botina Tênis Detroit Pro Tridensidade Trabalho Segurança Epi</t>
        </is>
      </c>
      <c r="E19" s="492" t="n">
        <v>299</v>
      </c>
      <c r="F19" s="607" t="n">
        <v>222.03</v>
      </c>
      <c r="G19" s="447">
        <f>F19*12%</f>
        <v/>
      </c>
      <c r="H19" s="157" t="n">
        <v>-10.59</v>
      </c>
      <c r="I19" s="515" t="n">
        <v>26.25</v>
      </c>
      <c r="J19" s="340">
        <f>F19*18%</f>
        <v/>
      </c>
      <c r="K19" s="340">
        <f>(F19-J19)*1.65%</f>
        <v/>
      </c>
      <c r="L19" s="340">
        <f>(F19-J19)*7.6%</f>
        <v/>
      </c>
      <c r="M19" s="341" t="n">
        <v>28.12</v>
      </c>
      <c r="N19" s="1097">
        <f>(G19+I19)*(9.25%)</f>
        <v/>
      </c>
      <c r="O19" s="197" t="n">
        <v>139.63</v>
      </c>
      <c r="P19" s="447">
        <f>(F19 - (G19+I19+O19+(J19+K19+L19))) - (H19-M19-N19)</f>
        <v/>
      </c>
      <c r="Q19" s="328">
        <f>P19/F19</f>
        <v/>
      </c>
      <c r="R19" s="515" t="inlineStr">
        <is>
          <t>Ativo</t>
        </is>
      </c>
      <c r="S19" s="114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26.25" customHeight="1" s="1349">
      <c r="A20" s="515" t="inlineStr">
        <is>
          <t>2868482196283347</t>
        </is>
      </c>
      <c r="B20" s="904" t="n"/>
      <c r="C20" s="631" t="inlineStr">
        <is>
          <t>Delta plus</t>
        </is>
      </c>
      <c r="D20" s="331" t="inlineStr">
        <is>
          <t>Tênis Epi Feminino Preto Antiderrapante Uso Diário Estiloso</t>
        </is>
      </c>
      <c r="E20" s="515" t="n">
        <v>305.6</v>
      </c>
      <c r="F20" s="705" t="n">
        <v>270</v>
      </c>
      <c r="G20" s="447">
        <f>F20*17%</f>
        <v/>
      </c>
      <c r="H20" s="124" t="n">
        <v>-8</v>
      </c>
      <c r="I20" s="515" t="n">
        <v>24.65</v>
      </c>
      <c r="J20" s="340">
        <f>F20*18%</f>
        <v/>
      </c>
      <c r="K20" s="340">
        <f>(F20-J20)*1.65%</f>
        <v/>
      </c>
      <c r="L20" s="340">
        <f>(F20-J20)*7.6%</f>
        <v/>
      </c>
      <c r="M20" s="262" t="n">
        <v>42.95</v>
      </c>
      <c r="N20" s="1097">
        <f>(G20+I20)*(9.25%)</f>
        <v/>
      </c>
      <c r="O20" s="121" t="n">
        <v>167.88</v>
      </c>
      <c r="P20" s="447">
        <f>(F20 - (G20+I20+O20+(J20+K20+L20))) - (H20-M20-N20)</f>
        <v/>
      </c>
      <c r="Q20" s="1328">
        <f>P20/F20</f>
        <v/>
      </c>
      <c r="R20" s="631" t="inlineStr">
        <is>
          <t>Revitalizar</t>
        </is>
      </c>
      <c r="S20" s="73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 ht="26.25" customHeight="1" s="1349">
      <c r="A21" s="489" t="inlineStr">
        <is>
          <t>3343235127</t>
        </is>
      </c>
      <c r="B21" s="713" t="n">
        <v>10034034166304</v>
      </c>
      <c r="C21" s="261" t="inlineStr">
        <is>
          <t>ÂNCORA</t>
        </is>
      </c>
      <c r="D21" s="265" t="inlineStr">
        <is>
          <t>Parafuso Drywall Gesso Ponta Agulha Gn25 Walsywa 1000un</t>
        </is>
      </c>
      <c r="E21" s="654" t="n"/>
      <c r="F21" s="607" t="n">
        <v>45.9</v>
      </c>
      <c r="G21" s="447">
        <f>F21*12%</f>
        <v/>
      </c>
      <c r="H21" s="831" t="n"/>
      <c r="I21" s="631" t="n">
        <v>8.050000000000001</v>
      </c>
      <c r="J21" s="340">
        <f>F21*18%</f>
        <v/>
      </c>
      <c r="K21" s="340">
        <f>(F21-J21)*1.65%</f>
        <v/>
      </c>
      <c r="L21" s="340">
        <f>(F21-J21)*7.6%</f>
        <v/>
      </c>
      <c r="M21" s="259">
        <f>0.0026*1000</f>
        <v/>
      </c>
      <c r="N21" s="1097">
        <f>(G21+I21)*(9.25%)</f>
        <v/>
      </c>
      <c r="O21" s="708">
        <f>0.021*1000</f>
        <v/>
      </c>
      <c r="P21" s="447">
        <f>(F21 - (G21+I21+O21+(J21+K21+L21))) - (H21-M21-N21)</f>
        <v/>
      </c>
      <c r="Q21" s="328">
        <f>P21/F21</f>
        <v/>
      </c>
      <c r="R21" s="631" t="inlineStr">
        <is>
          <t>Ativo</t>
        </is>
      </c>
      <c r="S21" s="71" t="inlineStr">
        <is>
          <t>preço médio 44,53</t>
        </is>
      </c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 ht="26.25" customHeight="1" s="1349">
      <c r="A22" s="1265" t="inlineStr">
        <is>
          <t>3456056484</t>
        </is>
      </c>
      <c r="B22" s="1263" t="n">
        <v>10034034166363</v>
      </c>
      <c r="C22" s="261" t="inlineStr">
        <is>
          <t>Camper</t>
        </is>
      </c>
      <c r="D22" s="265" t="inlineStr">
        <is>
          <t>100 Mascara De Proteção Respiratória C Válvula Pff2 Ca38503</t>
        </is>
      </c>
      <c r="E22" s="654" t="n"/>
      <c r="F22" s="607" t="n">
        <v>139.74</v>
      </c>
      <c r="G22" s="447">
        <f>F22*12%</f>
        <v/>
      </c>
      <c r="H22" s="831" t="n">
        <v>-8.380000000000001</v>
      </c>
      <c r="I22" s="492" t="n">
        <v>22.65</v>
      </c>
      <c r="J22" s="340">
        <f>F22*18%</f>
        <v/>
      </c>
      <c r="K22" s="340">
        <f>(F22-J22)*1.65%</f>
        <v/>
      </c>
      <c r="L22" s="340">
        <f>(F22-J22)*7.6%</f>
        <v/>
      </c>
      <c r="M22" s="341">
        <f>0.17*100</f>
        <v/>
      </c>
      <c r="N22" s="1097">
        <f>(G22+I22)*(9.25%)</f>
        <v/>
      </c>
      <c r="O22" s="197">
        <f>0.83*100</f>
        <v/>
      </c>
      <c r="P22" s="447">
        <f>(F22 - (G22+I22+O22+(J22+K22+L22))) - (H22-M22-N22)</f>
        <v/>
      </c>
      <c r="Q22" s="328">
        <f>P22/F22</f>
        <v/>
      </c>
      <c r="R22" s="631" t="inlineStr">
        <is>
          <t>sem estoque</t>
        </is>
      </c>
      <c r="S22" s="114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 ht="26.25" customHeight="1" s="1349">
      <c r="A23" s="1265" t="inlineStr">
        <is>
          <t>3654941892</t>
        </is>
      </c>
      <c r="B23" s="1263" t="n">
        <v>10034034166315</v>
      </c>
      <c r="C23" s="261" t="inlineStr">
        <is>
          <t>Carbografite</t>
        </is>
      </c>
      <c r="D23" s="1310" t="inlineStr">
        <is>
          <t>Cartucho Carbografite Filtro Rc203 Para Máscara Cg306 6 Um</t>
        </is>
      </c>
      <c r="E23" s="654" t="n"/>
      <c r="F23" s="607" t="n">
        <v>103.19</v>
      </c>
      <c r="G23" s="447">
        <f>F23*12%</f>
        <v/>
      </c>
      <c r="H23" s="831" t="n">
        <v>-6</v>
      </c>
      <c r="I23" s="515" t="n">
        <v>15.45</v>
      </c>
      <c r="J23" s="340">
        <f>F23*18%</f>
        <v/>
      </c>
      <c r="K23" s="340">
        <f>(F23-J23)*1.65%</f>
        <v/>
      </c>
      <c r="L23" s="340">
        <f>(F23-J23)*7.6%</f>
        <v/>
      </c>
      <c r="M23" s="341">
        <f>1.22*6</f>
        <v/>
      </c>
      <c r="N23" s="1097">
        <f>(G23+I23)*(9.25%)</f>
        <v/>
      </c>
      <c r="O23" s="197">
        <f>9.5*6</f>
        <v/>
      </c>
      <c r="P23" s="447">
        <f>(F23 - (G23+I23+O23+(J23+K23+L23))) - (H23-M23-N23)</f>
        <v/>
      </c>
      <c r="Q23" s="328">
        <f>P23/F23</f>
        <v/>
      </c>
      <c r="R23" s="631" t="inlineStr">
        <is>
          <t>Revitalizar</t>
        </is>
      </c>
      <c r="S23" s="114" t="n"/>
      <c r="T23" s="579" t="n"/>
      <c r="U23" s="579" t="n"/>
      <c r="V23" s="579" t="n"/>
      <c r="W23" s="579" t="n"/>
      <c r="X23" s="579" t="n"/>
      <c r="Y23" s="579" t="n"/>
      <c r="Z23" s="579" t="n"/>
      <c r="AA23" s="579" t="n"/>
      <c r="AB23" s="579" t="n"/>
      <c r="AC23" s="579" t="n"/>
      <c r="AD23" s="579" t="n"/>
      <c r="AE23" s="579" t="n"/>
      <c r="AF23" s="579" t="n"/>
      <c r="AG23" s="579" t="n"/>
    </row>
    <row r="24" ht="26.25" customHeight="1" s="1349">
      <c r="A24" s="263" t="inlineStr">
        <is>
          <t>5771261531672720</t>
        </is>
      </c>
      <c r="B24" s="264" t="n"/>
      <c r="C24" s="265" t="n"/>
      <c r="D24" s="277" t="inlineStr">
        <is>
          <t>Kit Entrega Coleta Botina Óculos Luva Proteção Trabalho Epi</t>
        </is>
      </c>
      <c r="E24" s="1310" t="n">
        <v>139.9</v>
      </c>
      <c r="F24" s="320" t="n">
        <v>99.90000000000001</v>
      </c>
      <c r="G24" s="321">
        <f>F24*12%</f>
        <v/>
      </c>
      <c r="H24" s="831" t="n"/>
      <c r="I24" s="1310" t="n">
        <v>14.15</v>
      </c>
      <c r="J24" s="321">
        <f>F24*18%</f>
        <v/>
      </c>
      <c r="K24" s="321">
        <f>(F24-J24)*1.65%</f>
        <v/>
      </c>
      <c r="L24" s="321">
        <f>(F24-J24)*7.6%</f>
        <v/>
      </c>
      <c r="M24" s="222">
        <f>2.19 + 0.48 + 0.25 + 7.8</f>
        <v/>
      </c>
      <c r="N24" s="1097">
        <f>(G24+I24)*(9.25%)</f>
        <v/>
      </c>
      <c r="O24" s="674">
        <f>16.99 + 2.03 + 1.93 + 38.74</f>
        <v/>
      </c>
      <c r="P24" s="447">
        <f>(F24 - (G24+I24+O24+(J24+K24+L24))) - (H24-M24-N24)</f>
        <v/>
      </c>
      <c r="Q24" s="1328">
        <f>P24/F24</f>
        <v/>
      </c>
      <c r="R24" s="64" t="inlineStr">
        <is>
          <t>Novo</t>
        </is>
      </c>
      <c r="S24" s="268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 ht="26.25" customHeight="1" s="1349">
      <c r="A25" s="515" t="inlineStr">
        <is>
          <t>8251767493724114</t>
        </is>
      </c>
      <c r="B25" s="904" t="n"/>
      <c r="C25" s="631" t="inlineStr">
        <is>
          <t>Delta plus</t>
        </is>
      </c>
      <c r="D25" s="331" t="inlineStr">
        <is>
          <t>Tênis Epi Resende Oi Bico Plástico Antiderrapante Ca 48738</t>
        </is>
      </c>
      <c r="E25" s="515" t="n">
        <v>240.3</v>
      </c>
      <c r="F25" s="705" t="n">
        <v>207.47</v>
      </c>
      <c r="G25" s="447">
        <f>F25*12%</f>
        <v/>
      </c>
      <c r="H25" s="124" t="n">
        <v>-2.5</v>
      </c>
      <c r="I25" s="515" t="n">
        <v>15.89</v>
      </c>
      <c r="J25" s="340">
        <f>F25*18%</f>
        <v/>
      </c>
      <c r="K25" s="340">
        <f>(F25-J25)*1.65%</f>
        <v/>
      </c>
      <c r="L25" s="340">
        <f>(F25-J25)*7.6%</f>
        <v/>
      </c>
      <c r="M25" s="262" t="n">
        <v>35.76</v>
      </c>
      <c r="N25" s="1097">
        <f>(G25+I25)*(9.25%)</f>
        <v/>
      </c>
      <c r="O25" s="121" t="n">
        <v>139.76</v>
      </c>
      <c r="P25" s="447">
        <f>(F25 - (G25+I25+O25+(J25+K25+L25))) - (H25-M25-N25)</f>
        <v/>
      </c>
      <c r="Q25" s="1328">
        <f>P25/F25</f>
        <v/>
      </c>
      <c r="R25" s="631" t="inlineStr">
        <is>
          <t>Revitalizar</t>
        </is>
      </c>
      <c r="S25" s="73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26.25" customHeight="1" s="1349">
      <c r="A26" s="269" t="inlineStr">
        <is>
          <t>4143175933</t>
        </is>
      </c>
      <c r="B26" s="270" t="n">
        <v>10034034166804</v>
      </c>
      <c r="C26" s="261" t="inlineStr">
        <is>
          <t>Delta plus</t>
        </is>
      </c>
      <c r="D26" s="271" t="inlineStr">
        <is>
          <t>bafador Ouvido Antirruído Acoplável Capacete Universal 30db</t>
        </is>
      </c>
      <c r="E26" s="272" t="n"/>
      <c r="F26" s="705" t="n">
        <v>163.93</v>
      </c>
      <c r="G26" s="447">
        <f>F26*12%</f>
        <v/>
      </c>
      <c r="H26" s="124" t="n">
        <v>5.07</v>
      </c>
      <c r="I26" s="631" t="n">
        <v>21.15</v>
      </c>
      <c r="J26" s="340">
        <f>F26*18%</f>
        <v/>
      </c>
      <c r="K26" s="340">
        <f>(F26-J26)*1.65%</f>
        <v/>
      </c>
      <c r="L26" s="340">
        <f>(F26-J26)*7.6%</f>
        <v/>
      </c>
      <c r="M26" s="341" t="n">
        <v>20.82</v>
      </c>
      <c r="N26" s="1097">
        <f>(G26+I26)*(9.25%)</f>
        <v/>
      </c>
      <c r="O26" s="274" t="n">
        <v>88.01000000000001</v>
      </c>
      <c r="P26" s="447">
        <f>(F26 - (G26+I26+O26+(J26+K26+L26))) - (H26-M26-N26)</f>
        <v/>
      </c>
      <c r="Q26" s="328">
        <f>P26/F26</f>
        <v/>
      </c>
      <c r="R26" s="631" t="inlineStr">
        <is>
          <t>Ativo</t>
        </is>
      </c>
      <c r="S26" s="114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 ht="26.25" customHeight="1" s="1349">
      <c r="A27" s="1265" t="inlineStr">
        <is>
          <t>4134105843</t>
        </is>
      </c>
      <c r="B27" s="713" t="n">
        <v>0</v>
      </c>
      <c r="C27" s="261" t="inlineStr">
        <is>
          <t>ÂNCORA</t>
        </is>
      </c>
      <c r="D27" s="1310" t="inlineStr">
        <is>
          <t>Arame Galvanizado Drywall Cercado Artesanato Bwg14 C/ 36,8m</t>
        </is>
      </c>
      <c r="E27" s="492" t="n"/>
      <c r="F27" s="607" t="n">
        <v>33</v>
      </c>
      <c r="G27" s="447">
        <f>F27*16.5%</f>
        <v/>
      </c>
      <c r="H27" s="831" t="n"/>
      <c r="I27" s="515">
        <f>IFS(
  F27&lt;12.5, F27/2,
  F27&lt;29, 6.25,
  F27&lt;50, 6.5,
  F27&lt;=79, 6.75,
  TRUE, 25
)</f>
        <v/>
      </c>
      <c r="J27" s="340">
        <f>F27*18%</f>
        <v/>
      </c>
      <c r="K27" s="340">
        <f>(F27-J27)*1.65%</f>
        <v/>
      </c>
      <c r="L27" s="340">
        <f>(F27-J27)*7.6%</f>
        <v/>
      </c>
      <c r="M27" s="341" t="n">
        <v>1.58</v>
      </c>
      <c r="N27" s="1097">
        <f>(G27+I27)*(9.25%)</f>
        <v/>
      </c>
      <c r="O27" s="708" t="n">
        <v>12.7</v>
      </c>
      <c r="P27" s="447">
        <f>(F27 - (G27+I27+O27+(J27+K27+L27))) - (H27-M27-N27)</f>
        <v/>
      </c>
      <c r="Q27" s="328">
        <f>P27/F27</f>
        <v/>
      </c>
      <c r="R27" s="515" t="inlineStr">
        <is>
          <t>sem estoque</t>
        </is>
      </c>
      <c r="S27" s="114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 ht="26.25" customHeight="1" s="1349">
      <c r="A28" s="292" t="inlineStr">
        <is>
          <t>3311931496564433</t>
        </is>
      </c>
      <c r="B28" s="73" t="n">
        <v>10034034167980</v>
      </c>
      <c r="C28" s="261" t="inlineStr">
        <is>
          <t>Bracol</t>
        </is>
      </c>
      <c r="D28" s="404" t="inlineStr">
        <is>
          <t>Tênnis Detroit Lite Segurança Tridensidade Preto Bico Pvc</t>
        </is>
      </c>
      <c r="E28" s="515" t="n"/>
      <c r="F28" s="120" t="n">
        <v>257.63</v>
      </c>
      <c r="G28" s="447">
        <f>F28*13%</f>
        <v/>
      </c>
      <c r="H28" s="831" t="n">
        <v>-9.76</v>
      </c>
      <c r="I28" s="515" t="n">
        <v>23.45</v>
      </c>
      <c r="J28" s="340">
        <f>F28*18%</f>
        <v/>
      </c>
      <c r="K28" s="340">
        <f>(F28-J28)*1.65%</f>
        <v/>
      </c>
      <c r="L28" s="340">
        <f>(F28-J28)*7.6%</f>
        <v/>
      </c>
      <c r="M28" s="341" t="n">
        <v>32.54</v>
      </c>
      <c r="N28" s="1097">
        <f>(G28+I28)*(9.25%)</f>
        <v/>
      </c>
      <c r="O28" s="121" t="n">
        <v>161.59</v>
      </c>
      <c r="P28" s="447">
        <f>(F28 - (G28+I28+O28+(J28+K28+L28))) - (H28-M28-N28)</f>
        <v/>
      </c>
      <c r="Q28" s="1328">
        <f>P28/F28</f>
        <v/>
      </c>
      <c r="R28" s="515" t="inlineStr">
        <is>
          <t>Ativo</t>
        </is>
      </c>
      <c r="S28" s="73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 ht="26.25" customHeight="1" s="1349">
      <c r="A29" s="310" t="inlineStr">
        <is>
          <t>6220193809900307</t>
        </is>
      </c>
      <c r="B29" s="264" t="n"/>
      <c r="C29" s="265" t="n"/>
      <c r="D29" s="277" t="inlineStr">
        <is>
          <t>Kit Entregador Ecommerce Colete Refletivo Luva Óculos Sky</t>
        </is>
      </c>
      <c r="E29" s="1310" t="n">
        <v>50</v>
      </c>
      <c r="F29" s="320" t="n">
        <v>33</v>
      </c>
      <c r="G29" s="321">
        <f>F29*12%</f>
        <v/>
      </c>
      <c r="H29" s="831" t="n"/>
      <c r="I29" s="1310" t="n">
        <v>6.85</v>
      </c>
      <c r="J29" s="321">
        <f>F29*18%</f>
        <v/>
      </c>
      <c r="K29" s="321">
        <f>(F29-J29)*1.65%</f>
        <v/>
      </c>
      <c r="L29" s="321">
        <f>(F29-J29)*7.6%</f>
        <v/>
      </c>
      <c r="M29" s="222">
        <f>2.19 + 0.48 + 0.25</f>
        <v/>
      </c>
      <c r="N29" s="1097">
        <f>(G29+I29)*(9.25%)</f>
        <v/>
      </c>
      <c r="O29" s="674">
        <f>16.99 + 2.03 + 1.93</f>
        <v/>
      </c>
      <c r="P29" s="447">
        <f>(F29 - (G29+I29+O29+(J29+K29+L29))) - (H29-M29-N29)</f>
        <v/>
      </c>
      <c r="Q29" s="1328">
        <f>P29/F29</f>
        <v/>
      </c>
      <c r="R29" s="64" t="inlineStr">
        <is>
          <t>Novo</t>
        </is>
      </c>
      <c r="S29" s="268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 ht="26.25" customHeight="1" s="1349">
      <c r="A30" s="779" t="inlineStr">
        <is>
          <t>5914819122</t>
        </is>
      </c>
      <c r="B30" s="835" t="n">
        <v>10034034168091</v>
      </c>
      <c r="C30" s="276" t="inlineStr">
        <is>
          <t>ÂNCORA</t>
        </is>
      </c>
      <c r="D30" s="277" t="inlineStr">
        <is>
          <t>100un Parafuso Chumbador Concreto 75mm X</t>
        </is>
      </c>
      <c r="E30" s="806" t="n"/>
      <c r="F30" s="279" t="n">
        <v>453</v>
      </c>
      <c r="G30" s="280">
        <f>F30*12%</f>
        <v/>
      </c>
      <c r="H30" s="783" t="n">
        <v>-11.3</v>
      </c>
      <c r="I30" s="887" t="n">
        <v>39.75</v>
      </c>
      <c r="J30" s="136">
        <f>F30*18%</f>
        <v/>
      </c>
      <c r="K30" s="136">
        <f>(F30-J30)*1.65%</f>
        <v/>
      </c>
      <c r="L30" s="136">
        <f>(F30-J30)*7.6%</f>
        <v/>
      </c>
      <c r="M30" s="341">
        <f>0.33*100</f>
        <v/>
      </c>
      <c r="N30" s="1097">
        <f>(G30+I30)*(9.25%)</f>
        <v/>
      </c>
      <c r="O30" s="786">
        <f>2.59*100</f>
        <v/>
      </c>
      <c r="P30" s="134">
        <f>(F30 - (G30+I30+O30+(J30+K30+L30))) - (H30-M30-N30)</f>
        <v/>
      </c>
      <c r="Q30" s="137">
        <f>P30/F30</f>
        <v/>
      </c>
      <c r="R30" s="676" t="inlineStr">
        <is>
          <t>sem estoque</t>
        </is>
      </c>
      <c r="S30" s="880" t="inlineStr">
        <is>
          <t>kit 100</t>
        </is>
      </c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 ht="26.25" customHeight="1" s="1349">
      <c r="A31" s="1265" t="inlineStr">
        <is>
          <t>5298614678</t>
        </is>
      </c>
      <c r="B31" s="1263" t="n">
        <v>10034034167390</v>
      </c>
      <c r="C31" s="261" t="inlineStr">
        <is>
          <t>Camper</t>
        </is>
      </c>
      <c r="D31" s="1310" t="inlineStr">
        <is>
          <t>Kit 4 Capacete De Segurança Camper Ca 34414 Epi C/ Jugular</t>
        </is>
      </c>
      <c r="E31" s="654" t="n"/>
      <c r="F31" s="607" t="n">
        <v>71.77</v>
      </c>
      <c r="G31" s="447">
        <f>F31*12%</f>
        <v/>
      </c>
      <c r="H31" s="831" t="n">
        <v>-1.49</v>
      </c>
      <c r="I31" s="515" t="n">
        <v>8.949999999999999</v>
      </c>
      <c r="J31" s="340">
        <f>F31*18%</f>
        <v/>
      </c>
      <c r="K31" s="340">
        <f>(F31-J31)*1.65%</f>
        <v/>
      </c>
      <c r="L31" s="340">
        <f>(F31-J31)*7.6%</f>
        <v/>
      </c>
      <c r="M31" s="341">
        <f>(1.65*4) + (0.42*4)</f>
        <v/>
      </c>
      <c r="N31" s="1097">
        <f>(G31+I31)*(9.25%)</f>
        <v/>
      </c>
      <c r="O31" s="121">
        <f>(8.24*4) + (2.09*4)</f>
        <v/>
      </c>
      <c r="P31" s="447">
        <f>(F31 - (G31+I31+O31+(J31+K31+L31))) - (H31-M31-N31)</f>
        <v/>
      </c>
      <c r="Q31" s="328">
        <f>P31/F31</f>
        <v/>
      </c>
      <c r="R31" s="515" t="inlineStr">
        <is>
          <t>Ativo</t>
        </is>
      </c>
      <c r="S31" s="114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26.25" customHeight="1" s="1349">
      <c r="A32" s="292" t="inlineStr">
        <is>
          <t>4342821485</t>
        </is>
      </c>
      <c r="B32" s="73" t="n">
        <v>10034034168059</v>
      </c>
      <c r="C32" s="261" t="inlineStr">
        <is>
          <t>ÂNCORA</t>
        </is>
      </c>
      <c r="D32" s="331" t="inlineStr">
        <is>
          <t>Kit 50 Bucha Tab 1/4 Bases Ocas Drywall Parafuso 1/4 X 2.1/2</t>
        </is>
      </c>
      <c r="E32" s="515" t="n"/>
      <c r="F32" s="120" t="n">
        <v>204.69</v>
      </c>
      <c r="G32" s="447">
        <f>F32*16.5%</f>
        <v/>
      </c>
      <c r="H32" s="831" t="n">
        <v>-4.68</v>
      </c>
      <c r="I32" s="631" t="n">
        <v>26.25</v>
      </c>
      <c r="J32" s="340">
        <f>F32*18%</f>
        <v/>
      </c>
      <c r="K32" s="340">
        <f>(F32-J32)*1.65%</f>
        <v/>
      </c>
      <c r="L32" s="340">
        <f>(F32-J32)*7.6%</f>
        <v/>
      </c>
      <c r="M32" s="341">
        <f>0.23*50</f>
        <v/>
      </c>
      <c r="N32" s="1097">
        <f>(G32+I32)*(9.25%)</f>
        <v/>
      </c>
      <c r="O32" s="121">
        <f>1.94*50</f>
        <v/>
      </c>
      <c r="P32" s="447">
        <f>(F32 - (G32+I32+O32+(J32+K32+L32))) - (H32-M32-N32)</f>
        <v/>
      </c>
      <c r="Q32" s="1328">
        <f>P32/F32</f>
        <v/>
      </c>
      <c r="R32" s="515" t="inlineStr">
        <is>
          <t>Ativo</t>
        </is>
      </c>
      <c r="S32" s="73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 ht="26.25" customHeight="1" s="1349">
      <c r="A33" s="292" t="inlineStr">
        <is>
          <t>4293690737</t>
        </is>
      </c>
      <c r="B33" s="73" t="n">
        <v>10034034168263</v>
      </c>
      <c r="C33" s="261" t="inlineStr">
        <is>
          <t>ÂNCORA</t>
        </is>
      </c>
      <c r="D33" s="404" t="inlineStr">
        <is>
          <t>Kit 50 Parafuso Sextavado Concreto 75mm X M10 Organometálico</t>
        </is>
      </c>
      <c r="E33" s="284" t="n"/>
      <c r="F33" s="705" t="n">
        <v>235</v>
      </c>
      <c r="G33" s="447">
        <f>F33*12%</f>
        <v/>
      </c>
      <c r="H33" s="831" t="n">
        <v>-5.65</v>
      </c>
      <c r="I33" s="515" t="n">
        <v>24.65</v>
      </c>
      <c r="J33" s="340">
        <f>F33*18%</f>
        <v/>
      </c>
      <c r="K33" s="340">
        <f>(F33-J33)*1.65%</f>
        <v/>
      </c>
      <c r="L33" s="340">
        <f>(F33-J33)*7.6%</f>
        <v/>
      </c>
      <c r="M33" s="341">
        <f>0.33*50</f>
        <v/>
      </c>
      <c r="N33" s="1097">
        <f>(G33+I33)*(9.25%)</f>
        <v/>
      </c>
      <c r="O33" s="121">
        <f>2.59*50</f>
        <v/>
      </c>
      <c r="P33" s="447">
        <f>(F33 - (G33+I33+O33+(J33+K33+L33))) - (H33-M33-N33)</f>
        <v/>
      </c>
      <c r="Q33" s="1328">
        <f>P33/F33</f>
        <v/>
      </c>
      <c r="R33" s="515" t="inlineStr">
        <is>
          <t>Ativo</t>
        </is>
      </c>
      <c r="S33" s="73" t="inlineStr">
        <is>
          <t>kit 50</t>
        </is>
      </c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 ht="26.25" customHeight="1" s="1349">
      <c r="A34" s="489" t="inlineStr">
        <is>
          <t>3402168633</t>
        </is>
      </c>
      <c r="B34" s="713" t="n">
        <v>10034034166333</v>
      </c>
      <c r="C34" s="261" t="inlineStr">
        <is>
          <t>ÂNCORA</t>
        </is>
      </c>
      <c r="D34" s="317" t="inlineStr">
        <is>
          <t>Tela Amarração Alvenaria Ancora 1,2mm X 50cm X 6cm C/200un</t>
        </is>
      </c>
      <c r="E34" s="492" t="n"/>
      <c r="F34" s="607" t="n">
        <v>249.26</v>
      </c>
      <c r="G34" s="285">
        <f>F34*12%</f>
        <v/>
      </c>
      <c r="H34" s="831" t="n">
        <v>-9.74</v>
      </c>
      <c r="I34" s="492" t="n">
        <v>48.05</v>
      </c>
      <c r="J34" s="340">
        <f>F34*18%</f>
        <v/>
      </c>
      <c r="K34" s="340">
        <f>(F34-J34)*1.65%</f>
        <v/>
      </c>
      <c r="L34" s="340">
        <f>(F34-J34)*7.6%</f>
        <v/>
      </c>
      <c r="M34" s="341" t="n">
        <v>15.33</v>
      </c>
      <c r="N34" s="1097">
        <f>(G34+I34)*(9.25%)</f>
        <v/>
      </c>
      <c r="O34" s="708" t="n">
        <v>119</v>
      </c>
      <c r="P34" s="447">
        <f>(F34 - (G34+I34+O34+(J34+K34+L34))) - (H34-M34-N34)</f>
        <v/>
      </c>
      <c r="Q34" s="328">
        <f>P34/F34</f>
        <v/>
      </c>
      <c r="R34" s="631" t="inlineStr">
        <is>
          <t>Ativo</t>
        </is>
      </c>
      <c r="S34" s="71" t="inlineStr">
        <is>
          <t>TEL60</t>
        </is>
      </c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 ht="26.25" customHeight="1" s="1349">
      <c r="A35" s="316" t="inlineStr">
        <is>
          <t>3346476913</t>
        </is>
      </c>
      <c r="B35" s="317" t="n">
        <v>268</v>
      </c>
      <c r="C35" s="318" t="inlineStr">
        <is>
          <t>VOLK</t>
        </is>
      </c>
      <c r="D35" s="1310" t="inlineStr">
        <is>
          <t>Colete Refletivo Fluorescente Blusão Segurança Sinalização</t>
        </is>
      </c>
      <c r="E35" s="1310" t="n"/>
      <c r="F35" s="320" t="n">
        <v>26.63</v>
      </c>
      <c r="G35" s="321">
        <f>F35*14%</f>
        <v/>
      </c>
      <c r="H35" s="831" t="n">
        <v>-0.82</v>
      </c>
      <c r="I35" s="331" t="n">
        <v>6.75</v>
      </c>
      <c r="J35" s="321">
        <f>F35*18%</f>
        <v/>
      </c>
      <c r="K35" s="321">
        <f>(F35-J35)*1.65%</f>
        <v/>
      </c>
      <c r="L35" s="321">
        <f>(F35-J35)*7.6%</f>
        <v/>
      </c>
      <c r="M35" s="341" t="n">
        <v>1.31</v>
      </c>
      <c r="N35" s="1097">
        <f>(G35+I35)*(9.25%)</f>
        <v/>
      </c>
      <c r="O35" s="708" t="n">
        <v>10.15</v>
      </c>
      <c r="P35" s="447">
        <f>(F35 - (G35+I35+O35+(J35+K35+L35))) - (H35-M35-N35)</f>
        <v/>
      </c>
      <c r="Q35" s="328">
        <f>P35/F35</f>
        <v/>
      </c>
      <c r="R35" s="64" t="inlineStr">
        <is>
          <t>Revitalizar</t>
        </is>
      </c>
      <c r="S35" s="71" t="inlineStr">
        <is>
          <t xml:space="preserve">preço médio 27,45 | </t>
        </is>
      </c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 ht="26.25" customHeight="1" s="1349">
      <c r="A36" s="292" t="inlineStr">
        <is>
          <t>5929982424</t>
        </is>
      </c>
      <c r="B36" s="73" t="n">
        <v>44</v>
      </c>
      <c r="C36" s="261" t="inlineStr">
        <is>
          <t>ÂNCORA</t>
        </is>
      </c>
      <c r="D36" s="404" t="inlineStr">
        <is>
          <t>Pino Aço Ação Direta 1/4 X 30 X 20 Concreto Px3020 100un</t>
        </is>
      </c>
      <c r="E36" s="515" t="n"/>
      <c r="F36" s="705" t="n">
        <v>48</v>
      </c>
      <c r="G36" s="447">
        <f>F36*12%</f>
        <v/>
      </c>
      <c r="H36" s="831" t="n">
        <v>-1.4</v>
      </c>
      <c r="I36" s="631" t="n">
        <v>7.95</v>
      </c>
      <c r="J36" s="340">
        <f>F36*18%</f>
        <v/>
      </c>
      <c r="K36" s="340">
        <f>(F36-J36)*1.65%</f>
        <v/>
      </c>
      <c r="L36" s="340">
        <f>(F36-J36)*7.6%</f>
        <v/>
      </c>
      <c r="M36" s="341" t="n">
        <v>2.83</v>
      </c>
      <c r="N36" s="1097">
        <f>(G36+I36)*(9.25%)</f>
        <v/>
      </c>
      <c r="O36" s="121" t="n">
        <v>23.38</v>
      </c>
      <c r="P36" s="447">
        <f>(F36 - (G36+I36+O36+(J36+K36+L36))) - (H36-M36-N36)</f>
        <v/>
      </c>
      <c r="Q36" s="1328">
        <f>P36/F36</f>
        <v/>
      </c>
      <c r="R36" s="631" t="inlineStr">
        <is>
          <t>Ativo</t>
        </is>
      </c>
      <c r="S36" s="71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 ht="26.25" customHeight="1" s="1349">
      <c r="A37" s="1265" t="inlineStr">
        <is>
          <t>8897078871307024 20605732472915</t>
        </is>
      </c>
      <c r="B37" s="1263" t="n">
        <v>10034034166569</v>
      </c>
      <c r="C37" s="631" t="inlineStr">
        <is>
          <t>Innpro</t>
        </is>
      </c>
      <c r="D37" s="265" t="inlineStr">
        <is>
          <t>Bota Pvc Galocha Cano Médio Conforto Impermeável Resistente</t>
        </is>
      </c>
      <c r="E37" s="654" t="n"/>
      <c r="F37" s="607" t="n">
        <v>52.9</v>
      </c>
      <c r="G37" s="447">
        <f>F37*12%</f>
        <v/>
      </c>
      <c r="H37" s="124" t="n">
        <v>-2.9</v>
      </c>
      <c r="I37" s="515" t="n">
        <v>8.550000000000001</v>
      </c>
      <c r="J37" s="340">
        <f>F37*18%</f>
        <v/>
      </c>
      <c r="K37" s="340">
        <f>(F37-J37)*1.65%</f>
        <v/>
      </c>
      <c r="L37" s="340">
        <f>(F37-J37)*7.6%</f>
        <v/>
      </c>
      <c r="M37" s="341" t="n">
        <v>4.83</v>
      </c>
      <c r="N37" s="1097">
        <f>(G37+I37)*(9.25%)</f>
        <v/>
      </c>
      <c r="O37" s="708" t="n">
        <v>28.97</v>
      </c>
      <c r="P37" s="447">
        <f>(F37 - (G37+I37+O37+(J37+K37+L37))) - (H37-M37-N37)</f>
        <v/>
      </c>
      <c r="Q37" s="328">
        <f>P37/F37</f>
        <v/>
      </c>
      <c r="R37" s="515" t="inlineStr">
        <is>
          <t>Ativo</t>
        </is>
      </c>
      <c r="S37" s="73" t="inlineStr">
        <is>
          <t>de 25,97 para 37</t>
        </is>
      </c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 ht="26.25" customHeight="1" s="1349">
      <c r="A38" s="292" t="inlineStr">
        <is>
          <t>6589707404</t>
        </is>
      </c>
      <c r="B38" s="515" t="n">
        <v>10034034168367</v>
      </c>
      <c r="C38" s="631" t="inlineStr">
        <is>
          <t>Irwin</t>
        </is>
      </c>
      <c r="D38" s="404" t="inlineStr">
        <is>
          <t>Kit 10 Broca Aço Rápido Hss Metal Alumínio 4mm 5/32 Afiada</t>
        </is>
      </c>
      <c r="E38" s="515" t="n">
        <v>78.98999999999999</v>
      </c>
      <c r="F38" s="120" t="n">
        <v>67.8</v>
      </c>
      <c r="G38" s="447">
        <f>F38*12%</f>
        <v/>
      </c>
      <c r="H38" s="157" t="n">
        <v>-1.11</v>
      </c>
      <c r="I38" s="515" t="n">
        <v>7.75</v>
      </c>
      <c r="J38" s="450" t="n">
        <v>0</v>
      </c>
      <c r="K38" s="340">
        <f>(F38-J38)*1.65%</f>
        <v/>
      </c>
      <c r="L38" s="340">
        <f>(F38-J38)*7.6%</f>
        <v/>
      </c>
      <c r="M38" s="341">
        <f>0.37*10</f>
        <v/>
      </c>
      <c r="N38" s="1097">
        <f>(G38+I38)*(9.25%)</f>
        <v/>
      </c>
      <c r="O38" s="121">
        <f>4.6*10</f>
        <v/>
      </c>
      <c r="P38" s="447">
        <f>(F38 - (G38+I38+O38+(J38+K38+L38))) - (H38-M38-N38)</f>
        <v/>
      </c>
      <c r="Q38" s="1328">
        <f>P38/F38</f>
        <v/>
      </c>
      <c r="R38" s="631" t="inlineStr">
        <is>
          <t>Ativo</t>
        </is>
      </c>
      <c r="S38" s="73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 ht="26.25" customHeight="1" s="1349">
      <c r="A39" s="489" t="inlineStr">
        <is>
          <t>4048387055</t>
        </is>
      </c>
      <c r="B39" s="713" t="n">
        <v>10034034166747</v>
      </c>
      <c r="C39" s="261" t="inlineStr">
        <is>
          <t>ÂNCORA</t>
        </is>
      </c>
      <c r="D39" s="1310" t="inlineStr">
        <is>
          <t>Aplicador Duplo Apl400 Ancora Manual Profissional Epoxi400</t>
        </is>
      </c>
      <c r="E39" s="492" t="n">
        <v>299</v>
      </c>
      <c r="F39" s="607" t="n">
        <v>250.8</v>
      </c>
      <c r="G39" s="447">
        <f>F39*12%</f>
        <v/>
      </c>
      <c r="H39" s="831" t="n">
        <v>-7.4</v>
      </c>
      <c r="I39" s="492" t="n">
        <v>24.65</v>
      </c>
      <c r="J39" s="340">
        <f>F39*18%</f>
        <v/>
      </c>
      <c r="K39" s="340">
        <f>(F39-J39)*1.65%</f>
        <v/>
      </c>
      <c r="L39" s="340">
        <f>(F39-J39)*7.6%</f>
        <v/>
      </c>
      <c r="M39" s="341" t="n">
        <v>17.05</v>
      </c>
      <c r="N39" s="1097">
        <f>(G39+I39)*(9.25%)</f>
        <v/>
      </c>
      <c r="O39" s="708" t="n">
        <v>139.27</v>
      </c>
      <c r="P39" s="447">
        <f>(F39 - (G39+I39+O39+(J39+K39+L39))) - (H39-M39-N39)</f>
        <v/>
      </c>
      <c r="Q39" s="328">
        <f>P39/F39</f>
        <v/>
      </c>
      <c r="R39" s="515" t="inlineStr">
        <is>
          <t>Ativo</t>
        </is>
      </c>
      <c r="S39" s="73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 ht="26.25" customHeight="1" s="1349">
      <c r="A40" s="711" t="inlineStr">
        <is>
          <t>3954487137</t>
        </is>
      </c>
      <c r="B40" s="470" t="n">
        <v>10034034167322</v>
      </c>
      <c r="C40" s="261" t="inlineStr">
        <is>
          <t>Camper</t>
        </is>
      </c>
      <c r="D40" s="290" t="inlineStr">
        <is>
          <t>Protetor Abafador Ruído Construção Autismo Industria 22db</t>
        </is>
      </c>
      <c r="E40" s="685" t="n"/>
      <c r="F40" s="705" t="n">
        <v>49.99</v>
      </c>
      <c r="G40" s="447">
        <f>F40*12%</f>
        <v/>
      </c>
      <c r="H40" s="124" t="n"/>
      <c r="I40" s="515" t="n">
        <v>8.15</v>
      </c>
      <c r="J40" s="340">
        <f>F40*18%</f>
        <v/>
      </c>
      <c r="K40" s="340">
        <f>(F40-J40)*1.65%</f>
        <v/>
      </c>
      <c r="L40" s="340">
        <f>(F40-J40)*7.6%</f>
        <v/>
      </c>
      <c r="M40" s="341" t="n">
        <v>4.47</v>
      </c>
      <c r="N40" s="1097">
        <f>(G40+I40)*(9.25%)</f>
        <v/>
      </c>
      <c r="O40" s="121" t="n">
        <v>24.36</v>
      </c>
      <c r="P40" s="447">
        <f>(F40 - (G40+I40+O40+(J40+K40+L40))) - (H40-M40-N40)</f>
        <v/>
      </c>
      <c r="Q40" s="328">
        <f>P40/F40</f>
        <v/>
      </c>
      <c r="R40" s="515" t="inlineStr">
        <is>
          <t>Ativo</t>
        </is>
      </c>
      <c r="S40" s="114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 ht="26.25" customHeight="1" s="1349">
      <c r="A41" s="292" t="inlineStr">
        <is>
          <t>5930022940</t>
        </is>
      </c>
      <c r="B41" s="73" t="n">
        <v>10034034167828</v>
      </c>
      <c r="C41" s="261" t="inlineStr">
        <is>
          <t>ÂNCORA</t>
        </is>
      </c>
      <c r="D41" s="404" t="inlineStr">
        <is>
          <t>Pino Liso Ação Direta 1/4x30x20 Roscado Concreto 300 Peças</t>
        </is>
      </c>
      <c r="E41" s="515" t="n"/>
      <c r="F41" s="705" t="n">
        <v>139.9</v>
      </c>
      <c r="G41" s="447">
        <f>F41*12%</f>
        <v/>
      </c>
      <c r="H41" s="831" t="n">
        <v>-2.91</v>
      </c>
      <c r="I41" s="631" t="n">
        <v>18.85</v>
      </c>
      <c r="J41" s="340">
        <f>F41*18%</f>
        <v/>
      </c>
      <c r="K41" s="340">
        <f>(F41-J41)*1.65%</f>
        <v/>
      </c>
      <c r="L41" s="340">
        <f>(F41-J41)*7.6%</f>
        <v/>
      </c>
      <c r="M41" s="341">
        <f>2.83*3</f>
        <v/>
      </c>
      <c r="N41" s="1097">
        <f>(G41+I41)*(9.25%)</f>
        <v/>
      </c>
      <c r="O41" s="121">
        <f>23.38*3</f>
        <v/>
      </c>
      <c r="P41" s="447">
        <f>(F41 - (G41+I41+O41+(J41+K41+L41))) - (H41-M41-N41)</f>
        <v/>
      </c>
      <c r="Q41" s="1328">
        <f>P41/F41</f>
        <v/>
      </c>
      <c r="R41" s="515" t="inlineStr">
        <is>
          <t>Ativo</t>
        </is>
      </c>
      <c r="S41" s="73" t="inlineStr">
        <is>
          <t>3 cx</t>
        </is>
      </c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 ht="26.25" customHeight="1" s="1349">
      <c r="A42" s="489" t="inlineStr">
        <is>
          <t>4056490935</t>
        </is>
      </c>
      <c r="B42" s="713" t="n">
        <v>10034034166751</v>
      </c>
      <c r="C42" s="261" t="inlineStr">
        <is>
          <t>ÂNCORA</t>
        </is>
      </c>
      <c r="D42" s="1310" t="inlineStr">
        <is>
          <t>Aplicador Chumbador Químico Selante Silicone Apl300 + Brinde</t>
        </is>
      </c>
      <c r="E42" s="492" t="n"/>
      <c r="F42" s="607" t="n">
        <v>154.28</v>
      </c>
      <c r="G42" s="447">
        <f>F42*12%</f>
        <v/>
      </c>
      <c r="H42" s="831" t="n">
        <v>-4.28</v>
      </c>
      <c r="I42" s="492" t="n">
        <v>20.75</v>
      </c>
      <c r="J42" s="340">
        <f>F42*18%</f>
        <v/>
      </c>
      <c r="K42" s="340">
        <f>(F42-J42)*1.65%</f>
        <v/>
      </c>
      <c r="L42" s="340">
        <f>(F42-J42)*7.6%</f>
        <v/>
      </c>
      <c r="M42" s="341" t="n">
        <v>9.09</v>
      </c>
      <c r="N42" s="1097">
        <f>(G42+I42)*(9.25%)</f>
        <v/>
      </c>
      <c r="O42" s="708" t="n">
        <v>78.16</v>
      </c>
      <c r="P42" s="447">
        <f>(F42 - (G42+I42+O42+(J42+K42+L42))) - (H42-M42-N42)</f>
        <v/>
      </c>
      <c r="Q42" s="328">
        <f>P42/F42</f>
        <v/>
      </c>
      <c r="R42" s="515" t="inlineStr">
        <is>
          <t>Ativo</t>
        </is>
      </c>
      <c r="S42" s="114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 ht="26.25" customHeight="1" s="1349">
      <c r="A43" s="292" t="inlineStr">
        <is>
          <t>5914919146</t>
        </is>
      </c>
      <c r="B43" s="73" t="n">
        <v>10034034168086</v>
      </c>
      <c r="C43" s="261" t="inlineStr">
        <is>
          <t>ÂNCORA</t>
        </is>
      </c>
      <c r="D43" s="404" t="inlineStr">
        <is>
          <t>Kit 10 Parafuso Sextavado Concreto 75mm X M10 Organometálico</t>
        </is>
      </c>
      <c r="E43" s="284" t="n"/>
      <c r="F43" s="120" t="n">
        <v>49.76</v>
      </c>
      <c r="G43" s="447">
        <f>F43*12%</f>
        <v/>
      </c>
      <c r="H43" s="831" t="n">
        <v>-2.92</v>
      </c>
      <c r="I43" s="515" t="n">
        <v>7.95</v>
      </c>
      <c r="J43" s="340">
        <f>F43*18%</f>
        <v/>
      </c>
      <c r="K43" s="340">
        <f>(F43-J43)*1.65%</f>
        <v/>
      </c>
      <c r="L43" s="340">
        <f>(F43-J43)*7.6%</f>
        <v/>
      </c>
      <c r="M43" s="341">
        <f>0.33*10</f>
        <v/>
      </c>
      <c r="N43" s="1097">
        <f>(G43+I43)*(9.25%)</f>
        <v/>
      </c>
      <c r="O43" s="121">
        <f>2.59*10</f>
        <v/>
      </c>
      <c r="P43" s="447">
        <f>(F43 - (G43+I43+O43+(J43+K43+L43))) - (H43-M43-N43)</f>
        <v/>
      </c>
      <c r="Q43" s="1328">
        <f>P43/F43</f>
        <v/>
      </c>
      <c r="R43" s="515" t="inlineStr">
        <is>
          <t>Ativo</t>
        </is>
      </c>
      <c r="S43" s="73" t="inlineStr">
        <is>
          <t>kit 10</t>
        </is>
      </c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 ht="26.25" customHeight="1" s="1349">
      <c r="A44" s="292" t="inlineStr">
        <is>
          <t>4583749223</t>
        </is>
      </c>
      <c r="B44" s="515" t="n">
        <v>10034034167107</v>
      </c>
      <c r="C44" s="631" t="inlineStr">
        <is>
          <t>EPI</t>
        </is>
      </c>
      <c r="D44" s="331" t="inlineStr">
        <is>
          <t>Perneira Bidim 3 Talas CA 39624 Fechamento Velcro</t>
        </is>
      </c>
      <c r="E44" s="515" t="n">
        <v>74.95</v>
      </c>
      <c r="F44" s="705" t="n">
        <v>37.83</v>
      </c>
      <c r="G44" s="447">
        <f>F44*12%</f>
        <v/>
      </c>
      <c r="H44" s="124" t="n">
        <v>-2.26</v>
      </c>
      <c r="I44" s="631" t="n">
        <v>7.95</v>
      </c>
      <c r="J44" s="340">
        <f>F44*18%</f>
        <v/>
      </c>
      <c r="K44" s="340">
        <f>(F44-J44)*1.65%</f>
        <v/>
      </c>
      <c r="L44" s="340">
        <f>(F44-J44)*7.6%</f>
        <v/>
      </c>
      <c r="M44" s="341" t="n">
        <v>3.89</v>
      </c>
      <c r="N44" s="1097">
        <f>(G44+I44)*(9.25%)</f>
        <v/>
      </c>
      <c r="O44" s="121" t="n">
        <v>19.3</v>
      </c>
      <c r="P44" s="447">
        <f>(F44 - (G44+I44+O44+(J44+K44+L44))) - (H44-M44-N44)</f>
        <v/>
      </c>
      <c r="Q44" s="1328">
        <f>P44/F44</f>
        <v/>
      </c>
      <c r="R44" s="515" t="inlineStr">
        <is>
          <t>Ativo</t>
        </is>
      </c>
      <c r="S44" s="73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</row>
    <row r="45" ht="26.25" customHeight="1" s="1349">
      <c r="A45" s="489" t="inlineStr">
        <is>
          <t>3343225453</t>
        </is>
      </c>
      <c r="B45" s="713" t="n">
        <v>10034034166303</v>
      </c>
      <c r="C45" s="261" t="inlineStr">
        <is>
          <t>ÂNCORA</t>
        </is>
      </c>
      <c r="D45" s="317" t="inlineStr">
        <is>
          <t>Parafuso Drywall Gesso Ponta Agulha Gn35 Walsywa 1000un</t>
        </is>
      </c>
      <c r="E45" s="492" t="n"/>
      <c r="F45" s="607" t="n">
        <v>55</v>
      </c>
      <c r="G45" s="447">
        <f>F45*12%</f>
        <v/>
      </c>
      <c r="H45" s="831" t="n">
        <v>-3.3</v>
      </c>
      <c r="I45" s="515" t="n">
        <v>8.15</v>
      </c>
      <c r="J45" s="340">
        <f>F45*18%</f>
        <v/>
      </c>
      <c r="K45" s="340">
        <f>(F45-J45)*1.65%</f>
        <v/>
      </c>
      <c r="L45" s="340">
        <f>(F45-J45)*7.6%</f>
        <v/>
      </c>
      <c r="M45" s="341" t="n">
        <v>3.5</v>
      </c>
      <c r="N45" s="1097">
        <f>(G45+I45)*(9.25%)</f>
        <v/>
      </c>
      <c r="O45" s="708" t="n">
        <v>28.97</v>
      </c>
      <c r="P45" s="447">
        <f>(F45 - (G45+I45+O45+(J45+K45+L45))) - (H45-M45-N45)</f>
        <v/>
      </c>
      <c r="Q45" s="328">
        <f>P45/F45</f>
        <v/>
      </c>
      <c r="R45" s="515" t="inlineStr">
        <is>
          <t>Ativo</t>
        </is>
      </c>
      <c r="S45" s="114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 ht="26.25" customHeight="1" s="1349">
      <c r="A46" s="1265" t="inlineStr">
        <is>
          <t>3436124575 3343287623</t>
        </is>
      </c>
      <c r="B46" s="1263" t="n">
        <v>10034034166301</v>
      </c>
      <c r="C46" s="261" t="inlineStr">
        <is>
          <t>ÂNCORA</t>
        </is>
      </c>
      <c r="D46" s="265" t="inlineStr">
        <is>
          <t>Parafuso Drywall Trombeta 3,5x35 Cx500pçs Gn35</t>
        </is>
      </c>
      <c r="E46" s="654" t="n"/>
      <c r="F46" s="607" t="n">
        <v>34.9</v>
      </c>
      <c r="G46" s="447">
        <f>F46*12%</f>
        <v/>
      </c>
      <c r="H46" s="831" t="n"/>
      <c r="I46" s="515" t="n">
        <v>6.75</v>
      </c>
      <c r="J46" s="340">
        <f>F46*18%</f>
        <v/>
      </c>
      <c r="K46" s="340">
        <f>(F46-J46)*1.65%</f>
        <v/>
      </c>
      <c r="L46" s="340">
        <f>(F46-J46)*7.6%</f>
        <v/>
      </c>
      <c r="M46" s="341">
        <f>0.004*500</f>
        <v/>
      </c>
      <c r="N46" s="1097">
        <f>(G46+I46)*(9.25%)</f>
        <v/>
      </c>
      <c r="O46" s="708">
        <f>0.029*500</f>
        <v/>
      </c>
      <c r="P46" s="447">
        <f>(F46 - (G46+I46+O46+(J46+K46+L46))) - (H46-M46-N46)</f>
        <v/>
      </c>
      <c r="Q46" s="328">
        <f>P46/F46</f>
        <v/>
      </c>
      <c r="R46" s="515" t="inlineStr">
        <is>
          <t>TRAVADO</t>
        </is>
      </c>
      <c r="S46" s="73" t="inlineStr">
        <is>
          <t>(catalogo)</t>
        </is>
      </c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</row>
    <row r="47" ht="26.25" customHeight="1" s="1349">
      <c r="A47" s="1265" t="inlineStr">
        <is>
          <t>4250240503</t>
        </is>
      </c>
      <c r="B47" s="1263" t="n">
        <v>10034034167350</v>
      </c>
      <c r="C47" s="261" t="inlineStr">
        <is>
          <t>Bracol</t>
        </is>
      </c>
      <c r="D47" s="1310" t="inlineStr">
        <is>
          <t>Bota Galocha Ecoboots Cano Longo Bico Composite Bracol</t>
        </is>
      </c>
      <c r="E47" s="492" t="n"/>
      <c r="F47" s="607" t="n">
        <v>236.45</v>
      </c>
      <c r="G47" s="447">
        <f>F47*12%</f>
        <v/>
      </c>
      <c r="H47" s="831" t="n">
        <v>-4.35</v>
      </c>
      <c r="I47" s="492" t="n">
        <v>26.95</v>
      </c>
      <c r="J47" s="340">
        <f>F47*18%</f>
        <v/>
      </c>
      <c r="K47" s="340">
        <f>(F47-J47)*1.65%</f>
        <v/>
      </c>
      <c r="L47" s="340">
        <f>(F47-J47)*7.6%</f>
        <v/>
      </c>
      <c r="M47" s="341" t="n">
        <v>26.73</v>
      </c>
      <c r="N47" s="1097">
        <f>(G47+I47)*(9.25%)</f>
        <v/>
      </c>
      <c r="O47" s="708" t="n">
        <v>132.73</v>
      </c>
      <c r="P47" s="447">
        <f>(F47 - (G47+I47+O47+(J47+K47+L47))) - (H47-M47-N47)</f>
        <v/>
      </c>
      <c r="Q47" s="328">
        <f>P47/F47</f>
        <v/>
      </c>
      <c r="R47" s="515" t="inlineStr">
        <is>
          <t>Ativo</t>
        </is>
      </c>
      <c r="S47" s="114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 ht="26.25" customHeight="1" s="1349">
      <c r="A48" s="292" t="inlineStr">
        <is>
          <t>4576846505</t>
        </is>
      </c>
      <c r="B48" s="515" t="inlineStr">
        <is>
          <t>MANGUITO-DELTA</t>
        </is>
      </c>
      <c r="C48" s="631" t="inlineStr">
        <is>
          <t>Delta plus</t>
        </is>
      </c>
      <c r="D48" s="331" t="inlineStr">
        <is>
          <t>Manguito Anticorte Para Braço Ajustável Proteção Epi Azul</t>
        </is>
      </c>
      <c r="E48" s="515" t="n"/>
      <c r="F48" s="705" t="n">
        <v>118.34</v>
      </c>
      <c r="G48" s="447">
        <f>F48*12%</f>
        <v/>
      </c>
      <c r="H48" s="124" t="n">
        <v>-3.01</v>
      </c>
      <c r="I48" s="631" t="n">
        <v>14.35</v>
      </c>
      <c r="J48" s="340">
        <f>F48*18%</f>
        <v/>
      </c>
      <c r="K48" s="340">
        <f>(F48-J48)*1.65%</f>
        <v/>
      </c>
      <c r="L48" s="340">
        <f>(F48-J48)*7.6%</f>
        <v/>
      </c>
      <c r="M48" s="341" t="n">
        <v>18.21</v>
      </c>
      <c r="N48" s="1097">
        <f>(G48+I48)*(9.25%)</f>
        <v/>
      </c>
      <c r="O48" s="121" t="n">
        <v>71.19</v>
      </c>
      <c r="P48" s="447">
        <f>(F48 - (G48+I48+O48+(J48+K48+L48))) - (H48-M48-N48)</f>
        <v/>
      </c>
      <c r="Q48" s="1328">
        <f>P48/F48</f>
        <v/>
      </c>
      <c r="R48" s="631" t="inlineStr">
        <is>
          <t>Ativo</t>
        </is>
      </c>
      <c r="S48" s="73" t="n"/>
      <c r="T48" s="579" t="n"/>
      <c r="U48" s="579" t="n"/>
      <c r="V48" s="579" t="n"/>
      <c r="W48" s="579" t="n"/>
      <c r="X48" s="579" t="n"/>
      <c r="Y48" s="579" t="n"/>
      <c r="Z48" s="579" t="n"/>
      <c r="AA48" s="579" t="n"/>
      <c r="AB48" s="579" t="n"/>
      <c r="AC48" s="579" t="n"/>
      <c r="AD48" s="579" t="n"/>
      <c r="AE48" s="579" t="n"/>
      <c r="AF48" s="579" t="n"/>
      <c r="AG48" s="579" t="n"/>
    </row>
    <row r="49" ht="26.25" customHeight="1" s="1349">
      <c r="A49" s="1265" t="inlineStr">
        <is>
          <t>3738376997734803</t>
        </is>
      </c>
      <c r="B49" s="713" t="n">
        <v>10034034166589</v>
      </c>
      <c r="C49" s="631" t="inlineStr">
        <is>
          <t>VOLK</t>
        </is>
      </c>
      <c r="D49" s="1310" t="inlineStr">
        <is>
          <t>Kit 5 Luva De Látex Natural E Neoprene Bicolor Multi Uso</t>
        </is>
      </c>
      <c r="E49" s="492" t="n"/>
      <c r="F49" s="607" t="n">
        <v>55.09</v>
      </c>
      <c r="G49" s="93">
        <f>F49*12%</f>
        <v/>
      </c>
      <c r="H49" s="831" t="n">
        <v>-1.07</v>
      </c>
      <c r="I49" s="515" t="n">
        <v>7.95</v>
      </c>
      <c r="J49" s="340">
        <f>F49*18%</f>
        <v/>
      </c>
      <c r="K49" s="340">
        <f>(F49-J49)*1.65%</f>
        <v/>
      </c>
      <c r="L49" s="340">
        <f>(F49-J49)*7.6%</f>
        <v/>
      </c>
      <c r="M49" s="341">
        <f>0.68*5</f>
        <v/>
      </c>
      <c r="N49" s="1097">
        <f>(G49+I49)*(9.25%)</f>
        <v/>
      </c>
      <c r="O49" s="674">
        <f>5.3*5</f>
        <v/>
      </c>
      <c r="P49" s="447">
        <f>(F49 - (G49+I49+O49+(J49+K49+L49))) - (H49-M49-N49)</f>
        <v/>
      </c>
      <c r="Q49" s="328">
        <f>P49/F49</f>
        <v/>
      </c>
      <c r="R49" s="515" t="inlineStr">
        <is>
          <t>Ativo</t>
        </is>
      </c>
      <c r="S49" s="114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 ht="26.25" customHeight="1" s="1349">
      <c r="A50" s="292" t="inlineStr">
        <is>
          <t>6549367038</t>
        </is>
      </c>
      <c r="B50" s="515" t="inlineStr">
        <is>
          <t>MANGUITO-DELTA</t>
        </is>
      </c>
      <c r="C50" s="631" t="inlineStr">
        <is>
          <t>Delta plus</t>
        </is>
      </c>
      <c r="D50" s="331" t="inlineStr">
        <is>
          <t>Manguito Anticorte Nível D CA 41403 EPI Profissional</t>
        </is>
      </c>
      <c r="E50" s="515" t="n">
        <v>149.9</v>
      </c>
      <c r="F50" s="705" t="n">
        <v>119.7</v>
      </c>
      <c r="G50" s="447">
        <f>F50*12%</f>
        <v/>
      </c>
      <c r="H50" s="124" t="n">
        <v>-2.53</v>
      </c>
      <c r="I50" s="631" t="n">
        <v>14.35</v>
      </c>
      <c r="J50" s="340">
        <f>F50*18%</f>
        <v/>
      </c>
      <c r="K50" s="340">
        <f>(F50-J50)*1.65%</f>
        <v/>
      </c>
      <c r="L50" s="340">
        <f>(F50-J50)*7.6%</f>
        <v/>
      </c>
      <c r="M50" s="341" t="n">
        <v>18.21</v>
      </c>
      <c r="N50" s="1097">
        <f>(G50+I50)*(9.25%)</f>
        <v/>
      </c>
      <c r="O50" s="121" t="n">
        <v>71.19</v>
      </c>
      <c r="P50" s="447">
        <f>(F50 - (G50+I50+O50+(J50+K50+L50))) - (H50-M50-N50)</f>
        <v/>
      </c>
      <c r="Q50" s="1328">
        <f>P50/F50</f>
        <v/>
      </c>
      <c r="R50" s="515" t="inlineStr">
        <is>
          <t>Ativo</t>
        </is>
      </c>
      <c r="S50" s="73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</row>
    <row r="51" ht="26.25" customHeight="1" s="1349">
      <c r="A51" s="292" t="inlineStr">
        <is>
          <t>6001739108</t>
        </is>
      </c>
      <c r="B51" s="73" t="n">
        <v>10034034168058</v>
      </c>
      <c r="C51" s="261" t="inlineStr">
        <is>
          <t>ÂNCORA</t>
        </is>
      </c>
      <c r="D51" s="331" t="inlineStr">
        <is>
          <t>Kit 10 Bucha Tab 1/4 Bases Ocas Drywall Parafuso 1/4 X 2.1/2</t>
        </is>
      </c>
      <c r="E51" s="515" t="n"/>
      <c r="F51" s="705" t="n">
        <v>43.28</v>
      </c>
      <c r="G51" s="447">
        <f>F51*11.5%</f>
        <v/>
      </c>
      <c r="H51" s="831" t="n"/>
      <c r="I51" s="515" t="n">
        <v>6.65</v>
      </c>
      <c r="J51" s="340">
        <f>F51*18%</f>
        <v/>
      </c>
      <c r="K51" s="340">
        <f>(F51-J51)*1.65%</f>
        <v/>
      </c>
      <c r="L51" s="340">
        <f>(F51-J51)*7.6%</f>
        <v/>
      </c>
      <c r="M51" s="341">
        <f>0.23*10</f>
        <v/>
      </c>
      <c r="N51" s="1097">
        <f>(G51+I51)*(9.25%)</f>
        <v/>
      </c>
      <c r="O51" s="121">
        <f>1.94*10</f>
        <v/>
      </c>
      <c r="P51" s="447">
        <f>(F51 - (G51+I51+O51+(J51+K51+L51))) - (H51-M51-N51)</f>
        <v/>
      </c>
      <c r="Q51" s="1328">
        <f>P51/F51</f>
        <v/>
      </c>
      <c r="R51" s="515" t="inlineStr">
        <is>
          <t>Ativo</t>
        </is>
      </c>
      <c r="S51" s="73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 ht="26.25" customHeight="1" s="1349">
      <c r="A52" s="1265" t="inlineStr">
        <is>
          <t>3398606239</t>
        </is>
      </c>
      <c r="B52" s="1263" t="inlineStr">
        <is>
          <t>FTD5090</t>
        </is>
      </c>
      <c r="C52" s="261" t="inlineStr">
        <is>
          <t>ÂNCORA</t>
        </is>
      </c>
      <c r="D52" s="265" t="inlineStr">
        <is>
          <t>Fita Adesiva Telada Juntas Trincas Drywall Gesso 90m X 48mm</t>
        </is>
      </c>
      <c r="E52" s="654" t="n"/>
      <c r="F52" s="607" t="n">
        <v>30.9</v>
      </c>
      <c r="G52" s="447">
        <f>F52*12%</f>
        <v/>
      </c>
      <c r="H52" s="831" t="n"/>
      <c r="I52" s="515" t="n">
        <v>6.55</v>
      </c>
      <c r="J52" s="340">
        <f>F52*18%</f>
        <v/>
      </c>
      <c r="K52" s="340">
        <f>(F52-J52)*1.65%</f>
        <v/>
      </c>
      <c r="L52" s="340">
        <f>(F52-J52)*7.6%</f>
        <v/>
      </c>
      <c r="M52" s="341" t="n">
        <v>1.54</v>
      </c>
      <c r="N52" s="1097">
        <f>(G52+I52)*(9.25%)</f>
        <v/>
      </c>
      <c r="O52" s="708" t="n">
        <v>11.97</v>
      </c>
      <c r="P52" s="447">
        <f>(F52 - (G52+I52+O52+(J52+K52+L52))) - (H52-M52-N52)</f>
        <v/>
      </c>
      <c r="Q52" s="328">
        <f>P52/F52</f>
        <v/>
      </c>
      <c r="R52" s="514" t="inlineStr">
        <is>
          <t>Ativo</t>
        </is>
      </c>
      <c r="S52" s="114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</row>
    <row r="53" ht="26.25" customHeight="1" s="1349">
      <c r="A53" s="316" t="inlineStr">
        <is>
          <t>3089049051164369</t>
        </is>
      </c>
      <c r="B53" s="317" t="inlineStr">
        <is>
          <t>CELSF503 38/9</t>
        </is>
      </c>
      <c r="C53" s="331" t="inlineStr">
        <is>
          <t>Calfor</t>
        </is>
      </c>
      <c r="D53" s="1310" t="inlineStr">
        <is>
          <t>Bota Galocha Borracha Pvc Supermax Cano Extra Longo 39cm</t>
        </is>
      </c>
      <c r="E53" s="1310" t="n"/>
      <c r="F53" s="320" t="n">
        <v>69.90000000000001</v>
      </c>
      <c r="G53" s="321">
        <f>F53*12%</f>
        <v/>
      </c>
      <c r="H53" s="296" t="n"/>
      <c r="I53" s="331" t="n">
        <v>8.550000000000001</v>
      </c>
      <c r="J53" s="321">
        <f>F53*18%</f>
        <v/>
      </c>
      <c r="K53" s="321">
        <f>(F53-J53)*1.65%</f>
        <v/>
      </c>
      <c r="L53" s="321">
        <f>(F53-J53)*7.6%</f>
        <v/>
      </c>
      <c r="M53" s="341" t="n">
        <v>7.38</v>
      </c>
      <c r="N53" s="1097">
        <f>(G53+I53)*(9.25%)</f>
        <v/>
      </c>
      <c r="O53" s="655" t="n">
        <v>36.65</v>
      </c>
      <c r="P53" s="447">
        <f>(F53 - (G53+I53+O53+(J53+K53+L53))) - (H53-M53-N53)</f>
        <v/>
      </c>
      <c r="Q53" s="328">
        <f>P53/F53</f>
        <v/>
      </c>
      <c r="R53" s="298" t="inlineStr">
        <is>
          <t>Ativo</t>
        </is>
      </c>
      <c r="S53" s="33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 ht="26.25" customHeight="1" s="1349">
      <c r="A54" s="261" t="inlineStr">
        <is>
          <t>3479992613117713</t>
        </is>
      </c>
      <c r="B54" s="73" t="n">
        <v>10034034168305</v>
      </c>
      <c r="C54" s="631" t="inlineStr">
        <is>
          <t>Bracol</t>
        </is>
      </c>
      <c r="D54" s="404" t="inlineStr">
        <is>
          <t>Botina Dubai Amarrar Couro Bico Composite Eletricista Marrom</t>
        </is>
      </c>
      <c r="E54" s="515" t="n"/>
      <c r="F54" s="120" t="n">
        <v>169.65</v>
      </c>
      <c r="G54" s="447">
        <f>F54*12%</f>
        <v/>
      </c>
      <c r="H54" s="157" t="n">
        <v>-8.029999999999999</v>
      </c>
      <c r="I54" s="515" t="n">
        <v>24.65</v>
      </c>
      <c r="J54" s="340">
        <f>F54*18%</f>
        <v/>
      </c>
      <c r="K54" s="340">
        <f>(F54-J54)*1.65%</f>
        <v/>
      </c>
      <c r="L54" s="340">
        <f>(F54-J54)*7.6%</f>
        <v/>
      </c>
      <c r="M54" s="341" t="n">
        <v>18.76</v>
      </c>
      <c r="N54" s="1097">
        <f>(G54+I54)*(9.25%)</f>
        <v/>
      </c>
      <c r="O54" s="121" t="n">
        <v>93.16</v>
      </c>
      <c r="P54" s="447">
        <f>(F54 - (G54+I54+O54+(J54+K54+L54))) - (H54-M54-N54)</f>
        <v/>
      </c>
      <c r="Q54" s="1328">
        <f>P54/F54</f>
        <v/>
      </c>
      <c r="R54" s="1337" t="inlineStr">
        <is>
          <t>Revitalizar</t>
        </is>
      </c>
      <c r="S54" s="73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</row>
    <row r="55" ht="26.25" customHeight="1" s="1349">
      <c r="A55" s="489" t="inlineStr">
        <is>
          <t>3436747679</t>
        </is>
      </c>
      <c r="B55" s="713" t="n">
        <v>10034034166352</v>
      </c>
      <c r="C55" s="261" t="inlineStr">
        <is>
          <t>VOLK</t>
        </is>
      </c>
      <c r="D55" s="1310" t="inlineStr">
        <is>
          <t>Luva Anticorte Alta Temperatura 250° Volk Black Tractor 8un</t>
        </is>
      </c>
      <c r="E55" s="492" t="n"/>
      <c r="F55" s="607" t="n">
        <v>115.43</v>
      </c>
      <c r="G55" s="447">
        <f>F55*12%</f>
        <v/>
      </c>
      <c r="H55" s="831" t="n">
        <v>-3.45</v>
      </c>
      <c r="I55" s="492" t="n">
        <v>18.35</v>
      </c>
      <c r="J55" s="340">
        <f>F55*18%</f>
        <v/>
      </c>
      <c r="K55" s="340">
        <f>(F55-J55)*1.65%</f>
        <v/>
      </c>
      <c r="L55" s="340">
        <f>(F55-J55)*7.6%</f>
        <v/>
      </c>
      <c r="M55" s="341">
        <f>0.86*8</f>
        <v/>
      </c>
      <c r="N55" s="1097">
        <f>(G55+I55)*(9.25%)</f>
        <v/>
      </c>
      <c r="O55" s="708">
        <f>6.69*8</f>
        <v/>
      </c>
      <c r="P55" s="447">
        <f>(F55 - (G55+I55+O55+(J55+K55+L55))) - (H55-M55-N55)</f>
        <v/>
      </c>
      <c r="Q55" s="328">
        <f>P55/F55</f>
        <v/>
      </c>
      <c r="R55" s="514" t="inlineStr">
        <is>
          <t>Ativo</t>
        </is>
      </c>
      <c r="S55" s="114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 ht="26.25" customHeight="1" s="1349">
      <c r="A56" s="292" t="inlineStr">
        <is>
          <t>6566958230</t>
        </is>
      </c>
      <c r="B56" s="515" t="n">
        <v>10034034167107</v>
      </c>
      <c r="C56" s="631" t="inlineStr">
        <is>
          <t>EPI</t>
        </is>
      </c>
      <c r="D56" s="331" t="inlineStr">
        <is>
          <t>Perneira Proteção Cobra 3 Talas com Velcro</t>
        </is>
      </c>
      <c r="E56" s="515" t="n">
        <v>78.98999999999999</v>
      </c>
      <c r="F56" s="705" t="n">
        <v>37.5</v>
      </c>
      <c r="G56" s="447">
        <f>F56*12%</f>
        <v/>
      </c>
      <c r="H56" s="124" t="n">
        <v>-2.25</v>
      </c>
      <c r="I56" s="515" t="n">
        <v>6.75</v>
      </c>
      <c r="J56" s="340">
        <f>F56*18%</f>
        <v/>
      </c>
      <c r="K56" s="340">
        <f>(F56-J56)*1.65%</f>
        <v/>
      </c>
      <c r="L56" s="340">
        <f>(F56-J56)*7.6%</f>
        <v/>
      </c>
      <c r="M56" s="341" t="n">
        <v>3.89</v>
      </c>
      <c r="N56" s="1097">
        <f>(G56+I56)*(9.25%)</f>
        <v/>
      </c>
      <c r="O56" s="121" t="n">
        <v>19.3</v>
      </c>
      <c r="P56" s="447">
        <f>(F56 - (G56+I56+O56+(J56+K56+L56))) - (H56-M56-N56)</f>
        <v/>
      </c>
      <c r="Q56" s="1328">
        <f>P56/F56</f>
        <v/>
      </c>
      <c r="R56" s="514" t="inlineStr">
        <is>
          <t>Ativo</t>
        </is>
      </c>
      <c r="S56" s="73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</row>
    <row r="57" ht="26.25" customHeight="1" s="1349">
      <c r="A57" s="489" t="inlineStr">
        <is>
          <t>3330254699</t>
        </is>
      </c>
      <c r="B57" s="713" t="n">
        <v>10034034167325</v>
      </c>
      <c r="C57" s="261" t="inlineStr">
        <is>
          <t>Camper</t>
        </is>
      </c>
      <c r="D57" s="265" t="inlineStr">
        <is>
          <t>Abafador Ruido Protetor Auricular Auditivo Camper C200 10un</t>
        </is>
      </c>
      <c r="E57" s="654" t="n"/>
      <c r="F57" s="607" t="n">
        <v>213.4</v>
      </c>
      <c r="G57" s="447">
        <f>F57*12%</f>
        <v/>
      </c>
      <c r="H57" s="831" t="n">
        <v>-8.66</v>
      </c>
      <c r="I57" s="492" t="n">
        <v>30.75</v>
      </c>
      <c r="J57" s="340">
        <f>F57*18%</f>
        <v/>
      </c>
      <c r="K57" s="340">
        <f>(F57-J57)*1.65%</f>
        <v/>
      </c>
      <c r="L57" s="340">
        <f>(F57-J57)*7.6%</f>
        <v/>
      </c>
      <c r="M57" s="341">
        <f>2.03*10</f>
        <v/>
      </c>
      <c r="N57" s="1097">
        <f>(G57+I57)*(9.25%)</f>
        <v/>
      </c>
      <c r="O57" s="197">
        <f>11.08*10</f>
        <v/>
      </c>
      <c r="P57" s="447">
        <f>(F57 - (G57+I57+O57+(J57+K57+L57))) - (H57-M57-N57)</f>
        <v/>
      </c>
      <c r="Q57" s="328">
        <f>P57/F57</f>
        <v/>
      </c>
      <c r="R57" s="514" t="inlineStr">
        <is>
          <t>Ativo</t>
        </is>
      </c>
      <c r="S57" s="114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 ht="26.25" customHeight="1" s="1349">
      <c r="A58" s="669" t="inlineStr">
        <is>
          <t>7074834099140946</t>
        </is>
      </c>
      <c r="B58" s="670" t="n">
        <v>335</v>
      </c>
      <c r="C58" s="758" t="inlineStr">
        <is>
          <t>VOLK</t>
        </is>
      </c>
      <c r="D58" s="1310" t="inlineStr">
        <is>
          <t>Luva Latex Ranhadura Limpeza Confortável Tira Pelo Banho Pet</t>
        </is>
      </c>
      <c r="E58" s="806" t="n"/>
      <c r="F58" s="607" t="n">
        <v>21.9</v>
      </c>
      <c r="G58" s="250">
        <f>F58*12%</f>
        <v/>
      </c>
      <c r="H58" s="609" t="n"/>
      <c r="I58" s="887" t="n">
        <v>6.65</v>
      </c>
      <c r="J58" s="136">
        <f>F58*18%</f>
        <v/>
      </c>
      <c r="K58" s="136">
        <f>(F58-J58)*1.65%</f>
        <v/>
      </c>
      <c r="L58" s="136">
        <f>(F58-J58)*7.6%</f>
        <v/>
      </c>
      <c r="M58" s="341" t="n">
        <v>0.77</v>
      </c>
      <c r="N58" s="1097">
        <f>(G58+I58)*(9.25%)</f>
        <v/>
      </c>
      <c r="O58" s="708" t="n">
        <v>5.98</v>
      </c>
      <c r="P58" s="134">
        <f>(F58 - (G58+I58+O58+(J58+K58+L58))) - (H58-M58-N58)</f>
        <v/>
      </c>
      <c r="Q58" s="137">
        <f>P58/F58</f>
        <v/>
      </c>
      <c r="R58" s="302" t="inlineStr">
        <is>
          <t>Novo</t>
        </is>
      </c>
      <c r="S58" s="303" t="inlineStr">
        <is>
          <t>todas as variações</t>
        </is>
      </c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</row>
    <row r="59" ht="26.25" customHeight="1" s="1349">
      <c r="A59" s="1265" t="inlineStr">
        <is>
          <t>3253402516785679</t>
        </is>
      </c>
      <c r="B59" s="1263" t="n"/>
      <c r="C59" s="631" t="inlineStr">
        <is>
          <t>Avant</t>
        </is>
      </c>
      <c r="D59" s="1310" t="inlineStr">
        <is>
          <t>Kit 5 Capacete De Segurança Camper Ca34414 Epi C/ Jugular</t>
        </is>
      </c>
      <c r="E59" s="654" t="n"/>
      <c r="F59" s="607" t="n">
        <v>96.02</v>
      </c>
      <c r="G59" s="447">
        <f>F59*12%</f>
        <v/>
      </c>
      <c r="H59" s="831" t="n">
        <v>-2.97</v>
      </c>
      <c r="I59" s="492" t="n">
        <v>15.75</v>
      </c>
      <c r="J59" s="340">
        <f>F59*18%</f>
        <v/>
      </c>
      <c r="K59" s="340">
        <f>(F59-J59)*1.65%</f>
        <v/>
      </c>
      <c r="L59" s="340">
        <f>(F59-J59)*7.6%</f>
        <v/>
      </c>
      <c r="M59" s="341" t="n">
        <v>3.32</v>
      </c>
      <c r="N59" s="1097">
        <f>(G59+I59)*(9.25%)</f>
        <v/>
      </c>
      <c r="O59" s="121" t="n">
        <v>41.2</v>
      </c>
      <c r="P59" s="447">
        <f>(F59 - (G59+I59+O59+(J59+K59+L59))) - (H59-M59-N59)</f>
        <v/>
      </c>
      <c r="Q59" s="328">
        <f>P59/F59</f>
        <v/>
      </c>
      <c r="R59" s="1337" t="inlineStr">
        <is>
          <t>Ativo</t>
        </is>
      </c>
      <c r="S59" s="114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 ht="26.25" customHeight="1" s="1349">
      <c r="A60" s="1265" t="inlineStr">
        <is>
          <t>6755795548</t>
        </is>
      </c>
      <c r="B60" s="1263" t="n">
        <v>48</v>
      </c>
      <c r="C60" s="261" t="inlineStr">
        <is>
          <t>ÂNCORA</t>
        </is>
      </c>
      <c r="D60" s="265" t="inlineStr">
        <is>
          <t>Arame Galvanizado Bwg 18 Liso 1kg Drywall Gesso Forro</t>
        </is>
      </c>
      <c r="E60" s="654" t="n"/>
      <c r="F60" s="607" t="n">
        <v>30.95</v>
      </c>
      <c r="G60" s="447">
        <f>F60*11.5%</f>
        <v/>
      </c>
      <c r="H60" s="831" t="n">
        <v>-0.96</v>
      </c>
      <c r="I60" s="631" t="n">
        <v>6.85</v>
      </c>
      <c r="J60" s="340">
        <f>F60*18%</f>
        <v/>
      </c>
      <c r="K60" s="340">
        <f>(F60-J60)*1.65%</f>
        <v/>
      </c>
      <c r="L60" s="340">
        <f>(F60-J60)*7.6%</f>
        <v/>
      </c>
      <c r="M60" s="341" t="n">
        <v>1.53</v>
      </c>
      <c r="N60" s="1097">
        <f>(G60+I60)*(9.25%)</f>
        <v/>
      </c>
      <c r="O60" s="708" t="n">
        <v>12.23</v>
      </c>
      <c r="P60" s="447">
        <f>(F60 - (G60+I60+O60+(J60+K60+L60))) - (H60-M60-N60)</f>
        <v/>
      </c>
      <c r="Q60" s="328">
        <f>P60/F60</f>
        <v/>
      </c>
      <c r="R60" s="514" t="inlineStr">
        <is>
          <t>Ativo</t>
        </is>
      </c>
      <c r="S60" s="114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</row>
    <row r="61" ht="26.25" customHeight="1" s="1349">
      <c r="A61" s="292" t="inlineStr">
        <is>
          <t>5929989548</t>
        </is>
      </c>
      <c r="B61" s="73" t="n">
        <v>10034034167829</v>
      </c>
      <c r="C61" s="261" t="inlineStr">
        <is>
          <t>ÂNCORA</t>
        </is>
      </c>
      <c r="D61" s="404" t="inlineStr">
        <is>
          <t>Pino Liso Ação Direta 1/4x30x20mm C/ Rosca Concreto 500pçs</t>
        </is>
      </c>
      <c r="E61" s="515" t="n"/>
      <c r="F61" s="705" t="n">
        <v>227</v>
      </c>
      <c r="G61" s="447">
        <f>F61*12%</f>
        <v/>
      </c>
      <c r="H61" s="831" t="n">
        <v>-7.2</v>
      </c>
      <c r="I61" s="515" t="n">
        <v>28.35</v>
      </c>
      <c r="J61" s="340">
        <f>F61*18%</f>
        <v/>
      </c>
      <c r="K61" s="340">
        <f>(F61-J61)*1.65%</f>
        <v/>
      </c>
      <c r="L61" s="340">
        <f>(F61-J61)*7.6%</f>
        <v/>
      </c>
      <c r="M61" s="341">
        <f>2.67*5</f>
        <v/>
      </c>
      <c r="N61" s="1097">
        <f>(G61+I61)*(9.25%)</f>
        <v/>
      </c>
      <c r="O61" s="121">
        <f>22.04*5</f>
        <v/>
      </c>
      <c r="P61" s="447">
        <f>(F61 - (G61+I61+O61+(J61+K61+L61))) - (H61-M61-N61)</f>
        <v/>
      </c>
      <c r="Q61" s="1328">
        <f>P61/F61</f>
        <v/>
      </c>
      <c r="R61" s="514" t="inlineStr">
        <is>
          <t>Ativo</t>
        </is>
      </c>
      <c r="S61" s="73" t="inlineStr">
        <is>
          <t>5 cx</t>
        </is>
      </c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</row>
    <row r="62" ht="26.25" customHeight="1" s="1349">
      <c r="A62" s="709" t="inlineStr">
        <is>
          <t>4145600053</t>
        </is>
      </c>
      <c r="B62" s="710" t="n">
        <v>10034034167601</v>
      </c>
      <c r="C62" s="261" t="inlineStr">
        <is>
          <t>VOLK</t>
        </is>
      </c>
      <c r="D62" s="1310" t="inlineStr">
        <is>
          <t>Kit 12 Luva Multiuso Amarela Látex Antiderrapante Faxina Epi</t>
        </is>
      </c>
      <c r="E62" s="712" t="n"/>
      <c r="F62" s="120" t="n">
        <v>65.13</v>
      </c>
      <c r="G62" s="447">
        <f>F62*13%</f>
        <v/>
      </c>
      <c r="H62" s="831" t="n">
        <v>-1.38</v>
      </c>
      <c r="I62" s="515" t="n">
        <v>8.550000000000001</v>
      </c>
      <c r="J62" s="340">
        <f>F62*18%</f>
        <v/>
      </c>
      <c r="K62" s="340">
        <f>(F62-J62)*1.65%</f>
        <v/>
      </c>
      <c r="L62" s="340">
        <f>(F62-J62)*7.6%</f>
        <v/>
      </c>
      <c r="M62" s="341">
        <f>0.32*12</f>
        <v/>
      </c>
      <c r="N62" s="1097">
        <f>(G62+I62)*(9.25%)</f>
        <v/>
      </c>
      <c r="O62" s="121">
        <f>2.49*12</f>
        <v/>
      </c>
      <c r="P62" s="447">
        <f>(F62 - (G62+I62+O62+(J62+K62+L62))) - (H62-M62-N62)</f>
        <v/>
      </c>
      <c r="Q62" s="328">
        <f>P62/F62</f>
        <v/>
      </c>
      <c r="R62" s="514" t="inlineStr">
        <is>
          <t>Ativo</t>
        </is>
      </c>
      <c r="S62" s="73" t="inlineStr">
        <is>
          <t>Slim</t>
        </is>
      </c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 ht="26.25" customHeight="1" s="1349">
      <c r="A63" s="292" t="inlineStr">
        <is>
          <t>6019881792</t>
        </is>
      </c>
      <c r="B63" s="73" t="n">
        <v>10034034168013</v>
      </c>
      <c r="C63" s="261" t="inlineStr">
        <is>
          <t>Nutriex</t>
        </is>
      </c>
      <c r="D63" s="404" t="inlineStr">
        <is>
          <t>Spray Repelente Expert Total 200ml Criança Anti Mosquito 2un</t>
        </is>
      </c>
      <c r="E63" s="515" t="n"/>
      <c r="F63" s="705" t="n">
        <v>38.64</v>
      </c>
      <c r="G63" s="447">
        <f>F63*12.5%</f>
        <v/>
      </c>
      <c r="H63" s="831" t="n">
        <v>-1.13</v>
      </c>
      <c r="I63" s="631" t="n">
        <v>6.65</v>
      </c>
      <c r="J63" s="340">
        <f>F63*18%</f>
        <v/>
      </c>
      <c r="K63" s="340">
        <f>(F63-J63)*1.65%</f>
        <v/>
      </c>
      <c r="L63" s="340">
        <f>(F63-J63)*7.6%</f>
        <v/>
      </c>
      <c r="M63" s="341">
        <f>1.81*2</f>
        <v/>
      </c>
      <c r="N63" s="1097">
        <f>(G63+I63)*(9.25%)</f>
        <v/>
      </c>
      <c r="O63" s="121">
        <f>9*2</f>
        <v/>
      </c>
      <c r="P63" s="447">
        <f>(F63 - (G63+I63+O63+(J63+K63+L63))) - (H63-M63-N63)</f>
        <v/>
      </c>
      <c r="Q63" s="1328">
        <f>P63/F63</f>
        <v/>
      </c>
      <c r="R63" s="514" t="inlineStr">
        <is>
          <t>Ativo</t>
        </is>
      </c>
      <c r="S63" s="73" t="inlineStr">
        <is>
          <t>2un</t>
        </is>
      </c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4" ht="26.25" customHeight="1" s="1349">
      <c r="A64" s="489" t="inlineStr">
        <is>
          <t>2785525384</t>
        </is>
      </c>
      <c r="B64" s="181" t="n">
        <v>10034034167402</v>
      </c>
      <c r="C64" s="261" t="inlineStr">
        <is>
          <t>Delta plus</t>
        </is>
      </c>
      <c r="D64" s="1310" t="inlineStr">
        <is>
          <t>Kit 50 Óculos De Proteção Epi Incolor Resistente Proteção</t>
        </is>
      </c>
      <c r="E64" s="492" t="n"/>
      <c r="F64" s="607" t="n">
        <v>179.91</v>
      </c>
      <c r="G64" s="447">
        <f>F64*12%</f>
        <v/>
      </c>
      <c r="H64" s="831" t="n">
        <v>-3.59</v>
      </c>
      <c r="I64" s="492" t="n">
        <v>23.65</v>
      </c>
      <c r="J64" s="340">
        <f>F64*18%</f>
        <v/>
      </c>
      <c r="K64" s="340">
        <f>(F64-J64)*1.65%</f>
        <v/>
      </c>
      <c r="L64" s="340">
        <f>(F64-J64)*7.6%</f>
        <v/>
      </c>
      <c r="M64" s="341">
        <f>0.48*50</f>
        <v/>
      </c>
      <c r="N64" s="1097">
        <f>(G64+I64)*(9.25%)</f>
        <v/>
      </c>
      <c r="O64" s="708">
        <f>1.93*50</f>
        <v/>
      </c>
      <c r="P64" s="447">
        <f>(F64 - (G64+I64+O64+(J64+K64+L64))) - (H64-M64-N64)</f>
        <v/>
      </c>
      <c r="Q64" s="328">
        <f>P64/F64</f>
        <v/>
      </c>
      <c r="R64" s="514" t="inlineStr">
        <is>
          <t>Ativo</t>
        </is>
      </c>
      <c r="S64" s="114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</row>
    <row r="65" ht="26.25" customHeight="1" s="1349">
      <c r="A65" s="669" t="inlineStr">
        <is>
          <t>8513202948154194</t>
        </is>
      </c>
      <c r="B65" s="306" t="n"/>
      <c r="C65" s="631" t="inlineStr">
        <is>
          <t>Calfor</t>
        </is>
      </c>
      <c r="D65" s="1310" t="inlineStr">
        <is>
          <t>Bota Pvc Stivalleto Impermeável Forrado Preto Cano Curto</t>
        </is>
      </c>
      <c r="E65" s="492" t="n"/>
      <c r="F65" s="607" t="n">
        <v>47.53</v>
      </c>
      <c r="G65" s="227">
        <f>F65*12%</f>
        <v/>
      </c>
      <c r="H65" s="759" t="n">
        <v>-2.85</v>
      </c>
      <c r="I65" s="515" t="n">
        <v>8.949999999999999</v>
      </c>
      <c r="J65" s="340">
        <f>F65*18%</f>
        <v/>
      </c>
      <c r="K65" s="340">
        <f>(F65-J65)*1.65%</f>
        <v/>
      </c>
      <c r="L65" s="340">
        <f>(F65-J65)*7.6%</f>
        <v/>
      </c>
      <c r="M65" s="341" t="n">
        <v>4.69</v>
      </c>
      <c r="N65" s="1097">
        <f>(G65+I65)*(9.25%)</f>
        <v/>
      </c>
      <c r="O65" s="674" t="n">
        <v>23.29</v>
      </c>
      <c r="P65" s="447">
        <f>(F65 - (G65+I65+O65+(J65+K65+L65))) - (H65-M65-N65)</f>
        <v/>
      </c>
      <c r="Q65" s="1328">
        <f>P65/F65</f>
        <v/>
      </c>
      <c r="R65" s="308" t="inlineStr">
        <is>
          <t>Ativo</t>
        </is>
      </c>
      <c r="S65" s="73" t="inlineStr">
        <is>
          <t>cano curto</t>
        </is>
      </c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</row>
    <row r="66" ht="26.25" customHeight="1" s="1349">
      <c r="A66" s="1265" t="inlineStr">
        <is>
          <t>8172327041138511</t>
        </is>
      </c>
      <c r="B66" s="1263" t="n">
        <v>10034034166276</v>
      </c>
      <c r="C66" s="261" t="inlineStr">
        <is>
          <t>Camper</t>
        </is>
      </c>
      <c r="D66" s="1310" t="inlineStr">
        <is>
          <t>Capacete C/ Suporte E Jugular + Abafador Ouvido Acoplar 18db</t>
        </is>
      </c>
      <c r="E66" s="712" t="n"/>
      <c r="F66" s="607" t="n">
        <v>58.2</v>
      </c>
      <c r="G66" s="447">
        <f>F66*12%</f>
        <v/>
      </c>
      <c r="H66" s="831" t="n">
        <v>-0.52</v>
      </c>
      <c r="I66" s="515">
        <f>IFS(
  F66&lt;12.5, F66/2,
  F66&lt;29, 6.25,
  F66&lt;50, 6.5,
  F66&lt;=79, 6.75,
  TRUE, 25
)</f>
        <v/>
      </c>
      <c r="J66" s="340">
        <f>F66*18%</f>
        <v/>
      </c>
      <c r="K66" s="340">
        <f>(F66-J66)*1.65%</f>
        <v/>
      </c>
      <c r="L66" s="340">
        <f>(F66-J66)*7.6%</f>
        <v/>
      </c>
      <c r="M66" s="324">
        <f>3.44 + 1.66 + 0.42</f>
        <v/>
      </c>
      <c r="N66" s="1097">
        <f>(G66+I66)*(9.25%)</f>
        <v/>
      </c>
      <c r="O66" s="708">
        <f>18.77 + 8.24 + 2.09</f>
        <v/>
      </c>
      <c r="P66" s="447">
        <f>(F66 - (G66+I66+O66+(J66+K66+L66))) - (H66-M66-N66)</f>
        <v/>
      </c>
      <c r="Q66" s="328">
        <f>P66/F66</f>
        <v/>
      </c>
      <c r="R66" s="515" t="inlineStr">
        <is>
          <t>Ativo</t>
        </is>
      </c>
      <c r="S66" s="114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</row>
    <row r="67" ht="26.25" customHeight="1" s="1349">
      <c r="A67" s="310" t="inlineStr">
        <is>
          <t>5996606324</t>
        </is>
      </c>
      <c r="B67" s="402" t="n">
        <v>10034034167969</v>
      </c>
      <c r="C67" s="168" t="inlineStr">
        <is>
          <t>Koretech</t>
        </is>
      </c>
      <c r="D67" s="404" t="inlineStr">
        <is>
          <t>Kit 2 Fita Adesiva Transparente Reforçada 4,5cm X 100m Mudança 2un</t>
        </is>
      </c>
      <c r="E67" s="331" t="n"/>
      <c r="F67" s="499" t="n">
        <v>23.75</v>
      </c>
      <c r="G67" s="321">
        <f>F67*11.5%</f>
        <v/>
      </c>
      <c r="H67" s="322" t="n"/>
      <c r="I67" s="538" t="n">
        <v>6.75</v>
      </c>
      <c r="J67" s="321">
        <f>F67*18%</f>
        <v/>
      </c>
      <c r="K67" s="321">
        <f>(F67-J67)*1.65%</f>
        <v/>
      </c>
      <c r="L67" s="321">
        <f>(F67-J67)*7.6%</f>
        <v/>
      </c>
      <c r="M67" s="314">
        <f>1.01*2</f>
        <v/>
      </c>
      <c r="N67" s="1097">
        <f>(G67+I67)*(9.25%)</f>
        <v/>
      </c>
      <c r="O67" s="121">
        <f>3.94*2</f>
        <v/>
      </c>
      <c r="P67" s="447">
        <f>(F67 - (G67+I67+O67+(J67+K67+L67))) - (H67-M67-N67)</f>
        <v/>
      </c>
      <c r="Q67" s="1328">
        <f>P67/F67</f>
        <v/>
      </c>
      <c r="R67" s="105" t="inlineStr">
        <is>
          <t>Ativo</t>
        </is>
      </c>
      <c r="S67" s="330" t="n"/>
      <c r="T67" s="579" t="n"/>
      <c r="U67" s="579" t="n"/>
      <c r="V67" s="579" t="n"/>
      <c r="W67" s="579" t="n"/>
      <c r="X67" s="579" t="n"/>
      <c r="Y67" s="579" t="n"/>
      <c r="Z67" s="579" t="n"/>
      <c r="AA67" s="579" t="n"/>
      <c r="AB67" s="579" t="n"/>
      <c r="AC67" s="579" t="n"/>
      <c r="AD67" s="579" t="n"/>
      <c r="AE67" s="579" t="n"/>
      <c r="AF67" s="579" t="n"/>
      <c r="AG67" s="579" t="n"/>
    </row>
    <row r="68" ht="26.25" customHeight="1" s="1349">
      <c r="A68" s="1265" t="inlineStr">
        <is>
          <t>3252058821 4230473400</t>
        </is>
      </c>
      <c r="B68" s="1263" t="n">
        <v>59</v>
      </c>
      <c r="C68" s="261" t="inlineStr">
        <is>
          <t>Delta plus</t>
        </is>
      </c>
      <c r="D68" s="1310" t="inlineStr">
        <is>
          <t>Óculos Proteção Uv Delta Plus Summer Incolor Com Ca 19.176</t>
        </is>
      </c>
      <c r="E68" s="712" t="n"/>
      <c r="F68" s="572" t="n">
        <v>13.23</v>
      </c>
      <c r="G68" s="285">
        <f>F68*12%</f>
        <v/>
      </c>
      <c r="H68" s="831" t="n"/>
      <c r="I68" s="492" t="n">
        <v>5.65</v>
      </c>
      <c r="J68" s="340">
        <f>F68*18%</f>
        <v/>
      </c>
      <c r="K68" s="340">
        <f>(F68-J68)*1.65%</f>
        <v/>
      </c>
      <c r="L68" s="340">
        <f>(F68-J68)*7.6%</f>
        <v/>
      </c>
      <c r="M68" s="324" t="n">
        <v>0.48</v>
      </c>
      <c r="N68" s="1097">
        <f>(G68+I68)*(9.25%)</f>
        <v/>
      </c>
      <c r="O68" s="708" t="n">
        <v>1.93</v>
      </c>
      <c r="P68" s="447">
        <f>(F68 - (G68+I68+O68+(J68+K68+L68))) - (H68-M68-N68)</f>
        <v/>
      </c>
      <c r="Q68" s="328">
        <f>P68/F68</f>
        <v/>
      </c>
      <c r="R68" s="515" t="inlineStr">
        <is>
          <t>Ativo</t>
        </is>
      </c>
      <c r="S68" s="73" t="inlineStr">
        <is>
          <t>sincronizado</t>
        </is>
      </c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 ht="26.25" customHeight="1" s="1349">
      <c r="A69" s="1265" t="inlineStr">
        <is>
          <t>5487225650</t>
        </is>
      </c>
      <c r="B69" s="1263" t="n">
        <v>10034034168161</v>
      </c>
      <c r="C69" s="261" t="inlineStr">
        <is>
          <t>Avant</t>
        </is>
      </c>
      <c r="D69" s="265" t="inlineStr">
        <is>
          <t>Kit 2 Plafon Avant 24w Redondo Sobrepor Alta Durabilidade</t>
        </is>
      </c>
      <c r="E69" s="712" t="n">
        <v>93</v>
      </c>
      <c r="F69" s="607" t="n">
        <v>77.97</v>
      </c>
      <c r="G69" s="447">
        <f>F69*11.5%</f>
        <v/>
      </c>
      <c r="H69" s="831" t="n">
        <v>-1.39</v>
      </c>
      <c r="I69" s="515" t="n">
        <v>8.050000000000001</v>
      </c>
      <c r="J69" s="340">
        <f>F69*18%</f>
        <v/>
      </c>
      <c r="K69" s="340">
        <f>(F69-J69)*1.65%</f>
        <v/>
      </c>
      <c r="L69" s="340">
        <f>(F69-J69)*7.6%</f>
        <v/>
      </c>
      <c r="M69" s="324">
        <f>2.2*2</f>
        <v/>
      </c>
      <c r="N69" s="1097">
        <f>(G69+I69)*(9.25%)</f>
        <v/>
      </c>
      <c r="O69" s="121">
        <f>18.71*2</f>
        <v/>
      </c>
      <c r="P69" s="447">
        <f>(F69 - (G69+I69+O69+(J69+K69+L69))) - (H69-M69-N69)</f>
        <v/>
      </c>
      <c r="Q69" s="328">
        <f>P69/F69</f>
        <v/>
      </c>
      <c r="R69" s="515" t="inlineStr">
        <is>
          <t>Ativo</t>
        </is>
      </c>
      <c r="S69" s="114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 ht="26.25" customHeight="1" s="1349">
      <c r="A70" s="310" t="inlineStr">
        <is>
          <t>5996546674</t>
        </is>
      </c>
      <c r="B70" s="402" t="n">
        <v>10034034167970</v>
      </c>
      <c r="C70" s="318" t="inlineStr">
        <is>
          <t>Koretech</t>
        </is>
      </c>
      <c r="D70" s="404" t="inlineStr">
        <is>
          <t>Fita Adesiva Mudança Encomenda 45mm X 100m Logística Kit 5</t>
        </is>
      </c>
      <c r="E70" s="331" t="n"/>
      <c r="F70" s="499" t="n">
        <v>37.83</v>
      </c>
      <c r="G70" s="321">
        <f>F70*11.5%</f>
        <v/>
      </c>
      <c r="H70" s="831" t="n">
        <v>-2.26</v>
      </c>
      <c r="I70" s="331" t="n">
        <v>6.85</v>
      </c>
      <c r="J70" s="321">
        <f>F70*18%</f>
        <v/>
      </c>
      <c r="K70" s="321">
        <f>(F70-J70)*1.65%</f>
        <v/>
      </c>
      <c r="L70" s="321">
        <f>(F70-J70)*7.6%</f>
        <v/>
      </c>
      <c r="M70" s="341">
        <f>1.01*5</f>
        <v/>
      </c>
      <c r="N70" s="1097">
        <f>(G70+I70)*(9.25%)</f>
        <v/>
      </c>
      <c r="O70" s="121">
        <f>3.94*5</f>
        <v/>
      </c>
      <c r="P70" s="447">
        <f>(F70 - (G70+I70+O70+(J70+K70+L70))) - (H70-M70-N70)</f>
        <v/>
      </c>
      <c r="Q70" s="1328">
        <f>P70/F70</f>
        <v/>
      </c>
      <c r="R70" s="105" t="inlineStr">
        <is>
          <t>Ativo</t>
        </is>
      </c>
      <c r="S70" s="33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 ht="26.25" customHeight="1" s="1349">
      <c r="A71" s="489" t="inlineStr">
        <is>
          <t>2785555162</t>
        </is>
      </c>
      <c r="B71" s="713" t="n">
        <v>10034034167323</v>
      </c>
      <c r="C71" s="261" t="inlineStr">
        <is>
          <t>Delta plus</t>
        </is>
      </c>
      <c r="D71" s="1310" t="inlineStr">
        <is>
          <t>Kit 50 Unidades Óculos De Proteção Uv Delta Plus Summer Fume</t>
        </is>
      </c>
      <c r="E71" s="492" t="n"/>
      <c r="F71" s="607" t="n">
        <v>188.88</v>
      </c>
      <c r="G71" s="447">
        <f>F71*12%</f>
        <v/>
      </c>
      <c r="H71" s="831" t="n">
        <v>-5.84</v>
      </c>
      <c r="I71" s="492" t="n">
        <v>23.65</v>
      </c>
      <c r="J71" s="340">
        <f>F71*18%</f>
        <v/>
      </c>
      <c r="K71" s="340">
        <f>(F71-J71)*1.65%</f>
        <v/>
      </c>
      <c r="L71" s="340">
        <f>(F71-J71)*7.6%</f>
        <v/>
      </c>
      <c r="M71" s="341">
        <f>0.48*48</f>
        <v/>
      </c>
      <c r="N71" s="1097">
        <f>(G71+I71)*(9.25%)</f>
        <v/>
      </c>
      <c r="O71" s="708">
        <f>1.93*48</f>
        <v/>
      </c>
      <c r="P71" s="447">
        <f>(F71 - (G71+I71+O71+(J71+K71+L71))) - (H71-M71-N71)</f>
        <v/>
      </c>
      <c r="Q71" s="328">
        <f>P71/F71</f>
        <v/>
      </c>
      <c r="R71" s="515" t="inlineStr">
        <is>
          <t>Ativo</t>
        </is>
      </c>
      <c r="S71" s="114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 ht="26.25" customHeight="1" s="1349">
      <c r="A72" s="489" t="inlineStr">
        <is>
          <t>5405540980</t>
        </is>
      </c>
      <c r="B72" s="713" t="n">
        <v>10034034167373</v>
      </c>
      <c r="C72" s="261" t="inlineStr">
        <is>
          <t>ÂNCORA</t>
        </is>
      </c>
      <c r="D72" s="265" t="inlineStr">
        <is>
          <t>Kit 50 Tela Amarração Alvenaria Ancora Tel120 12 X 50 Bloco</t>
        </is>
      </c>
      <c r="E72" s="654" t="n"/>
      <c r="F72" s="607" t="n">
        <v>145.4</v>
      </c>
      <c r="G72" s="447">
        <f>F72*12%</f>
        <v/>
      </c>
      <c r="H72" s="831" t="n">
        <v>-2.49</v>
      </c>
      <c r="I72" s="492" t="n">
        <v>22.65</v>
      </c>
      <c r="J72" s="340">
        <f>F72*18%</f>
        <v/>
      </c>
      <c r="K72" s="340">
        <f>(F72-J72)*1.65%</f>
        <v/>
      </c>
      <c r="L72" s="340">
        <f>(F72-J72)*7.6%</f>
        <v/>
      </c>
      <c r="M72" s="324">
        <f>11.59/2</f>
        <v/>
      </c>
      <c r="N72" s="1097">
        <f>(G72+I72)*(9.25%)</f>
        <v/>
      </c>
      <c r="O72" s="708">
        <f>89.96/2</f>
        <v/>
      </c>
      <c r="P72" s="447">
        <f>(F72 - (G72+I72+O72+(J72+K72+L72))) - (H72-M72-N72)</f>
        <v/>
      </c>
      <c r="Q72" s="328">
        <f>P72/F72</f>
        <v/>
      </c>
      <c r="R72" s="515" t="inlineStr">
        <is>
          <t>Ativo</t>
        </is>
      </c>
      <c r="S72" s="114" t="n"/>
      <c r="T72" s="579" t="n"/>
      <c r="U72" s="579" t="n"/>
      <c r="V72" s="579" t="n"/>
      <c r="W72" s="579" t="n"/>
      <c r="X72" s="579" t="n"/>
      <c r="Y72" s="579" t="n"/>
      <c r="Z72" s="579" t="n"/>
      <c r="AA72" s="579" t="n"/>
      <c r="AB72" s="579" t="n"/>
      <c r="AC72" s="579" t="n"/>
      <c r="AD72" s="579" t="n"/>
      <c r="AE72" s="579" t="n"/>
      <c r="AF72" s="579" t="n"/>
      <c r="AG72" s="579" t="n"/>
    </row>
    <row r="73" ht="26.25" customHeight="1" s="1349">
      <c r="A73" s="316" t="inlineStr">
        <is>
          <t>4237649691</t>
        </is>
      </c>
      <c r="B73" s="317" t="n">
        <v>10034034166973</v>
      </c>
      <c r="C73" s="318" t="inlineStr">
        <is>
          <t>Bracol</t>
        </is>
      </c>
      <c r="D73" s="1310" t="inlineStr">
        <is>
          <t>Botina Amazonas Horizon Nobuck Bidensidade Bico Pvc Bracol</t>
        </is>
      </c>
      <c r="E73" s="320" t="n"/>
      <c r="F73" s="320" t="n">
        <v>257.05</v>
      </c>
      <c r="G73" s="321">
        <f>F73*12%</f>
        <v/>
      </c>
      <c r="H73" s="322" t="n">
        <v>-7.95</v>
      </c>
      <c r="I73" s="1310" t="n">
        <v>24.95</v>
      </c>
      <c r="J73" s="321">
        <f>F73*18%</f>
        <v/>
      </c>
      <c r="K73" s="321">
        <f>(F73-J73)*1.65%</f>
        <v/>
      </c>
      <c r="L73" s="321">
        <f>(F73-J73)*7.6%</f>
        <v/>
      </c>
      <c r="M73" s="324" t="n">
        <v>32.43</v>
      </c>
      <c r="N73" s="1097">
        <f>(G73+I73)*(9.25%)</f>
        <v/>
      </c>
      <c r="O73" s="708" t="n">
        <v>161.01</v>
      </c>
      <c r="P73" s="447">
        <f>(F73 - (G73+I73+O73+(J73+K73+L73))) - (H73-M73-N73)</f>
        <v/>
      </c>
      <c r="Q73" s="328">
        <f>P73/F73</f>
        <v/>
      </c>
      <c r="R73" s="329" t="inlineStr">
        <is>
          <t>Ativo</t>
        </is>
      </c>
      <c r="S73" s="33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 ht="26.25" customHeight="1" s="1349">
      <c r="A74" s="316" t="inlineStr">
        <is>
          <t>4549433040</t>
        </is>
      </c>
      <c r="B74" s="317" t="n">
        <v>100100100505</v>
      </c>
      <c r="C74" s="318" t="inlineStr">
        <is>
          <t>Vinilseg</t>
        </is>
      </c>
      <c r="D74" s="1310" t="inlineStr">
        <is>
          <t>Capa De Chuva Com Forro Soft Pvc Amarela Capuz Resistente</t>
        </is>
      </c>
      <c r="E74" s="320" t="n"/>
      <c r="F74" s="320" t="n">
        <v>29.99</v>
      </c>
      <c r="G74" s="321">
        <f>F74*12%</f>
        <v/>
      </c>
      <c r="H74" s="322" t="n">
        <v>-0.5</v>
      </c>
      <c r="I74" s="331" t="n">
        <v>6.65</v>
      </c>
      <c r="J74" s="321">
        <f>F74*18%</f>
        <v/>
      </c>
      <c r="K74" s="321">
        <f>(F74-J74)*1.65%</f>
        <v/>
      </c>
      <c r="L74" s="321">
        <f>(F74-J74)*7.6%</f>
        <v/>
      </c>
      <c r="M74" s="324" t="n">
        <v>2.97</v>
      </c>
      <c r="N74" s="1097">
        <f>(G74+I74)*(9.25%)</f>
        <v/>
      </c>
      <c r="O74" s="708" t="n">
        <v>14.75</v>
      </c>
      <c r="P74" s="447">
        <f>(F74 - (G74+I74+O74+(J74+K74+L74))) - (H74-M74-N74)</f>
        <v/>
      </c>
      <c r="Q74" s="328">
        <f>P74/F74</f>
        <v/>
      </c>
      <c r="R74" s="329" t="inlineStr">
        <is>
          <t>Estoque encalhado</t>
        </is>
      </c>
      <c r="S74" s="33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 ht="26.25" customHeight="1" s="1349">
      <c r="A75" s="332" t="inlineStr">
        <is>
          <t>4254559151</t>
        </is>
      </c>
      <c r="B75" s="333" t="n">
        <v>10034034167501</v>
      </c>
      <c r="C75" s="334" t="inlineStr">
        <is>
          <t>Bracol</t>
        </is>
      </c>
      <c r="D75" s="335" t="inlineStr">
        <is>
          <t>Bota Galocha Acqualev Cano Longo Bico Aço Forração Interna</t>
        </is>
      </c>
      <c r="E75" s="336" t="n"/>
      <c r="F75" s="607" t="n">
        <v>105.73</v>
      </c>
      <c r="G75" s="447">
        <f>F75*12%</f>
        <v/>
      </c>
      <c r="H75" s="831" t="n">
        <v>-4.32</v>
      </c>
      <c r="I75" s="492" t="n">
        <v>22.65</v>
      </c>
      <c r="J75" s="340">
        <f>F75*18%</f>
        <v/>
      </c>
      <c r="K75" s="340">
        <f>(F75-J75)*1.65%</f>
        <v/>
      </c>
      <c r="L75" s="340">
        <f>(F75-J75)*7.6%</f>
        <v/>
      </c>
      <c r="M75" s="341" t="n">
        <v>11.2</v>
      </c>
      <c r="N75" s="1097">
        <f>(G75+I75)*(9.25%)</f>
        <v/>
      </c>
      <c r="O75" s="708" t="n">
        <v>55.61</v>
      </c>
      <c r="P75" s="343">
        <f>(F75 - (G75+I75+O75+(J75+K75+L75))) - (H75-M75-N75)</f>
        <v/>
      </c>
      <c r="Q75" s="328">
        <f>P75/F75</f>
        <v/>
      </c>
      <c r="R75" s="329" t="inlineStr">
        <is>
          <t>Ativo</t>
        </is>
      </c>
      <c r="S75" s="987" t="n"/>
      <c r="T75" s="531" t="n"/>
      <c r="AG75" s="10" t="n"/>
    </row>
    <row r="76" ht="15.75" customHeight="1" s="1349">
      <c r="A76" s="10" t="n"/>
      <c r="B76" s="10" t="n"/>
      <c r="C76" s="346" t="n"/>
      <c r="D76" s="347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348" t="n"/>
      <c r="N76" s="10" t="n"/>
      <c r="O76" s="10" t="n"/>
      <c r="P76" s="10" t="n"/>
      <c r="Q76" s="10" t="n"/>
      <c r="R76" s="10" t="n"/>
      <c r="S76" s="349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 ht="15.75" customHeight="1" s="1349">
      <c r="A77" s="10" t="n"/>
      <c r="B77" s="10" t="n"/>
      <c r="C77" s="346" t="n"/>
      <c r="D77" s="347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348" t="n"/>
      <c r="N77" s="10" t="n"/>
      <c r="O77" s="10" t="n"/>
      <c r="P77" s="10" t="n"/>
      <c r="Q77" s="10" t="n"/>
      <c r="R77" s="10" t="n"/>
      <c r="S77" s="349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 ht="15.75" customHeight="1" s="1349">
      <c r="A78" s="10" t="n"/>
      <c r="B78" s="10" t="n"/>
      <c r="C78" s="346" t="n"/>
      <c r="D78" s="347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348" t="n"/>
      <c r="N78" s="10" t="n"/>
      <c r="O78" s="10" t="n"/>
      <c r="P78" s="10" t="n"/>
      <c r="Q78" s="10" t="n"/>
      <c r="R78" s="10" t="n"/>
      <c r="S78" s="349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</row>
    <row r="79" ht="15.75" customHeight="1" s="1349">
      <c r="A79" s="10" t="n"/>
      <c r="B79" s="10" t="n"/>
      <c r="C79" s="346" t="n"/>
      <c r="D79" s="347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348" t="n"/>
      <c r="N79" s="10" t="n"/>
      <c r="O79" s="10" t="n"/>
      <c r="P79" s="10" t="n"/>
      <c r="Q79" s="10" t="n"/>
      <c r="R79" s="10" t="n"/>
      <c r="S79" s="349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</row>
    <row r="80" ht="15.75" customHeight="1" s="1349">
      <c r="A80" s="10" t="n"/>
      <c r="B80" s="10" t="n"/>
      <c r="C80" s="346" t="n"/>
      <c r="D80" s="347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348" t="n"/>
      <c r="N80" s="10" t="n"/>
      <c r="O80" s="10" t="n"/>
      <c r="P80" s="10" t="n"/>
      <c r="Q80" s="10" t="n"/>
      <c r="R80" s="10" t="n"/>
      <c r="S80" s="349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</row>
    <row r="81" ht="15.75" customHeight="1" s="1349">
      <c r="A81" s="10" t="n"/>
      <c r="B81" s="10" t="n"/>
      <c r="C81" s="346" t="n"/>
      <c r="D81" s="347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348" t="n"/>
      <c r="N81" s="10" t="n"/>
      <c r="O81" s="10" t="n"/>
      <c r="P81" s="10" t="n"/>
      <c r="Q81" s="10" t="n"/>
      <c r="R81" s="10" t="n"/>
      <c r="S81" s="349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</row>
    <row r="82" ht="15.75" customHeight="1" s="1349">
      <c r="A82" s="10" t="n"/>
      <c r="B82" s="10" t="n"/>
      <c r="C82" s="346" t="n"/>
      <c r="D82" s="347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348" t="n"/>
      <c r="N82" s="10" t="n"/>
      <c r="O82" s="10" t="n"/>
      <c r="P82" s="10" t="n"/>
      <c r="Q82" s="10" t="n"/>
      <c r="R82" s="10" t="n"/>
      <c r="S82" s="349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</row>
    <row r="83" ht="15.75" customHeight="1" s="1349">
      <c r="A83" s="10" t="n"/>
      <c r="B83" s="10" t="n"/>
      <c r="C83" s="346" t="n"/>
      <c r="D83" s="347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348" t="n"/>
      <c r="N83" s="10" t="n"/>
      <c r="O83" s="10" t="n"/>
      <c r="P83" s="10" t="n"/>
      <c r="Q83" s="10" t="n"/>
      <c r="R83" s="10" t="n"/>
      <c r="S83" s="349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</row>
    <row r="84" ht="15.75" customHeight="1" s="1349">
      <c r="A84" s="10" t="n"/>
      <c r="B84" s="10" t="n"/>
      <c r="C84" s="346" t="n"/>
      <c r="D84" s="347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348" t="n"/>
      <c r="N84" s="10" t="n"/>
      <c r="O84" s="10" t="n"/>
      <c r="P84" s="10" t="n"/>
      <c r="Q84" s="10" t="n"/>
      <c r="R84" s="10" t="n"/>
      <c r="S84" s="349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</row>
    <row r="85" ht="15.75" customHeight="1" s="1349">
      <c r="A85" s="10" t="n"/>
      <c r="B85" s="10" t="n"/>
      <c r="C85" s="346" t="n"/>
      <c r="D85" s="347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348" t="n"/>
      <c r="N85" s="10" t="n"/>
      <c r="O85" s="10" t="n"/>
      <c r="P85" s="10" t="n"/>
      <c r="Q85" s="10" t="n"/>
      <c r="R85" s="10" t="n"/>
      <c r="S85" s="349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</row>
    <row r="86" ht="15.75" customHeight="1" s="1349">
      <c r="A86" s="10" t="n"/>
      <c r="B86" s="10" t="n"/>
      <c r="C86" s="346" t="n"/>
      <c r="D86" s="347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348" t="n"/>
      <c r="N86" s="10" t="n"/>
      <c r="O86" s="10" t="n"/>
      <c r="P86" s="10" t="n"/>
      <c r="Q86" s="10" t="n"/>
      <c r="R86" s="10" t="n"/>
      <c r="S86" s="349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</row>
    <row r="87" ht="15.75" customHeight="1" s="1349">
      <c r="A87" s="10" t="n"/>
      <c r="B87" s="10" t="n"/>
      <c r="C87" s="346" t="n"/>
      <c r="D87" s="347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348" t="n"/>
      <c r="N87" s="10" t="n"/>
      <c r="O87" s="10" t="n"/>
      <c r="P87" s="10" t="n"/>
      <c r="Q87" s="10" t="n"/>
      <c r="R87" s="10" t="n"/>
      <c r="S87" s="349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</row>
    <row r="88" ht="15.75" customHeight="1" s="1349">
      <c r="A88" s="10" t="n"/>
      <c r="B88" s="10" t="n"/>
      <c r="C88" s="346" t="n"/>
      <c r="D88" s="347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348" t="n"/>
      <c r="N88" s="10" t="n"/>
      <c r="O88" s="10" t="n"/>
      <c r="P88" s="10" t="n"/>
      <c r="Q88" s="10" t="n"/>
      <c r="R88" s="10" t="n"/>
      <c r="S88" s="349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</row>
    <row r="89" ht="15.75" customHeight="1" s="1349">
      <c r="A89" s="10" t="n"/>
      <c r="B89" s="10" t="n"/>
      <c r="C89" s="346" t="n"/>
      <c r="D89" s="347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348" t="n"/>
      <c r="N89" s="10" t="n"/>
      <c r="O89" s="10" t="n"/>
      <c r="P89" s="10" t="n"/>
      <c r="Q89" s="10" t="n"/>
      <c r="R89" s="10" t="n"/>
      <c r="S89" s="349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</row>
    <row r="90" ht="15.75" customHeight="1" s="1349">
      <c r="A90" s="10" t="n"/>
      <c r="B90" s="10" t="n"/>
      <c r="C90" s="346" t="n"/>
      <c r="D90" s="347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348" t="n"/>
      <c r="N90" s="10" t="n"/>
      <c r="O90" s="10" t="n"/>
      <c r="P90" s="10" t="n"/>
      <c r="Q90" s="10" t="n"/>
      <c r="R90" s="10" t="n"/>
      <c r="S90" s="349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</row>
    <row r="91" ht="15.75" customHeight="1" s="1349">
      <c r="A91" s="10" t="n"/>
      <c r="B91" s="10" t="n"/>
      <c r="C91" s="346" t="n"/>
      <c r="D91" s="347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348" t="n"/>
      <c r="N91" s="10" t="n"/>
      <c r="O91" s="10" t="n"/>
      <c r="P91" s="10" t="n"/>
      <c r="Q91" s="10" t="n"/>
      <c r="R91" s="10" t="n"/>
      <c r="S91" s="349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</row>
    <row r="92" ht="15.75" customHeight="1" s="1349">
      <c r="A92" s="10" t="n"/>
      <c r="B92" s="10" t="n"/>
      <c r="C92" s="346" t="n"/>
      <c r="D92" s="347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348" t="n"/>
      <c r="N92" s="10" t="n"/>
      <c r="O92" s="10" t="n"/>
      <c r="P92" s="10" t="n"/>
      <c r="Q92" s="10" t="n"/>
      <c r="R92" s="10" t="n"/>
      <c r="S92" s="349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</row>
    <row r="93" ht="15.75" customHeight="1" s="1349">
      <c r="A93" s="10" t="n"/>
      <c r="B93" s="10" t="n"/>
      <c r="C93" s="346" t="n"/>
      <c r="D93" s="347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348" t="n"/>
      <c r="N93" s="10" t="n"/>
      <c r="O93" s="10" t="n"/>
      <c r="P93" s="10" t="n"/>
      <c r="Q93" s="10" t="n"/>
      <c r="R93" s="10" t="n"/>
      <c r="S93" s="349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</row>
    <row r="94" ht="15.75" customHeight="1" s="1349">
      <c r="A94" s="10" t="n"/>
      <c r="B94" s="10" t="n"/>
      <c r="C94" s="346" t="n"/>
      <c r="D94" s="347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348" t="n"/>
      <c r="N94" s="10" t="n"/>
      <c r="O94" s="10" t="n"/>
      <c r="P94" s="10" t="n"/>
      <c r="Q94" s="10" t="n"/>
      <c r="R94" s="10" t="n"/>
      <c r="S94" s="349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</row>
    <row r="95" ht="15.75" customHeight="1" s="1349">
      <c r="A95" s="10" t="n"/>
      <c r="B95" s="10" t="n"/>
      <c r="C95" s="346" t="n"/>
      <c r="D95" s="347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348" t="n"/>
      <c r="N95" s="10" t="n"/>
      <c r="O95" s="10" t="n"/>
      <c r="P95" s="10" t="n"/>
      <c r="Q95" s="10" t="n"/>
      <c r="R95" s="10" t="n"/>
      <c r="S95" s="349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</row>
    <row r="96" ht="15.75" customHeight="1" s="1349">
      <c r="A96" s="10" t="n"/>
      <c r="B96" s="10" t="n"/>
      <c r="C96" s="346" t="n"/>
      <c r="D96" s="347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348" t="n"/>
      <c r="N96" s="10" t="n"/>
      <c r="O96" s="10" t="n"/>
      <c r="P96" s="10" t="n"/>
      <c r="Q96" s="10" t="n"/>
      <c r="R96" s="10" t="n"/>
      <c r="S96" s="349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</row>
    <row r="97" ht="15.75" customHeight="1" s="1349">
      <c r="A97" s="10" t="n"/>
      <c r="B97" s="10" t="n"/>
      <c r="C97" s="346" t="n"/>
      <c r="D97" s="347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348" t="n"/>
      <c r="N97" s="10" t="n"/>
      <c r="O97" s="10" t="n"/>
      <c r="P97" s="10" t="n"/>
      <c r="Q97" s="10" t="n"/>
      <c r="R97" s="10" t="n"/>
      <c r="S97" s="349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</row>
    <row r="98" ht="15.75" customHeight="1" s="1349">
      <c r="A98" s="10" t="n"/>
      <c r="B98" s="10" t="n"/>
      <c r="C98" s="346" t="n"/>
      <c r="D98" s="347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348" t="n"/>
      <c r="N98" s="10" t="n"/>
      <c r="O98" s="10" t="n"/>
      <c r="P98" s="10" t="n"/>
      <c r="Q98" s="10" t="n"/>
      <c r="R98" s="10" t="n"/>
      <c r="S98" s="349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</row>
    <row r="99" ht="15.75" customHeight="1" s="1349">
      <c r="A99" s="10" t="n"/>
      <c r="B99" s="10" t="n"/>
      <c r="C99" s="346" t="n"/>
      <c r="D99" s="347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348" t="n"/>
      <c r="N99" s="10" t="n"/>
      <c r="O99" s="10" t="n"/>
      <c r="P99" s="10" t="n"/>
      <c r="Q99" s="10" t="n"/>
      <c r="R99" s="10" t="n"/>
      <c r="S99" s="349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</row>
    <row r="100" ht="15.75" customHeight="1" s="1349">
      <c r="A100" s="10" t="n"/>
      <c r="B100" s="10" t="n"/>
      <c r="C100" s="346" t="n"/>
      <c r="D100" s="347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348" t="n"/>
      <c r="N100" s="10" t="n"/>
      <c r="O100" s="10" t="n"/>
      <c r="P100" s="10" t="n"/>
      <c r="Q100" s="10" t="n"/>
      <c r="R100" s="10" t="n"/>
      <c r="S100" s="349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</row>
    <row r="101" ht="15.75" customHeight="1" s="1349">
      <c r="A101" s="10" t="n"/>
      <c r="B101" s="10" t="n"/>
      <c r="C101" s="346" t="n"/>
      <c r="D101" s="347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348" t="n"/>
      <c r="N101" s="10" t="n"/>
      <c r="O101" s="10" t="n"/>
      <c r="P101" s="10" t="n"/>
      <c r="Q101" s="10" t="n"/>
      <c r="R101" s="10" t="n"/>
      <c r="S101" s="349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</row>
    <row r="102" ht="15.75" customHeight="1" s="1349">
      <c r="A102" s="10" t="n"/>
      <c r="B102" s="10" t="n"/>
      <c r="C102" s="346" t="n"/>
      <c r="D102" s="347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348" t="n"/>
      <c r="N102" s="10" t="n"/>
      <c r="O102" s="10" t="n"/>
      <c r="P102" s="10" t="n"/>
      <c r="Q102" s="10" t="n"/>
      <c r="R102" s="10" t="n"/>
      <c r="S102" s="349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</row>
    <row r="103" ht="15.75" customHeight="1" s="1349">
      <c r="A103" s="10" t="n"/>
      <c r="B103" s="10" t="n"/>
      <c r="C103" s="346" t="n"/>
      <c r="D103" s="347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348" t="n"/>
      <c r="N103" s="10" t="n"/>
      <c r="O103" s="10" t="n"/>
      <c r="P103" s="10" t="n"/>
      <c r="Q103" s="10" t="n"/>
      <c r="R103" s="10" t="n"/>
      <c r="S103" s="349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</row>
    <row r="104" ht="15.75" customHeight="1" s="1349">
      <c r="A104" s="10" t="n"/>
      <c r="B104" s="10" t="n"/>
      <c r="C104" s="346" t="n"/>
      <c r="D104" s="347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348" t="n"/>
      <c r="N104" s="10" t="n"/>
      <c r="O104" s="10" t="n"/>
      <c r="P104" s="10" t="n"/>
      <c r="Q104" s="10" t="n"/>
      <c r="R104" s="10" t="n"/>
      <c r="S104" s="349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</row>
    <row r="105" ht="15.75" customHeight="1" s="1349">
      <c r="A105" s="10" t="n"/>
      <c r="B105" s="10" t="n"/>
      <c r="C105" s="346" t="n"/>
      <c r="D105" s="347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348" t="n"/>
      <c r="N105" s="10" t="n"/>
      <c r="O105" s="10" t="n"/>
      <c r="P105" s="10" t="n"/>
      <c r="Q105" s="10" t="n"/>
      <c r="R105" s="10" t="n"/>
      <c r="S105" s="349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</row>
    <row r="106" ht="15.75" customHeight="1" s="1349">
      <c r="A106" s="10" t="n"/>
      <c r="B106" s="10" t="n"/>
      <c r="C106" s="346" t="n"/>
      <c r="D106" s="347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348" t="n"/>
      <c r="N106" s="10" t="n"/>
      <c r="O106" s="10" t="n"/>
      <c r="P106" s="10" t="n"/>
      <c r="Q106" s="10" t="n"/>
      <c r="R106" s="10" t="n"/>
      <c r="S106" s="349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</row>
    <row r="107" ht="15.75" customHeight="1" s="1349">
      <c r="A107" s="10" t="n"/>
      <c r="B107" s="10" t="n"/>
      <c r="C107" s="346" t="n"/>
      <c r="D107" s="347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348" t="n"/>
      <c r="N107" s="10" t="n"/>
      <c r="O107" s="10" t="n"/>
      <c r="P107" s="10" t="n"/>
      <c r="Q107" s="10" t="n"/>
      <c r="R107" s="10" t="n"/>
      <c r="S107" s="349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</row>
    <row r="108" ht="15.75" customHeight="1" s="1349">
      <c r="A108" s="10" t="n"/>
      <c r="B108" s="10" t="n"/>
      <c r="C108" s="346" t="n"/>
      <c r="D108" s="347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348" t="n"/>
      <c r="N108" s="10" t="n"/>
      <c r="O108" s="10" t="n"/>
      <c r="P108" s="10" t="n"/>
      <c r="Q108" s="10" t="n"/>
      <c r="R108" s="10" t="n"/>
      <c r="S108" s="349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</row>
    <row r="109" ht="15.75" customHeight="1" s="1349">
      <c r="A109" s="10" t="n"/>
      <c r="B109" s="10" t="n"/>
      <c r="C109" s="346" t="n"/>
      <c r="D109" s="347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348" t="n"/>
      <c r="N109" s="10" t="n"/>
      <c r="O109" s="10" t="n"/>
      <c r="P109" s="10" t="n"/>
      <c r="Q109" s="10" t="n"/>
      <c r="R109" s="10" t="n"/>
      <c r="S109" s="349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</row>
    <row r="110" ht="15.75" customHeight="1" s="1349">
      <c r="A110" s="10" t="n"/>
      <c r="B110" s="10" t="n"/>
      <c r="C110" s="346" t="n"/>
      <c r="D110" s="347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348" t="n"/>
      <c r="N110" s="10" t="n"/>
      <c r="O110" s="10" t="n"/>
      <c r="P110" s="10" t="n"/>
      <c r="Q110" s="10" t="n"/>
      <c r="R110" s="10" t="n"/>
      <c r="S110" s="349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</row>
    <row r="111" ht="15.75" customHeight="1" s="1349">
      <c r="A111" s="10" t="n"/>
      <c r="B111" s="10" t="n"/>
      <c r="C111" s="346" t="n"/>
      <c r="D111" s="347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348" t="n"/>
      <c r="N111" s="10" t="n"/>
      <c r="O111" s="10" t="n"/>
      <c r="P111" s="10" t="n"/>
      <c r="Q111" s="10" t="n"/>
      <c r="R111" s="10" t="n"/>
      <c r="S111" s="349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</row>
    <row r="112" ht="15.75" customHeight="1" s="1349">
      <c r="A112" s="10" t="n"/>
      <c r="B112" s="10" t="n"/>
      <c r="C112" s="346" t="n"/>
      <c r="D112" s="347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348" t="n"/>
      <c r="N112" s="10" t="n"/>
      <c r="O112" s="10" t="n"/>
      <c r="P112" s="10" t="n"/>
      <c r="Q112" s="10" t="n"/>
      <c r="R112" s="10" t="n"/>
      <c r="S112" s="349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</row>
    <row r="113" ht="15.75" customHeight="1" s="1349">
      <c r="A113" s="10" t="n"/>
      <c r="B113" s="10" t="n"/>
      <c r="C113" s="346" t="n"/>
      <c r="D113" s="347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348" t="n"/>
      <c r="N113" s="10" t="n"/>
      <c r="O113" s="10" t="n"/>
      <c r="P113" s="10" t="n"/>
      <c r="Q113" s="10" t="n"/>
      <c r="R113" s="10" t="n"/>
      <c r="S113" s="349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</row>
    <row r="114" ht="15.75" customHeight="1" s="1349">
      <c r="A114" s="10" t="n"/>
      <c r="B114" s="10" t="n"/>
      <c r="C114" s="346" t="n"/>
      <c r="D114" s="347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348" t="n"/>
      <c r="N114" s="10" t="n"/>
      <c r="O114" s="10" t="n"/>
      <c r="P114" s="10" t="n"/>
      <c r="Q114" s="10" t="n"/>
      <c r="R114" s="10" t="n"/>
      <c r="S114" s="349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</row>
    <row r="115" ht="15.75" customHeight="1" s="1349">
      <c r="A115" s="10" t="n"/>
      <c r="B115" s="10" t="n"/>
      <c r="C115" s="346" t="n"/>
      <c r="D115" s="347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348" t="n"/>
      <c r="N115" s="10" t="n"/>
      <c r="O115" s="10" t="n"/>
      <c r="P115" s="10" t="n"/>
      <c r="Q115" s="10" t="n"/>
      <c r="R115" s="10" t="n"/>
      <c r="S115" s="349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</row>
    <row r="116" ht="15.75" customHeight="1" s="1349">
      <c r="A116" s="10" t="n"/>
      <c r="B116" s="10" t="n"/>
      <c r="C116" s="346" t="n"/>
      <c r="D116" s="347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348" t="n"/>
      <c r="N116" s="10" t="n"/>
      <c r="O116" s="10" t="n"/>
      <c r="P116" s="10" t="n"/>
      <c r="Q116" s="10" t="n"/>
      <c r="R116" s="10" t="n"/>
      <c r="S116" s="349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</row>
    <row r="117" ht="15.75" customHeight="1" s="1349">
      <c r="A117" s="10" t="n"/>
      <c r="B117" s="10" t="n"/>
      <c r="C117" s="346" t="n"/>
      <c r="D117" s="347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348" t="n"/>
      <c r="N117" s="10" t="n"/>
      <c r="O117" s="10" t="n"/>
      <c r="P117" s="10" t="n"/>
      <c r="Q117" s="10" t="n"/>
      <c r="R117" s="10" t="n"/>
      <c r="S117" s="349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</row>
    <row r="118" ht="15.75" customHeight="1" s="1349">
      <c r="A118" s="10" t="n"/>
      <c r="B118" s="10" t="n"/>
      <c r="C118" s="346" t="n"/>
      <c r="D118" s="347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348" t="n"/>
      <c r="N118" s="10" t="n"/>
      <c r="O118" s="10" t="n"/>
      <c r="P118" s="10" t="n"/>
      <c r="Q118" s="10" t="n"/>
      <c r="R118" s="10" t="n"/>
      <c r="S118" s="349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</row>
    <row r="119" ht="15.75" customHeight="1" s="1349">
      <c r="A119" s="10" t="n"/>
      <c r="B119" s="10" t="n"/>
      <c r="C119" s="346" t="n"/>
      <c r="D119" s="347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348" t="n"/>
      <c r="N119" s="10" t="n"/>
      <c r="O119" s="10" t="n"/>
      <c r="P119" s="10" t="n"/>
      <c r="Q119" s="10" t="n"/>
      <c r="R119" s="10" t="n"/>
      <c r="S119" s="349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</row>
    <row r="120" ht="15.75" customHeight="1" s="1349">
      <c r="A120" s="10" t="n"/>
      <c r="B120" s="10" t="n"/>
      <c r="C120" s="346" t="n"/>
      <c r="D120" s="347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348" t="n"/>
      <c r="N120" s="10" t="n"/>
      <c r="O120" s="10" t="n"/>
      <c r="P120" s="10" t="n"/>
      <c r="Q120" s="10" t="n"/>
      <c r="R120" s="10" t="n"/>
      <c r="S120" s="349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</row>
    <row r="121" ht="15.75" customHeight="1" s="1349">
      <c r="A121" s="10" t="n"/>
      <c r="B121" s="10" t="n"/>
      <c r="C121" s="346" t="n"/>
      <c r="D121" s="347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348" t="n"/>
      <c r="N121" s="10" t="n"/>
      <c r="O121" s="10" t="n"/>
      <c r="P121" s="10" t="n"/>
      <c r="Q121" s="10" t="n"/>
      <c r="R121" s="10" t="n"/>
      <c r="S121" s="349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</row>
    <row r="122" ht="15.75" customHeight="1" s="1349">
      <c r="A122" s="10" t="n"/>
      <c r="B122" s="10" t="n"/>
      <c r="C122" s="346" t="n"/>
      <c r="D122" s="347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348" t="n"/>
      <c r="N122" s="10" t="n"/>
      <c r="O122" s="10" t="n"/>
      <c r="P122" s="10" t="n"/>
      <c r="Q122" s="10" t="n"/>
      <c r="R122" s="10" t="n"/>
      <c r="S122" s="349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</row>
    <row r="123" ht="15.75" customHeight="1" s="1349">
      <c r="A123" s="10" t="n"/>
      <c r="B123" s="10" t="n"/>
      <c r="C123" s="346" t="n"/>
      <c r="D123" s="347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348" t="n"/>
      <c r="N123" s="10" t="n"/>
      <c r="O123" s="10" t="n"/>
      <c r="P123" s="10" t="n"/>
      <c r="Q123" s="10" t="n"/>
      <c r="R123" s="10" t="n"/>
      <c r="S123" s="349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</row>
    <row r="124" ht="15.75" customHeight="1" s="1349">
      <c r="A124" s="10" t="n"/>
      <c r="B124" s="10" t="n"/>
      <c r="C124" s="346" t="n"/>
      <c r="D124" s="347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348" t="n"/>
      <c r="N124" s="10" t="n"/>
      <c r="O124" s="10" t="n"/>
      <c r="P124" s="10" t="n"/>
      <c r="Q124" s="10" t="n"/>
      <c r="R124" s="10" t="n"/>
      <c r="S124" s="349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</row>
    <row r="125" ht="15.75" customHeight="1" s="1349">
      <c r="A125" s="10" t="n"/>
      <c r="B125" s="10" t="n"/>
      <c r="C125" s="346" t="n"/>
      <c r="D125" s="347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348" t="n"/>
      <c r="N125" s="10" t="n"/>
      <c r="O125" s="10" t="n"/>
      <c r="P125" s="10" t="n"/>
      <c r="Q125" s="10" t="n"/>
      <c r="R125" s="10" t="n"/>
      <c r="S125" s="349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</row>
    <row r="126" ht="15.75" customHeight="1" s="1349">
      <c r="A126" s="10" t="n"/>
      <c r="B126" s="10" t="n"/>
      <c r="C126" s="346" t="n"/>
      <c r="D126" s="347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348" t="n"/>
      <c r="N126" s="10" t="n"/>
      <c r="O126" s="10" t="n"/>
      <c r="P126" s="10" t="n"/>
      <c r="Q126" s="10" t="n"/>
      <c r="R126" s="10" t="n"/>
      <c r="S126" s="349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</row>
    <row r="127" ht="15.75" customHeight="1" s="1349">
      <c r="A127" s="10" t="n"/>
      <c r="B127" s="10" t="n"/>
      <c r="C127" s="346" t="n"/>
      <c r="D127" s="347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348" t="n"/>
      <c r="N127" s="10" t="n"/>
      <c r="O127" s="10" t="n"/>
      <c r="P127" s="10" t="n"/>
      <c r="Q127" s="10" t="n"/>
      <c r="R127" s="10" t="n"/>
      <c r="S127" s="349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 ht="15.75" customHeight="1" s="1349">
      <c r="A128" s="10" t="n"/>
      <c r="B128" s="10" t="n"/>
      <c r="C128" s="346" t="n"/>
      <c r="D128" s="347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348" t="n"/>
      <c r="N128" s="10" t="n"/>
      <c r="O128" s="10" t="n"/>
      <c r="P128" s="10" t="n"/>
      <c r="Q128" s="10" t="n"/>
      <c r="R128" s="10" t="n"/>
      <c r="S128" s="349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</row>
    <row r="129" ht="15.75" customHeight="1" s="1349">
      <c r="A129" s="10" t="n"/>
      <c r="B129" s="10" t="n"/>
      <c r="C129" s="346" t="n"/>
      <c r="D129" s="347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348" t="n"/>
      <c r="N129" s="10" t="n"/>
      <c r="O129" s="10" t="n"/>
      <c r="P129" s="10" t="n"/>
      <c r="Q129" s="10" t="n"/>
      <c r="R129" s="10" t="n"/>
      <c r="S129" s="349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</row>
    <row r="130" ht="15.75" customHeight="1" s="1349">
      <c r="A130" s="10" t="n"/>
      <c r="B130" s="10" t="n"/>
      <c r="C130" s="346" t="n"/>
      <c r="D130" s="347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348" t="n"/>
      <c r="N130" s="10" t="n"/>
      <c r="O130" s="10" t="n"/>
      <c r="P130" s="10" t="n"/>
      <c r="Q130" s="10" t="n"/>
      <c r="R130" s="10" t="n"/>
      <c r="S130" s="349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</row>
    <row r="131" ht="15.75" customHeight="1" s="1349">
      <c r="A131" s="10" t="n"/>
      <c r="B131" s="10" t="n"/>
      <c r="C131" s="346" t="n"/>
      <c r="D131" s="347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348" t="n"/>
      <c r="N131" s="10" t="n"/>
      <c r="O131" s="10" t="n"/>
      <c r="P131" s="10" t="n"/>
      <c r="Q131" s="10" t="n"/>
      <c r="R131" s="10" t="n"/>
      <c r="S131" s="349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</row>
    <row r="132" ht="15.75" customHeight="1" s="1349">
      <c r="A132" s="10" t="n"/>
      <c r="B132" s="10" t="n"/>
      <c r="C132" s="346" t="n"/>
      <c r="D132" s="347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348" t="n"/>
      <c r="N132" s="10" t="n"/>
      <c r="O132" s="10" t="n"/>
      <c r="P132" s="10" t="n"/>
      <c r="Q132" s="10" t="n"/>
      <c r="R132" s="10" t="n"/>
      <c r="S132" s="349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</row>
    <row r="133" ht="15.75" customHeight="1" s="1349">
      <c r="A133" s="10" t="n"/>
      <c r="B133" s="10" t="n"/>
      <c r="C133" s="346" t="n"/>
      <c r="D133" s="347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348" t="n"/>
      <c r="N133" s="10" t="n"/>
      <c r="O133" s="10" t="n"/>
      <c r="P133" s="10" t="n"/>
      <c r="Q133" s="10" t="n"/>
      <c r="R133" s="10" t="n"/>
      <c r="S133" s="349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</row>
    <row r="134" ht="15.75" customHeight="1" s="1349">
      <c r="A134" s="10" t="n"/>
      <c r="B134" s="10" t="n"/>
      <c r="C134" s="346" t="n"/>
      <c r="D134" s="347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348" t="n"/>
      <c r="N134" s="10" t="n"/>
      <c r="O134" s="10" t="n"/>
      <c r="P134" s="10" t="n"/>
      <c r="Q134" s="10" t="n"/>
      <c r="R134" s="10" t="n"/>
      <c r="S134" s="349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</row>
    <row r="135" ht="15.75" customHeight="1" s="1349">
      <c r="A135" s="10" t="n"/>
      <c r="B135" s="10" t="n"/>
      <c r="C135" s="346" t="n"/>
      <c r="D135" s="347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348" t="n"/>
      <c r="N135" s="10" t="n"/>
      <c r="O135" s="10" t="n"/>
      <c r="P135" s="10" t="n"/>
      <c r="Q135" s="10" t="n"/>
      <c r="R135" s="10" t="n"/>
      <c r="S135" s="349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</row>
    <row r="136" ht="15.75" customHeight="1" s="1349">
      <c r="A136" s="10" t="n"/>
      <c r="B136" s="10" t="n"/>
      <c r="C136" s="346" t="n"/>
      <c r="D136" s="347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348" t="n"/>
      <c r="N136" s="10" t="n"/>
      <c r="O136" s="10" t="n"/>
      <c r="P136" s="10" t="n"/>
      <c r="Q136" s="10" t="n"/>
      <c r="R136" s="10" t="n"/>
      <c r="S136" s="349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</row>
    <row r="137" ht="15.75" customHeight="1" s="1349">
      <c r="A137" s="10" t="n"/>
      <c r="B137" s="10" t="n"/>
      <c r="C137" s="346" t="n"/>
      <c r="D137" s="347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348" t="n"/>
      <c r="N137" s="10" t="n"/>
      <c r="O137" s="10" t="n"/>
      <c r="P137" s="10" t="n"/>
      <c r="Q137" s="10" t="n"/>
      <c r="R137" s="10" t="n"/>
      <c r="S137" s="349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</row>
    <row r="138" ht="15.75" customHeight="1" s="1349">
      <c r="A138" s="10" t="n"/>
      <c r="B138" s="10" t="n"/>
      <c r="C138" s="346" t="n"/>
      <c r="D138" s="347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348" t="n"/>
      <c r="N138" s="10" t="n"/>
      <c r="O138" s="10" t="n"/>
      <c r="P138" s="10" t="n"/>
      <c r="Q138" s="10" t="n"/>
      <c r="R138" s="10" t="n"/>
      <c r="S138" s="349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 ht="15.75" customHeight="1" s="1349">
      <c r="A139" s="10" t="n"/>
      <c r="B139" s="10" t="n"/>
      <c r="C139" s="346" t="n"/>
      <c r="D139" s="347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348" t="n"/>
      <c r="N139" s="10" t="n"/>
      <c r="O139" s="10" t="n"/>
      <c r="P139" s="10" t="n"/>
      <c r="Q139" s="10" t="n"/>
      <c r="R139" s="10" t="n"/>
      <c r="S139" s="349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</row>
    <row r="140" ht="15.75" customHeight="1" s="1349">
      <c r="A140" s="10" t="n"/>
      <c r="B140" s="10" t="n"/>
      <c r="C140" s="346" t="n"/>
      <c r="D140" s="347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348" t="n"/>
      <c r="N140" s="10" t="n"/>
      <c r="O140" s="10" t="n"/>
      <c r="P140" s="10" t="n"/>
      <c r="Q140" s="10" t="n"/>
      <c r="R140" s="10" t="n"/>
      <c r="S140" s="349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</row>
    <row r="141" ht="15.75" customHeight="1" s="1349">
      <c r="A141" s="10" t="n"/>
      <c r="B141" s="10" t="n"/>
      <c r="C141" s="346" t="n"/>
      <c r="D141" s="347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348" t="n"/>
      <c r="N141" s="10" t="n"/>
      <c r="O141" s="10" t="n"/>
      <c r="P141" s="10" t="n"/>
      <c r="Q141" s="10" t="n"/>
      <c r="R141" s="10" t="n"/>
      <c r="S141" s="349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</row>
    <row r="142" ht="15.75" customHeight="1" s="1349">
      <c r="A142" s="10" t="n"/>
      <c r="B142" s="10" t="n"/>
      <c r="C142" s="346" t="n"/>
      <c r="D142" s="347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348" t="n"/>
      <c r="N142" s="10" t="n"/>
      <c r="O142" s="10" t="n"/>
      <c r="P142" s="10" t="n"/>
      <c r="Q142" s="10" t="n"/>
      <c r="R142" s="10" t="n"/>
      <c r="S142" s="349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</row>
    <row r="143" ht="15.75" customHeight="1" s="1349">
      <c r="A143" s="10" t="n"/>
      <c r="B143" s="10" t="n"/>
      <c r="C143" s="346" t="n"/>
      <c r="D143" s="347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348" t="n"/>
      <c r="N143" s="10" t="n"/>
      <c r="O143" s="10" t="n"/>
      <c r="P143" s="10" t="n"/>
      <c r="Q143" s="10" t="n"/>
      <c r="R143" s="10" t="n"/>
      <c r="S143" s="349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</row>
    <row r="144" ht="15.75" customHeight="1" s="1349">
      <c r="A144" s="10" t="n"/>
      <c r="B144" s="10" t="n"/>
      <c r="C144" s="346" t="n"/>
      <c r="D144" s="347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348" t="n"/>
      <c r="N144" s="10" t="n"/>
      <c r="O144" s="10" t="n"/>
      <c r="P144" s="10" t="n"/>
      <c r="Q144" s="10" t="n"/>
      <c r="R144" s="10" t="n"/>
      <c r="S144" s="349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</row>
    <row r="145" ht="15.75" customHeight="1" s="1349">
      <c r="A145" s="10" t="n"/>
      <c r="B145" s="10" t="n"/>
      <c r="C145" s="346" t="n"/>
      <c r="D145" s="347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348" t="n"/>
      <c r="N145" s="10" t="n"/>
      <c r="O145" s="10" t="n"/>
      <c r="P145" s="10" t="n"/>
      <c r="Q145" s="10" t="n"/>
      <c r="R145" s="10" t="n"/>
      <c r="S145" s="349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</row>
    <row r="146" ht="15.75" customHeight="1" s="1349">
      <c r="A146" s="10" t="n"/>
      <c r="B146" s="10" t="n"/>
      <c r="C146" s="346" t="n"/>
      <c r="D146" s="347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348" t="n"/>
      <c r="N146" s="10" t="n"/>
      <c r="O146" s="10" t="n"/>
      <c r="P146" s="10" t="n"/>
      <c r="Q146" s="10" t="n"/>
      <c r="R146" s="10" t="n"/>
      <c r="S146" s="349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</row>
    <row r="147" ht="15.75" customHeight="1" s="1349">
      <c r="A147" s="10" t="n"/>
      <c r="B147" s="10" t="n"/>
      <c r="C147" s="346" t="n"/>
      <c r="D147" s="347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348" t="n"/>
      <c r="N147" s="10" t="n"/>
      <c r="O147" s="10" t="n"/>
      <c r="P147" s="10" t="n"/>
      <c r="Q147" s="10" t="n"/>
      <c r="R147" s="10" t="n"/>
      <c r="S147" s="349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</row>
    <row r="148" ht="15.75" customHeight="1" s="1349">
      <c r="A148" s="10" t="n"/>
      <c r="B148" s="10" t="n"/>
      <c r="C148" s="346" t="n"/>
      <c r="D148" s="347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348" t="n"/>
      <c r="N148" s="10" t="n"/>
      <c r="O148" s="10" t="n"/>
      <c r="P148" s="10" t="n"/>
      <c r="Q148" s="10" t="n"/>
      <c r="R148" s="10" t="n"/>
      <c r="S148" s="349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</row>
    <row r="149" ht="15.75" customHeight="1" s="1349">
      <c r="A149" s="10" t="n"/>
      <c r="B149" s="10" t="n"/>
      <c r="C149" s="346" t="n"/>
      <c r="D149" s="347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348" t="n"/>
      <c r="N149" s="10" t="n"/>
      <c r="O149" s="10" t="n"/>
      <c r="P149" s="10" t="n"/>
      <c r="Q149" s="10" t="n"/>
      <c r="R149" s="10" t="n"/>
      <c r="S149" s="349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 ht="15.75" customHeight="1" s="1349">
      <c r="A150" s="10" t="n"/>
      <c r="B150" s="10" t="n"/>
      <c r="C150" s="346" t="n"/>
      <c r="D150" s="347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348" t="n"/>
      <c r="N150" s="10" t="n"/>
      <c r="O150" s="10" t="n"/>
      <c r="P150" s="10" t="n"/>
      <c r="Q150" s="10" t="n"/>
      <c r="R150" s="10" t="n"/>
      <c r="S150" s="349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</row>
    <row r="151" ht="15.75" customHeight="1" s="1349">
      <c r="A151" s="10" t="n"/>
      <c r="B151" s="10" t="n"/>
      <c r="C151" s="346" t="n"/>
      <c r="D151" s="347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348" t="n"/>
      <c r="N151" s="10" t="n"/>
      <c r="O151" s="10" t="n"/>
      <c r="P151" s="10" t="n"/>
      <c r="Q151" s="10" t="n"/>
      <c r="R151" s="10" t="n"/>
      <c r="S151" s="349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</row>
    <row r="152" ht="15.75" customHeight="1" s="1349">
      <c r="A152" s="10" t="n"/>
      <c r="B152" s="10" t="n"/>
      <c r="C152" s="346" t="n"/>
      <c r="D152" s="347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348" t="n"/>
      <c r="N152" s="10" t="n"/>
      <c r="O152" s="10" t="n"/>
      <c r="P152" s="10" t="n"/>
      <c r="Q152" s="10" t="n"/>
      <c r="R152" s="10" t="n"/>
      <c r="S152" s="349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</row>
    <row r="153" ht="15.75" customHeight="1" s="1349">
      <c r="A153" s="10" t="n"/>
      <c r="B153" s="10" t="n"/>
      <c r="C153" s="346" t="n"/>
      <c r="D153" s="347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348" t="n"/>
      <c r="N153" s="10" t="n"/>
      <c r="O153" s="10" t="n"/>
      <c r="P153" s="10" t="n"/>
      <c r="Q153" s="10" t="n"/>
      <c r="R153" s="10" t="n"/>
      <c r="S153" s="349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</row>
    <row r="154" ht="15.75" customHeight="1" s="1349">
      <c r="A154" s="10" t="n"/>
      <c r="B154" s="10" t="n"/>
      <c r="C154" s="346" t="n"/>
      <c r="D154" s="347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348" t="n"/>
      <c r="N154" s="10" t="n"/>
      <c r="O154" s="10" t="n"/>
      <c r="P154" s="10" t="n"/>
      <c r="Q154" s="10" t="n"/>
      <c r="R154" s="10" t="n"/>
      <c r="S154" s="349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</row>
    <row r="155" ht="15.75" customHeight="1" s="1349">
      <c r="A155" s="10" t="n"/>
      <c r="B155" s="10" t="n"/>
      <c r="C155" s="346" t="n"/>
      <c r="D155" s="347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348" t="n"/>
      <c r="N155" s="10" t="n"/>
      <c r="O155" s="10" t="n"/>
      <c r="P155" s="10" t="n"/>
      <c r="Q155" s="10" t="n"/>
      <c r="R155" s="10" t="n"/>
      <c r="S155" s="349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</row>
    <row r="156" ht="15.75" customHeight="1" s="1349">
      <c r="A156" s="10" t="n"/>
      <c r="B156" s="10" t="n"/>
      <c r="C156" s="346" t="n"/>
      <c r="D156" s="347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348" t="n"/>
      <c r="N156" s="10" t="n"/>
      <c r="O156" s="10" t="n"/>
      <c r="P156" s="10" t="n"/>
      <c r="Q156" s="10" t="n"/>
      <c r="R156" s="10" t="n"/>
      <c r="S156" s="349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</row>
    <row r="157" ht="15.75" customHeight="1" s="1349">
      <c r="A157" s="10" t="n"/>
      <c r="B157" s="10" t="n"/>
      <c r="C157" s="346" t="n"/>
      <c r="D157" s="347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348" t="n"/>
      <c r="N157" s="10" t="n"/>
      <c r="O157" s="10" t="n"/>
      <c r="P157" s="10" t="n"/>
      <c r="Q157" s="10" t="n"/>
      <c r="R157" s="10" t="n"/>
      <c r="S157" s="349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</row>
    <row r="158" ht="22.5" customHeight="1" s="1349">
      <c r="A158" s="10" t="n"/>
      <c r="B158" s="10" t="n"/>
      <c r="C158" s="346" t="n"/>
      <c r="D158" s="347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348" t="n"/>
      <c r="N158" s="10" t="n"/>
      <c r="O158" s="10" t="n"/>
      <c r="P158" s="10" t="n"/>
      <c r="Q158" s="10" t="n"/>
      <c r="R158" s="10" t="n"/>
      <c r="S158" s="349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</row>
    <row r="159" ht="22.5" customHeight="1" s="1349">
      <c r="A159" s="10" t="n"/>
      <c r="B159" s="10" t="n"/>
      <c r="C159" s="346" t="n"/>
      <c r="D159" s="347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348" t="n"/>
      <c r="N159" s="10" t="n"/>
      <c r="O159" s="10" t="n"/>
      <c r="P159" s="10" t="n"/>
      <c r="Q159" s="10" t="n"/>
      <c r="R159" s="10" t="n"/>
      <c r="S159" s="349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</row>
    <row r="160" ht="15.75" customHeight="1" s="1349">
      <c r="A160" s="10" t="n"/>
      <c r="B160" s="10" t="n"/>
      <c r="C160" s="346" t="n"/>
      <c r="D160" s="347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348" t="n"/>
      <c r="N160" s="10" t="n"/>
      <c r="O160" s="10" t="n"/>
      <c r="P160" s="10" t="n"/>
      <c r="Q160" s="10" t="n"/>
      <c r="R160" s="10" t="n"/>
      <c r="S160" s="349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</row>
    <row r="161" ht="15.75" customHeight="1" s="1349">
      <c r="A161" s="10" t="n"/>
      <c r="B161" s="10" t="n"/>
      <c r="C161" s="346" t="n"/>
      <c r="D161" s="347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348" t="n"/>
      <c r="N161" s="10" t="n"/>
      <c r="O161" s="10" t="n"/>
      <c r="P161" s="10" t="n"/>
      <c r="Q161" s="10" t="n"/>
      <c r="R161" s="10" t="n"/>
      <c r="S161" s="349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</row>
    <row r="162" ht="15.75" customHeight="1" s="1349">
      <c r="A162" s="10" t="n"/>
      <c r="B162" s="10" t="n"/>
      <c r="C162" s="346" t="n"/>
      <c r="D162" s="347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348" t="n"/>
      <c r="N162" s="10" t="n"/>
      <c r="O162" s="10" t="n"/>
      <c r="P162" s="10" t="n"/>
      <c r="Q162" s="10" t="n"/>
      <c r="R162" s="10" t="n"/>
      <c r="S162" s="349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</row>
    <row r="163" ht="15.75" customHeight="1" s="1349">
      <c r="A163" s="10" t="n"/>
      <c r="B163" s="10" t="n"/>
      <c r="C163" s="346" t="n"/>
      <c r="D163" s="347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348" t="n"/>
      <c r="N163" s="10" t="n"/>
      <c r="O163" s="10" t="n"/>
      <c r="P163" s="10" t="n"/>
      <c r="Q163" s="10" t="n"/>
      <c r="R163" s="10" t="n"/>
      <c r="S163" s="349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</row>
    <row r="164" ht="15.75" customHeight="1" s="1349">
      <c r="A164" s="10" t="n"/>
      <c r="B164" s="10" t="n"/>
      <c r="C164" s="346" t="n"/>
      <c r="D164" s="347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348" t="n"/>
      <c r="N164" s="10" t="n"/>
      <c r="O164" s="10" t="n"/>
      <c r="P164" s="10" t="n"/>
      <c r="Q164" s="10" t="n"/>
      <c r="R164" s="10" t="n"/>
      <c r="S164" s="349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</row>
    <row r="165" ht="15.75" customHeight="1" s="1349">
      <c r="A165" s="10" t="n"/>
      <c r="B165" s="10" t="n"/>
      <c r="C165" s="346" t="n"/>
      <c r="D165" s="347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348" t="n"/>
      <c r="N165" s="10" t="n"/>
      <c r="O165" s="10" t="n"/>
      <c r="P165" s="10" t="n"/>
      <c r="Q165" s="10" t="n"/>
      <c r="R165" s="10" t="n"/>
      <c r="S165" s="349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</row>
    <row r="166" ht="15.75" customHeight="1" s="1349">
      <c r="A166" s="10" t="n"/>
      <c r="B166" s="10" t="n"/>
      <c r="C166" s="346" t="n"/>
      <c r="D166" s="347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348" t="n"/>
      <c r="N166" s="10" t="n"/>
      <c r="O166" s="10" t="n"/>
      <c r="P166" s="10" t="n"/>
      <c r="Q166" s="10" t="n"/>
      <c r="R166" s="10" t="n"/>
      <c r="S166" s="349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</row>
    <row r="167" ht="15.75" customHeight="1" s="1349">
      <c r="A167" s="10" t="n"/>
      <c r="B167" s="10" t="n"/>
      <c r="C167" s="346" t="n"/>
      <c r="D167" s="347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348" t="n"/>
      <c r="N167" s="10" t="n"/>
      <c r="O167" s="10" t="n"/>
      <c r="P167" s="10" t="n"/>
      <c r="Q167" s="10" t="n"/>
      <c r="R167" s="10" t="n"/>
      <c r="S167" s="349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</row>
    <row r="168" ht="15.75" customHeight="1" s="1349">
      <c r="A168" s="10" t="n"/>
      <c r="B168" s="10" t="n"/>
      <c r="C168" s="346" t="n"/>
      <c r="D168" s="347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348" t="n"/>
      <c r="N168" s="10" t="n"/>
      <c r="O168" s="10" t="n"/>
      <c r="P168" s="10" t="n"/>
      <c r="Q168" s="10" t="n"/>
      <c r="R168" s="10" t="n"/>
      <c r="S168" s="349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</row>
    <row r="169" ht="15.75" customHeight="1" s="1349">
      <c r="A169" s="10" t="n"/>
      <c r="B169" s="10" t="n"/>
      <c r="C169" s="346" t="n"/>
      <c r="D169" s="347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348" t="n"/>
      <c r="N169" s="10" t="n"/>
      <c r="O169" s="10" t="n"/>
      <c r="P169" s="10" t="n"/>
      <c r="Q169" s="10" t="n"/>
      <c r="R169" s="10" t="n"/>
      <c r="S169" s="349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</row>
    <row r="170" ht="15.75" customHeight="1" s="1349">
      <c r="A170" s="10" t="n"/>
      <c r="B170" s="10" t="n"/>
      <c r="C170" s="346" t="n"/>
      <c r="D170" s="347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348" t="n"/>
      <c r="N170" s="10" t="n"/>
      <c r="O170" s="10" t="n"/>
      <c r="P170" s="10" t="n"/>
      <c r="Q170" s="10" t="n"/>
      <c r="R170" s="10" t="n"/>
      <c r="S170" s="349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</row>
    <row r="171" ht="15.75" customHeight="1" s="1349">
      <c r="A171" s="10" t="n"/>
      <c r="B171" s="10" t="n"/>
      <c r="C171" s="346" t="n"/>
      <c r="D171" s="347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348" t="n"/>
      <c r="N171" s="10" t="n"/>
      <c r="O171" s="10" t="n"/>
      <c r="P171" s="10" t="n"/>
      <c r="Q171" s="10" t="n"/>
      <c r="R171" s="10" t="n"/>
      <c r="S171" s="349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</row>
    <row r="172" ht="15.75" customHeight="1" s="1349">
      <c r="A172" s="10" t="n"/>
      <c r="B172" s="10" t="n"/>
      <c r="C172" s="346" t="n"/>
      <c r="D172" s="347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348" t="n"/>
      <c r="N172" s="10" t="n"/>
      <c r="O172" s="10" t="n"/>
      <c r="P172" s="10" t="n"/>
      <c r="Q172" s="10" t="n"/>
      <c r="R172" s="10" t="n"/>
      <c r="S172" s="349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</row>
    <row r="173" ht="15.75" customHeight="1" s="1349">
      <c r="A173" s="10" t="n"/>
      <c r="B173" s="10" t="n"/>
      <c r="C173" s="346" t="n"/>
      <c r="D173" s="347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348" t="n"/>
      <c r="N173" s="10" t="n"/>
      <c r="O173" s="10" t="n"/>
      <c r="P173" s="10" t="n"/>
      <c r="Q173" s="10" t="n"/>
      <c r="R173" s="10" t="n"/>
      <c r="S173" s="349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</row>
    <row r="174" ht="15.75" customHeight="1" s="1349">
      <c r="A174" s="10" t="n"/>
      <c r="B174" s="10" t="n"/>
      <c r="C174" s="346" t="n"/>
      <c r="D174" s="347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348" t="n"/>
      <c r="N174" s="10" t="n"/>
      <c r="O174" s="10" t="n"/>
      <c r="P174" s="10" t="n"/>
      <c r="Q174" s="10" t="n"/>
      <c r="R174" s="10" t="n"/>
      <c r="S174" s="349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</row>
    <row r="175" ht="15.75" customHeight="1" s="1349">
      <c r="A175" s="10" t="n"/>
      <c r="B175" s="10" t="n"/>
      <c r="C175" s="346" t="n"/>
      <c r="D175" s="347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348" t="n"/>
      <c r="N175" s="10" t="n"/>
      <c r="O175" s="10" t="n"/>
      <c r="P175" s="10" t="n"/>
      <c r="Q175" s="10" t="n"/>
      <c r="R175" s="10" t="n"/>
      <c r="S175" s="349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</row>
    <row r="176" ht="15.75" customHeight="1" s="1349">
      <c r="A176" s="10" t="n"/>
      <c r="B176" s="10" t="n"/>
      <c r="C176" s="346" t="n"/>
      <c r="D176" s="347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348" t="n"/>
      <c r="N176" s="10" t="n"/>
      <c r="O176" s="10" t="n"/>
      <c r="P176" s="10" t="n"/>
      <c r="Q176" s="10" t="n"/>
      <c r="R176" s="10" t="n"/>
      <c r="S176" s="349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</row>
    <row r="177" ht="15.75" customHeight="1" s="1349">
      <c r="A177" s="10" t="n"/>
      <c r="B177" s="10" t="n"/>
      <c r="C177" s="346" t="n"/>
      <c r="D177" s="347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348" t="n"/>
      <c r="N177" s="10" t="n"/>
      <c r="O177" s="10" t="n"/>
      <c r="P177" s="10" t="n"/>
      <c r="Q177" s="10" t="n"/>
      <c r="R177" s="10" t="n"/>
      <c r="S177" s="349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</row>
    <row r="178" ht="15.75" customHeight="1" s="1349">
      <c r="A178" s="10" t="n"/>
      <c r="B178" s="10" t="n"/>
      <c r="C178" s="346" t="n"/>
      <c r="D178" s="347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348" t="n"/>
      <c r="N178" s="10" t="n"/>
      <c r="O178" s="10" t="n"/>
      <c r="P178" s="10" t="n"/>
      <c r="Q178" s="10" t="n"/>
      <c r="R178" s="10" t="n"/>
      <c r="S178" s="349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</row>
    <row r="179" ht="15.75" customHeight="1" s="1349">
      <c r="A179" s="10" t="n"/>
      <c r="B179" s="10" t="n"/>
      <c r="C179" s="346" t="n"/>
      <c r="D179" s="347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348" t="n"/>
      <c r="N179" s="10" t="n"/>
      <c r="O179" s="10" t="n"/>
      <c r="P179" s="10" t="n"/>
      <c r="Q179" s="10" t="n"/>
      <c r="R179" s="10" t="n"/>
      <c r="S179" s="349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</row>
    <row r="180" ht="15.75" customHeight="1" s="1349">
      <c r="A180" s="10" t="n"/>
      <c r="B180" s="10" t="n"/>
      <c r="C180" s="346" t="n"/>
      <c r="D180" s="347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348" t="n"/>
      <c r="N180" s="10" t="n"/>
      <c r="O180" s="10" t="n"/>
      <c r="P180" s="10" t="n"/>
      <c r="Q180" s="10" t="n"/>
      <c r="R180" s="10" t="n"/>
      <c r="S180" s="349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</row>
    <row r="181" ht="15.75" customHeight="1" s="1349">
      <c r="A181" s="10" t="n"/>
      <c r="B181" s="10" t="n"/>
      <c r="C181" s="346" t="n"/>
      <c r="D181" s="347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348" t="n"/>
      <c r="N181" s="10" t="n"/>
      <c r="O181" s="10" t="n"/>
      <c r="P181" s="10" t="n"/>
      <c r="Q181" s="10" t="n"/>
      <c r="R181" s="10" t="n"/>
      <c r="S181" s="349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</row>
    <row r="182" ht="15.75" customHeight="1" s="1349">
      <c r="A182" s="10" t="n"/>
      <c r="B182" s="10" t="n"/>
      <c r="C182" s="346" t="n"/>
      <c r="D182" s="347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348" t="n"/>
      <c r="N182" s="10" t="n"/>
      <c r="O182" s="10" t="n"/>
      <c r="P182" s="10" t="n"/>
      <c r="Q182" s="10" t="n"/>
      <c r="R182" s="10" t="n"/>
      <c r="S182" s="349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</row>
    <row r="183" ht="15.75" customHeight="1" s="1349">
      <c r="A183" s="10" t="n"/>
      <c r="B183" s="10" t="n"/>
      <c r="C183" s="346" t="n"/>
      <c r="D183" s="347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348" t="n"/>
      <c r="N183" s="10" t="n"/>
      <c r="O183" s="10" t="n"/>
      <c r="P183" s="10" t="n"/>
      <c r="Q183" s="10" t="n"/>
      <c r="R183" s="10" t="n"/>
      <c r="S183" s="349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</row>
    <row r="184" ht="15.75" customHeight="1" s="1349">
      <c r="A184" s="10" t="n"/>
      <c r="B184" s="10" t="n"/>
      <c r="C184" s="346" t="n"/>
      <c r="D184" s="347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348" t="n"/>
      <c r="N184" s="10" t="n"/>
      <c r="O184" s="10" t="n"/>
      <c r="P184" s="10" t="n"/>
      <c r="Q184" s="10" t="n"/>
      <c r="R184" s="10" t="n"/>
      <c r="S184" s="349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</row>
    <row r="185" ht="15.75" customHeight="1" s="1349">
      <c r="A185" s="10" t="n"/>
      <c r="B185" s="10" t="n"/>
      <c r="C185" s="346" t="n"/>
      <c r="D185" s="347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348" t="n"/>
      <c r="N185" s="10" t="n"/>
      <c r="O185" s="10" t="n"/>
      <c r="P185" s="10" t="n"/>
      <c r="Q185" s="10" t="n"/>
      <c r="R185" s="10" t="n"/>
      <c r="S185" s="349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</row>
    <row r="186" ht="15.75" customHeight="1" s="1349">
      <c r="A186" s="10" t="n"/>
      <c r="B186" s="10" t="n"/>
      <c r="C186" s="346" t="n"/>
      <c r="D186" s="347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348" t="n"/>
      <c r="N186" s="10" t="n"/>
      <c r="O186" s="10" t="n"/>
      <c r="P186" s="10" t="n"/>
      <c r="Q186" s="10" t="n"/>
      <c r="R186" s="10" t="n"/>
      <c r="S186" s="349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</row>
    <row r="187" ht="15.75" customHeight="1" s="1349">
      <c r="A187" s="10" t="n"/>
      <c r="B187" s="10" t="n"/>
      <c r="C187" s="346" t="n"/>
      <c r="D187" s="347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348" t="n"/>
      <c r="N187" s="10" t="n"/>
      <c r="O187" s="10" t="n"/>
      <c r="P187" s="10" t="n"/>
      <c r="Q187" s="10" t="n"/>
      <c r="R187" s="10" t="n"/>
      <c r="S187" s="349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 ht="15.75" customHeight="1" s="1349">
      <c r="A188" s="10" t="n"/>
      <c r="B188" s="10" t="n"/>
      <c r="C188" s="346" t="n"/>
      <c r="D188" s="347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348" t="n"/>
      <c r="N188" s="10" t="n"/>
      <c r="O188" s="10" t="n"/>
      <c r="P188" s="10" t="n"/>
      <c r="Q188" s="10" t="n"/>
      <c r="R188" s="10" t="n"/>
      <c r="S188" s="349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</row>
    <row r="189" ht="15.75" customHeight="1" s="1349">
      <c r="A189" s="10" t="n"/>
      <c r="B189" s="10" t="n"/>
      <c r="C189" s="346" t="n"/>
      <c r="D189" s="347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348" t="n"/>
      <c r="N189" s="10" t="n"/>
      <c r="O189" s="10" t="n"/>
      <c r="P189" s="10" t="n"/>
      <c r="Q189" s="10" t="n"/>
      <c r="R189" s="10" t="n"/>
      <c r="S189" s="349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</row>
    <row r="190" ht="15.75" customHeight="1" s="1349">
      <c r="A190" s="10" t="n"/>
      <c r="B190" s="10" t="n"/>
      <c r="C190" s="346" t="n"/>
      <c r="D190" s="347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348" t="n"/>
      <c r="N190" s="10" t="n"/>
      <c r="O190" s="10" t="n"/>
      <c r="P190" s="10" t="n"/>
      <c r="Q190" s="10" t="n"/>
      <c r="R190" s="10" t="n"/>
      <c r="S190" s="349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</row>
    <row r="191" ht="15.75" customHeight="1" s="1349">
      <c r="A191" s="10" t="n"/>
      <c r="B191" s="10" t="n"/>
      <c r="C191" s="346" t="n"/>
      <c r="D191" s="347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348" t="n"/>
      <c r="N191" s="10" t="n"/>
      <c r="O191" s="10" t="n"/>
      <c r="P191" s="10" t="n"/>
      <c r="Q191" s="10" t="n"/>
      <c r="R191" s="10" t="n"/>
      <c r="S191" s="349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</row>
    <row r="192" ht="15.75" customHeight="1" s="1349">
      <c r="A192" s="10" t="n"/>
      <c r="B192" s="10" t="n"/>
      <c r="C192" s="346" t="n"/>
      <c r="D192" s="347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348" t="n"/>
      <c r="N192" s="10" t="n"/>
      <c r="O192" s="10" t="n"/>
      <c r="P192" s="10" t="n"/>
      <c r="Q192" s="10" t="n"/>
      <c r="R192" s="10" t="n"/>
      <c r="S192" s="349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</row>
    <row r="193" ht="15.75" customHeight="1" s="1349">
      <c r="A193" s="10" t="n"/>
      <c r="B193" s="10" t="n"/>
      <c r="C193" s="346" t="n"/>
      <c r="D193" s="347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348" t="n"/>
      <c r="N193" s="10" t="n"/>
      <c r="O193" s="10" t="n"/>
      <c r="P193" s="10" t="n"/>
      <c r="Q193" s="10" t="n"/>
      <c r="R193" s="10" t="n"/>
      <c r="S193" s="349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</row>
    <row r="194" ht="15.75" customHeight="1" s="1349">
      <c r="A194" s="10" t="n"/>
      <c r="B194" s="10" t="n"/>
      <c r="C194" s="346" t="n"/>
      <c r="D194" s="347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348" t="n"/>
      <c r="N194" s="10" t="n"/>
      <c r="O194" s="10" t="n"/>
      <c r="P194" s="10" t="n"/>
      <c r="Q194" s="10" t="n"/>
      <c r="R194" s="10" t="n"/>
      <c r="S194" s="349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</row>
    <row r="195" ht="15.75" customHeight="1" s="1349">
      <c r="A195" s="10" t="n"/>
      <c r="B195" s="10" t="n"/>
      <c r="C195" s="346" t="n"/>
      <c r="D195" s="347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348" t="n"/>
      <c r="N195" s="10" t="n"/>
      <c r="O195" s="10" t="n"/>
      <c r="P195" s="10" t="n"/>
      <c r="Q195" s="10" t="n"/>
      <c r="R195" s="10" t="n"/>
      <c r="S195" s="349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</row>
    <row r="196" ht="15.75" customHeight="1" s="1349">
      <c r="A196" s="10" t="n"/>
      <c r="B196" s="10" t="n"/>
      <c r="C196" s="346" t="n"/>
      <c r="D196" s="347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348" t="n"/>
      <c r="N196" s="10" t="n"/>
      <c r="O196" s="10" t="n"/>
      <c r="P196" s="10" t="n"/>
      <c r="Q196" s="10" t="n"/>
      <c r="R196" s="10" t="n"/>
      <c r="S196" s="349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</row>
    <row r="197" ht="15.75" customHeight="1" s="1349">
      <c r="A197" s="10" t="n"/>
      <c r="B197" s="10" t="n"/>
      <c r="C197" s="346" t="n"/>
      <c r="D197" s="347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348" t="n"/>
      <c r="N197" s="10" t="n"/>
      <c r="O197" s="10" t="n"/>
      <c r="P197" s="10" t="n"/>
      <c r="Q197" s="10" t="n"/>
      <c r="R197" s="10" t="n"/>
      <c r="S197" s="349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</row>
    <row r="198" ht="15.75" customHeight="1" s="1349">
      <c r="A198" s="10" t="n"/>
      <c r="B198" s="10" t="n"/>
      <c r="C198" s="346" t="n"/>
      <c r="D198" s="347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348" t="n"/>
      <c r="N198" s="10" t="n"/>
      <c r="O198" s="10" t="n"/>
      <c r="P198" s="10" t="n"/>
      <c r="Q198" s="10" t="n"/>
      <c r="R198" s="10" t="n"/>
      <c r="S198" s="349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</row>
    <row r="199" ht="15.75" customHeight="1" s="1349">
      <c r="A199" s="10" t="n"/>
      <c r="B199" s="10" t="n"/>
      <c r="C199" s="346" t="n"/>
      <c r="D199" s="347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348" t="n"/>
      <c r="N199" s="10" t="n"/>
      <c r="O199" s="10" t="n"/>
      <c r="P199" s="10" t="n"/>
      <c r="Q199" s="10" t="n"/>
      <c r="R199" s="10" t="n"/>
      <c r="S199" s="349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 ht="15.75" customHeight="1" s="1349">
      <c r="A200" s="10" t="n"/>
      <c r="B200" s="10" t="n"/>
      <c r="C200" s="346" t="n"/>
      <c r="D200" s="347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348" t="n"/>
      <c r="N200" s="10" t="n"/>
      <c r="O200" s="10" t="n"/>
      <c r="P200" s="10" t="n"/>
      <c r="Q200" s="10" t="n"/>
      <c r="R200" s="10" t="n"/>
      <c r="S200" s="349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</row>
    <row r="201" ht="15.75" customHeight="1" s="1349">
      <c r="A201" s="10" t="n"/>
      <c r="B201" s="10" t="n"/>
      <c r="C201" s="346" t="n"/>
      <c r="D201" s="347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348" t="n"/>
      <c r="N201" s="10" t="n"/>
      <c r="O201" s="10" t="n"/>
      <c r="P201" s="10" t="n"/>
      <c r="Q201" s="10" t="n"/>
      <c r="R201" s="10" t="n"/>
      <c r="S201" s="349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</row>
    <row r="202" ht="15.75" customHeight="1" s="1349">
      <c r="A202" s="10" t="n"/>
      <c r="B202" s="10" t="n"/>
      <c r="C202" s="346" t="n"/>
      <c r="D202" s="347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348" t="n"/>
      <c r="N202" s="10" t="n"/>
      <c r="O202" s="10" t="n"/>
      <c r="P202" s="10" t="n"/>
      <c r="Q202" s="10" t="n"/>
      <c r="R202" s="10" t="n"/>
      <c r="S202" s="349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</row>
    <row r="203" ht="15.75" customHeight="1" s="1349">
      <c r="A203" s="10" t="n"/>
      <c r="B203" s="10" t="n"/>
      <c r="C203" s="346" t="n"/>
      <c r="D203" s="347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348" t="n"/>
      <c r="N203" s="10" t="n"/>
      <c r="O203" s="10" t="n"/>
      <c r="P203" s="10" t="n"/>
      <c r="Q203" s="10" t="n"/>
      <c r="R203" s="10" t="n"/>
      <c r="S203" s="349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</row>
    <row r="204" ht="15.75" customHeight="1" s="1349">
      <c r="A204" s="10" t="n"/>
      <c r="B204" s="10" t="n"/>
      <c r="C204" s="346" t="n"/>
      <c r="D204" s="347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348" t="n"/>
      <c r="N204" s="10" t="n"/>
      <c r="O204" s="10" t="n"/>
      <c r="P204" s="10" t="n"/>
      <c r="Q204" s="10" t="n"/>
      <c r="R204" s="10" t="n"/>
      <c r="S204" s="349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</row>
    <row r="205" ht="15.75" customHeight="1" s="1349">
      <c r="A205" s="10" t="n"/>
      <c r="B205" s="10" t="n"/>
      <c r="C205" s="346" t="n"/>
      <c r="D205" s="347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348" t="n"/>
      <c r="N205" s="10" t="n"/>
      <c r="O205" s="10" t="n"/>
      <c r="P205" s="10" t="n"/>
      <c r="Q205" s="10" t="n"/>
      <c r="R205" s="10" t="n"/>
      <c r="S205" s="349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</row>
    <row r="206" ht="15.75" customHeight="1" s="1349">
      <c r="A206" s="10" t="n"/>
      <c r="B206" s="10" t="n"/>
      <c r="C206" s="346" t="n"/>
      <c r="D206" s="347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348" t="n"/>
      <c r="N206" s="10" t="n"/>
      <c r="O206" s="10" t="n"/>
      <c r="P206" s="10" t="n"/>
      <c r="Q206" s="10" t="n"/>
      <c r="R206" s="10" t="n"/>
      <c r="S206" s="349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</row>
    <row r="207" ht="15.75" customHeight="1" s="1349">
      <c r="A207" s="10" t="n"/>
      <c r="B207" s="10" t="n"/>
      <c r="C207" s="346" t="n"/>
      <c r="D207" s="347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348" t="n"/>
      <c r="N207" s="10" t="n"/>
      <c r="O207" s="10" t="n"/>
      <c r="P207" s="10" t="n"/>
      <c r="Q207" s="10" t="n"/>
      <c r="R207" s="10" t="n"/>
      <c r="S207" s="349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</row>
    <row r="208" ht="15.75" customHeight="1" s="1349">
      <c r="A208" s="10" t="n"/>
      <c r="B208" s="10" t="n"/>
      <c r="C208" s="346" t="n"/>
      <c r="D208" s="347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348" t="n"/>
      <c r="N208" s="10" t="n"/>
      <c r="O208" s="10" t="n"/>
      <c r="P208" s="10" t="n"/>
      <c r="Q208" s="10" t="n"/>
      <c r="R208" s="10" t="n"/>
      <c r="S208" s="349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</row>
    <row r="209" ht="15.75" customHeight="1" s="1349">
      <c r="A209" s="10" t="n"/>
      <c r="B209" s="10" t="n"/>
      <c r="C209" s="346" t="n"/>
      <c r="D209" s="347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348" t="n"/>
      <c r="N209" s="10" t="n"/>
      <c r="O209" s="10" t="n"/>
      <c r="P209" s="10" t="n"/>
      <c r="Q209" s="10" t="n"/>
      <c r="R209" s="10" t="n"/>
      <c r="S209" s="349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</row>
    <row r="210" ht="15.75" customHeight="1" s="1349">
      <c r="A210" s="10" t="n"/>
      <c r="B210" s="10" t="n"/>
      <c r="C210" s="346" t="n"/>
      <c r="D210" s="347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348" t="n"/>
      <c r="N210" s="10" t="n"/>
      <c r="O210" s="10" t="n"/>
      <c r="P210" s="10" t="n"/>
      <c r="Q210" s="10" t="n"/>
      <c r="R210" s="10" t="n"/>
      <c r="S210" s="349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</row>
    <row r="211" ht="15.75" customHeight="1" s="1349">
      <c r="A211" s="10" t="n"/>
      <c r="B211" s="10" t="n"/>
      <c r="C211" s="346" t="n"/>
      <c r="D211" s="347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348" t="n"/>
      <c r="N211" s="10" t="n"/>
      <c r="O211" s="10" t="n"/>
      <c r="P211" s="10" t="n"/>
      <c r="Q211" s="10" t="n"/>
      <c r="R211" s="10" t="n"/>
      <c r="S211" s="349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</row>
    <row r="212" ht="15.75" customHeight="1" s="1349">
      <c r="A212" s="10" t="n"/>
      <c r="B212" s="10" t="n"/>
      <c r="C212" s="346" t="n"/>
      <c r="D212" s="347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348" t="n"/>
      <c r="N212" s="10" t="n"/>
      <c r="O212" s="10" t="n"/>
      <c r="P212" s="10" t="n"/>
      <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</row>
    <row r="213" ht="15.75" customHeight="1" s="1349">
      <c r="A213" s="10" t="n"/>
      <c r="B213" s="10" t="n"/>
      <c r="C213" s="346" t="n"/>
      <c r="D213" s="347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348" t="n"/>
      <c r="N213" s="10" t="n"/>
      <c r="O213" s="10" t="n"/>
      <c r="P213" s="10" t="n"/>
      <c r="Q213" s="10" t="n"/>
      <c r="R213" s="10" t="n"/>
      <c r="S213" s="349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</row>
    <row r="214" ht="15.75" customHeight="1" s="1349">
      <c r="A214" s="10" t="n"/>
      <c r="B214" s="10" t="n"/>
      <c r="C214" s="346" t="n"/>
      <c r="D214" s="347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348" t="n"/>
      <c r="N214" s="10" t="n"/>
      <c r="O214" s="10" t="n"/>
      <c r="P214" s="10" t="n"/>
      <c r="Q214" s="10" t="n"/>
      <c r="R214" s="10" t="n"/>
      <c r="S214" s="349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</row>
    <row r="215" ht="22.5" customHeight="1" s="1349">
      <c r="A215" s="10" t="n"/>
      <c r="B215" s="10" t="n"/>
      <c r="C215" s="346" t="n"/>
      <c r="D215" s="347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348" t="n"/>
      <c r="N215" s="10" t="n"/>
      <c r="O215" s="10" t="n"/>
      <c r="P215" s="10" t="n"/>
      <c r="Q215" s="10" t="n"/>
      <c r="R215" s="10" t="n"/>
      <c r="S215" s="349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</row>
    <row r="216" ht="22.5" customHeight="1" s="1349">
      <c r="A216" s="10" t="n"/>
      <c r="B216" s="10" t="n"/>
      <c r="C216" s="346" t="n"/>
      <c r="D216" s="347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348" t="n"/>
      <c r="N216" s="10" t="n"/>
      <c r="O216" s="10" t="n"/>
      <c r="P216" s="10" t="n"/>
      <c r="Q216" s="10" t="n"/>
      <c r="R216" s="10" t="n"/>
      <c r="S216" s="349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</row>
    <row r="217" ht="15.75" customHeight="1" s="1349">
      <c r="A217" s="10" t="n"/>
      <c r="B217" s="10" t="n"/>
      <c r="C217" s="346" t="n"/>
      <c r="D217" s="347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348" t="n"/>
      <c r="N217" s="10" t="n"/>
      <c r="O217" s="10" t="n"/>
      <c r="P217" s="10" t="n"/>
      <c r="Q217" s="10" t="n"/>
      <c r="R217" s="10" t="n"/>
      <c r="S217" s="349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</row>
    <row r="218" ht="15.75" customHeight="1" s="1349">
      <c r="A218" s="10" t="n"/>
      <c r="B218" s="10" t="n"/>
      <c r="C218" s="346" t="n"/>
      <c r="D218" s="347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348" t="n"/>
      <c r="N218" s="10" t="n"/>
      <c r="O218" s="10" t="n"/>
      <c r="P218" s="10" t="n"/>
      <c r="Q218" s="10" t="n"/>
      <c r="R218" s="10" t="n"/>
      <c r="S218" s="349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</row>
    <row r="219" ht="15.75" customHeight="1" s="1349">
      <c r="A219" s="10" t="n"/>
      <c r="B219" s="10" t="n"/>
      <c r="C219" s="346" t="n"/>
      <c r="D219" s="347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348" t="n"/>
      <c r="N219" s="10" t="n"/>
      <c r="O219" s="10" t="n"/>
      <c r="P219" s="10" t="n"/>
      <c r="Q219" s="10" t="n"/>
      <c r="R219" s="10" t="n"/>
      <c r="S219" s="349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</row>
    <row r="220" ht="15.75" customHeight="1" s="1349">
      <c r="A220" s="10" t="n"/>
      <c r="B220" s="10" t="n"/>
      <c r="C220" s="346" t="n"/>
      <c r="D220" s="347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348" t="n"/>
      <c r="N220" s="10" t="n"/>
      <c r="O220" s="10" t="n"/>
      <c r="P220" s="10" t="n"/>
      <c r="Q220" s="10" t="n"/>
      <c r="R220" s="10" t="n"/>
      <c r="S220" s="349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</row>
    <row r="221" ht="15.75" customHeight="1" s="1349">
      <c r="A221" s="10" t="n"/>
      <c r="B221" s="10" t="n"/>
      <c r="C221" s="346" t="n"/>
      <c r="D221" s="347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348" t="n"/>
      <c r="N221" s="10" t="n"/>
      <c r="O221" s="10" t="n"/>
      <c r="P221" s="10" t="n"/>
      <c r="Q221" s="10" t="n"/>
      <c r="R221" s="10" t="n"/>
      <c r="S221" s="349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</row>
    <row r="222" ht="15.75" customHeight="1" s="1349">
      <c r="A222" s="10" t="n"/>
      <c r="B222" s="10" t="n"/>
      <c r="C222" s="346" t="n"/>
      <c r="D222" s="347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348" t="n"/>
      <c r="N222" s="10" t="n"/>
      <c r="O222" s="10" t="n"/>
      <c r="P222" s="10" t="n"/>
      <c r="Q222" s="10" t="n"/>
      <c r="R222" s="10" t="n"/>
      <c r="S222" s="349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</row>
    <row r="223" ht="15.75" customHeight="1" s="1349">
      <c r="A223" s="10" t="n"/>
      <c r="B223" s="10" t="n"/>
      <c r="C223" s="346" t="n"/>
      <c r="D223" s="347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348" t="n"/>
      <c r="N223" s="10" t="n"/>
      <c r="O223" s="10" t="n"/>
      <c r="P223" s="10" t="n"/>
      <c r="Q223" s="10" t="n"/>
      <c r="R223" s="10" t="n"/>
      <c r="S223" s="349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</row>
    <row r="224" ht="15.75" customHeight="1" s="1349">
      <c r="A224" s="10" t="n"/>
      <c r="B224" s="10" t="n"/>
      <c r="C224" s="346" t="n"/>
      <c r="D224" s="347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348" t="n"/>
      <c r="N224" s="10" t="n"/>
      <c r="O224" s="10" t="n"/>
      <c r="P224" s="10" t="n"/>
      <c r="Q224" s="10" t="n"/>
      <c r="R224" s="10" t="n"/>
      <c r="S224" s="349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</row>
    <row r="225" ht="15.75" customHeight="1" s="1349">
      <c r="A225" s="10" t="n"/>
      <c r="B225" s="10" t="n"/>
      <c r="C225" s="346" t="n"/>
      <c r="D225" s="347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348" t="n"/>
      <c r="N225" s="10" t="n"/>
      <c r="O225" s="10" t="n"/>
      <c r="P225" s="10" t="n"/>
      <c r="Q225" s="10" t="n"/>
      <c r="R225" s="10" t="n"/>
      <c r="S225" s="349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</row>
    <row r="226" ht="15.75" customHeight="1" s="1349">
      <c r="A226" s="10" t="n"/>
      <c r="B226" s="10" t="n"/>
      <c r="C226" s="346" t="n"/>
      <c r="D226" s="347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348" t="n"/>
      <c r="N226" s="10" t="n"/>
      <c r="O226" s="10" t="n"/>
      <c r="P226" s="10" t="n"/>
      <c r="Q226" s="10" t="n"/>
      <c r="R226" s="10" t="n"/>
      <c r="S226" s="349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</row>
    <row r="227" ht="15.75" customHeight="1" s="1349">
      <c r="A227" s="10" t="n"/>
      <c r="B227" s="10" t="n"/>
      <c r="C227" s="346" t="n"/>
      <c r="D227" s="347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348" t="n"/>
      <c r="N227" s="10" t="n"/>
      <c r="O227" s="10" t="n"/>
      <c r="P227" s="10" t="n"/>
      <c r="Q227" s="10" t="n"/>
      <c r="R227" s="10" t="n"/>
      <c r="S227" s="349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</row>
    <row r="228" ht="15.75" customHeight="1" s="1349">
      <c r="A228" s="10" t="n"/>
      <c r="B228" s="10" t="n"/>
      <c r="C228" s="346" t="n"/>
      <c r="D228" s="347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348" t="n"/>
      <c r="N228" s="10" t="n"/>
      <c r="O228" s="10" t="n"/>
      <c r="P228" s="10" t="n"/>
      <c r="Q228" s="10" t="n"/>
      <c r="R228" s="10" t="n"/>
      <c r="S228" s="349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</row>
    <row r="229" ht="15.75" customHeight="1" s="1349">
      <c r="A229" s="10" t="n"/>
      <c r="B229" s="10" t="n"/>
      <c r="C229" s="346" t="n"/>
      <c r="D229" s="347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348" t="n"/>
      <c r="N229" s="10" t="n"/>
      <c r="O229" s="10" t="n"/>
      <c r="P229" s="10" t="n"/>
      <c r="Q229" s="10" t="n"/>
      <c r="R229" s="10" t="n"/>
      <c r="S229" s="349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</row>
    <row r="230" ht="15.75" customHeight="1" s="1349">
      <c r="A230" s="10" t="n"/>
      <c r="B230" s="10" t="n"/>
      <c r="C230" s="346" t="n"/>
      <c r="D230" s="347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348" t="n"/>
      <c r="N230" s="10" t="n"/>
      <c r="O230" s="10" t="n"/>
      <c r="P230" s="10" t="n"/>
      <c r="Q230" s="10" t="n"/>
      <c r="R230" s="10" t="n"/>
      <c r="S230" s="349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</row>
    <row r="231" ht="15.75" customHeight="1" s="1349">
      <c r="A231" s="10" t="n"/>
      <c r="B231" s="10" t="n"/>
      <c r="C231" s="346" t="n"/>
      <c r="D231" s="347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348" t="n"/>
      <c r="N231" s="10" t="n"/>
      <c r="O231" s="10" t="n"/>
      <c r="P231" s="10" t="n"/>
      <c r="Q231" s="10" t="n"/>
      <c r="R231" s="10" t="n"/>
      <c r="S231" s="349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</row>
    <row r="232" ht="15.75" customHeight="1" s="1349">
      <c r="A232" s="10" t="n"/>
      <c r="B232" s="10" t="n"/>
      <c r="C232" s="346" t="n"/>
      <c r="D232" s="347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348" t="n"/>
      <c r="N232" s="10" t="n"/>
      <c r="O232" s="10" t="n"/>
      <c r="P232" s="10" t="n"/>
      <c r="Q232" s="10" t="n"/>
      <c r="R232" s="10" t="n"/>
      <c r="S232" s="349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</row>
    <row r="233" ht="15.75" customHeight="1" s="1349">
      <c r="A233" s="10" t="n"/>
      <c r="B233" s="10" t="n"/>
      <c r="C233" s="346" t="n"/>
      <c r="D233" s="347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348" t="n"/>
      <c r="N233" s="10" t="n"/>
      <c r="O233" s="10" t="n"/>
      <c r="P233" s="10" t="n"/>
      <c r="Q233" s="10" t="n"/>
      <c r="R233" s="10" t="n"/>
      <c r="S233" s="349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</row>
    <row r="234" ht="15.75" customHeight="1" s="1349">
      <c r="A234" s="10" t="n"/>
      <c r="B234" s="10" t="n"/>
      <c r="C234" s="346" t="n"/>
      <c r="D234" s="347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348" t="n"/>
      <c r="N234" s="10" t="n"/>
      <c r="O234" s="10" t="n"/>
      <c r="P234" s="10" t="n"/>
      <c r="Q234" s="10" t="n"/>
      <c r="R234" s="10" t="n"/>
      <c r="S234" s="349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</row>
    <row r="235" ht="15.75" customHeight="1" s="1349">
      <c r="A235" s="10" t="n"/>
      <c r="B235" s="10" t="n"/>
      <c r="C235" s="346" t="n"/>
      <c r="D235" s="347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348" t="n"/>
      <c r="N235" s="10" t="n"/>
      <c r="O235" s="10" t="n"/>
      <c r="P235" s="10" t="n"/>
      <c r="Q235" s="10" t="n"/>
      <c r="R235" s="10" t="n"/>
      <c r="S235" s="349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</row>
    <row r="236" ht="15.75" customHeight="1" s="1349">
      <c r="A236" s="10" t="n"/>
      <c r="B236" s="10" t="n"/>
      <c r="C236" s="346" t="n"/>
      <c r="D236" s="347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348" t="n"/>
      <c r="N236" s="10" t="n"/>
      <c r="O236" s="10" t="n"/>
      <c r="P236" s="10" t="n"/>
      <c r="Q236" s="10" t="n"/>
      <c r="R236" s="10" t="n"/>
      <c r="S236" s="349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</row>
    <row r="237" ht="15.75" customHeight="1" s="1349">
      <c r="A237" s="10" t="n"/>
      <c r="B237" s="10" t="n"/>
      <c r="C237" s="346" t="n"/>
      <c r="D237" s="347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348" t="n"/>
      <c r="N237" s="10" t="n"/>
      <c r="O237" s="10" t="n"/>
      <c r="P237" s="10" t="n"/>
      <c r="Q237" s="10" t="n"/>
      <c r="R237" s="10" t="n"/>
      <c r="S237" s="349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</row>
    <row r="238" ht="15.75" customHeight="1" s="1349">
      <c r="A238" s="10" t="n"/>
      <c r="B238" s="10" t="n"/>
      <c r="C238" s="346" t="n"/>
      <c r="D238" s="347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348" t="n"/>
      <c r="N238" s="10" t="n"/>
      <c r="O238" s="10" t="n"/>
      <c r="P238" s="10" t="n"/>
      <c r="Q238" s="10" t="n"/>
      <c r="R238" s="10" t="n"/>
      <c r="S238" s="349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</row>
    <row r="239" ht="15.75" customHeight="1" s="1349">
      <c r="A239" s="10" t="n"/>
      <c r="B239" s="10" t="n"/>
      <c r="C239" s="346" t="n"/>
      <c r="D239" s="347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348" t="n"/>
      <c r="N239" s="10" t="n"/>
      <c r="O239" s="10" t="n"/>
      <c r="P239" s="10" t="n"/>
      <c r="Q239" s="10" t="n"/>
      <c r="R239" s="10" t="n"/>
      <c r="S239" s="349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</row>
    <row r="240" ht="15.75" customHeight="1" s="1349">
      <c r="A240" s="10" t="n"/>
      <c r="B240" s="10" t="n"/>
      <c r="C240" s="346" t="n"/>
      <c r="D240" s="347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348" t="n"/>
      <c r="N240" s="10" t="n"/>
      <c r="O240" s="10" t="n"/>
      <c r="P240" s="10" t="n"/>
      <c r="Q240" s="10" t="n"/>
      <c r="R240" s="10" t="n"/>
      <c r="S240" s="349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</row>
    <row r="241" ht="15.75" customHeight="1" s="1349">
      <c r="A241" s="10" t="n"/>
      <c r="B241" s="10" t="n"/>
      <c r="C241" s="346" t="n"/>
      <c r="D241" s="347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348" t="n"/>
      <c r="N241" s="10" t="n"/>
      <c r="O241" s="10" t="n"/>
      <c r="P241" s="10" t="n"/>
      <c r="Q241" s="10" t="n"/>
      <c r="R241" s="10" t="n"/>
      <c r="S241" s="349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</row>
    <row r="242" ht="15.75" customHeight="1" s="1349">
      <c r="A242" s="10" t="n"/>
      <c r="B242" s="10" t="n"/>
      <c r="C242" s="346" t="n"/>
      <c r="D242" s="347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348" t="n"/>
      <c r="N242" s="10" t="n"/>
      <c r="O242" s="10" t="n"/>
      <c r="P242" s="10" t="n"/>
      <c r="Q242" s="10" t="n"/>
      <c r="R242" s="10" t="n"/>
      <c r="S242" s="349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</row>
    <row r="243" ht="15.75" customHeight="1" s="1349">
      <c r="A243" s="10" t="n"/>
      <c r="B243" s="10" t="n"/>
      <c r="C243" s="346" t="n"/>
      <c r="D243" s="347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348" t="n"/>
      <c r="N243" s="10" t="n"/>
      <c r="O243" s="10" t="n"/>
      <c r="P243" s="10" t="n"/>
      <c r="Q243" s="10" t="n"/>
      <c r="R243" s="10" t="n"/>
      <c r="S243" s="349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</row>
    <row r="244" ht="15.75" customHeight="1" s="1349">
      <c r="A244" s="10" t="n"/>
      <c r="B244" s="10" t="n"/>
      <c r="C244" s="346" t="n"/>
      <c r="D244" s="347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348" t="n"/>
      <c r="N244" s="10" t="n"/>
      <c r="O244" s="10" t="n"/>
      <c r="P244" s="10" t="n"/>
      <c r="Q244" s="10" t="n"/>
      <c r="R244" s="10" t="n"/>
      <c r="S244" s="349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</row>
    <row r="245" ht="15.75" customHeight="1" s="1349">
      <c r="A245" s="10" t="n"/>
      <c r="B245" s="10" t="n"/>
      <c r="C245" s="346" t="n"/>
      <c r="D245" s="347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348" t="n"/>
      <c r="N245" s="10" t="n"/>
      <c r="O245" s="10" t="n"/>
      <c r="P245" s="10" t="n"/>
      <c r="Q245" s="10" t="n"/>
      <c r="R245" s="10" t="n"/>
      <c r="S245" s="349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</row>
    <row r="246" ht="15.75" customHeight="1" s="1349">
      <c r="A246" s="10" t="n"/>
      <c r="B246" s="10" t="n"/>
      <c r="C246" s="346" t="n"/>
      <c r="D246" s="347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348" t="n"/>
      <c r="N246" s="10" t="n"/>
      <c r="O246" s="10" t="n"/>
      <c r="P246" s="10" t="n"/>
      <c r="Q246" s="10" t="n"/>
      <c r="R246" s="10" t="n"/>
      <c r="S246" s="349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</row>
    <row r="247" ht="15.75" customHeight="1" s="1349">
      <c r="A247" s="10" t="n"/>
      <c r="B247" s="10" t="n"/>
      <c r="C247" s="346" t="n"/>
      <c r="D247" s="347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348" t="n"/>
      <c r="N247" s="10" t="n"/>
      <c r="O247" s="10" t="n"/>
      <c r="P247" s="10" t="n"/>
      <c r="Q247" s="10" t="n"/>
      <c r="R247" s="10" t="n"/>
      <c r="S247" s="349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</row>
    <row r="248" ht="15.75" customHeight="1" s="1349">
      <c r="A248" s="10" t="n"/>
      <c r="B248" s="10" t="n"/>
      <c r="C248" s="346" t="n"/>
      <c r="D248" s="347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348" t="n"/>
      <c r="N248" s="10" t="n"/>
      <c r="O248" s="10" t="n"/>
      <c r="P248" s="10" t="n"/>
      <c r="Q248" s="10" t="n"/>
      <c r="R248" s="10" t="n"/>
      <c r="S248" s="349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</row>
    <row r="249" ht="15.75" customHeight="1" s="1349">
      <c r="A249" s="10" t="n"/>
      <c r="B249" s="10" t="n"/>
      <c r="C249" s="346" t="n"/>
      <c r="D249" s="347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348" t="n"/>
      <c r="N249" s="10" t="n"/>
      <c r="O249" s="10" t="n"/>
      <c r="P249" s="10" t="n"/>
      <c r="Q249" s="10" t="n"/>
      <c r="R249" s="10" t="n"/>
      <c r="S249" s="349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</row>
    <row r="250" ht="15.75" customHeight="1" s="1349">
      <c r="A250" s="10" t="n"/>
      <c r="B250" s="10" t="n"/>
      <c r="C250" s="346" t="n"/>
      <c r="D250" s="347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348" t="n"/>
      <c r="N250" s="10" t="n"/>
      <c r="O250" s="10" t="n"/>
      <c r="P250" s="10" t="n"/>
      <c r="Q250" s="10" t="n"/>
      <c r="R250" s="10" t="n"/>
      <c r="S250" s="349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</row>
    <row r="251" ht="15.75" customHeight="1" s="1349">
      <c r="A251" s="10" t="n"/>
      <c r="B251" s="10" t="n"/>
      <c r="C251" s="346" t="n"/>
      <c r="D251" s="347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348" t="n"/>
      <c r="N251" s="10" t="n"/>
      <c r="O251" s="10" t="n"/>
      <c r="P251" s="10" t="n"/>
      <c r="Q251" s="10" t="n"/>
      <c r="R251" s="10" t="n"/>
      <c r="S251" s="349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</row>
    <row r="252" ht="15.75" customHeight="1" s="1349">
      <c r="A252" s="10" t="n"/>
      <c r="B252" s="10" t="n"/>
      <c r="C252" s="346" t="n"/>
      <c r="D252" s="347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348" t="n"/>
      <c r="N252" s="10" t="n"/>
      <c r="O252" s="10" t="n"/>
      <c r="P252" s="10" t="n"/>
      <c r="Q252" s="10" t="n"/>
      <c r="R252" s="10" t="n"/>
      <c r="S252" s="349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</row>
    <row r="253" ht="15.75" customHeight="1" s="1349">
      <c r="A253" s="10" t="n"/>
      <c r="B253" s="10" t="n"/>
      <c r="C253" s="346" t="n"/>
      <c r="D253" s="347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348" t="n"/>
      <c r="N253" s="10" t="n"/>
      <c r="O253" s="10" t="n"/>
      <c r="P253" s="10" t="n"/>
      <c r="Q253" s="10" t="n"/>
      <c r="R253" s="10" t="n"/>
      <c r="S253" s="349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</row>
    <row r="254" ht="15.75" customHeight="1" s="1349">
      <c r="A254" s="10" t="n"/>
      <c r="B254" s="10" t="n"/>
      <c r="C254" s="346" t="n"/>
      <c r="D254" s="347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348" t="n"/>
      <c r="N254" s="10" t="n"/>
      <c r="O254" s="10" t="n"/>
      <c r="P254" s="10" t="n"/>
      <c r="Q254" s="10" t="n"/>
      <c r="R254" s="10" t="n"/>
      <c r="S254" s="349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</row>
    <row r="255" ht="15.75" customHeight="1" s="1349">
      <c r="A255" s="10" t="n"/>
      <c r="B255" s="10" t="n"/>
      <c r="C255" s="346" t="n"/>
      <c r="D255" s="347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348" t="n"/>
      <c r="N255" s="10" t="n"/>
      <c r="O255" s="10" t="n"/>
      <c r="P255" s="10" t="n"/>
      <c r="Q255" s="10" t="n"/>
      <c r="R255" s="10" t="n"/>
      <c r="S255" s="349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</row>
    <row r="256" ht="15.75" customHeight="1" s="1349">
      <c r="A256" s="10" t="n"/>
      <c r="B256" s="10" t="n"/>
      <c r="C256" s="346" t="n"/>
      <c r="D256" s="347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348" t="n"/>
      <c r="N256" s="10" t="n"/>
      <c r="O256" s="10" t="n"/>
      <c r="P256" s="10" t="n"/>
      <c r="Q256" s="10" t="n"/>
      <c r="R256" s="10" t="n"/>
      <c r="S256" s="349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</row>
    <row r="257" ht="15.75" customHeight="1" s="1349">
      <c r="A257" s="10" t="n"/>
      <c r="B257" s="10" t="n"/>
      <c r="C257" s="346" t="n"/>
      <c r="D257" s="347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348" t="n"/>
      <c r="N257" s="10" t="n"/>
      <c r="O257" s="10" t="n"/>
      <c r="P257" s="10" t="n"/>
      <c r="Q257" s="10" t="n"/>
      <c r="R257" s="10" t="n"/>
      <c r="S257" s="349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</row>
    <row r="258" ht="15.75" customHeight="1" s="1349">
      <c r="A258" s="10" t="n"/>
      <c r="B258" s="10" t="n"/>
      <c r="C258" s="346" t="n"/>
      <c r="D258" s="347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348" t="n"/>
      <c r="N258" s="10" t="n"/>
      <c r="O258" s="10" t="n"/>
      <c r="P258" s="10" t="n"/>
      <c r="Q258" s="10" t="n"/>
      <c r="R258" s="10" t="n"/>
      <c r="S258" s="349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</row>
    <row r="259" ht="15.75" customHeight="1" s="1349">
      <c r="A259" s="10" t="n"/>
      <c r="B259" s="10" t="n"/>
      <c r="C259" s="346" t="n"/>
      <c r="D259" s="347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348" t="n"/>
      <c r="N259" s="10" t="n"/>
      <c r="O259" s="10" t="n"/>
      <c r="P259" s="10" t="n"/>
      <c r="Q259" s="10" t="n"/>
      <c r="R259" s="10" t="n"/>
      <c r="S259" s="349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</row>
    <row r="260" ht="15.75" customHeight="1" s="1349">
      <c r="A260" s="10" t="n"/>
      <c r="B260" s="10" t="n"/>
      <c r="C260" s="346" t="n"/>
      <c r="D260" s="347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348" t="n"/>
      <c r="N260" s="10" t="n"/>
      <c r="O260" s="10" t="n"/>
      <c r="P260" s="10" t="n"/>
      <c r="Q260" s="10" t="n"/>
      <c r="R260" s="10" t="n"/>
      <c r="S260" s="349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</row>
    <row r="261" ht="15.75" customHeight="1" s="1349">
      <c r="A261" s="10" t="n"/>
      <c r="B261" s="10" t="n"/>
      <c r="C261" s="346" t="n"/>
      <c r="D261" s="347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348" t="n"/>
      <c r="N261" s="10" t="n"/>
      <c r="O261" s="10" t="n"/>
      <c r="P261" s="10" t="n"/>
      <c r="Q261" s="10" t="n"/>
      <c r="R261" s="10" t="n"/>
      <c r="S261" s="349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</row>
    <row r="262" ht="15.75" customHeight="1" s="1349">
      <c r="A262" s="10" t="n"/>
      <c r="B262" s="10" t="n"/>
      <c r="C262" s="346" t="n"/>
      <c r="D262" s="347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348" t="n"/>
      <c r="N262" s="10" t="n"/>
      <c r="O262" s="10" t="n"/>
      <c r="P262" s="10" t="n"/>
      <c r="Q262" s="10" t="n"/>
      <c r="R262" s="10" t="n"/>
      <c r="S262" s="349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</row>
    <row r="263" ht="15.75" customHeight="1" s="1349">
      <c r="A263" s="10" t="n"/>
      <c r="B263" s="10" t="n"/>
      <c r="C263" s="346" t="n"/>
      <c r="D263" s="347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348" t="n"/>
      <c r="N263" s="10" t="n"/>
      <c r="O263" s="10" t="n"/>
      <c r="P263" s="10" t="n"/>
      <c r="Q263" s="10" t="n"/>
      <c r="R263" s="10" t="n"/>
      <c r="S263" s="349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</row>
    <row r="264" ht="15.75" customHeight="1" s="1349">
      <c r="A264" s="10" t="n"/>
      <c r="B264" s="10" t="n"/>
      <c r="C264" s="346" t="n"/>
      <c r="D264" s="347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348" t="n"/>
      <c r="N264" s="10" t="n"/>
      <c r="O264" s="10" t="n"/>
      <c r="P264" s="10" t="n"/>
      <c r="Q264" s="10" t="n"/>
      <c r="R264" s="10" t="n"/>
      <c r="S264" s="349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</row>
    <row r="265" ht="15.75" customHeight="1" s="1349">
      <c r="A265" s="10" t="n"/>
      <c r="B265" s="10" t="n"/>
      <c r="C265" s="346" t="n"/>
      <c r="D265" s="347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348" t="n"/>
      <c r="N265" s="10" t="n"/>
      <c r="O265" s="10" t="n"/>
      <c r="P265" s="10" t="n"/>
      <c r="Q265" s="10" t="n"/>
      <c r="R265" s="10" t="n"/>
      <c r="S265" s="349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</row>
    <row r="266" ht="15.75" customHeight="1" s="1349">
      <c r="A266" s="10" t="n"/>
      <c r="B266" s="10" t="n"/>
      <c r="C266" s="346" t="n"/>
      <c r="D266" s="347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348" t="n"/>
      <c r="N266" s="10" t="n"/>
      <c r="O266" s="10" t="n"/>
      <c r="P266" s="10" t="n"/>
      <c r="Q266" s="10" t="n"/>
      <c r="R266" s="10" t="n"/>
      <c r="S266" s="349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</row>
    <row r="267" ht="15.75" customHeight="1" s="1349">
      <c r="A267" s="10" t="n"/>
      <c r="B267" s="10" t="n"/>
      <c r="C267" s="346" t="n"/>
      <c r="D267" s="347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348" t="n"/>
      <c r="N267" s="10" t="n"/>
      <c r="O267" s="10" t="n"/>
      <c r="P267" s="10" t="n"/>
      <c r="Q267" s="10" t="n"/>
      <c r="R267" s="10" t="n"/>
      <c r="S267" s="349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</row>
    <row r="268" ht="15.75" customHeight="1" s="1349">
      <c r="A268" s="10" t="n"/>
      <c r="B268" s="10" t="n"/>
      <c r="C268" s="346" t="n"/>
      <c r="D268" s="347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348" t="n"/>
      <c r="N268" s="10" t="n"/>
      <c r="O268" s="10" t="n"/>
      <c r="P268" s="10" t="n"/>
      <c r="Q268" s="10" t="n"/>
      <c r="R268" s="10" t="n"/>
      <c r="S268" s="349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</row>
    <row r="269" ht="15.75" customHeight="1" s="1349">
      <c r="A269" s="10" t="n"/>
      <c r="B269" s="10" t="n"/>
      <c r="C269" s="346" t="n"/>
      <c r="D269" s="347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348" t="n"/>
      <c r="N269" s="10" t="n"/>
      <c r="O269" s="10" t="n"/>
      <c r="P269" s="10" t="n"/>
      <c r="Q269" s="10" t="n"/>
      <c r="R269" s="10" t="n"/>
      <c r="S269" s="349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</row>
    <row r="270" ht="15.75" customHeight="1" s="1349">
      <c r="A270" s="10" t="n"/>
      <c r="B270" s="10" t="n"/>
      <c r="C270" s="346" t="n"/>
      <c r="D270" s="347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348" t="n"/>
      <c r="N270" s="10" t="n"/>
      <c r="O270" s="10" t="n"/>
      <c r="P270" s="10" t="n"/>
      <c r="Q270" s="10" t="n"/>
      <c r="R270" s="10" t="n"/>
      <c r="S270" s="349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</row>
    <row r="271" ht="15.75" customHeight="1" s="1349">
      <c r="A271" s="10" t="n"/>
      <c r="B271" s="10" t="n"/>
      <c r="C271" s="346" t="n"/>
      <c r="D271" s="347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348" t="n"/>
      <c r="N271" s="10" t="n"/>
      <c r="O271" s="10" t="n"/>
      <c r="P271" s="10" t="n"/>
      <c r="Q271" s="10" t="n"/>
      <c r="R271" s="10" t="n"/>
      <c r="S271" s="349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</row>
    <row r="272" ht="15.75" customHeight="1" s="1349">
      <c r="A272" s="10" t="n"/>
      <c r="B272" s="10" t="n"/>
      <c r="C272" s="346" t="n"/>
      <c r="D272" s="347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348" t="n"/>
      <c r="N272" s="10" t="n"/>
      <c r="O272" s="10" t="n"/>
      <c r="P272" s="10" t="n"/>
      <c r="Q272" s="10" t="n"/>
      <c r="R272" s="10" t="n"/>
      <c r="S272" s="349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</row>
    <row r="273" ht="15.75" customHeight="1" s="1349">
      <c r="A273" s="10" t="n"/>
      <c r="B273" s="10" t="n"/>
      <c r="C273" s="346" t="n"/>
      <c r="D273" s="347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348" t="n"/>
      <c r="N273" s="10" t="n"/>
      <c r="O273" s="10" t="n"/>
      <c r="P273" s="10" t="n"/>
      <c r="Q273" s="10" t="n"/>
      <c r="R273" s="10" t="n"/>
      <c r="S273" s="349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</row>
    <row r="274" ht="15.75" customHeight="1" s="1349">
      <c r="A274" s="10" t="n"/>
      <c r="B274" s="10" t="n"/>
      <c r="C274" s="346" t="n"/>
      <c r="D274" s="347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348" t="n"/>
      <c r="N274" s="10" t="n"/>
      <c r="O274" s="10" t="n"/>
      <c r="P274" s="10" t="n"/>
      <c r="Q274" s="10" t="n"/>
      <c r="R274" s="10" t="n"/>
      <c r="S274" s="349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</row>
    <row r="275" ht="15.75" customHeight="1" s="1349">
      <c r="A275" s="10" t="n"/>
      <c r="B275" s="10" t="n"/>
      <c r="C275" s="346" t="n"/>
      <c r="D275" s="347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348" t="n"/>
      <c r="N275" s="10" t="n"/>
      <c r="O275" s="10" t="n"/>
      <c r="P275" s="10" t="n"/>
      <c r="Q275" s="10" t="n"/>
      <c r="R275" s="10" t="n"/>
      <c r="S275" s="349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</row>
    <row r="276" ht="15.75" customHeight="1" s="1349">
      <c r="A276" s="10" t="n"/>
      <c r="B276" s="10" t="n"/>
      <c r="C276" s="346" t="n"/>
      <c r="D276" s="347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348" t="n"/>
      <c r="N276" s="10" t="n"/>
      <c r="O276" s="10" t="n"/>
      <c r="P276" s="10" t="n"/>
      <c r="Q276" s="10" t="n"/>
      <c r="R276" s="10" t="n"/>
      <c r="S276" s="349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</row>
    <row r="277" ht="15.75" customHeight="1" s="1349">
      <c r="A277" s="10" t="n"/>
      <c r="B277" s="10" t="n"/>
      <c r="C277" s="346" t="n"/>
      <c r="D277" s="347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348" t="n"/>
      <c r="N277" s="10" t="n"/>
      <c r="O277" s="10" t="n"/>
      <c r="P277" s="10" t="n"/>
      <c r="Q277" s="10" t="n"/>
      <c r="R277" s="10" t="n"/>
      <c r="S277" s="349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</row>
    <row r="278" ht="15.75" customHeight="1" s="1349">
      <c r="A278" s="10" t="n"/>
      <c r="B278" s="10" t="n"/>
      <c r="C278" s="346" t="n"/>
      <c r="D278" s="347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348" t="n"/>
      <c r="N278" s="10" t="n"/>
      <c r="O278" s="10" t="n"/>
      <c r="P278" s="10" t="n"/>
      <c r="Q278" s="10" t="n"/>
      <c r="R278" s="10" t="n"/>
      <c r="S278" s="349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</row>
    <row r="279" ht="15.75" customHeight="1" s="1349">
      <c r="A279" s="10" t="n"/>
      <c r="B279" s="10" t="n"/>
      <c r="C279" s="346" t="n"/>
      <c r="D279" s="347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348" t="n"/>
      <c r="N279" s="10" t="n"/>
      <c r="O279" s="10" t="n"/>
      <c r="P279" s="10" t="n"/>
      <c r="Q279" s="10" t="n"/>
      <c r="R279" s="10" t="n"/>
      <c r="S279" s="349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</row>
    <row r="280" ht="15.75" customHeight="1" s="1349">
      <c r="A280" s="10" t="n"/>
      <c r="B280" s="10" t="n"/>
      <c r="C280" s="346" t="n"/>
      <c r="D280" s="347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348" t="n"/>
      <c r="N280" s="10" t="n"/>
      <c r="O280" s="10" t="n"/>
      <c r="P280" s="10" t="n"/>
      <c r="Q280" s="10" t="n"/>
      <c r="R280" s="10" t="n"/>
      <c r="S280" s="349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</row>
    <row r="281" ht="15.75" customHeight="1" s="1349">
      <c r="A281" s="10" t="n"/>
      <c r="B281" s="10" t="n"/>
      <c r="C281" s="346" t="n"/>
      <c r="D281" s="347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348" t="n"/>
      <c r="N281" s="10" t="n"/>
      <c r="O281" s="10" t="n"/>
      <c r="P281" s="10" t="n"/>
      <c r="Q281" s="10" t="n"/>
      <c r="R281" s="10" t="n"/>
      <c r="S281" s="349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</row>
    <row r="282" ht="15.75" customHeight="1" s="1349">
      <c r="A282" s="10" t="n"/>
      <c r="B282" s="10" t="n"/>
      <c r="C282" s="346" t="n"/>
      <c r="D282" s="347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348" t="n"/>
      <c r="N282" s="10" t="n"/>
      <c r="O282" s="10" t="n"/>
      <c r="P282" s="10" t="n"/>
      <c r="Q282" s="10" t="n"/>
      <c r="R282" s="10" t="n"/>
      <c r="S282" s="349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</row>
    <row r="283" ht="15.75" customHeight="1" s="1349">
      <c r="A283" s="10" t="n"/>
      <c r="B283" s="10" t="n"/>
      <c r="C283" s="346" t="n"/>
      <c r="D283" s="347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348" t="n"/>
      <c r="N283" s="10" t="n"/>
      <c r="O283" s="10" t="n"/>
      <c r="P283" s="10" t="n"/>
      <c r="Q283" s="10" t="n"/>
      <c r="R283" s="10" t="n"/>
      <c r="S283" s="349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</row>
    <row r="284" ht="15.75" customHeight="1" s="1349">
      <c r="A284" s="10" t="n"/>
      <c r="B284" s="10" t="n"/>
      <c r="C284" s="346" t="n"/>
      <c r="D284" s="347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348" t="n"/>
      <c r="N284" s="10" t="n"/>
      <c r="O284" s="10" t="n"/>
      <c r="P284" s="10" t="n"/>
      <c r="Q284" s="10" t="n"/>
      <c r="R284" s="10" t="n"/>
      <c r="S284" s="349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</row>
    <row r="285" ht="15.75" customHeight="1" s="1349">
      <c r="A285" s="10" t="n"/>
      <c r="B285" s="10" t="n"/>
      <c r="C285" s="346" t="n"/>
      <c r="D285" s="347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348" t="n"/>
      <c r="N285" s="10" t="n"/>
      <c r="O285" s="10" t="n"/>
      <c r="P285" s="10" t="n"/>
      <c r="Q285" s="10" t="n"/>
      <c r="R285" s="10" t="n"/>
      <c r="S285" s="349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</row>
    <row r="286" ht="15.75" customHeight="1" s="1349">
      <c r="A286" s="10" t="n"/>
      <c r="B286" s="10" t="n"/>
      <c r="C286" s="346" t="n"/>
      <c r="D286" s="347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348" t="n"/>
      <c r="N286" s="10" t="n"/>
      <c r="O286" s="10" t="n"/>
      <c r="P286" s="10" t="n"/>
      <c r="Q286" s="10" t="n"/>
      <c r="R286" s="10" t="n"/>
      <c r="S286" s="349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</row>
    <row r="287" ht="15.75" customHeight="1" s="1349">
      <c r="A287" s="10" t="n"/>
      <c r="B287" s="10" t="n"/>
      <c r="C287" s="346" t="n"/>
      <c r="D287" s="347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348" t="n"/>
      <c r="N287" s="10" t="n"/>
      <c r="O287" s="10" t="n"/>
      <c r="P287" s="10" t="n"/>
      <c r="Q287" s="10" t="n"/>
      <c r="R287" s="10" t="n"/>
      <c r="S287" s="349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</row>
    <row r="288" ht="15.75" customHeight="1" s="1349">
      <c r="A288" s="10" t="n"/>
      <c r="B288" s="10" t="n"/>
      <c r="C288" s="346" t="n"/>
      <c r="D288" s="347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348" t="n"/>
      <c r="N288" s="10" t="n"/>
      <c r="O288" s="10" t="n"/>
      <c r="P288" s="10" t="n"/>
      <c r="Q288" s="10" t="n"/>
      <c r="R288" s="10" t="n"/>
      <c r="S288" s="349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</row>
    <row r="289" ht="15.75" customHeight="1" s="1349">
      <c r="A289" s="10" t="n"/>
      <c r="B289" s="10" t="n"/>
      <c r="C289" s="346" t="n"/>
      <c r="D289" s="347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348" t="n"/>
      <c r="N289" s="10" t="n"/>
      <c r="O289" s="10" t="n"/>
      <c r="P289" s="10" t="n"/>
      <c r="Q289" s="10" t="n"/>
      <c r="R289" s="10" t="n"/>
      <c r="S289" s="349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</row>
    <row r="290" ht="15.75" customHeight="1" s="1349">
      <c r="A290" s="10" t="n"/>
      <c r="B290" s="10" t="n"/>
      <c r="C290" s="346" t="n"/>
      <c r="D290" s="347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348" t="n"/>
      <c r="N290" s="10" t="n"/>
      <c r="O290" s="10" t="n"/>
      <c r="P290" s="10" t="n"/>
      <c r="Q290" s="10" t="n"/>
      <c r="R290" s="10" t="n"/>
      <c r="S290" s="349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</row>
    <row r="291" ht="15.75" customHeight="1" s="1349">
      <c r="A291" s="10" t="n"/>
      <c r="B291" s="10" t="n"/>
      <c r="C291" s="346" t="n"/>
      <c r="D291" s="347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348" t="n"/>
      <c r="N291" s="10" t="n"/>
      <c r="O291" s="10" t="n"/>
      <c r="P291" s="10" t="n"/>
      <c r="Q291" s="10" t="n"/>
      <c r="R291" s="10" t="n"/>
      <c r="S291" s="349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</row>
    <row r="292" ht="15.75" customHeight="1" s="1349">
      <c r="A292" s="10" t="n"/>
      <c r="B292" s="10" t="n"/>
      <c r="C292" s="346" t="n"/>
      <c r="D292" s="347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348" t="n"/>
      <c r="N292" s="10" t="n"/>
      <c r="O292" s="10" t="n"/>
      <c r="P292" s="10" t="n"/>
      <c r="Q292" s="10" t="n"/>
      <c r="R292" s="10" t="n"/>
      <c r="S292" s="349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</row>
    <row r="293" ht="15.75" customHeight="1" s="1349">
      <c r="A293" s="10" t="n"/>
      <c r="B293" s="10" t="n"/>
      <c r="C293" s="346" t="n"/>
      <c r="D293" s="347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348" t="n"/>
      <c r="N293" s="10" t="n"/>
      <c r="O293" s="10" t="n"/>
      <c r="P293" s="10" t="n"/>
      <c r="Q293" s="10" t="n"/>
      <c r="R293" s="10" t="n"/>
      <c r="S293" s="349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</row>
    <row r="294" ht="15.75" customHeight="1" s="1349">
      <c r="A294" s="10" t="n"/>
      <c r="B294" s="10" t="n"/>
      <c r="C294" s="346" t="n"/>
      <c r="D294" s="347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348" t="n"/>
      <c r="N294" s="10" t="n"/>
      <c r="O294" s="10" t="n"/>
      <c r="P294" s="10" t="n"/>
      <c r="Q294" s="10" t="n"/>
      <c r="R294" s="10" t="n"/>
      <c r="S294" s="349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</row>
    <row r="295" ht="15.75" customHeight="1" s="1349">
      <c r="A295" s="10" t="n"/>
      <c r="B295" s="10" t="n"/>
      <c r="C295" s="346" t="n"/>
      <c r="D295" s="347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348" t="n"/>
      <c r="N295" s="10" t="n"/>
      <c r="O295" s="10" t="n"/>
      <c r="P295" s="10" t="n"/>
      <c r="Q295" s="10" t="n"/>
      <c r="R295" s="10" t="n"/>
      <c r="S295" s="349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</row>
    <row r="296" ht="15.75" customHeight="1" s="1349">
      <c r="A296" s="10" t="n"/>
      <c r="B296" s="10" t="n"/>
      <c r="C296" s="346" t="n"/>
      <c r="D296" s="347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348" t="n"/>
      <c r="N296" s="10" t="n"/>
      <c r="O296" s="10" t="n"/>
      <c r="P296" s="10" t="n"/>
      <c r="Q296" s="10" t="n"/>
      <c r="R296" s="10" t="n"/>
      <c r="S296" s="349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</row>
    <row r="297" ht="15.75" customHeight="1" s="1349">
      <c r="A297" s="10" t="n"/>
      <c r="B297" s="10" t="n"/>
      <c r="C297" s="346" t="n"/>
      <c r="D297" s="347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348" t="n"/>
      <c r="N297" s="10" t="n"/>
      <c r="O297" s="10" t="n"/>
      <c r="P297" s="10" t="n"/>
      <c r="Q297" s="10" t="n"/>
      <c r="R297" s="10" t="n"/>
      <c r="S297" s="349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</row>
    <row r="298" ht="15.75" customHeight="1" s="1349">
      <c r="A298" s="10" t="n"/>
      <c r="B298" s="10" t="n"/>
      <c r="C298" s="346" t="n"/>
      <c r="D298" s="347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348" t="n"/>
      <c r="N298" s="10" t="n"/>
      <c r="O298" s="10" t="n"/>
      <c r="P298" s="10" t="n"/>
      <c r="Q298" s="10" t="n"/>
      <c r="R298" s="10" t="n"/>
      <c r="S298" s="349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</row>
    <row r="299" ht="15.75" customHeight="1" s="1349">
      <c r="A299" s="10" t="n"/>
      <c r="B299" s="10" t="n"/>
      <c r="C299" s="346" t="n"/>
      <c r="D299" s="347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348" t="n"/>
      <c r="N299" s="10" t="n"/>
      <c r="O299" s="10" t="n"/>
      <c r="P299" s="10" t="n"/>
      <c r="Q299" s="10" t="n"/>
      <c r="R299" s="10" t="n"/>
      <c r="S299" s="349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</row>
    <row r="300" ht="15.75" customHeight="1" s="1349">
      <c r="A300" s="10" t="n"/>
      <c r="B300" s="10" t="n"/>
      <c r="C300" s="346" t="n"/>
      <c r="D300" s="347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348" t="n"/>
      <c r="N300" s="10" t="n"/>
      <c r="O300" s="10" t="n"/>
      <c r="P300" s="10" t="n"/>
      <c r="Q300" s="10" t="n"/>
      <c r="R300" s="10" t="n"/>
      <c r="S300" s="349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</row>
    <row r="301" ht="15.75" customHeight="1" s="1349">
      <c r="A301" s="10" t="n"/>
      <c r="B301" s="10" t="n"/>
      <c r="C301" s="346" t="n"/>
      <c r="D301" s="347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348" t="n"/>
      <c r="N301" s="10" t="n"/>
      <c r="O301" s="10" t="n"/>
      <c r="P301" s="10" t="n"/>
      <c r="Q301" s="10" t="n"/>
      <c r="R301" s="10" t="n"/>
      <c r="S301" s="349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</row>
    <row r="302" ht="15.75" customHeight="1" s="1349">
      <c r="A302" s="10" t="n"/>
      <c r="B302" s="10" t="n"/>
      <c r="C302" s="346" t="n"/>
      <c r="D302" s="347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348" t="n"/>
      <c r="N302" s="10" t="n"/>
      <c r="O302" s="10" t="n"/>
      <c r="P302" s="10" t="n"/>
      <c r="Q302" s="10" t="n"/>
      <c r="R302" s="10" t="n"/>
      <c r="S302" s="349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</row>
    <row r="303" ht="15.75" customHeight="1" s="1349">
      <c r="A303" s="10" t="n"/>
      <c r="B303" s="10" t="n"/>
      <c r="C303" s="346" t="n"/>
      <c r="D303" s="347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348" t="n"/>
      <c r="N303" s="10" t="n"/>
      <c r="O303" s="10" t="n"/>
      <c r="P303" s="10" t="n"/>
      <c r="Q303" s="10" t="n"/>
      <c r="R303" s="10" t="n"/>
      <c r="S303" s="349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</row>
    <row r="304" ht="15.75" customHeight="1" s="1349">
      <c r="A304" s="10" t="n"/>
      <c r="B304" s="10" t="n"/>
      <c r="C304" s="346" t="n"/>
      <c r="D304" s="347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348" t="n"/>
      <c r="N304" s="10" t="n"/>
      <c r="O304" s="10" t="n"/>
      <c r="P304" s="10" t="n"/>
      <c r="Q304" s="10" t="n"/>
      <c r="R304" s="10" t="n"/>
      <c r="S304" s="349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</row>
    <row r="305" ht="15.75" customHeight="1" s="1349">
      <c r="A305" s="10" t="n"/>
      <c r="B305" s="10" t="n"/>
      <c r="C305" s="346" t="n"/>
      <c r="D305" s="347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348" t="n"/>
      <c r="N305" s="10" t="n"/>
      <c r="O305" s="10" t="n"/>
      <c r="P305" s="10" t="n"/>
      <c r="Q305" s="10" t="n"/>
      <c r="R305" s="10" t="n"/>
      <c r="S305" s="349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</row>
    <row r="306" ht="15.75" customHeight="1" s="1349">
      <c r="A306" s="10" t="n"/>
      <c r="B306" s="10" t="n"/>
      <c r="C306" s="346" t="n"/>
      <c r="D306" s="347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348" t="n"/>
      <c r="N306" s="10" t="n"/>
      <c r="O306" s="10" t="n"/>
      <c r="P306" s="10" t="n"/>
      <c r="Q306" s="10" t="n"/>
      <c r="R306" s="10" t="n"/>
      <c r="S306" s="349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</row>
    <row r="307" ht="15.75" customHeight="1" s="1349">
      <c r="A307" s="10" t="n"/>
      <c r="B307" s="10" t="n"/>
      <c r="C307" s="346" t="n"/>
      <c r="D307" s="347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348" t="n"/>
      <c r="N307" s="10" t="n"/>
      <c r="O307" s="10" t="n"/>
      <c r="P307" s="10" t="n"/>
      <c r="Q307" s="10" t="n"/>
      <c r="R307" s="10" t="n"/>
      <c r="S307" s="349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</row>
    <row r="308" ht="15.75" customHeight="1" s="1349">
      <c r="A308" s="10" t="n"/>
      <c r="B308" s="10" t="n"/>
      <c r="C308" s="346" t="n"/>
      <c r="D308" s="347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348" t="n"/>
      <c r="N308" s="10" t="n"/>
      <c r="O308" s="10" t="n"/>
      <c r="P308" s="10" t="n"/>
      <c r="Q308" s="10" t="n"/>
      <c r="R308" s="10" t="n"/>
      <c r="S308" s="349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</row>
    <row r="309" ht="15.75" customHeight="1" s="1349">
      <c r="A309" s="10" t="n"/>
      <c r="B309" s="10" t="n"/>
      <c r="C309" s="346" t="n"/>
      <c r="D309" s="347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348" t="n"/>
      <c r="N309" s="10" t="n"/>
      <c r="O309" s="10" t="n"/>
      <c r="P309" s="10" t="n"/>
      <c r="Q309" s="10" t="n"/>
      <c r="R309" s="10" t="n"/>
      <c r="S309" s="349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</row>
    <row r="310" ht="15.75" customHeight="1" s="1349">
      <c r="A310" s="10" t="n"/>
      <c r="B310" s="10" t="n"/>
      <c r="C310" s="346" t="n"/>
      <c r="D310" s="347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348" t="n"/>
      <c r="N310" s="10" t="n"/>
      <c r="O310" s="10" t="n"/>
      <c r="P310" s="10" t="n"/>
      <c r="Q310" s="10" t="n"/>
      <c r="R310" s="10" t="n"/>
      <c r="S310" s="349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</row>
    <row r="311" ht="15.75" customHeight="1" s="1349">
      <c r="A311" s="10" t="n"/>
      <c r="B311" s="10" t="n"/>
      <c r="C311" s="346" t="n"/>
      <c r="D311" s="347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348" t="n"/>
      <c r="N311" s="10" t="n"/>
      <c r="O311" s="10" t="n"/>
      <c r="P311" s="10" t="n"/>
      <c r="Q311" s="10" t="n"/>
      <c r="R311" s="10" t="n"/>
      <c r="S311" s="349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</row>
    <row r="312" ht="15.75" customHeight="1" s="1349">
      <c r="A312" s="10" t="n"/>
      <c r="B312" s="10" t="n"/>
      <c r="C312" s="346" t="n"/>
      <c r="D312" s="347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348" t="n"/>
      <c r="N312" s="10" t="n"/>
      <c r="O312" s="10" t="n"/>
      <c r="P312" s="10" t="n"/>
      <c r="Q312" s="10" t="n"/>
      <c r="R312" s="10" t="n"/>
      <c r="S312" s="349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</row>
    <row r="313" ht="15.75" customHeight="1" s="1349">
      <c r="A313" s="10" t="n"/>
      <c r="B313" s="10" t="n"/>
      <c r="C313" s="346" t="n"/>
      <c r="D313" s="347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348" t="n"/>
      <c r="N313" s="10" t="n"/>
      <c r="O313" s="10" t="n"/>
      <c r="P313" s="10" t="n"/>
      <c r="Q313" s="10" t="n"/>
      <c r="R313" s="10" t="n"/>
      <c r="S313" s="349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</row>
    <row r="314" ht="15.75" customHeight="1" s="1349">
      <c r="A314" s="10" t="n"/>
      <c r="B314" s="10" t="n"/>
      <c r="C314" s="346" t="n"/>
      <c r="D314" s="347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348" t="n"/>
      <c r="N314" s="10" t="n"/>
      <c r="O314" s="10" t="n"/>
      <c r="P314" s="10" t="n"/>
      <c r="Q314" s="10" t="n"/>
      <c r="R314" s="10" t="n"/>
      <c r="S314" s="349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</row>
    <row r="315" ht="15.75" customHeight="1" s="1349">
      <c r="A315" s="10" t="n"/>
      <c r="B315" s="10" t="n"/>
      <c r="C315" s="346" t="n"/>
      <c r="D315" s="347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348" t="n"/>
      <c r="N315" s="10" t="n"/>
      <c r="O315" s="10" t="n"/>
      <c r="P315" s="10" t="n"/>
      <c r="Q315" s="10" t="n"/>
      <c r="R315" s="10" t="n"/>
      <c r="S315" s="349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</row>
    <row r="316" ht="15.75" customHeight="1" s="1349">
      <c r="A316" s="10" t="n"/>
      <c r="B316" s="10" t="n"/>
      <c r="C316" s="346" t="n"/>
      <c r="D316" s="347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348" t="n"/>
      <c r="N316" s="10" t="n"/>
      <c r="O316" s="10" t="n"/>
      <c r="P316" s="10" t="n"/>
      <c r="Q316" s="10" t="n"/>
      <c r="R316" s="10" t="n"/>
      <c r="S316" s="349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</row>
    <row r="317" ht="15.75" customHeight="1" s="1349">
      <c r="A317" s="10" t="n"/>
      <c r="B317" s="10" t="n"/>
      <c r="C317" s="346" t="n"/>
      <c r="D317" s="347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348" t="n"/>
      <c r="N317" s="10" t="n"/>
      <c r="O317" s="10" t="n"/>
      <c r="P317" s="10" t="n"/>
      <c r="Q317" s="10" t="n"/>
      <c r="R317" s="10" t="n"/>
      <c r="S317" s="349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</row>
    <row r="318" ht="15.75" customHeight="1" s="1349">
      <c r="A318" s="10" t="n"/>
      <c r="B318" s="10" t="n"/>
      <c r="C318" s="346" t="n"/>
      <c r="D318" s="347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348" t="n"/>
      <c r="N318" s="10" t="n"/>
      <c r="O318" s="10" t="n"/>
      <c r="P318" s="10" t="n"/>
      <c r="Q318" s="10" t="n"/>
      <c r="R318" s="10" t="n"/>
      <c r="S318" s="349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</row>
    <row r="319" ht="15.75" customHeight="1" s="1349">
      <c r="A319" s="10" t="n"/>
      <c r="B319" s="10" t="n"/>
      <c r="C319" s="346" t="n"/>
      <c r="D319" s="347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348" t="n"/>
      <c r="N319" s="10" t="n"/>
      <c r="O319" s="10" t="n"/>
      <c r="P319" s="10" t="n"/>
      <c r="Q319" s="10" t="n"/>
      <c r="R319" s="10" t="n"/>
      <c r="S319" s="349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</row>
    <row r="320" ht="15.75" customHeight="1" s="1349">
      <c r="A320" s="10" t="n"/>
      <c r="B320" s="10" t="n"/>
      <c r="C320" s="346" t="n"/>
      <c r="D320" s="347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348" t="n"/>
      <c r="N320" s="10" t="n"/>
      <c r="O320" s="10" t="n"/>
      <c r="P320" s="10" t="n"/>
      <c r="Q320" s="10" t="n"/>
      <c r="R320" s="10" t="n"/>
      <c r="S320" s="349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</row>
    <row r="321" ht="15.75" customHeight="1" s="1349">
      <c r="A321" s="10" t="n"/>
      <c r="B321" s="10" t="n"/>
      <c r="C321" s="346" t="n"/>
      <c r="D321" s="347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348" t="n"/>
      <c r="N321" s="10" t="n"/>
      <c r="O321" s="10" t="n"/>
      <c r="P321" s="10" t="n"/>
      <c r="Q321" s="10" t="n"/>
      <c r="R321" s="10" t="n"/>
      <c r="S321" s="349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</row>
    <row r="322" ht="15.75" customHeight="1" s="1349">
      <c r="A322" s="10" t="n"/>
      <c r="B322" s="10" t="n"/>
      <c r="C322" s="346" t="n"/>
      <c r="D322" s="347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348" t="n"/>
      <c r="N322" s="10" t="n"/>
      <c r="O322" s="10" t="n"/>
      <c r="P322" s="10" t="n"/>
      <c r="Q322" s="10" t="n"/>
      <c r="R322" s="10" t="n"/>
      <c r="S322" s="349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</row>
    <row r="323" ht="15.75" customHeight="1" s="1349">
      <c r="A323" s="10" t="n"/>
      <c r="B323" s="10" t="n"/>
      <c r="C323" s="346" t="n"/>
      <c r="D323" s="347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348" t="n"/>
      <c r="N323" s="10" t="n"/>
      <c r="O323" s="10" t="n"/>
      <c r="P323" s="10" t="n"/>
      <c r="Q323" s="10" t="n"/>
      <c r="R323" s="10" t="n"/>
      <c r="S323" s="349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</row>
    <row r="324" ht="15.75" customHeight="1" s="1349">
      <c r="A324" s="10" t="n"/>
      <c r="B324" s="10" t="n"/>
      <c r="C324" s="346" t="n"/>
      <c r="D324" s="347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348" t="n"/>
      <c r="N324" s="10" t="n"/>
      <c r="O324" s="10" t="n"/>
      <c r="P324" s="10" t="n"/>
      <c r="Q324" s="10" t="n"/>
      <c r="R324" s="10" t="n"/>
      <c r="S324" s="349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</row>
    <row r="325" ht="15.75" customHeight="1" s="1349">
      <c r="A325" s="10" t="n"/>
      <c r="B325" s="10" t="n"/>
      <c r="C325" s="346" t="n"/>
      <c r="D325" s="347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348" t="n"/>
      <c r="N325" s="10" t="n"/>
      <c r="O325" s="10" t="n"/>
      <c r="P325" s="10" t="n"/>
      <c r="Q325" s="10" t="n"/>
      <c r="R325" s="10" t="n"/>
      <c r="S325" s="349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</row>
    <row r="326" ht="15.75" customHeight="1" s="1349">
      <c r="A326" s="10" t="n"/>
      <c r="B326" s="10" t="n"/>
      <c r="C326" s="346" t="n"/>
      <c r="D326" s="347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348" t="n"/>
      <c r="N326" s="10" t="n"/>
      <c r="O326" s="10" t="n"/>
      <c r="P326" s="10" t="n"/>
      <c r="Q326" s="10" t="n"/>
      <c r="R326" s="10" t="n"/>
      <c r="S326" s="349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</row>
    <row r="327" ht="15.75" customHeight="1" s="1349">
      <c r="A327" s="10" t="n"/>
      <c r="B327" s="10" t="n"/>
      <c r="C327" s="346" t="n"/>
      <c r="D327" s="347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348" t="n"/>
      <c r="N327" s="10" t="n"/>
      <c r="O327" s="10" t="n"/>
      <c r="P327" s="10" t="n"/>
      <c r="Q327" s="10" t="n"/>
      <c r="R327" s="10" t="n"/>
      <c r="S327" s="349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</row>
    <row r="328" ht="15.75" customHeight="1" s="1349">
      <c r="A328" s="10" t="n"/>
      <c r="B328" s="10" t="n"/>
      <c r="C328" s="346" t="n"/>
      <c r="D328" s="347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348" t="n"/>
      <c r="N328" s="10" t="n"/>
      <c r="O328" s="10" t="n"/>
      <c r="P328" s="10" t="n"/>
      <c r="Q328" s="10" t="n"/>
      <c r="R328" s="10" t="n"/>
      <c r="S328" s="349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</row>
    <row r="329" ht="15.75" customHeight="1" s="1349">
      <c r="A329" s="10" t="n"/>
      <c r="B329" s="10" t="n"/>
      <c r="C329" s="346" t="n"/>
      <c r="D329" s="347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348" t="n"/>
      <c r="N329" s="10" t="n"/>
      <c r="O329" s="10" t="n"/>
      <c r="P329" s="10" t="n"/>
      <c r="Q329" s="10" t="n"/>
      <c r="R329" s="10" t="n"/>
      <c r="S329" s="349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</row>
    <row r="330" ht="15.75" customHeight="1" s="1349">
      <c r="A330" s="10" t="n"/>
      <c r="B330" s="10" t="n"/>
      <c r="C330" s="346" t="n"/>
      <c r="D330" s="347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348" t="n"/>
      <c r="N330" s="10" t="n"/>
      <c r="O330" s="10" t="n"/>
      <c r="P330" s="10" t="n"/>
      <c r="Q330" s="10" t="n"/>
      <c r="R330" s="10" t="n"/>
      <c r="S330" s="349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</row>
    <row r="331" ht="15.75" customHeight="1" s="1349">
      <c r="A331" s="10" t="n"/>
      <c r="B331" s="10" t="n"/>
      <c r="C331" s="346" t="n"/>
      <c r="D331" s="347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348" t="n"/>
      <c r="N331" s="10" t="n"/>
      <c r="O331" s="10" t="n"/>
      <c r="P331" s="10" t="n"/>
      <c r="Q331" s="10" t="n"/>
      <c r="R331" s="10" t="n"/>
      <c r="S331" s="349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</row>
    <row r="332" ht="15.75" customHeight="1" s="1349">
      <c r="A332" s="10" t="n"/>
      <c r="B332" s="10" t="n"/>
      <c r="C332" s="346" t="n"/>
      <c r="D332" s="347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348" t="n"/>
      <c r="N332" s="10" t="n"/>
      <c r="O332" s="10" t="n"/>
      <c r="P332" s="10" t="n"/>
      <c r="Q332" s="10" t="n"/>
      <c r="R332" s="10" t="n"/>
      <c r="S332" s="349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</row>
    <row r="333" ht="15.75" customHeight="1" s="1349">
      <c r="A333" s="10" t="n"/>
      <c r="B333" s="10" t="n"/>
      <c r="C333" s="346" t="n"/>
      <c r="D333" s="347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348" t="n"/>
      <c r="N333" s="10" t="n"/>
      <c r="O333" s="10" t="n"/>
      <c r="P333" s="10" t="n"/>
      <c r="Q333" s="10" t="n"/>
      <c r="R333" s="10" t="n"/>
      <c r="S333" s="349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</row>
    <row r="334" ht="15.75" customHeight="1" s="1349">
      <c r="A334" s="10" t="n"/>
      <c r="B334" s="10" t="n"/>
      <c r="C334" s="346" t="n"/>
      <c r="D334" s="347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348" t="n"/>
      <c r="N334" s="10" t="n"/>
      <c r="O334" s="10" t="n"/>
      <c r="P334" s="10" t="n"/>
      <c r="Q334" s="10" t="n"/>
      <c r="R334" s="10" t="n"/>
      <c r="S334" s="349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</row>
    <row r="335" ht="15.75" customHeight="1" s="1349">
      <c r="A335" s="10" t="n"/>
      <c r="B335" s="10" t="n"/>
      <c r="C335" s="346" t="n"/>
      <c r="D335" s="347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348" t="n"/>
      <c r="N335" s="10" t="n"/>
      <c r="O335" s="10" t="n"/>
      <c r="P335" s="10" t="n"/>
      <c r="Q335" s="10" t="n"/>
      <c r="R335" s="10" t="n"/>
      <c r="S335" s="349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</row>
    <row r="336" ht="15.75" customHeight="1" s="1349">
      <c r="A336" s="10" t="n"/>
      <c r="B336" s="10" t="n"/>
      <c r="C336" s="346" t="n"/>
      <c r="D336" s="347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348" t="n"/>
      <c r="N336" s="10" t="n"/>
      <c r="O336" s="10" t="n"/>
      <c r="P336" s="10" t="n"/>
      <c r="Q336" s="10" t="n"/>
      <c r="R336" s="10" t="n"/>
      <c r="S336" s="349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</row>
    <row r="337" ht="15.75" customHeight="1" s="1349">
      <c r="A337" s="10" t="n"/>
      <c r="B337" s="10" t="n"/>
      <c r="C337" s="346" t="n"/>
      <c r="D337" s="347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348" t="n"/>
      <c r="N337" s="10" t="n"/>
      <c r="O337" s="10" t="n"/>
      <c r="P337" s="10" t="n"/>
      <c r="Q337" s="10" t="n"/>
      <c r="R337" s="10" t="n"/>
      <c r="S337" s="349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</row>
    <row r="338" ht="15.75" customHeight="1" s="1349">
      <c r="A338" s="10" t="n"/>
      <c r="B338" s="10" t="n"/>
      <c r="C338" s="346" t="n"/>
      <c r="D338" s="347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348" t="n"/>
      <c r="N338" s="10" t="n"/>
      <c r="O338" s="10" t="n"/>
      <c r="P338" s="10" t="n"/>
      <c r="Q338" s="10" t="n"/>
      <c r="R338" s="10" t="n"/>
      <c r="S338" s="349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</row>
    <row r="339" ht="15.75" customHeight="1" s="1349">
      <c r="A339" s="10" t="n"/>
      <c r="B339" s="10" t="n"/>
      <c r="C339" s="346" t="n"/>
      <c r="D339" s="347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348" t="n"/>
      <c r="N339" s="10" t="n"/>
      <c r="O339" s="10" t="n"/>
      <c r="P339" s="10" t="n"/>
      <c r="Q339" s="10" t="n"/>
      <c r="R339" s="10" t="n"/>
      <c r="S339" s="349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</row>
    <row r="340" ht="15.75" customHeight="1" s="1349">
      <c r="A340" s="10" t="n"/>
      <c r="B340" s="10" t="n"/>
      <c r="C340" s="346" t="n"/>
      <c r="D340" s="347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348" t="n"/>
      <c r="N340" s="10" t="n"/>
      <c r="O340" s="10" t="n"/>
      <c r="P340" s="10" t="n"/>
      <c r="Q340" s="10" t="n"/>
      <c r="R340" s="10" t="n"/>
      <c r="S340" s="349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</row>
    <row r="341" ht="15.75" customHeight="1" s="1349">
      <c r="A341" s="10" t="n"/>
      <c r="B341" s="10" t="n"/>
      <c r="C341" s="346" t="n"/>
      <c r="D341" s="347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348" t="n"/>
      <c r="N341" s="10" t="n"/>
      <c r="O341" s="10" t="n"/>
      <c r="P341" s="10" t="n"/>
      <c r="Q341" s="10" t="n"/>
      <c r="R341" s="10" t="n"/>
      <c r="S341" s="349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</row>
    <row r="342" ht="15.75" customHeight="1" s="1349">
      <c r="A342" s="10" t="n"/>
      <c r="B342" s="10" t="n"/>
      <c r="C342" s="346" t="n"/>
      <c r="D342" s="347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348" t="n"/>
      <c r="N342" s="10" t="n"/>
      <c r="O342" s="10" t="n"/>
      <c r="P342" s="10" t="n"/>
      <c r="Q342" s="10" t="n"/>
      <c r="R342" s="10" t="n"/>
      <c r="S342" s="349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</row>
    <row r="343" ht="15.75" customHeight="1" s="1349">
      <c r="A343" s="10" t="n"/>
      <c r="B343" s="10" t="n"/>
      <c r="C343" s="346" t="n"/>
      <c r="D343" s="347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348" t="n"/>
      <c r="N343" s="10" t="n"/>
      <c r="O343" s="10" t="n"/>
      <c r="P343" s="10" t="n"/>
      <c r="Q343" s="10" t="n"/>
      <c r="R343" s="10" t="n"/>
      <c r="S343" s="349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</row>
    <row r="344" ht="15.75" customHeight="1" s="1349">
      <c r="A344" s="10" t="n"/>
      <c r="B344" s="10" t="n"/>
      <c r="C344" s="346" t="n"/>
      <c r="D344" s="347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348" t="n"/>
      <c r="N344" s="10" t="n"/>
      <c r="O344" s="10" t="n"/>
      <c r="P344" s="10" t="n"/>
      <c r="Q344" s="10" t="n"/>
      <c r="R344" s="10" t="n"/>
      <c r="S344" s="349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</row>
    <row r="345" ht="15.75" customHeight="1" s="1349">
      <c r="A345" s="10" t="n"/>
      <c r="B345" s="10" t="n"/>
      <c r="C345" s="346" t="n"/>
      <c r="D345" s="347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348" t="n"/>
      <c r="N345" s="10" t="n"/>
      <c r="O345" s="10" t="n"/>
      <c r="P345" s="10" t="n"/>
      <c r="Q345" s="10" t="n"/>
      <c r="R345" s="10" t="n"/>
      <c r="S345" s="349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</row>
    <row r="346" ht="15.75" customHeight="1" s="1349">
      <c r="A346" s="10" t="n"/>
      <c r="B346" s="10" t="n"/>
      <c r="C346" s="346" t="n"/>
      <c r="D346" s="347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348" t="n"/>
      <c r="N346" s="10" t="n"/>
      <c r="O346" s="10" t="n"/>
      <c r="P346" s="10" t="n"/>
      <c r="Q346" s="10" t="n"/>
      <c r="R346" s="10" t="n"/>
      <c r="S346" s="349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</row>
    <row r="347" ht="15.75" customHeight="1" s="1349">
      <c r="A347" s="10" t="n"/>
      <c r="B347" s="10" t="n"/>
      <c r="C347" s="346" t="n"/>
      <c r="D347" s="347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348" t="n"/>
      <c r="N347" s="10" t="n"/>
      <c r="O347" s="10" t="n"/>
      <c r="P347" s="10" t="n"/>
      <c r="Q347" s="10" t="n"/>
      <c r="R347" s="10" t="n"/>
      <c r="S347" s="349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</row>
    <row r="348" ht="15.75" customHeight="1" s="1349">
      <c r="A348" s="10" t="n"/>
      <c r="B348" s="10" t="n"/>
      <c r="C348" s="346" t="n"/>
      <c r="D348" s="347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348" t="n"/>
      <c r="N348" s="10" t="n"/>
      <c r="O348" s="10" t="n"/>
      <c r="P348" s="10" t="n"/>
      <c r="Q348" s="10" t="n"/>
      <c r="R348" s="10" t="n"/>
      <c r="S348" s="349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</row>
    <row r="349" ht="15.75" customHeight="1" s="1349">
      <c r="A349" s="10" t="n"/>
      <c r="B349" s="10" t="n"/>
      <c r="C349" s="346" t="n"/>
      <c r="D349" s="347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348" t="n"/>
      <c r="N349" s="10" t="n"/>
      <c r="O349" s="10" t="n"/>
      <c r="P349" s="10" t="n"/>
      <c r="Q349" s="10" t="n"/>
      <c r="R349" s="10" t="n"/>
      <c r="S349" s="349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</row>
    <row r="350" ht="15.75" customHeight="1" s="1349">
      <c r="A350" s="10" t="n"/>
      <c r="B350" s="10" t="n"/>
      <c r="C350" s="346" t="n"/>
      <c r="D350" s="347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348" t="n"/>
      <c r="N350" s="10" t="n"/>
      <c r="O350" s="10" t="n"/>
      <c r="P350" s="10" t="n"/>
      <c r="Q350" s="10" t="n"/>
      <c r="R350" s="10" t="n"/>
      <c r="S350" s="349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</row>
    <row r="351" ht="15.75" customHeight="1" s="1349">
      <c r="A351" s="10" t="n"/>
      <c r="B351" s="10" t="n"/>
      <c r="C351" s="346" t="n"/>
      <c r="D351" s="347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348" t="n"/>
      <c r="N351" s="10" t="n"/>
      <c r="O351" s="10" t="n"/>
      <c r="P351" s="10" t="n"/>
      <c r="Q351" s="10" t="n"/>
      <c r="R351" s="10" t="n"/>
      <c r="S351" s="349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</row>
    <row r="352" ht="15.75" customHeight="1" s="1349">
      <c r="A352" s="10" t="n"/>
      <c r="B352" s="10" t="n"/>
      <c r="C352" s="346" t="n"/>
      <c r="D352" s="347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348" t="n"/>
      <c r="N352" s="10" t="n"/>
      <c r="O352" s="10" t="n"/>
      <c r="P352" s="10" t="n"/>
      <c r="Q352" s="10" t="n"/>
      <c r="R352" s="10" t="n"/>
      <c r="S352" s="349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</row>
    <row r="353" ht="15.75" customHeight="1" s="1349">
      <c r="A353" s="10" t="n"/>
      <c r="B353" s="10" t="n"/>
      <c r="C353" s="346" t="n"/>
      <c r="D353" s="347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348" t="n"/>
      <c r="N353" s="10" t="n"/>
      <c r="O353" s="10" t="n"/>
      <c r="P353" s="10" t="n"/>
      <c r="Q353" s="10" t="n"/>
      <c r="R353" s="10" t="n"/>
      <c r="S353" s="349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</row>
    <row r="354" ht="15.75" customHeight="1" s="1349">
      <c r="A354" s="10" t="n"/>
      <c r="B354" s="10" t="n"/>
      <c r="C354" s="346" t="n"/>
      <c r="D354" s="347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348" t="n"/>
      <c r="N354" s="10" t="n"/>
      <c r="O354" s="10" t="n"/>
      <c r="P354" s="10" t="n"/>
      <c r="Q354" s="10" t="n"/>
      <c r="R354" s="10" t="n"/>
      <c r="S354" s="349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</row>
    <row r="355" ht="15.75" customHeight="1" s="1349">
      <c r="A355" s="10" t="n"/>
      <c r="B355" s="10" t="n"/>
      <c r="C355" s="346" t="n"/>
      <c r="D355" s="347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348" t="n"/>
      <c r="N355" s="10" t="n"/>
      <c r="O355" s="10" t="n"/>
      <c r="P355" s="10" t="n"/>
      <c r="Q355" s="10" t="n"/>
      <c r="R355" s="10" t="n"/>
      <c r="S355" s="349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</row>
    <row r="356" ht="15.75" customHeight="1" s="1349">
      <c r="A356" s="10" t="n"/>
      <c r="B356" s="10" t="n"/>
      <c r="C356" s="346" t="n"/>
      <c r="D356" s="347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348" t="n"/>
      <c r="N356" s="10" t="n"/>
      <c r="O356" s="10" t="n"/>
      <c r="P356" s="10" t="n"/>
      <c r="Q356" s="10" t="n"/>
      <c r="R356" s="10" t="n"/>
      <c r="S356" s="349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</row>
    <row r="357" ht="15.75" customHeight="1" s="1349">
      <c r="A357" s="10" t="n"/>
      <c r="B357" s="10" t="n"/>
      <c r="C357" s="346" t="n"/>
      <c r="D357" s="347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348" t="n"/>
      <c r="N357" s="10" t="n"/>
      <c r="O357" s="10" t="n"/>
      <c r="P357" s="10" t="n"/>
      <c r="Q357" s="10" t="n"/>
      <c r="R357" s="10" t="n"/>
      <c r="S357" s="349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</row>
    <row r="358" ht="15.75" customHeight="1" s="1349">
      <c r="A358" s="10" t="n"/>
      <c r="B358" s="10" t="n"/>
      <c r="C358" s="346" t="n"/>
      <c r="D358" s="347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348" t="n"/>
      <c r="N358" s="10" t="n"/>
      <c r="O358" s="10" t="n"/>
      <c r="P358" s="10" t="n"/>
      <c r="Q358" s="10" t="n"/>
      <c r="R358" s="10" t="n"/>
      <c r="S358" s="349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</row>
    <row r="359" ht="15.75" customHeight="1" s="1349">
      <c r="A359" s="10" t="n"/>
      <c r="B359" s="10" t="n"/>
      <c r="C359" s="346" t="n"/>
      <c r="D359" s="347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348" t="n"/>
      <c r="N359" s="10" t="n"/>
      <c r="O359" s="10" t="n"/>
      <c r="P359" s="10" t="n"/>
      <c r="Q359" s="10" t="n"/>
      <c r="R359" s="10" t="n"/>
      <c r="S359" s="349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</row>
    <row r="360" ht="15.75" customHeight="1" s="1349">
      <c r="A360" s="10" t="n"/>
      <c r="B360" s="10" t="n"/>
      <c r="C360" s="346" t="n"/>
      <c r="D360" s="347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348" t="n"/>
      <c r="N360" s="10" t="n"/>
      <c r="O360" s="10" t="n"/>
      <c r="P360" s="10" t="n"/>
      <c r="Q360" s="10" t="n"/>
      <c r="R360" s="10" t="n"/>
      <c r="S360" s="349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</row>
    <row r="361" ht="15.75" customHeight="1" s="1349">
      <c r="A361" s="10" t="n"/>
      <c r="B361" s="10" t="n"/>
      <c r="C361" s="346" t="n"/>
      <c r="D361" s="347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348" t="n"/>
      <c r="N361" s="10" t="n"/>
      <c r="O361" s="10" t="n"/>
      <c r="P361" s="10" t="n"/>
      <c r="Q361" s="10" t="n"/>
      <c r="R361" s="10" t="n"/>
      <c r="S361" s="349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</row>
    <row r="362" ht="15.75" customHeight="1" s="1349">
      <c r="A362" s="10" t="n"/>
      <c r="B362" s="10" t="n"/>
      <c r="C362" s="346" t="n"/>
      <c r="D362" s="347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348" t="n"/>
      <c r="N362" s="10" t="n"/>
      <c r="O362" s="10" t="n"/>
      <c r="P362" s="10" t="n"/>
      <c r="Q362" s="10" t="n"/>
      <c r="R362" s="10" t="n"/>
      <c r="S362" s="349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</row>
    <row r="363" ht="15.75" customHeight="1" s="1349">
      <c r="A363" s="10" t="n"/>
      <c r="B363" s="10" t="n"/>
      <c r="C363" s="346" t="n"/>
      <c r="D363" s="347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348" t="n"/>
      <c r="N363" s="10" t="n"/>
      <c r="O363" s="10" t="n"/>
      <c r="P363" s="10" t="n"/>
      <c r="Q363" s="10" t="n"/>
      <c r="R363" s="10" t="n"/>
      <c r="S363" s="349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</row>
    <row r="364" ht="15.75" customHeight="1" s="1349">
      <c r="A364" s="10" t="n"/>
      <c r="B364" s="10" t="n"/>
      <c r="C364" s="346" t="n"/>
      <c r="D364" s="347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348" t="n"/>
      <c r="N364" s="10" t="n"/>
      <c r="O364" s="10" t="n"/>
      <c r="P364" s="10" t="n"/>
      <c r="Q364" s="10" t="n"/>
      <c r="R364" s="10" t="n"/>
      <c r="S364" s="349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</row>
    <row r="365" ht="15.75" customHeight="1" s="1349">
      <c r="A365" s="10" t="n"/>
      <c r="B365" s="10" t="n"/>
      <c r="C365" s="346" t="n"/>
      <c r="D365" s="347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348" t="n"/>
      <c r="N365" s="10" t="n"/>
      <c r="O365" s="10" t="n"/>
      <c r="P365" s="10" t="n"/>
      <c r="Q365" s="10" t="n"/>
      <c r="R365" s="10" t="n"/>
      <c r="S365" s="349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</row>
    <row r="366" ht="15.75" customHeight="1" s="1349">
      <c r="A366" s="10" t="n"/>
      <c r="B366" s="10" t="n"/>
      <c r="C366" s="346" t="n"/>
      <c r="D366" s="347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348" t="n"/>
      <c r="N366" s="10" t="n"/>
      <c r="O366" s="10" t="n"/>
      <c r="P366" s="10" t="n"/>
      <c r="Q366" s="10" t="n"/>
      <c r="R366" s="10" t="n"/>
      <c r="S366" s="349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</row>
    <row r="367" ht="15.75" customHeight="1" s="1349">
      <c r="A367" s="10" t="n"/>
      <c r="B367" s="10" t="n"/>
      <c r="C367" s="346" t="n"/>
      <c r="D367" s="347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348" t="n"/>
      <c r="N367" s="10" t="n"/>
      <c r="O367" s="10" t="n"/>
      <c r="P367" s="10" t="n"/>
      <c r="Q367" s="10" t="n"/>
      <c r="R367" s="10" t="n"/>
      <c r="S367" s="349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</row>
    <row r="368" ht="15.75" customHeight="1" s="1349">
      <c r="A368" s="10" t="n"/>
      <c r="B368" s="10" t="n"/>
      <c r="C368" s="346" t="n"/>
      <c r="D368" s="347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348" t="n"/>
      <c r="N368" s="10" t="n"/>
      <c r="O368" s="10" t="n"/>
      <c r="P368" s="10" t="n"/>
      <c r="Q368" s="10" t="n"/>
      <c r="R368" s="10" t="n"/>
      <c r="S368" s="349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</row>
    <row r="369" ht="15.75" customHeight="1" s="1349">
      <c r="A369" s="10" t="n"/>
      <c r="B369" s="10" t="n"/>
      <c r="C369" s="346" t="n"/>
      <c r="D369" s="347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348" t="n"/>
      <c r="N369" s="10" t="n"/>
      <c r="O369" s="10" t="n"/>
      <c r="P369" s="10" t="n"/>
      <c r="Q369" s="10" t="n"/>
      <c r="R369" s="10" t="n"/>
      <c r="S369" s="349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</row>
    <row r="370" ht="15.75" customHeight="1" s="1349">
      <c r="A370" s="10" t="n"/>
      <c r="B370" s="10" t="n"/>
      <c r="C370" s="346" t="n"/>
      <c r="D370" s="347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348" t="n"/>
      <c r="N370" s="10" t="n"/>
      <c r="O370" s="10" t="n"/>
      <c r="P370" s="10" t="n"/>
      <c r="Q370" s="10" t="n"/>
      <c r="R370" s="10" t="n"/>
      <c r="S370" s="349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</row>
    <row r="371" ht="15.75" customHeight="1" s="1349">
      <c r="A371" s="10" t="n"/>
      <c r="B371" s="10" t="n"/>
      <c r="C371" s="346" t="n"/>
      <c r="D371" s="347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348" t="n"/>
      <c r="N371" s="10" t="n"/>
      <c r="O371" s="10" t="n"/>
      <c r="P371" s="10" t="n"/>
      <c r="Q371" s="10" t="n"/>
      <c r="R371" s="10" t="n"/>
      <c r="S371" s="349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</row>
    <row r="372" ht="15.75" customHeight="1" s="1349">
      <c r="A372" s="10" t="n"/>
      <c r="B372" s="10" t="n"/>
      <c r="C372" s="346" t="n"/>
      <c r="D372" s="347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348" t="n"/>
      <c r="N372" s="10" t="n"/>
      <c r="O372" s="10" t="n"/>
      <c r="P372" s="10" t="n"/>
      <c r="Q372" s="10" t="n"/>
      <c r="R372" s="10" t="n"/>
      <c r="S372" s="349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</row>
    <row r="373" ht="15.75" customHeight="1" s="1349">
      <c r="A373" s="10" t="n"/>
      <c r="B373" s="10" t="n"/>
      <c r="C373" s="346" t="n"/>
      <c r="D373" s="347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348" t="n"/>
      <c r="N373" s="10" t="n"/>
      <c r="O373" s="10" t="n"/>
      <c r="P373" s="10" t="n"/>
      <c r="Q373" s="10" t="n"/>
      <c r="R373" s="10" t="n"/>
      <c r="S373" s="349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</row>
    <row r="374" ht="15.75" customHeight="1" s="1349">
      <c r="A374" s="10" t="n"/>
      <c r="B374" s="10" t="n"/>
      <c r="C374" s="346" t="n"/>
      <c r="D374" s="347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348" t="n"/>
      <c r="N374" s="10" t="n"/>
      <c r="O374" s="10" t="n"/>
      <c r="P374" s="10" t="n"/>
      <c r="Q374" s="10" t="n"/>
      <c r="R374" s="10" t="n"/>
      <c r="S374" s="349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</row>
    <row r="375" ht="15.75" customHeight="1" s="1349">
      <c r="A375" s="10" t="n"/>
      <c r="B375" s="10" t="n"/>
      <c r="C375" s="346" t="n"/>
      <c r="D375" s="347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348" t="n"/>
      <c r="N375" s="10" t="n"/>
      <c r="O375" s="10" t="n"/>
      <c r="P375" s="10" t="n"/>
      <c r="Q375" s="10" t="n"/>
      <c r="R375" s="10" t="n"/>
      <c r="S375" s="349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</row>
    <row r="376" ht="15.75" customHeight="1" s="1349">
      <c r="A376" s="10" t="n"/>
      <c r="B376" s="10" t="n"/>
      <c r="C376" s="346" t="n"/>
      <c r="D376" s="347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348" t="n"/>
      <c r="N376" s="10" t="n"/>
      <c r="O376" s="10" t="n"/>
      <c r="P376" s="10" t="n"/>
      <c r="Q376" s="10" t="n"/>
      <c r="R376" s="10" t="n"/>
      <c r="S376" s="349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</row>
    <row r="377" ht="15.75" customHeight="1" s="1349">
      <c r="A377" s="10" t="n"/>
      <c r="B377" s="10" t="n"/>
      <c r="C377" s="346" t="n"/>
      <c r="D377" s="347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348" t="n"/>
      <c r="N377" s="10" t="n"/>
      <c r="O377" s="10" t="n"/>
      <c r="P377" s="10" t="n"/>
      <c r="Q377" s="10" t="n"/>
      <c r="R377" s="10" t="n"/>
      <c r="S377" s="349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</row>
    <row r="378" ht="15.75" customHeight="1" s="1349">
      <c r="A378" s="10" t="n"/>
      <c r="B378" s="10" t="n"/>
      <c r="C378" s="346" t="n"/>
      <c r="D378" s="347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348" t="n"/>
      <c r="N378" s="10" t="n"/>
      <c r="O378" s="10" t="n"/>
      <c r="P378" s="10" t="n"/>
      <c r="Q378" s="10" t="n"/>
      <c r="R378" s="10" t="n"/>
      <c r="S378" s="349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</row>
    <row r="379" ht="15.75" customHeight="1" s="1349">
      <c r="A379" s="10" t="n"/>
      <c r="B379" s="10" t="n"/>
      <c r="C379" s="346" t="n"/>
      <c r="D379" s="347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348" t="n"/>
      <c r="N379" s="10" t="n"/>
      <c r="O379" s="10" t="n"/>
      <c r="P379" s="10" t="n"/>
      <c r="Q379" s="10" t="n"/>
      <c r="R379" s="10" t="n"/>
      <c r="S379" s="349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</row>
    <row r="380" ht="15.75" customHeight="1" s="1349">
      <c r="A380" s="10" t="n"/>
      <c r="B380" s="10" t="n"/>
      <c r="C380" s="346" t="n"/>
      <c r="D380" s="347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348" t="n"/>
      <c r="N380" s="10" t="n"/>
      <c r="O380" s="10" t="n"/>
      <c r="P380" s="10" t="n"/>
      <c r="Q380" s="10" t="n"/>
      <c r="R380" s="10" t="n"/>
      <c r="S380" s="349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</row>
    <row r="381" ht="15.75" customHeight="1" s="1349">
      <c r="A381" s="10" t="n"/>
      <c r="B381" s="10" t="n"/>
      <c r="C381" s="346" t="n"/>
      <c r="D381" s="347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348" t="n"/>
      <c r="N381" s="10" t="n"/>
      <c r="O381" s="10" t="n"/>
      <c r="P381" s="10" t="n"/>
      <c r="Q381" s="10" t="n"/>
      <c r="R381" s="10" t="n"/>
      <c r="S381" s="349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</row>
    <row r="382" ht="15.75" customHeight="1" s="1349">
      <c r="A382" s="10" t="n"/>
      <c r="B382" s="10" t="n"/>
      <c r="C382" s="346" t="n"/>
      <c r="D382" s="347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348" t="n"/>
      <c r="N382" s="10" t="n"/>
      <c r="O382" s="10" t="n"/>
      <c r="P382" s="10" t="n"/>
      <c r="Q382" s="10" t="n"/>
      <c r="R382" s="10" t="n"/>
      <c r="S382" s="349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</row>
    <row r="383" ht="15.75" customHeight="1" s="1349">
      <c r="A383" s="10" t="n"/>
      <c r="B383" s="10" t="n"/>
      <c r="C383" s="346" t="n"/>
      <c r="D383" s="347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348" t="n"/>
      <c r="N383" s="10" t="n"/>
      <c r="O383" s="10" t="n"/>
      <c r="P383" s="10" t="n"/>
      <c r="Q383" s="10" t="n"/>
      <c r="R383" s="10" t="n"/>
      <c r="S383" s="349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</row>
    <row r="384" ht="15.75" customHeight="1" s="1349">
      <c r="A384" s="10" t="n"/>
      <c r="B384" s="10" t="n"/>
      <c r="C384" s="346" t="n"/>
      <c r="D384" s="347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348" t="n"/>
      <c r="N384" s="10" t="n"/>
      <c r="O384" s="10" t="n"/>
      <c r="P384" s="10" t="n"/>
      <c r="Q384" s="10" t="n"/>
      <c r="R384" s="10" t="n"/>
      <c r="S384" s="349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</row>
    <row r="385" ht="15.75" customHeight="1" s="1349">
      <c r="A385" s="10" t="n"/>
      <c r="B385" s="10" t="n"/>
      <c r="C385" s="346" t="n"/>
      <c r="D385" s="347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348" t="n"/>
      <c r="N385" s="10" t="n"/>
      <c r="O385" s="10" t="n"/>
      <c r="P385" s="10" t="n"/>
      <c r="Q385" s="10" t="n"/>
      <c r="R385" s="10" t="n"/>
      <c r="S385" s="349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</row>
    <row r="386" ht="15.75" customHeight="1" s="1349">
      <c r="A386" s="10" t="n"/>
      <c r="B386" s="10" t="n"/>
      <c r="C386" s="346" t="n"/>
      <c r="D386" s="347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348" t="n"/>
      <c r="N386" s="10" t="n"/>
      <c r="O386" s="10" t="n"/>
      <c r="P386" s="10" t="n"/>
      <c r="Q386" s="10" t="n"/>
      <c r="R386" s="10" t="n"/>
      <c r="S386" s="349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</row>
    <row r="387" ht="15.75" customHeight="1" s="1349">
      <c r="A387" s="10" t="n"/>
      <c r="B387" s="10" t="n"/>
      <c r="C387" s="346" t="n"/>
      <c r="D387" s="347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348" t="n"/>
      <c r="N387" s="10" t="n"/>
      <c r="O387" s="10" t="n"/>
      <c r="P387" s="10" t="n"/>
      <c r="Q387" s="10" t="n"/>
      <c r="R387" s="10" t="n"/>
      <c r="S387" s="349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</row>
    <row r="388" ht="15.75" customHeight="1" s="1349">
      <c r="A388" s="10" t="n"/>
      <c r="B388" s="10" t="n"/>
      <c r="C388" s="346" t="n"/>
      <c r="D388" s="347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348" t="n"/>
      <c r="N388" s="10" t="n"/>
      <c r="O388" s="10" t="n"/>
      <c r="P388" s="10" t="n"/>
      <c r="Q388" s="10" t="n"/>
      <c r="R388" s="10" t="n"/>
      <c r="S388" s="349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</row>
    <row r="389" ht="15.75" customHeight="1" s="1349">
      <c r="A389" s="10" t="n"/>
      <c r="B389" s="10" t="n"/>
      <c r="C389" s="346" t="n"/>
      <c r="D389" s="347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348" t="n"/>
      <c r="N389" s="10" t="n"/>
      <c r="O389" s="10" t="n"/>
      <c r="P389" s="10" t="n"/>
      <c r="Q389" s="10" t="n"/>
      <c r="R389" s="10" t="n"/>
      <c r="S389" s="349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</row>
    <row r="390" ht="15.75" customHeight="1" s="1349">
      <c r="A390" s="10" t="n"/>
      <c r="B390" s="10" t="n"/>
      <c r="C390" s="346" t="n"/>
      <c r="D390" s="347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348" t="n"/>
      <c r="N390" s="10" t="n"/>
      <c r="O390" s="10" t="n"/>
      <c r="P390" s="10" t="n"/>
      <c r="Q390" s="10" t="n"/>
      <c r="R390" s="10" t="n"/>
      <c r="S390" s="349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</row>
    <row r="391" ht="15.75" customHeight="1" s="1349">
      <c r="A391" s="10" t="n"/>
      <c r="B391" s="10" t="n"/>
      <c r="C391" s="346" t="n"/>
      <c r="D391" s="347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348" t="n"/>
      <c r="N391" s="10" t="n"/>
      <c r="O391" s="10" t="n"/>
      <c r="P391" s="10" t="n"/>
      <c r="Q391" s="10" t="n"/>
      <c r="R391" s="10" t="n"/>
      <c r="S391" s="349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</row>
    <row r="392" ht="15.75" customHeight="1" s="1349">
      <c r="A392" s="10" t="n"/>
      <c r="B392" s="10" t="n"/>
      <c r="C392" s="346" t="n"/>
      <c r="D392" s="347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348" t="n"/>
      <c r="N392" s="10" t="n"/>
      <c r="O392" s="10" t="n"/>
      <c r="P392" s="10" t="n"/>
      <c r="Q392" s="10" t="n"/>
      <c r="R392" s="10" t="n"/>
      <c r="S392" s="349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</row>
    <row r="393" ht="15.75" customHeight="1" s="1349">
      <c r="A393" s="10" t="n"/>
      <c r="B393" s="10" t="n"/>
      <c r="C393" s="346" t="n"/>
      <c r="D393" s="347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348" t="n"/>
      <c r="N393" s="10" t="n"/>
      <c r="O393" s="10" t="n"/>
      <c r="P393" s="10" t="n"/>
      <c r="Q393" s="10" t="n"/>
      <c r="R393" s="10" t="n"/>
      <c r="S393" s="349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</row>
    <row r="394" ht="15.75" customHeight="1" s="1349">
      <c r="A394" s="10" t="n"/>
      <c r="B394" s="10" t="n"/>
      <c r="C394" s="346" t="n"/>
      <c r="D394" s="347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348" t="n"/>
      <c r="N394" s="10" t="n"/>
      <c r="O394" s="10" t="n"/>
      <c r="P394" s="10" t="n"/>
      <c r="Q394" s="10" t="n"/>
      <c r="R394" s="10" t="n"/>
      <c r="S394" s="349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</row>
    <row r="395" ht="15.75" customHeight="1" s="1349">
      <c r="A395" s="10" t="n"/>
      <c r="B395" s="10" t="n"/>
      <c r="C395" s="346" t="n"/>
      <c r="D395" s="347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348" t="n"/>
      <c r="N395" s="10" t="n"/>
      <c r="O395" s="10" t="n"/>
      <c r="P395" s="10" t="n"/>
      <c r="Q395" s="10" t="n"/>
      <c r="R395" s="10" t="n"/>
      <c r="S395" s="349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</row>
    <row r="396" ht="15.75" customHeight="1" s="1349">
      <c r="A396" s="10" t="n"/>
      <c r="B396" s="10" t="n"/>
      <c r="C396" s="346" t="n"/>
      <c r="D396" s="347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348" t="n"/>
      <c r="N396" s="10" t="n"/>
      <c r="O396" s="10" t="n"/>
      <c r="P396" s="10" t="n"/>
      <c r="Q396" s="10" t="n"/>
      <c r="R396" s="10" t="n"/>
      <c r="S396" s="349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</row>
    <row r="397" ht="15.75" customHeight="1" s="1349">
      <c r="A397" s="10" t="n"/>
      <c r="B397" s="10" t="n"/>
      <c r="C397" s="346" t="n"/>
      <c r="D397" s="347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348" t="n"/>
      <c r="N397" s="10" t="n"/>
      <c r="O397" s="10" t="n"/>
      <c r="P397" s="10" t="n"/>
      <c r="Q397" s="10" t="n"/>
      <c r="R397" s="10" t="n"/>
      <c r="S397" s="349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</row>
    <row r="398" ht="15.75" customHeight="1" s="1349">
      <c r="A398" s="10" t="n"/>
      <c r="B398" s="10" t="n"/>
      <c r="C398" s="346" t="n"/>
      <c r="D398" s="347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348" t="n"/>
      <c r="N398" s="10" t="n"/>
      <c r="O398" s="10" t="n"/>
      <c r="P398" s="10" t="n"/>
      <c r="Q398" s="10" t="n"/>
      <c r="R398" s="10" t="n"/>
      <c r="S398" s="349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</row>
    <row r="399" ht="15.75" customHeight="1" s="1349">
      <c r="A399" s="10" t="n"/>
      <c r="B399" s="10" t="n"/>
      <c r="C399" s="346" t="n"/>
      <c r="D399" s="347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348" t="n"/>
      <c r="N399" s="10" t="n"/>
      <c r="O399" s="10" t="n"/>
      <c r="P399" s="10" t="n"/>
      <c r="Q399" s="10" t="n"/>
      <c r="R399" s="10" t="n"/>
      <c r="S399" s="349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</row>
    <row r="400" ht="15.75" customHeight="1" s="1349">
      <c r="A400" s="10" t="n"/>
      <c r="B400" s="10" t="n"/>
      <c r="C400" s="346" t="n"/>
      <c r="D400" s="347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348" t="n"/>
      <c r="N400" s="10" t="n"/>
      <c r="O400" s="10" t="n"/>
      <c r="P400" s="10" t="n"/>
      <c r="Q400" s="10" t="n"/>
      <c r="R400" s="10" t="n"/>
      <c r="S400" s="349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</row>
    <row r="401" ht="15.75" customHeight="1" s="1349">
      <c r="A401" s="10" t="n"/>
      <c r="B401" s="10" t="n"/>
      <c r="C401" s="346" t="n"/>
      <c r="D401" s="347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348" t="n"/>
      <c r="N401" s="10" t="n"/>
      <c r="O401" s="10" t="n"/>
      <c r="P401" s="10" t="n"/>
      <c r="Q401" s="10" t="n"/>
      <c r="R401" s="10" t="n"/>
      <c r="S401" s="349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</row>
    <row r="402" ht="15.75" customHeight="1" s="1349">
      <c r="A402" s="10" t="n"/>
      <c r="B402" s="10" t="n"/>
      <c r="C402" s="346" t="n"/>
      <c r="D402" s="347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348" t="n"/>
      <c r="N402" s="10" t="n"/>
      <c r="O402" s="10" t="n"/>
      <c r="P402" s="10" t="n"/>
      <c r="Q402" s="10" t="n"/>
      <c r="R402" s="10" t="n"/>
      <c r="S402" s="349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</row>
    <row r="403" ht="15.75" customHeight="1" s="1349">
      <c r="A403" s="10" t="n"/>
      <c r="B403" s="10" t="n"/>
      <c r="C403" s="346" t="n"/>
      <c r="D403" s="347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348" t="n"/>
      <c r="N403" s="10" t="n"/>
      <c r="O403" s="10" t="n"/>
      <c r="P403" s="10" t="n"/>
      <c r="Q403" s="10" t="n"/>
      <c r="R403" s="10" t="n"/>
      <c r="S403" s="349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</row>
    <row r="404" ht="15.75" customHeight="1" s="1349">
      <c r="A404" s="10" t="n"/>
      <c r="B404" s="10" t="n"/>
      <c r="C404" s="346" t="n"/>
      <c r="D404" s="347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348" t="n"/>
      <c r="N404" s="10" t="n"/>
      <c r="O404" s="10" t="n"/>
      <c r="P404" s="10" t="n"/>
      <c r="Q404" s="10" t="n"/>
      <c r="R404" s="10" t="n"/>
      <c r="S404" s="349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</row>
    <row r="405" ht="15.75" customHeight="1" s="1349">
      <c r="A405" s="10" t="n"/>
      <c r="B405" s="10" t="n"/>
      <c r="C405" s="346" t="n"/>
      <c r="D405" s="347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348" t="n"/>
      <c r="N405" s="10" t="n"/>
      <c r="O405" s="10" t="n"/>
      <c r="P405" s="10" t="n"/>
      <c r="Q405" s="10" t="n"/>
      <c r="R405" s="10" t="n"/>
      <c r="S405" s="349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</row>
    <row r="406" ht="15.75" customHeight="1" s="1349">
      <c r="A406" s="10" t="n"/>
      <c r="B406" s="10" t="n"/>
      <c r="C406" s="346" t="n"/>
      <c r="D406" s="347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348" t="n"/>
      <c r="N406" s="10" t="n"/>
      <c r="O406" s="10" t="n"/>
      <c r="P406" s="10" t="n"/>
      <c r="Q406" s="10" t="n"/>
      <c r="R406" s="10" t="n"/>
      <c r="S406" s="349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</row>
    <row r="407" ht="15.75" customHeight="1" s="1349">
      <c r="A407" s="10" t="n"/>
      <c r="B407" s="10" t="n"/>
      <c r="C407" s="346" t="n"/>
      <c r="D407" s="347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348" t="n"/>
      <c r="N407" s="10" t="n"/>
      <c r="O407" s="10" t="n"/>
      <c r="P407" s="10" t="n"/>
      <c r="Q407" s="10" t="n"/>
      <c r="R407" s="10" t="n"/>
      <c r="S407" s="349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</row>
    <row r="408" ht="15.75" customHeight="1" s="1349">
      <c r="A408" s="10" t="n"/>
      <c r="B408" s="10" t="n"/>
      <c r="C408" s="346" t="n"/>
      <c r="D408" s="347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348" t="n"/>
      <c r="N408" s="10" t="n"/>
      <c r="O408" s="10" t="n"/>
      <c r="P408" s="10" t="n"/>
      <c r="Q408" s="10" t="n"/>
      <c r="R408" s="10" t="n"/>
      <c r="S408" s="349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</row>
    <row r="409" ht="15.75" customHeight="1" s="1349">
      <c r="A409" s="10" t="n"/>
      <c r="B409" s="10" t="n"/>
      <c r="C409" s="346" t="n"/>
      <c r="D409" s="347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348" t="n"/>
      <c r="N409" s="10" t="n"/>
      <c r="O409" s="10" t="n"/>
      <c r="P409" s="10" t="n"/>
      <c r="Q409" s="10" t="n"/>
      <c r="R409" s="10" t="n"/>
      <c r="S409" s="349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</row>
    <row r="410" ht="15.75" customHeight="1" s="1349">
      <c r="A410" s="10" t="n"/>
      <c r="B410" s="10" t="n"/>
      <c r="C410" s="346" t="n"/>
      <c r="D410" s="347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348" t="n"/>
      <c r="N410" s="10" t="n"/>
      <c r="O410" s="10" t="n"/>
      <c r="P410" s="10" t="n"/>
      <c r="Q410" s="10" t="n"/>
      <c r="R410" s="10" t="n"/>
      <c r="S410" s="349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</row>
    <row r="411" ht="15.75" customHeight="1" s="1349">
      <c r="A411" s="10" t="n"/>
      <c r="B411" s="10" t="n"/>
      <c r="C411" s="346" t="n"/>
      <c r="D411" s="347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348" t="n"/>
      <c r="N411" s="10" t="n"/>
      <c r="O411" s="10" t="n"/>
      <c r="P411" s="10" t="n"/>
      <c r="Q411" s="10" t="n"/>
      <c r="R411" s="10" t="n"/>
      <c r="S411" s="349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</row>
    <row r="412" ht="15.75" customHeight="1" s="1349">
      <c r="A412" s="10" t="n"/>
      <c r="B412" s="10" t="n"/>
      <c r="C412" s="346" t="n"/>
      <c r="D412" s="347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348" t="n"/>
      <c r="N412" s="10" t="n"/>
      <c r="O412" s="10" t="n"/>
      <c r="P412" s="10" t="n"/>
      <c r="Q412" s="10" t="n"/>
      <c r="R412" s="10" t="n"/>
      <c r="S412" s="349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</row>
    <row r="413" ht="15.75" customHeight="1" s="1349">
      <c r="A413" s="10" t="n"/>
      <c r="B413" s="10" t="n"/>
      <c r="C413" s="346" t="n"/>
      <c r="D413" s="347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348" t="n"/>
      <c r="N413" s="10" t="n"/>
      <c r="O413" s="10" t="n"/>
      <c r="P413" s="10" t="n"/>
      <c r="Q413" s="10" t="n"/>
      <c r="R413" s="10" t="n"/>
      <c r="S413" s="349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</row>
    <row r="414" ht="15.75" customHeight="1" s="1349">
      <c r="A414" s="10" t="n"/>
      <c r="B414" s="10" t="n"/>
      <c r="C414" s="346" t="n"/>
      <c r="D414" s="347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348" t="n"/>
      <c r="N414" s="10" t="n"/>
      <c r="O414" s="10" t="n"/>
      <c r="P414" s="10" t="n"/>
      <c r="Q414" s="10" t="n"/>
      <c r="R414" s="10" t="n"/>
      <c r="S414" s="349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</row>
    <row r="415" ht="15.75" customHeight="1" s="1349">
      <c r="A415" s="10" t="n"/>
      <c r="B415" s="10" t="n"/>
      <c r="C415" s="346" t="n"/>
      <c r="D415" s="347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348" t="n"/>
      <c r="N415" s="10" t="n"/>
      <c r="O415" s="10" t="n"/>
      <c r="P415" s="10" t="n"/>
      <c r="Q415" s="10" t="n"/>
      <c r="R415" s="10" t="n"/>
      <c r="S415" s="349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</row>
    <row r="416" ht="15.75" customHeight="1" s="1349">
      <c r="A416" s="10" t="n"/>
      <c r="B416" s="10" t="n"/>
      <c r="C416" s="346" t="n"/>
      <c r="D416" s="347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348" t="n"/>
      <c r="N416" s="10" t="n"/>
      <c r="O416" s="10" t="n"/>
      <c r="P416" s="10" t="n"/>
      <c r="Q416" s="10" t="n"/>
      <c r="R416" s="10" t="n"/>
      <c r="S416" s="349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</row>
    <row r="417" ht="15.75" customHeight="1" s="1349">
      <c r="A417" s="10" t="n"/>
      <c r="B417" s="10" t="n"/>
      <c r="C417" s="346" t="n"/>
      <c r="D417" s="347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348" t="n"/>
      <c r="N417" s="10" t="n"/>
      <c r="O417" s="10" t="n"/>
      <c r="P417" s="10" t="n"/>
      <c r="Q417" s="10" t="n"/>
      <c r="R417" s="10" t="n"/>
      <c r="S417" s="349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</row>
    <row r="418" ht="15.75" customHeight="1" s="1349">
      <c r="A418" s="10" t="n"/>
      <c r="B418" s="10" t="n"/>
      <c r="C418" s="346" t="n"/>
      <c r="D418" s="347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348" t="n"/>
      <c r="N418" s="10" t="n"/>
      <c r="O418" s="10" t="n"/>
      <c r="P418" s="10" t="n"/>
      <c r="Q418" s="10" t="n"/>
      <c r="R418" s="10" t="n"/>
      <c r="S418" s="349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</row>
    <row r="419" ht="15.75" customHeight="1" s="1349">
      <c r="A419" s="10" t="n"/>
      <c r="B419" s="10" t="n"/>
      <c r="C419" s="346" t="n"/>
      <c r="D419" s="347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348" t="n"/>
      <c r="N419" s="10" t="n"/>
      <c r="O419" s="10" t="n"/>
      <c r="P419" s="10" t="n"/>
      <c r="Q419" s="10" t="n"/>
      <c r="R419" s="10" t="n"/>
      <c r="S419" s="349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</row>
    <row r="420" ht="15.75" customHeight="1" s="1349">
      <c r="A420" s="10" t="n"/>
      <c r="B420" s="10" t="n"/>
      <c r="C420" s="346" t="n"/>
      <c r="D420" s="347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348" t="n"/>
      <c r="N420" s="10" t="n"/>
      <c r="O420" s="10" t="n"/>
      <c r="P420" s="10" t="n"/>
      <c r="Q420" s="10" t="n"/>
      <c r="R420" s="10" t="n"/>
      <c r="S420" s="349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</row>
    <row r="421" ht="15.75" customHeight="1" s="1349">
      <c r="A421" s="10" t="n"/>
      <c r="B421" s="10" t="n"/>
      <c r="C421" s="346" t="n"/>
      <c r="D421" s="347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348" t="n"/>
      <c r="N421" s="10" t="n"/>
      <c r="O421" s="10" t="n"/>
      <c r="P421" s="10" t="n"/>
      <c r="Q421" s="10" t="n"/>
      <c r="R421" s="10" t="n"/>
      <c r="S421" s="349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</row>
    <row r="422" ht="15.75" customHeight="1" s="1349">
      <c r="A422" s="10" t="n"/>
      <c r="B422" s="10" t="n"/>
      <c r="C422" s="346" t="n"/>
      <c r="D422" s="347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348" t="n"/>
      <c r="N422" s="10" t="n"/>
      <c r="O422" s="10" t="n"/>
      <c r="P422" s="10" t="n"/>
      <c r="Q422" s="10" t="n"/>
      <c r="R422" s="10" t="n"/>
      <c r="S422" s="349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</row>
    <row r="423" ht="15.75" customHeight="1" s="1349">
      <c r="A423" s="10" t="n"/>
      <c r="B423" s="10" t="n"/>
      <c r="C423" s="346" t="n"/>
      <c r="D423" s="347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348" t="n"/>
      <c r="N423" s="10" t="n"/>
      <c r="O423" s="10" t="n"/>
      <c r="P423" s="10" t="n"/>
      <c r="Q423" s="10" t="n"/>
      <c r="R423" s="10" t="n"/>
      <c r="S423" s="349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</row>
    <row r="424" ht="15.75" customHeight="1" s="1349">
      <c r="A424" s="10" t="n"/>
      <c r="B424" s="10" t="n"/>
      <c r="C424" s="346" t="n"/>
      <c r="D424" s="347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348" t="n"/>
      <c r="N424" s="10" t="n"/>
      <c r="O424" s="10" t="n"/>
      <c r="P424" s="10" t="n"/>
      <c r="Q424" s="10" t="n"/>
      <c r="R424" s="10" t="n"/>
      <c r="S424" s="349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</row>
    <row r="425" ht="15.75" customHeight="1" s="1349">
      <c r="A425" s="10" t="n"/>
      <c r="B425" s="10" t="n"/>
      <c r="C425" s="346" t="n"/>
      <c r="D425" s="347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348" t="n"/>
      <c r="N425" s="10" t="n"/>
      <c r="O425" s="10" t="n"/>
      <c r="P425" s="10" t="n"/>
      <c r="Q425" s="10" t="n"/>
      <c r="R425" s="10" t="n"/>
      <c r="S425" s="349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</row>
    <row r="426" ht="15.75" customHeight="1" s="1349">
      <c r="A426" s="10" t="n"/>
      <c r="B426" s="10" t="n"/>
      <c r="C426" s="346" t="n"/>
      <c r="D426" s="347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348" t="n"/>
      <c r="N426" s="10" t="n"/>
      <c r="O426" s="10" t="n"/>
      <c r="P426" s="10" t="n"/>
      <c r="Q426" s="10" t="n"/>
      <c r="R426" s="10" t="n"/>
      <c r="S426" s="349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</row>
    <row r="427" ht="15.75" customHeight="1" s="1349">
      <c r="A427" s="10" t="n"/>
      <c r="B427" s="10" t="n"/>
      <c r="C427" s="346" t="n"/>
      <c r="D427" s="347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348" t="n"/>
      <c r="N427" s="10" t="n"/>
      <c r="O427" s="10" t="n"/>
      <c r="P427" s="10" t="n"/>
      <c r="Q427" s="10" t="n"/>
      <c r="R427" s="10" t="n"/>
      <c r="S427" s="349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</row>
    <row r="428" ht="15.75" customHeight="1" s="1349">
      <c r="A428" s="10" t="n"/>
      <c r="B428" s="10" t="n"/>
      <c r="C428" s="346" t="n"/>
      <c r="D428" s="347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348" t="n"/>
      <c r="N428" s="10" t="n"/>
      <c r="O428" s="10" t="n"/>
      <c r="P428" s="10" t="n"/>
      <c r="Q428" s="10" t="n"/>
      <c r="R428" s="10" t="n"/>
      <c r="S428" s="349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</row>
    <row r="429" ht="15.75" customHeight="1" s="1349">
      <c r="A429" s="10" t="n"/>
      <c r="B429" s="10" t="n"/>
      <c r="C429" s="346" t="n"/>
      <c r="D429" s="347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348" t="n"/>
      <c r="N429" s="10" t="n"/>
      <c r="O429" s="10" t="n"/>
      <c r="P429" s="10" t="n"/>
      <c r="Q429" s="10" t="n"/>
      <c r="R429" s="10" t="n"/>
      <c r="S429" s="349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</row>
    <row r="430" ht="15.75" customHeight="1" s="1349">
      <c r="A430" s="10" t="n"/>
      <c r="B430" s="10" t="n"/>
      <c r="C430" s="346" t="n"/>
      <c r="D430" s="347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348" t="n"/>
      <c r="N430" s="10" t="n"/>
      <c r="O430" s="10" t="n"/>
      <c r="P430" s="10" t="n"/>
      <c r="Q430" s="10" t="n"/>
      <c r="R430" s="10" t="n"/>
      <c r="S430" s="349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</row>
    <row r="431" ht="15.75" customHeight="1" s="1349">
      <c r="A431" s="10" t="n"/>
      <c r="B431" s="10" t="n"/>
      <c r="C431" s="346" t="n"/>
      <c r="D431" s="347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348" t="n"/>
      <c r="N431" s="10" t="n"/>
      <c r="O431" s="10" t="n"/>
      <c r="P431" s="10" t="n"/>
      <c r="Q431" s="10" t="n"/>
      <c r="R431" s="10" t="n"/>
      <c r="S431" s="349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</row>
    <row r="432" ht="15.75" customHeight="1" s="1349">
      <c r="A432" s="10" t="n"/>
      <c r="B432" s="10" t="n"/>
      <c r="C432" s="346" t="n"/>
      <c r="D432" s="347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348" t="n"/>
      <c r="N432" s="10" t="n"/>
      <c r="O432" s="10" t="n"/>
      <c r="P432" s="10" t="n"/>
      <c r="Q432" s="10" t="n"/>
      <c r="R432" s="10" t="n"/>
      <c r="S432" s="349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</row>
    <row r="433" ht="15.75" customHeight="1" s="1349">
      <c r="A433" s="10" t="n"/>
      <c r="B433" s="10" t="n"/>
      <c r="C433" s="346" t="n"/>
      <c r="D433" s="347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348" t="n"/>
      <c r="N433" s="10" t="n"/>
      <c r="O433" s="10" t="n"/>
      <c r="P433" s="10" t="n"/>
      <c r="Q433" s="10" t="n"/>
      <c r="R433" s="10" t="n"/>
      <c r="S433" s="349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</row>
    <row r="434" ht="15.75" customHeight="1" s="1349">
      <c r="A434" s="10" t="n"/>
      <c r="B434" s="10" t="n"/>
      <c r="C434" s="346" t="n"/>
      <c r="D434" s="347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348" t="n"/>
      <c r="N434" s="10" t="n"/>
      <c r="O434" s="10" t="n"/>
      <c r="P434" s="10" t="n"/>
      <c r="Q434" s="10" t="n"/>
      <c r="R434" s="10" t="n"/>
      <c r="S434" s="349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</row>
    <row r="435" ht="15.75" customHeight="1" s="1349">
      <c r="A435" s="10" t="n"/>
      <c r="B435" s="10" t="n"/>
      <c r="C435" s="346" t="n"/>
      <c r="D435" s="347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348" t="n"/>
      <c r="N435" s="10" t="n"/>
      <c r="O435" s="10" t="n"/>
      <c r="P435" s="10" t="n"/>
      <c r="Q435" s="10" t="n"/>
      <c r="R435" s="10" t="n"/>
      <c r="S435" s="349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</row>
    <row r="436" ht="15.75" customHeight="1" s="1349">
      <c r="A436" s="10" t="n"/>
      <c r="B436" s="10" t="n"/>
      <c r="C436" s="346" t="n"/>
      <c r="D436" s="347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348" t="n"/>
      <c r="N436" s="10" t="n"/>
      <c r="O436" s="10" t="n"/>
      <c r="P436" s="10" t="n"/>
      <c r="Q436" s="10" t="n"/>
      <c r="R436" s="10" t="n"/>
      <c r="S436" s="349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</row>
    <row r="437" ht="15.75" customHeight="1" s="1349">
      <c r="A437" s="10" t="n"/>
      <c r="B437" s="10" t="n"/>
      <c r="C437" s="346" t="n"/>
      <c r="D437" s="347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348" t="n"/>
      <c r="N437" s="10" t="n"/>
      <c r="O437" s="10" t="n"/>
      <c r="P437" s="10" t="n"/>
      <c r="Q437" s="10" t="n"/>
      <c r="R437" s="10" t="n"/>
      <c r="S437" s="349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</row>
    <row r="438" ht="15.75" customHeight="1" s="1349">
      <c r="A438" s="10" t="n"/>
      <c r="B438" s="10" t="n"/>
      <c r="C438" s="346" t="n"/>
      <c r="D438" s="347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348" t="n"/>
      <c r="N438" s="10" t="n"/>
      <c r="O438" s="10" t="n"/>
      <c r="P438" s="10" t="n"/>
      <c r="Q438" s="10" t="n"/>
      <c r="R438" s="10" t="n"/>
      <c r="S438" s="349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</row>
    <row r="439" ht="15.75" customHeight="1" s="1349">
      <c r="A439" s="10" t="n"/>
      <c r="B439" s="10" t="n"/>
      <c r="C439" s="346" t="n"/>
      <c r="D439" s="347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348" t="n"/>
      <c r="N439" s="10" t="n"/>
      <c r="O439" s="10" t="n"/>
      <c r="P439" s="10" t="n"/>
      <c r="Q439" s="10" t="n"/>
      <c r="R439" s="10" t="n"/>
      <c r="S439" s="349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</row>
    <row r="440" ht="15.75" customHeight="1" s="1349">
      <c r="A440" s="10" t="n"/>
      <c r="B440" s="10" t="n"/>
      <c r="C440" s="346" t="n"/>
      <c r="D440" s="347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348" t="n"/>
      <c r="N440" s="10" t="n"/>
      <c r="O440" s="10" t="n"/>
      <c r="P440" s="10" t="n"/>
      <c r="Q440" s="10" t="n"/>
      <c r="R440" s="10" t="n"/>
      <c r="S440" s="349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</row>
    <row r="441" ht="15.75" customHeight="1" s="1349">
      <c r="A441" s="10" t="n"/>
      <c r="B441" s="10" t="n"/>
      <c r="C441" s="346" t="n"/>
      <c r="D441" s="347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348" t="n"/>
      <c r="N441" s="10" t="n"/>
      <c r="O441" s="10" t="n"/>
      <c r="P441" s="10" t="n"/>
      <c r="Q441" s="10" t="n"/>
      <c r="R441" s="10" t="n"/>
      <c r="S441" s="349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</row>
    <row r="442" ht="15.75" customHeight="1" s="1349">
      <c r="A442" s="10" t="n"/>
      <c r="B442" s="10" t="n"/>
      <c r="C442" s="346" t="n"/>
      <c r="D442" s="347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348" t="n"/>
      <c r="N442" s="10" t="n"/>
      <c r="O442" s="10" t="n"/>
      <c r="P442" s="10" t="n"/>
      <c r="Q442" s="10" t="n"/>
      <c r="R442" s="10" t="n"/>
      <c r="S442" s="349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</row>
    <row r="443" ht="15.75" customHeight="1" s="1349">
      <c r="A443" s="10" t="n"/>
      <c r="B443" s="10" t="n"/>
      <c r="C443" s="346" t="n"/>
      <c r="D443" s="347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348" t="n"/>
      <c r="N443" s="10" t="n"/>
      <c r="O443" s="10" t="n"/>
      <c r="P443" s="10" t="n"/>
      <c r="Q443" s="10" t="n"/>
      <c r="R443" s="10" t="n"/>
      <c r="S443" s="349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</row>
    <row r="444" ht="15.75" customHeight="1" s="1349">
      <c r="A444" s="10" t="n"/>
      <c r="B444" s="10" t="n"/>
      <c r="C444" s="346" t="n"/>
      <c r="D444" s="347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348" t="n"/>
      <c r="N444" s="10" t="n"/>
      <c r="O444" s="10" t="n"/>
      <c r="P444" s="10" t="n"/>
      <c r="Q444" s="10" t="n"/>
      <c r="R444" s="10" t="n"/>
      <c r="S444" s="349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</row>
    <row r="445" ht="15.75" customHeight="1" s="1349">
      <c r="A445" s="10" t="n"/>
      <c r="B445" s="10" t="n"/>
      <c r="C445" s="346" t="n"/>
      <c r="D445" s="347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348" t="n"/>
      <c r="N445" s="10" t="n"/>
      <c r="O445" s="10" t="n"/>
      <c r="P445" s="10" t="n"/>
      <c r="Q445" s="10" t="n"/>
      <c r="R445" s="10" t="n"/>
      <c r="S445" s="349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  <c r="AG445" s="10" t="n"/>
    </row>
    <row r="446" ht="15.75" customHeight="1" s="1349">
      <c r="A446" s="10" t="n"/>
      <c r="B446" s="10" t="n"/>
      <c r="C446" s="346" t="n"/>
      <c r="D446" s="347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348" t="n"/>
      <c r="N446" s="10" t="n"/>
      <c r="O446" s="10" t="n"/>
      <c r="P446" s="10" t="n"/>
      <c r="Q446" s="10" t="n"/>
      <c r="R446" s="10" t="n"/>
      <c r="S446" s="349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/>
    </row>
    <row r="447" ht="15.75" customHeight="1" s="1349">
      <c r="A447" s="10" t="n"/>
      <c r="B447" s="10" t="n"/>
      <c r="C447" s="346" t="n"/>
      <c r="D447" s="347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348" t="n"/>
      <c r="N447" s="10" t="n"/>
      <c r="O447" s="10" t="n"/>
      <c r="P447" s="10" t="n"/>
      <c r="Q447" s="10" t="n"/>
      <c r="R447" s="10" t="n"/>
      <c r="S447" s="349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/>
    </row>
    <row r="448" ht="15.75" customHeight="1" s="1349">
      <c r="A448" s="10" t="n"/>
      <c r="B448" s="10" t="n"/>
      <c r="C448" s="346" t="n"/>
      <c r="D448" s="347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348" t="n"/>
      <c r="N448" s="10" t="n"/>
      <c r="O448" s="10" t="n"/>
      <c r="P448" s="10" t="n"/>
      <c r="Q448" s="10" t="n"/>
      <c r="R448" s="10" t="n"/>
      <c r="S448" s="349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</row>
    <row r="449" ht="15.75" customHeight="1" s="1349">
      <c r="A449" s="10" t="n"/>
      <c r="B449" s="10" t="n"/>
      <c r="C449" s="346" t="n"/>
      <c r="D449" s="347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348" t="n"/>
      <c r="N449" s="10" t="n"/>
      <c r="O449" s="10" t="n"/>
      <c r="P449" s="10" t="n"/>
      <c r="Q449" s="10" t="n"/>
      <c r="R449" s="10" t="n"/>
      <c r="S449" s="349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</row>
    <row r="450" ht="15.75" customHeight="1" s="1349">
      <c r="A450" s="10" t="n"/>
      <c r="B450" s="10" t="n"/>
      <c r="C450" s="346" t="n"/>
      <c r="D450" s="347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348" t="n"/>
      <c r="N450" s="10" t="n"/>
      <c r="O450" s="10" t="n"/>
      <c r="P450" s="10" t="n"/>
      <c r="Q450" s="10" t="n"/>
      <c r="R450" s="10" t="n"/>
      <c r="S450" s="349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</row>
    <row r="451" ht="15.75" customHeight="1" s="1349">
      <c r="A451" s="10" t="n"/>
      <c r="B451" s="10" t="n"/>
      <c r="C451" s="346" t="n"/>
      <c r="D451" s="347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348" t="n"/>
      <c r="N451" s="10" t="n"/>
      <c r="O451" s="10" t="n"/>
      <c r="P451" s="10" t="n"/>
      <c r="Q451" s="10" t="n"/>
      <c r="R451" s="10" t="n"/>
      <c r="S451" s="349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  <c r="AG451" s="10" t="n"/>
    </row>
    <row r="452" ht="15.75" customHeight="1" s="1349">
      <c r="A452" s="10" t="n"/>
      <c r="B452" s="10" t="n"/>
      <c r="C452" s="346" t="n"/>
      <c r="D452" s="347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348" t="n"/>
      <c r="N452" s="10" t="n"/>
      <c r="O452" s="10" t="n"/>
      <c r="P452" s="10" t="n"/>
      <c r="Q452" s="10" t="n"/>
      <c r="R452" s="10" t="n"/>
      <c r="S452" s="349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</row>
    <row r="453" ht="15.75" customHeight="1" s="1349">
      <c r="A453" s="10" t="n"/>
      <c r="B453" s="10" t="n"/>
      <c r="C453" s="346" t="n"/>
      <c r="D453" s="347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348" t="n"/>
      <c r="N453" s="10" t="n"/>
      <c r="O453" s="10" t="n"/>
      <c r="P453" s="10" t="n"/>
      <c r="Q453" s="10" t="n"/>
      <c r="R453" s="10" t="n"/>
      <c r="S453" s="349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</row>
    <row r="454" ht="15.75" customHeight="1" s="1349">
      <c r="A454" s="10" t="n"/>
      <c r="B454" s="10" t="n"/>
      <c r="C454" s="346" t="n"/>
      <c r="D454" s="347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348" t="n"/>
      <c r="N454" s="10" t="n"/>
      <c r="O454" s="10" t="n"/>
      <c r="P454" s="10" t="n"/>
      <c r="Q454" s="10" t="n"/>
      <c r="R454" s="10" t="n"/>
      <c r="S454" s="349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0" t="n"/>
    </row>
    <row r="455" ht="15.75" customHeight="1" s="1349">
      <c r="A455" s="10" t="n"/>
      <c r="B455" s="10" t="n"/>
      <c r="C455" s="346" t="n"/>
      <c r="D455" s="347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348" t="n"/>
      <c r="N455" s="10" t="n"/>
      <c r="O455" s="10" t="n"/>
      <c r="P455" s="10" t="n"/>
      <c r="Q455" s="10" t="n"/>
      <c r="R455" s="10" t="n"/>
      <c r="S455" s="349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0" t="n"/>
    </row>
    <row r="456" ht="15.75" customHeight="1" s="1349">
      <c r="A456" s="10" t="n"/>
      <c r="B456" s="10" t="n"/>
      <c r="C456" s="346" t="n"/>
      <c r="D456" s="347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348" t="n"/>
      <c r="N456" s="10" t="n"/>
      <c r="O456" s="10" t="n"/>
      <c r="P456" s="10" t="n"/>
      <c r="Q456" s="10" t="n"/>
      <c r="R456" s="10" t="n"/>
      <c r="S456" s="349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</row>
    <row r="457" ht="15.75" customHeight="1" s="1349">
      <c r="A457" s="10" t="n"/>
      <c r="B457" s="10" t="n"/>
      <c r="C457" s="346" t="n"/>
      <c r="D457" s="347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348" t="n"/>
      <c r="N457" s="10" t="n"/>
      <c r="O457" s="10" t="n"/>
      <c r="P457" s="10" t="n"/>
      <c r="Q457" s="10" t="n"/>
      <c r="R457" s="10" t="n"/>
      <c r="S457" s="349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</row>
    <row r="458" ht="15.75" customHeight="1" s="1349">
      <c r="A458" s="10" t="n"/>
      <c r="B458" s="10" t="n"/>
      <c r="C458" s="346" t="n"/>
      <c r="D458" s="347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348" t="n"/>
      <c r="N458" s="10" t="n"/>
      <c r="O458" s="10" t="n"/>
      <c r="P458" s="10" t="n"/>
      <c r="Q458" s="10" t="n"/>
      <c r="R458" s="10" t="n"/>
      <c r="S458" s="349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</row>
    <row r="459" ht="15.75" customHeight="1" s="1349">
      <c r="A459" s="10" t="n"/>
      <c r="B459" s="10" t="n"/>
      <c r="C459" s="346" t="n"/>
      <c r="D459" s="347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348" t="n"/>
      <c r="N459" s="10" t="n"/>
      <c r="O459" s="10" t="n"/>
      <c r="P459" s="10" t="n"/>
      <c r="Q459" s="10" t="n"/>
      <c r="R459" s="10" t="n"/>
      <c r="S459" s="349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/>
    </row>
    <row r="460" ht="15.75" customHeight="1" s="1349">
      <c r="A460" s="10" t="n"/>
      <c r="B460" s="10" t="n"/>
      <c r="C460" s="346" t="n"/>
      <c r="D460" s="347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348" t="n"/>
      <c r="N460" s="10" t="n"/>
      <c r="O460" s="10" t="n"/>
      <c r="P460" s="10" t="n"/>
      <c r="Q460" s="10" t="n"/>
      <c r="R460" s="10" t="n"/>
      <c r="S460" s="349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</row>
    <row r="461" ht="15.75" customHeight="1" s="1349">
      <c r="A461" s="10" t="n"/>
      <c r="B461" s="10" t="n"/>
      <c r="C461" s="346" t="n"/>
      <c r="D461" s="347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348" t="n"/>
      <c r="N461" s="10" t="n"/>
      <c r="O461" s="10" t="n"/>
      <c r="P461" s="10" t="n"/>
      <c r="Q461" s="10" t="n"/>
      <c r="R461" s="10" t="n"/>
      <c r="S461" s="349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</row>
    <row r="462" ht="15.75" customHeight="1" s="1349">
      <c r="A462" s="10" t="n"/>
      <c r="B462" s="10" t="n"/>
      <c r="C462" s="346" t="n"/>
      <c r="D462" s="347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348" t="n"/>
      <c r="N462" s="10" t="n"/>
      <c r="O462" s="10" t="n"/>
      <c r="P462" s="10" t="n"/>
      <c r="Q462" s="10" t="n"/>
      <c r="R462" s="10" t="n"/>
      <c r="S462" s="349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</row>
    <row r="463" ht="15.75" customHeight="1" s="1349">
      <c r="A463" s="10" t="n"/>
      <c r="B463" s="10" t="n"/>
      <c r="C463" s="346" t="n"/>
      <c r="D463" s="347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348" t="n"/>
      <c r="N463" s="10" t="n"/>
      <c r="O463" s="10" t="n"/>
      <c r="P463" s="10" t="n"/>
      <c r="Q463" s="10" t="n"/>
      <c r="R463" s="10" t="n"/>
      <c r="S463" s="349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</row>
    <row r="464" ht="15.75" customHeight="1" s="1349">
      <c r="A464" s="10" t="n"/>
      <c r="B464" s="10" t="n"/>
      <c r="C464" s="346" t="n"/>
      <c r="D464" s="347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348" t="n"/>
      <c r="N464" s="10" t="n"/>
      <c r="O464" s="10" t="n"/>
      <c r="P464" s="10" t="n"/>
      <c r="Q464" s="10" t="n"/>
      <c r="R464" s="10" t="n"/>
      <c r="S464" s="349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</row>
    <row r="465" ht="15.75" customHeight="1" s="1349">
      <c r="A465" s="10" t="n"/>
      <c r="B465" s="10" t="n"/>
      <c r="C465" s="346" t="n"/>
      <c r="D465" s="347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348" t="n"/>
      <c r="N465" s="10" t="n"/>
      <c r="O465" s="10" t="n"/>
      <c r="P465" s="10" t="n"/>
      <c r="Q465" s="10" t="n"/>
      <c r="R465" s="10" t="n"/>
      <c r="S465" s="349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</row>
    <row r="466" ht="15.75" customHeight="1" s="1349">
      <c r="A466" s="10" t="n"/>
      <c r="B466" s="10" t="n"/>
      <c r="C466" s="346" t="n"/>
      <c r="D466" s="347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348" t="n"/>
      <c r="N466" s="10" t="n"/>
      <c r="O466" s="10" t="n"/>
      <c r="P466" s="10" t="n"/>
      <c r="Q466" s="10" t="n"/>
      <c r="R466" s="10" t="n"/>
      <c r="S466" s="349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</row>
    <row r="467" ht="15.75" customHeight="1" s="1349">
      <c r="A467" s="10" t="n"/>
      <c r="B467" s="10" t="n"/>
      <c r="C467" s="346" t="n"/>
      <c r="D467" s="347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348" t="n"/>
      <c r="N467" s="10" t="n"/>
      <c r="O467" s="10" t="n"/>
      <c r="P467" s="10" t="n"/>
      <c r="Q467" s="10" t="n"/>
      <c r="R467" s="10" t="n"/>
      <c r="S467" s="349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</row>
    <row r="468" ht="15.75" customHeight="1" s="1349">
      <c r="A468" s="10" t="n"/>
      <c r="B468" s="10" t="n"/>
      <c r="C468" s="346" t="n"/>
      <c r="D468" s="347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348" t="n"/>
      <c r="N468" s="10" t="n"/>
      <c r="O468" s="10" t="n"/>
      <c r="P468" s="10" t="n"/>
      <c r="Q468" s="10" t="n"/>
      <c r="R468" s="10" t="n"/>
      <c r="S468" s="349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</row>
    <row r="469" ht="15.75" customHeight="1" s="1349">
      <c r="A469" s="10" t="n"/>
      <c r="B469" s="10" t="n"/>
      <c r="C469" s="346" t="n"/>
      <c r="D469" s="347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348" t="n"/>
      <c r="N469" s="10" t="n"/>
      <c r="O469" s="10" t="n"/>
      <c r="P469" s="10" t="n"/>
      <c r="Q469" s="10" t="n"/>
      <c r="R469" s="10" t="n"/>
      <c r="S469" s="349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  <c r="AG469" s="10" t="n"/>
    </row>
    <row r="470" ht="15.75" customHeight="1" s="1349">
      <c r="A470" s="10" t="n"/>
      <c r="B470" s="10" t="n"/>
      <c r="C470" s="346" t="n"/>
      <c r="D470" s="347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348" t="n"/>
      <c r="N470" s="10" t="n"/>
      <c r="O470" s="10" t="n"/>
      <c r="P470" s="10" t="n"/>
      <c r="Q470" s="10" t="n"/>
      <c r="R470" s="10" t="n"/>
      <c r="S470" s="349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</row>
    <row r="471" ht="15.75" customHeight="1" s="1349">
      <c r="A471" s="10" t="n"/>
      <c r="B471" s="10" t="n"/>
      <c r="C471" s="346" t="n"/>
      <c r="D471" s="347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348" t="n"/>
      <c r="N471" s="10" t="n"/>
      <c r="O471" s="10" t="n"/>
      <c r="P471" s="10" t="n"/>
      <c r="Q471" s="10" t="n"/>
      <c r="R471" s="10" t="n"/>
      <c r="S471" s="349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</row>
    <row r="472" ht="15.75" customHeight="1" s="1349">
      <c r="A472" s="10" t="n"/>
      <c r="B472" s="10" t="n"/>
      <c r="C472" s="346" t="n"/>
      <c r="D472" s="347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348" t="n"/>
      <c r="N472" s="10" t="n"/>
      <c r="O472" s="10" t="n"/>
      <c r="P472" s="10" t="n"/>
      <c r="Q472" s="10" t="n"/>
      <c r="R472" s="10" t="n"/>
      <c r="S472" s="349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  <c r="AD472" s="10" t="n"/>
      <c r="AE472" s="10" t="n"/>
      <c r="AF472" s="10" t="n"/>
      <c r="AG472" s="10" t="n"/>
    </row>
    <row r="473" ht="15.75" customHeight="1" s="1349">
      <c r="A473" s="10" t="n"/>
      <c r="B473" s="10" t="n"/>
      <c r="C473" s="346" t="n"/>
      <c r="D473" s="347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348" t="n"/>
      <c r="N473" s="10" t="n"/>
      <c r="O473" s="10" t="n"/>
      <c r="P473" s="10" t="n"/>
      <c r="Q473" s="10" t="n"/>
      <c r="R473" s="10" t="n"/>
      <c r="S473" s="349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</row>
    <row r="474" ht="15.75" customHeight="1" s="1349">
      <c r="A474" s="10" t="n"/>
      <c r="B474" s="10" t="n"/>
      <c r="C474" s="346" t="n"/>
      <c r="D474" s="347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348" t="n"/>
      <c r="N474" s="10" t="n"/>
      <c r="O474" s="10" t="n"/>
      <c r="P474" s="10" t="n"/>
      <c r="Q474" s="10" t="n"/>
      <c r="R474" s="10" t="n"/>
      <c r="S474" s="349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</row>
    <row r="475" ht="15.75" customHeight="1" s="1349">
      <c r="A475" s="10" t="n"/>
      <c r="B475" s="10" t="n"/>
      <c r="C475" s="346" t="n"/>
      <c r="D475" s="347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348" t="n"/>
      <c r="N475" s="10" t="n"/>
      <c r="O475" s="10" t="n"/>
      <c r="P475" s="10" t="n"/>
      <c r="Q475" s="10" t="n"/>
      <c r="R475" s="10" t="n"/>
      <c r="S475" s="349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  <c r="AG475" s="10" t="n"/>
    </row>
    <row r="476" ht="15.75" customHeight="1" s="1349">
      <c r="A476" s="10" t="n"/>
      <c r="B476" s="10" t="n"/>
      <c r="C476" s="346" t="n"/>
      <c r="D476" s="347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348" t="n"/>
      <c r="N476" s="10" t="n"/>
      <c r="O476" s="10" t="n"/>
      <c r="P476" s="10" t="n"/>
      <c r="Q476" s="10" t="n"/>
      <c r="R476" s="10" t="n"/>
      <c r="S476" s="349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</row>
    <row r="477" ht="15.75" customHeight="1" s="1349">
      <c r="A477" s="10" t="n"/>
      <c r="B477" s="10" t="n"/>
      <c r="C477" s="346" t="n"/>
      <c r="D477" s="347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348" t="n"/>
      <c r="N477" s="10" t="n"/>
      <c r="O477" s="10" t="n"/>
      <c r="P477" s="10" t="n"/>
      <c r="Q477" s="10" t="n"/>
      <c r="R477" s="10" t="n"/>
      <c r="S477" s="349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</row>
    <row r="478" ht="15.75" customHeight="1" s="1349">
      <c r="A478" s="10" t="n"/>
      <c r="B478" s="10" t="n"/>
      <c r="C478" s="346" t="n"/>
      <c r="D478" s="347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348" t="n"/>
      <c r="N478" s="10" t="n"/>
      <c r="O478" s="10" t="n"/>
      <c r="P478" s="10" t="n"/>
      <c r="Q478" s="10" t="n"/>
      <c r="R478" s="10" t="n"/>
      <c r="S478" s="349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</row>
    <row r="479" ht="15.75" customHeight="1" s="1349">
      <c r="A479" s="10" t="n"/>
      <c r="B479" s="10" t="n"/>
      <c r="C479" s="346" t="n"/>
      <c r="D479" s="347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348" t="n"/>
      <c r="N479" s="10" t="n"/>
      <c r="O479" s="10" t="n"/>
      <c r="P479" s="10" t="n"/>
      <c r="Q479" s="10" t="n"/>
      <c r="R479" s="10" t="n"/>
      <c r="S479" s="349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</row>
    <row r="480" ht="15.75" customHeight="1" s="1349">
      <c r="A480" s="10" t="n"/>
      <c r="B480" s="10" t="n"/>
      <c r="C480" s="346" t="n"/>
      <c r="D480" s="347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348" t="n"/>
      <c r="N480" s="10" t="n"/>
      <c r="O480" s="10" t="n"/>
      <c r="P480" s="10" t="n"/>
      <c r="Q480" s="10" t="n"/>
      <c r="R480" s="10" t="n"/>
      <c r="S480" s="349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  <c r="AD480" s="10" t="n"/>
      <c r="AE480" s="10" t="n"/>
      <c r="AF480" s="10" t="n"/>
      <c r="AG480" s="10" t="n"/>
    </row>
    <row r="481" ht="15.75" customHeight="1" s="1349">
      <c r="A481" s="10" t="n"/>
      <c r="B481" s="10" t="n"/>
      <c r="C481" s="346" t="n"/>
      <c r="D481" s="347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348" t="n"/>
      <c r="N481" s="10" t="n"/>
      <c r="O481" s="10" t="n"/>
      <c r="P481" s="10" t="n"/>
      <c r="Q481" s="10" t="n"/>
      <c r="R481" s="10" t="n"/>
      <c r="S481" s="349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  <c r="AG481" s="10" t="n"/>
    </row>
    <row r="482" ht="15.75" customHeight="1" s="1349">
      <c r="A482" s="10" t="n"/>
      <c r="B482" s="10" t="n"/>
      <c r="C482" s="346" t="n"/>
      <c r="D482" s="347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348" t="n"/>
      <c r="N482" s="10" t="n"/>
      <c r="O482" s="10" t="n"/>
      <c r="P482" s="10" t="n"/>
      <c r="Q482" s="10" t="n"/>
      <c r="R482" s="10" t="n"/>
      <c r="S482" s="349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</row>
    <row r="483" ht="15.75" customHeight="1" s="1349">
      <c r="A483" s="10" t="n"/>
      <c r="B483" s="10" t="n"/>
      <c r="C483" s="346" t="n"/>
      <c r="D483" s="347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348" t="n"/>
      <c r="N483" s="10" t="n"/>
      <c r="O483" s="10" t="n"/>
      <c r="P483" s="10" t="n"/>
      <c r="Q483" s="10" t="n"/>
      <c r="R483" s="10" t="n"/>
      <c r="S483" s="349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</row>
    <row r="484" ht="15.75" customHeight="1" s="1349">
      <c r="A484" s="10" t="n"/>
      <c r="B484" s="10" t="n"/>
      <c r="C484" s="346" t="n"/>
      <c r="D484" s="347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348" t="n"/>
      <c r="N484" s="10" t="n"/>
      <c r="O484" s="10" t="n"/>
      <c r="P484" s="10" t="n"/>
      <c r="Q484" s="10" t="n"/>
      <c r="R484" s="10" t="n"/>
      <c r="S484" s="349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</row>
    <row r="485" ht="15.75" customHeight="1" s="1349">
      <c r="A485" s="10" t="n"/>
      <c r="B485" s="10" t="n"/>
      <c r="C485" s="346" t="n"/>
      <c r="D485" s="347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348" t="n"/>
      <c r="N485" s="10" t="n"/>
      <c r="O485" s="10" t="n"/>
      <c r="P485" s="10" t="n"/>
      <c r="Q485" s="10" t="n"/>
      <c r="R485" s="10" t="n"/>
      <c r="S485" s="349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</row>
    <row r="486" ht="15.75" customHeight="1" s="1349">
      <c r="A486" s="10" t="n"/>
      <c r="B486" s="10" t="n"/>
      <c r="C486" s="346" t="n"/>
      <c r="D486" s="347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348" t="n"/>
      <c r="N486" s="10" t="n"/>
      <c r="O486" s="10" t="n"/>
      <c r="P486" s="10" t="n"/>
      <c r="Q486" s="10" t="n"/>
      <c r="R486" s="10" t="n"/>
      <c r="S486" s="349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</row>
    <row r="487" ht="15.75" customHeight="1" s="1349">
      <c r="A487" s="10" t="n"/>
      <c r="B487" s="10" t="n"/>
      <c r="C487" s="346" t="n"/>
      <c r="D487" s="347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348" t="n"/>
      <c r="N487" s="10" t="n"/>
      <c r="O487" s="10" t="n"/>
      <c r="P487" s="10" t="n"/>
      <c r="Q487" s="10" t="n"/>
      <c r="R487" s="10" t="n"/>
      <c r="S487" s="349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</row>
    <row r="488" ht="15.75" customHeight="1" s="1349">
      <c r="A488" s="10" t="n"/>
      <c r="B488" s="10" t="n"/>
      <c r="C488" s="346" t="n"/>
      <c r="D488" s="347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348" t="n"/>
      <c r="N488" s="10" t="n"/>
      <c r="O488" s="10" t="n"/>
      <c r="P488" s="10" t="n"/>
      <c r="Q488" s="10" t="n"/>
      <c r="R488" s="10" t="n"/>
      <c r="S488" s="349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  <c r="AD488" s="10" t="n"/>
      <c r="AE488" s="10" t="n"/>
      <c r="AF488" s="10" t="n"/>
      <c r="AG488" s="10" t="n"/>
    </row>
    <row r="489" ht="15.75" customHeight="1" s="1349">
      <c r="A489" s="10" t="n"/>
      <c r="B489" s="10" t="n"/>
      <c r="C489" s="346" t="n"/>
      <c r="D489" s="347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348" t="n"/>
      <c r="N489" s="10" t="n"/>
      <c r="O489" s="10" t="n"/>
      <c r="P489" s="10" t="n"/>
      <c r="Q489" s="10" t="n"/>
      <c r="R489" s="10" t="n"/>
      <c r="S489" s="349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</row>
    <row r="490" ht="15.75" customHeight="1" s="1349">
      <c r="A490" s="10" t="n"/>
      <c r="B490" s="10" t="n"/>
      <c r="C490" s="346" t="n"/>
      <c r="D490" s="347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348" t="n"/>
      <c r="N490" s="10" t="n"/>
      <c r="O490" s="10" t="n"/>
      <c r="P490" s="10" t="n"/>
      <c r="Q490" s="10" t="n"/>
      <c r="R490" s="10" t="n"/>
      <c r="S490" s="349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</row>
    <row r="491" ht="15.75" customHeight="1" s="1349">
      <c r="A491" s="10" t="n"/>
      <c r="B491" s="10" t="n"/>
      <c r="C491" s="346" t="n"/>
      <c r="D491" s="347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348" t="n"/>
      <c r="N491" s="10" t="n"/>
      <c r="O491" s="10" t="n"/>
      <c r="P491" s="10" t="n"/>
      <c r="Q491" s="10" t="n"/>
      <c r="R491" s="10" t="n"/>
      <c r="S491" s="349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  <c r="AG491" s="10" t="n"/>
    </row>
    <row r="492" ht="15.75" customHeight="1" s="1349">
      <c r="A492" s="10" t="n"/>
      <c r="B492" s="10" t="n"/>
      <c r="C492" s="346" t="n"/>
      <c r="D492" s="347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348" t="n"/>
      <c r="N492" s="10" t="n"/>
      <c r="O492" s="10" t="n"/>
      <c r="P492" s="10" t="n"/>
      <c r="Q492" s="10" t="n"/>
      <c r="R492" s="10" t="n"/>
      <c r="S492" s="349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</row>
    <row r="493" ht="15.75" customHeight="1" s="1349">
      <c r="A493" s="10" t="n"/>
      <c r="B493" s="10" t="n"/>
      <c r="C493" s="346" t="n"/>
      <c r="D493" s="347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348" t="n"/>
      <c r="N493" s="10" t="n"/>
      <c r="O493" s="10" t="n"/>
      <c r="P493" s="10" t="n"/>
      <c r="Q493" s="10" t="n"/>
      <c r="R493" s="10" t="n"/>
      <c r="S493" s="349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</row>
    <row r="494" ht="15.75" customHeight="1" s="1349">
      <c r="A494" s="10" t="n"/>
      <c r="B494" s="10" t="n"/>
      <c r="C494" s="346" t="n"/>
      <c r="D494" s="347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348" t="n"/>
      <c r="N494" s="10" t="n"/>
      <c r="O494" s="10" t="n"/>
      <c r="P494" s="10" t="n"/>
      <c r="Q494" s="10" t="n"/>
      <c r="R494" s="10" t="n"/>
      <c r="S494" s="349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  <c r="AF494" s="10" t="n"/>
      <c r="AG494" s="10" t="n"/>
    </row>
    <row r="495" ht="15.75" customHeight="1" s="1349">
      <c r="A495" s="10" t="n"/>
      <c r="B495" s="10" t="n"/>
      <c r="C495" s="346" t="n"/>
      <c r="D495" s="347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348" t="n"/>
      <c r="N495" s="10" t="n"/>
      <c r="O495" s="10" t="n"/>
      <c r="P495" s="10" t="n"/>
      <c r="Q495" s="10" t="n"/>
      <c r="R495" s="10" t="n"/>
      <c r="S495" s="349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</row>
    <row r="496" ht="15.75" customHeight="1" s="1349">
      <c r="A496" s="10" t="n"/>
      <c r="B496" s="10" t="n"/>
      <c r="C496" s="346" t="n"/>
      <c r="D496" s="347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348" t="n"/>
      <c r="N496" s="10" t="n"/>
      <c r="O496" s="10" t="n"/>
      <c r="P496" s="10" t="n"/>
      <c r="Q496" s="10" t="n"/>
      <c r="R496" s="10" t="n"/>
      <c r="S496" s="349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</row>
    <row r="497" ht="15.75" customHeight="1" s="1349">
      <c r="A497" s="10" t="n"/>
      <c r="B497" s="10" t="n"/>
      <c r="C497" s="346" t="n"/>
      <c r="D497" s="347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348" t="n"/>
      <c r="N497" s="10" t="n"/>
      <c r="O497" s="10" t="n"/>
      <c r="P497" s="10" t="n"/>
      <c r="Q497" s="10" t="n"/>
      <c r="R497" s="10" t="n"/>
      <c r="S497" s="349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</row>
    <row r="498" ht="15.75" customHeight="1" s="1349">
      <c r="A498" s="10" t="n"/>
      <c r="B498" s="10" t="n"/>
      <c r="C498" s="346" t="n"/>
      <c r="D498" s="347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348" t="n"/>
      <c r="N498" s="10" t="n"/>
      <c r="O498" s="10" t="n"/>
      <c r="P498" s="10" t="n"/>
      <c r="Q498" s="10" t="n"/>
      <c r="R498" s="10" t="n"/>
      <c r="S498" s="349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</row>
    <row r="499" ht="15.75" customHeight="1" s="1349">
      <c r="A499" s="10" t="n"/>
      <c r="B499" s="10" t="n"/>
      <c r="C499" s="346" t="n"/>
      <c r="D499" s="347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348" t="n"/>
      <c r="N499" s="10" t="n"/>
      <c r="O499" s="10" t="n"/>
      <c r="P499" s="10" t="n"/>
      <c r="Q499" s="10" t="n"/>
      <c r="R499" s="10" t="n"/>
      <c r="S499" s="349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  <c r="AG499" s="10" t="n"/>
    </row>
    <row r="500" ht="15.75" customHeight="1" s="1349">
      <c r="A500" s="10" t="n"/>
      <c r="B500" s="10" t="n"/>
      <c r="C500" s="346" t="n"/>
      <c r="D500" s="347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348" t="n"/>
      <c r="N500" s="10" t="n"/>
      <c r="O500" s="10" t="n"/>
      <c r="P500" s="10" t="n"/>
      <c r="Q500" s="10" t="n"/>
      <c r="R500" s="10" t="n"/>
      <c r="S500" s="349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  <c r="AF500" s="10" t="n"/>
      <c r="AG500" s="10" t="n"/>
    </row>
    <row r="501" ht="15.75" customHeight="1" s="1349">
      <c r="A501" s="10" t="n"/>
      <c r="B501" s="10" t="n"/>
      <c r="C501" s="346" t="n"/>
      <c r="D501" s="347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348" t="n"/>
      <c r="N501" s="10" t="n"/>
      <c r="O501" s="10" t="n"/>
      <c r="P501" s="10" t="n"/>
      <c r="Q501" s="10" t="n"/>
      <c r="R501" s="10" t="n"/>
      <c r="S501" s="349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  <c r="AD501" s="10" t="n"/>
      <c r="AE501" s="10" t="n"/>
      <c r="AF501" s="10" t="n"/>
      <c r="AG501" s="10" t="n"/>
    </row>
    <row r="502" ht="15.75" customHeight="1" s="1349">
      <c r="A502" s="10" t="n"/>
      <c r="B502" s="10" t="n"/>
      <c r="C502" s="346" t="n"/>
      <c r="D502" s="347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348" t="n"/>
      <c r="N502" s="10" t="n"/>
      <c r="O502" s="10" t="n"/>
      <c r="P502" s="10" t="n"/>
      <c r="Q502" s="10" t="n"/>
      <c r="R502" s="10" t="n"/>
      <c r="S502" s="349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  <c r="AD502" s="10" t="n"/>
      <c r="AE502" s="10" t="n"/>
      <c r="AF502" s="10" t="n"/>
      <c r="AG502" s="10" t="n"/>
    </row>
    <row r="503" ht="15.75" customHeight="1" s="1349">
      <c r="A503" s="10" t="n"/>
      <c r="B503" s="10" t="n"/>
      <c r="C503" s="346" t="n"/>
      <c r="D503" s="347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348" t="n"/>
      <c r="N503" s="10" t="n"/>
      <c r="O503" s="10" t="n"/>
      <c r="P503" s="10" t="n"/>
      <c r="Q503" s="10" t="n"/>
      <c r="R503" s="10" t="n"/>
      <c r="S503" s="349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</row>
    <row r="504" ht="15.75" customHeight="1" s="1349">
      <c r="A504" s="10" t="n"/>
      <c r="B504" s="10" t="n"/>
      <c r="C504" s="346" t="n"/>
      <c r="D504" s="347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348" t="n"/>
      <c r="N504" s="10" t="n"/>
      <c r="O504" s="10" t="n"/>
      <c r="P504" s="10" t="n"/>
      <c r="Q504" s="10" t="n"/>
      <c r="R504" s="10" t="n"/>
      <c r="S504" s="349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</row>
    <row r="505" ht="15.75" customHeight="1" s="1349">
      <c r="A505" s="10" t="n"/>
      <c r="B505" s="10" t="n"/>
      <c r="C505" s="346" t="n"/>
      <c r="D505" s="347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348" t="n"/>
      <c r="N505" s="10" t="n"/>
      <c r="O505" s="10" t="n"/>
      <c r="P505" s="10" t="n"/>
      <c r="Q505" s="10" t="n"/>
      <c r="R505" s="10" t="n"/>
      <c r="S505" s="349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  <c r="AD505" s="10" t="n"/>
      <c r="AE505" s="10" t="n"/>
      <c r="AF505" s="10" t="n"/>
      <c r="AG505" s="10" t="n"/>
    </row>
    <row r="506" ht="15.75" customHeight="1" s="1349">
      <c r="A506" s="10" t="n"/>
      <c r="B506" s="10" t="n"/>
      <c r="C506" s="346" t="n"/>
      <c r="D506" s="347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348" t="n"/>
      <c r="N506" s="10" t="n"/>
      <c r="O506" s="10" t="n"/>
      <c r="P506" s="10" t="n"/>
      <c r="Q506" s="10" t="n"/>
      <c r="R506" s="10" t="n"/>
      <c r="S506" s="349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  <c r="AD506" s="10" t="n"/>
      <c r="AE506" s="10" t="n"/>
      <c r="AF506" s="10" t="n"/>
      <c r="AG506" s="10" t="n"/>
    </row>
    <row r="507" ht="15.75" customHeight="1" s="1349">
      <c r="A507" s="10" t="n"/>
      <c r="B507" s="10" t="n"/>
      <c r="C507" s="346" t="n"/>
      <c r="D507" s="347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348" t="n"/>
      <c r="N507" s="10" t="n"/>
      <c r="O507" s="10" t="n"/>
      <c r="P507" s="10" t="n"/>
      <c r="Q507" s="10" t="n"/>
      <c r="R507" s="10" t="n"/>
      <c r="S507" s="349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</row>
    <row r="508" ht="15.75" customHeight="1" s="1349">
      <c r="A508" s="10" t="n"/>
      <c r="B508" s="10" t="n"/>
      <c r="C508" s="346" t="n"/>
      <c r="D508" s="347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348" t="n"/>
      <c r="N508" s="10" t="n"/>
      <c r="O508" s="10" t="n"/>
      <c r="P508" s="10" t="n"/>
      <c r="Q508" s="10" t="n"/>
      <c r="R508" s="10" t="n"/>
      <c r="S508" s="349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</row>
    <row r="509" ht="15.75" customHeight="1" s="1349">
      <c r="A509" s="10" t="n"/>
      <c r="B509" s="10" t="n"/>
      <c r="C509" s="346" t="n"/>
      <c r="D509" s="347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348" t="n"/>
      <c r="N509" s="10" t="n"/>
      <c r="O509" s="10" t="n"/>
      <c r="P509" s="10" t="n"/>
      <c r="Q509" s="10" t="n"/>
      <c r="R509" s="10" t="n"/>
      <c r="S509" s="349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</row>
    <row r="510" ht="15.75" customHeight="1" s="1349">
      <c r="A510" s="10" t="n"/>
      <c r="B510" s="10" t="n"/>
      <c r="C510" s="346" t="n"/>
      <c r="D510" s="347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348" t="n"/>
      <c r="N510" s="10" t="n"/>
      <c r="O510" s="10" t="n"/>
      <c r="P510" s="10" t="n"/>
      <c r="Q510" s="10" t="n"/>
      <c r="R510" s="10" t="n"/>
      <c r="S510" s="349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  <c r="AD510" s="10" t="n"/>
      <c r="AE510" s="10" t="n"/>
      <c r="AF510" s="10" t="n"/>
      <c r="AG510" s="10" t="n"/>
    </row>
    <row r="511" ht="15.75" customHeight="1" s="1349">
      <c r="A511" s="10" t="n"/>
      <c r="B511" s="10" t="n"/>
      <c r="C511" s="346" t="n"/>
      <c r="D511" s="347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348" t="n"/>
      <c r="N511" s="10" t="n"/>
      <c r="O511" s="10" t="n"/>
      <c r="P511" s="10" t="n"/>
      <c r="Q511" s="10" t="n"/>
      <c r="R511" s="10" t="n"/>
      <c r="S511" s="349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</row>
    <row r="512" ht="15.75" customHeight="1" s="1349">
      <c r="A512" s="10" t="n"/>
      <c r="B512" s="10" t="n"/>
      <c r="C512" s="346" t="n"/>
      <c r="D512" s="347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348" t="n"/>
      <c r="N512" s="10" t="n"/>
      <c r="O512" s="10" t="n"/>
      <c r="P512" s="10" t="n"/>
      <c r="Q512" s="10" t="n"/>
      <c r="R512" s="10" t="n"/>
      <c r="S512" s="349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</row>
    <row r="513" ht="15.75" customHeight="1" s="1349">
      <c r="A513" s="10" t="n"/>
      <c r="B513" s="10" t="n"/>
      <c r="C513" s="346" t="n"/>
      <c r="D513" s="347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348" t="n"/>
      <c r="N513" s="10" t="n"/>
      <c r="O513" s="10" t="n"/>
      <c r="P513" s="10" t="n"/>
      <c r="Q513" s="10" t="n"/>
      <c r="R513" s="10" t="n"/>
      <c r="S513" s="349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  <c r="AD513" s="10" t="n"/>
      <c r="AE513" s="10" t="n"/>
      <c r="AF513" s="10" t="n"/>
      <c r="AG513" s="10" t="n"/>
    </row>
    <row r="514" ht="15.75" customHeight="1" s="1349">
      <c r="A514" s="10" t="n"/>
      <c r="B514" s="10" t="n"/>
      <c r="C514" s="346" t="n"/>
      <c r="D514" s="347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348" t="n"/>
      <c r="N514" s="10" t="n"/>
      <c r="O514" s="10" t="n"/>
      <c r="P514" s="10" t="n"/>
      <c r="Q514" s="10" t="n"/>
      <c r="R514" s="10" t="n"/>
      <c r="S514" s="349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</row>
    <row r="515" ht="15.75" customHeight="1" s="1349">
      <c r="A515" s="10" t="n"/>
      <c r="B515" s="10" t="n"/>
      <c r="C515" s="346" t="n"/>
      <c r="D515" s="347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348" t="n"/>
      <c r="N515" s="10" t="n"/>
      <c r="O515" s="10" t="n"/>
      <c r="P515" s="10" t="n"/>
      <c r="Q515" s="10" t="n"/>
      <c r="R515" s="10" t="n"/>
      <c r="S515" s="349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  <c r="AD515" s="10" t="n"/>
      <c r="AE515" s="10" t="n"/>
      <c r="AF515" s="10" t="n"/>
      <c r="AG515" s="10" t="n"/>
    </row>
    <row r="516" ht="15.75" customHeight="1" s="1349">
      <c r="A516" s="10" t="n"/>
      <c r="B516" s="10" t="n"/>
      <c r="C516" s="346" t="n"/>
      <c r="D516" s="347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348" t="n"/>
      <c r="N516" s="10" t="n"/>
      <c r="O516" s="10" t="n"/>
      <c r="P516" s="10" t="n"/>
      <c r="Q516" s="10" t="n"/>
      <c r="R516" s="10" t="n"/>
      <c r="S516" s="349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</row>
    <row r="517" ht="15.75" customHeight="1" s="1349">
      <c r="A517" s="10" t="n"/>
      <c r="B517" s="10" t="n"/>
      <c r="C517" s="346" t="n"/>
      <c r="D517" s="347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348" t="n"/>
      <c r="N517" s="10" t="n"/>
      <c r="O517" s="10" t="n"/>
      <c r="P517" s="10" t="n"/>
      <c r="Q517" s="10" t="n"/>
      <c r="R517" s="10" t="n"/>
      <c r="S517" s="349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  <c r="AD517" s="10" t="n"/>
      <c r="AE517" s="10" t="n"/>
      <c r="AF517" s="10" t="n"/>
      <c r="AG517" s="10" t="n"/>
    </row>
    <row r="518" ht="15.75" customHeight="1" s="1349">
      <c r="A518" s="10" t="n"/>
      <c r="B518" s="10" t="n"/>
      <c r="C518" s="346" t="n"/>
      <c r="D518" s="347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348" t="n"/>
      <c r="N518" s="10" t="n"/>
      <c r="O518" s="10" t="n"/>
      <c r="P518" s="10" t="n"/>
      <c r="Q518" s="10" t="n"/>
      <c r="R518" s="10" t="n"/>
      <c r="S518" s="349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  <c r="AF518" s="10" t="n"/>
      <c r="AG518" s="10" t="n"/>
    </row>
    <row r="519" ht="15.75" customHeight="1" s="1349">
      <c r="A519" s="10" t="n"/>
      <c r="B519" s="10" t="n"/>
      <c r="C519" s="346" t="n"/>
      <c r="D519" s="347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348" t="n"/>
      <c r="N519" s="10" t="n"/>
      <c r="O519" s="10" t="n"/>
      <c r="P519" s="10" t="n"/>
      <c r="Q519" s="10" t="n"/>
      <c r="R519" s="10" t="n"/>
      <c r="S519" s="349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  <c r="AD519" s="10" t="n"/>
      <c r="AE519" s="10" t="n"/>
      <c r="AF519" s="10" t="n"/>
      <c r="AG519" s="10" t="n"/>
    </row>
    <row r="520" ht="15.75" customHeight="1" s="1349">
      <c r="A520" s="10" t="n"/>
      <c r="B520" s="10" t="n"/>
      <c r="C520" s="346" t="n"/>
      <c r="D520" s="347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348" t="n"/>
      <c r="N520" s="10" t="n"/>
      <c r="O520" s="10" t="n"/>
      <c r="P520" s="10" t="n"/>
      <c r="Q520" s="10" t="n"/>
      <c r="R520" s="10" t="n"/>
      <c r="S520" s="349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  <c r="AD520" s="10" t="n"/>
      <c r="AE520" s="10" t="n"/>
      <c r="AF520" s="10" t="n"/>
      <c r="AG520" s="10" t="n"/>
    </row>
    <row r="521" ht="15.75" customHeight="1" s="1349">
      <c r="A521" s="10" t="n"/>
      <c r="B521" s="10" t="n"/>
      <c r="C521" s="346" t="n"/>
      <c r="D521" s="347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348" t="n"/>
      <c r="N521" s="10" t="n"/>
      <c r="O521" s="10" t="n"/>
      <c r="P521" s="10" t="n"/>
      <c r="Q521" s="10" t="n"/>
      <c r="R521" s="10" t="n"/>
      <c r="S521" s="349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  <c r="AD521" s="10" t="n"/>
      <c r="AE521" s="10" t="n"/>
      <c r="AF521" s="10" t="n"/>
      <c r="AG521" s="10" t="n"/>
    </row>
    <row r="522" ht="15.75" customHeight="1" s="1349">
      <c r="A522" s="10" t="n"/>
      <c r="B522" s="10" t="n"/>
      <c r="C522" s="346" t="n"/>
      <c r="D522" s="347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348" t="n"/>
      <c r="N522" s="10" t="n"/>
      <c r="O522" s="10" t="n"/>
      <c r="P522" s="10" t="n"/>
      <c r="Q522" s="10" t="n"/>
      <c r="R522" s="10" t="n"/>
      <c r="S522" s="349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  <c r="AD522" s="10" t="n"/>
      <c r="AE522" s="10" t="n"/>
      <c r="AF522" s="10" t="n"/>
      <c r="AG522" s="10" t="n"/>
    </row>
    <row r="523" ht="15.75" customHeight="1" s="1349">
      <c r="A523" s="10" t="n"/>
      <c r="B523" s="10" t="n"/>
      <c r="C523" s="346" t="n"/>
      <c r="D523" s="347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348" t="n"/>
      <c r="N523" s="10" t="n"/>
      <c r="O523" s="10" t="n"/>
      <c r="P523" s="10" t="n"/>
      <c r="Q523" s="10" t="n"/>
      <c r="R523" s="10" t="n"/>
      <c r="S523" s="349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  <c r="AD523" s="10" t="n"/>
      <c r="AE523" s="10" t="n"/>
      <c r="AF523" s="10" t="n"/>
      <c r="AG523" s="10" t="n"/>
    </row>
    <row r="524" ht="15.75" customHeight="1" s="1349">
      <c r="A524" s="10" t="n"/>
      <c r="B524" s="10" t="n"/>
      <c r="C524" s="346" t="n"/>
      <c r="D524" s="347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348" t="n"/>
      <c r="N524" s="10" t="n"/>
      <c r="O524" s="10" t="n"/>
      <c r="P524" s="10" t="n"/>
      <c r="Q524" s="10" t="n"/>
      <c r="R524" s="10" t="n"/>
      <c r="S524" s="349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</row>
    <row r="525" ht="15.75" customHeight="1" s="1349">
      <c r="A525" s="10" t="n"/>
      <c r="B525" s="10" t="n"/>
      <c r="C525" s="346" t="n"/>
      <c r="D525" s="347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348" t="n"/>
      <c r="N525" s="10" t="n"/>
      <c r="O525" s="10" t="n"/>
      <c r="P525" s="10" t="n"/>
      <c r="Q525" s="10" t="n"/>
      <c r="R525" s="10" t="n"/>
      <c r="S525" s="349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  <c r="AD525" s="10" t="n"/>
      <c r="AE525" s="10" t="n"/>
      <c r="AF525" s="10" t="n"/>
      <c r="AG525" s="10" t="n"/>
    </row>
    <row r="526" ht="15.75" customHeight="1" s="1349">
      <c r="A526" s="10" t="n"/>
      <c r="B526" s="10" t="n"/>
      <c r="C526" s="346" t="n"/>
      <c r="D526" s="347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348" t="n"/>
      <c r="N526" s="10" t="n"/>
      <c r="O526" s="10" t="n"/>
      <c r="P526" s="10" t="n"/>
      <c r="Q526" s="10" t="n"/>
      <c r="R526" s="10" t="n"/>
      <c r="S526" s="349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</row>
    <row r="527" ht="15.75" customHeight="1" s="1349">
      <c r="A527" s="10" t="n"/>
      <c r="B527" s="10" t="n"/>
      <c r="C527" s="346" t="n"/>
      <c r="D527" s="347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348" t="n"/>
      <c r="N527" s="10" t="n"/>
      <c r="O527" s="10" t="n"/>
      <c r="P527" s="10" t="n"/>
      <c r="Q527" s="10" t="n"/>
      <c r="R527" s="10" t="n"/>
      <c r="S527" s="349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</row>
    <row r="528" ht="15.75" customHeight="1" s="1349">
      <c r="A528" s="10" t="n"/>
      <c r="B528" s="10" t="n"/>
      <c r="C528" s="346" t="n"/>
      <c r="D528" s="347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348" t="n"/>
      <c r="N528" s="10" t="n"/>
      <c r="O528" s="10" t="n"/>
      <c r="P528" s="10" t="n"/>
      <c r="Q528" s="10" t="n"/>
      <c r="R528" s="10" t="n"/>
      <c r="S528" s="349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  <c r="AF528" s="10" t="n"/>
      <c r="AG528" s="10" t="n"/>
    </row>
    <row r="529" ht="15.75" customHeight="1" s="1349">
      <c r="A529" s="10" t="n"/>
      <c r="B529" s="10" t="n"/>
      <c r="C529" s="346" t="n"/>
      <c r="D529" s="347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348" t="n"/>
      <c r="N529" s="10" t="n"/>
      <c r="O529" s="10" t="n"/>
      <c r="P529" s="10" t="n"/>
      <c r="Q529" s="10" t="n"/>
      <c r="R529" s="10" t="n"/>
      <c r="S529" s="349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</row>
    <row r="530" ht="15.75" customHeight="1" s="1349">
      <c r="A530" s="10" t="n"/>
      <c r="B530" s="10" t="n"/>
      <c r="C530" s="346" t="n"/>
      <c r="D530" s="347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348" t="n"/>
      <c r="N530" s="10" t="n"/>
      <c r="O530" s="10" t="n"/>
      <c r="P530" s="10" t="n"/>
      <c r="Q530" s="10" t="n"/>
      <c r="R530" s="10" t="n"/>
      <c r="S530" s="349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  <c r="AD530" s="10" t="n"/>
      <c r="AE530" s="10" t="n"/>
      <c r="AF530" s="10" t="n"/>
      <c r="AG530" s="10" t="n"/>
    </row>
    <row r="531" ht="15.75" customHeight="1" s="1349">
      <c r="A531" s="10" t="n"/>
      <c r="B531" s="10" t="n"/>
      <c r="C531" s="346" t="n"/>
      <c r="D531" s="347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348" t="n"/>
      <c r="N531" s="10" t="n"/>
      <c r="O531" s="10" t="n"/>
      <c r="P531" s="10" t="n"/>
      <c r="Q531" s="10" t="n"/>
      <c r="R531" s="10" t="n"/>
      <c r="S531" s="349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</row>
    <row r="532" ht="15.75" customHeight="1" s="1349">
      <c r="A532" s="10" t="n"/>
      <c r="B532" s="10" t="n"/>
      <c r="C532" s="346" t="n"/>
      <c r="D532" s="347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348" t="n"/>
      <c r="N532" s="10" t="n"/>
      <c r="O532" s="10" t="n"/>
      <c r="P532" s="10" t="n"/>
      <c r="Q532" s="10" t="n"/>
      <c r="R532" s="10" t="n"/>
      <c r="S532" s="349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  <c r="AD532" s="10" t="n"/>
      <c r="AE532" s="10" t="n"/>
      <c r="AF532" s="10" t="n"/>
      <c r="AG532" s="10" t="n"/>
    </row>
    <row r="533" ht="15.75" customHeight="1" s="1349">
      <c r="A533" s="10" t="n"/>
      <c r="B533" s="10" t="n"/>
      <c r="C533" s="346" t="n"/>
      <c r="D533" s="347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348" t="n"/>
      <c r="N533" s="10" t="n"/>
      <c r="O533" s="10" t="n"/>
      <c r="P533" s="10" t="n"/>
      <c r="Q533" s="10" t="n"/>
      <c r="R533" s="10" t="n"/>
      <c r="S533" s="349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  <c r="AD533" s="10" t="n"/>
      <c r="AE533" s="10" t="n"/>
      <c r="AF533" s="10" t="n"/>
      <c r="AG533" s="10" t="n"/>
    </row>
    <row r="534" ht="15.75" customHeight="1" s="1349">
      <c r="A534" s="10" t="n"/>
      <c r="B534" s="10" t="n"/>
      <c r="C534" s="346" t="n"/>
      <c r="D534" s="347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348" t="n"/>
      <c r="N534" s="10" t="n"/>
      <c r="O534" s="10" t="n"/>
      <c r="P534" s="10" t="n"/>
      <c r="Q534" s="10" t="n"/>
      <c r="R534" s="10" t="n"/>
      <c r="S534" s="349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  <c r="AD534" s="10" t="n"/>
      <c r="AE534" s="10" t="n"/>
      <c r="AF534" s="10" t="n"/>
      <c r="AG534" s="10" t="n"/>
    </row>
    <row r="535" ht="15.75" customHeight="1" s="1349">
      <c r="A535" s="10" t="n"/>
      <c r="B535" s="10" t="n"/>
      <c r="C535" s="346" t="n"/>
      <c r="D535" s="347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348" t="n"/>
      <c r="N535" s="10" t="n"/>
      <c r="O535" s="10" t="n"/>
      <c r="P535" s="10" t="n"/>
      <c r="Q535" s="10" t="n"/>
      <c r="R535" s="10" t="n"/>
      <c r="S535" s="349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  <c r="AD535" s="10" t="n"/>
      <c r="AE535" s="10" t="n"/>
      <c r="AF535" s="10" t="n"/>
      <c r="AG535" s="10" t="n"/>
    </row>
    <row r="536" ht="15.75" customHeight="1" s="1349">
      <c r="A536" s="10" t="n"/>
      <c r="B536" s="10" t="n"/>
      <c r="C536" s="346" t="n"/>
      <c r="D536" s="347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348" t="n"/>
      <c r="N536" s="10" t="n"/>
      <c r="O536" s="10" t="n"/>
      <c r="P536" s="10" t="n"/>
      <c r="Q536" s="10" t="n"/>
      <c r="R536" s="10" t="n"/>
      <c r="S536" s="349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  <c r="AF536" s="10" t="n"/>
      <c r="AG536" s="10" t="n"/>
    </row>
    <row r="537" ht="15.75" customHeight="1" s="1349">
      <c r="A537" s="10" t="n"/>
      <c r="B537" s="10" t="n"/>
      <c r="C537" s="346" t="n"/>
      <c r="D537" s="347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348" t="n"/>
      <c r="N537" s="10" t="n"/>
      <c r="O537" s="10" t="n"/>
      <c r="P537" s="10" t="n"/>
      <c r="Q537" s="10" t="n"/>
      <c r="R537" s="10" t="n"/>
      <c r="S537" s="349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</row>
    <row r="538" ht="15.75" customHeight="1" s="1349">
      <c r="A538" s="10" t="n"/>
      <c r="B538" s="10" t="n"/>
      <c r="C538" s="346" t="n"/>
      <c r="D538" s="347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348" t="n"/>
      <c r="N538" s="10" t="n"/>
      <c r="O538" s="10" t="n"/>
      <c r="P538" s="10" t="n"/>
      <c r="Q538" s="10" t="n"/>
      <c r="R538" s="10" t="n"/>
      <c r="S538" s="349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</row>
    <row r="539" ht="15.75" customHeight="1" s="1349">
      <c r="A539" s="10" t="n"/>
      <c r="B539" s="10" t="n"/>
      <c r="C539" s="346" t="n"/>
      <c r="D539" s="347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348" t="n"/>
      <c r="N539" s="10" t="n"/>
      <c r="O539" s="10" t="n"/>
      <c r="P539" s="10" t="n"/>
      <c r="Q539" s="10" t="n"/>
      <c r="R539" s="10" t="n"/>
      <c r="S539" s="349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</row>
    <row r="540" ht="15.75" customHeight="1" s="1349">
      <c r="A540" s="10" t="n"/>
      <c r="B540" s="10" t="n"/>
      <c r="C540" s="346" t="n"/>
      <c r="D540" s="347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348" t="n"/>
      <c r="N540" s="10" t="n"/>
      <c r="O540" s="10" t="n"/>
      <c r="P540" s="10" t="n"/>
      <c r="Q540" s="10" t="n"/>
      <c r="R540" s="10" t="n"/>
      <c r="S540" s="349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  <c r="AD540" s="10" t="n"/>
      <c r="AE540" s="10" t="n"/>
      <c r="AF540" s="10" t="n"/>
      <c r="AG540" s="10" t="n"/>
    </row>
    <row r="541" ht="15.75" customHeight="1" s="1349">
      <c r="A541" s="10" t="n"/>
      <c r="B541" s="10" t="n"/>
      <c r="C541" s="346" t="n"/>
      <c r="D541" s="347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348" t="n"/>
      <c r="N541" s="10" t="n"/>
      <c r="O541" s="10" t="n"/>
      <c r="P541" s="10" t="n"/>
      <c r="Q541" s="10" t="n"/>
      <c r="R541" s="10" t="n"/>
      <c r="S541" s="349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</row>
    <row r="542" ht="15.75" customHeight="1" s="1349">
      <c r="A542" s="10" t="n"/>
      <c r="B542" s="10" t="n"/>
      <c r="C542" s="346" t="n"/>
      <c r="D542" s="347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348" t="n"/>
      <c r="N542" s="10" t="n"/>
      <c r="O542" s="10" t="n"/>
      <c r="P542" s="10" t="n"/>
      <c r="Q542" s="10" t="n"/>
      <c r="R542" s="10" t="n"/>
      <c r="S542" s="349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</row>
    <row r="543" ht="15.75" customHeight="1" s="1349">
      <c r="A543" s="10" t="n"/>
      <c r="B543" s="10" t="n"/>
      <c r="C543" s="346" t="n"/>
      <c r="D543" s="347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348" t="n"/>
      <c r="N543" s="10" t="n"/>
      <c r="O543" s="10" t="n"/>
      <c r="P543" s="10" t="n"/>
      <c r="Q543" s="10" t="n"/>
      <c r="R543" s="10" t="n"/>
      <c r="S543" s="349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  <c r="AD543" s="10" t="n"/>
      <c r="AE543" s="10" t="n"/>
      <c r="AF543" s="10" t="n"/>
      <c r="AG543" s="10" t="n"/>
    </row>
    <row r="544" ht="15.75" customHeight="1" s="1349">
      <c r="A544" s="10" t="n"/>
      <c r="B544" s="10" t="n"/>
      <c r="C544" s="346" t="n"/>
      <c r="D544" s="347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348" t="n"/>
      <c r="N544" s="10" t="n"/>
      <c r="O544" s="10" t="n"/>
      <c r="P544" s="10" t="n"/>
      <c r="Q544" s="10" t="n"/>
      <c r="R544" s="10" t="n"/>
      <c r="S544" s="349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</row>
    <row r="545" ht="15.75" customHeight="1" s="1349">
      <c r="A545" s="10" t="n"/>
      <c r="B545" s="10" t="n"/>
      <c r="C545" s="346" t="n"/>
      <c r="D545" s="347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348" t="n"/>
      <c r="N545" s="10" t="n"/>
      <c r="O545" s="10" t="n"/>
      <c r="P545" s="10" t="n"/>
      <c r="Q545" s="10" t="n"/>
      <c r="R545" s="10" t="n"/>
      <c r="S545" s="349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  <c r="AD545" s="10" t="n"/>
      <c r="AE545" s="10" t="n"/>
      <c r="AF545" s="10" t="n"/>
      <c r="AG545" s="10" t="n"/>
    </row>
    <row r="546" ht="15.75" customHeight="1" s="1349">
      <c r="A546" s="10" t="n"/>
      <c r="B546" s="10" t="n"/>
      <c r="C546" s="346" t="n"/>
      <c r="D546" s="347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348" t="n"/>
      <c r="N546" s="10" t="n"/>
      <c r="O546" s="10" t="n"/>
      <c r="P546" s="10" t="n"/>
      <c r="Q546" s="10" t="n"/>
      <c r="R546" s="10" t="n"/>
      <c r="S546" s="349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</row>
    <row r="547" ht="15.75" customHeight="1" s="1349">
      <c r="A547" s="10" t="n"/>
      <c r="B547" s="10" t="n"/>
      <c r="C547" s="346" t="n"/>
      <c r="D547" s="347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348" t="n"/>
      <c r="N547" s="10" t="n"/>
      <c r="O547" s="10" t="n"/>
      <c r="P547" s="10" t="n"/>
      <c r="Q547" s="10" t="n"/>
      <c r="R547" s="10" t="n"/>
      <c r="S547" s="349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0" t="n"/>
    </row>
    <row r="548" ht="15.75" customHeight="1" s="1349">
      <c r="A548" s="10" t="n"/>
      <c r="B548" s="10" t="n"/>
      <c r="C548" s="346" t="n"/>
      <c r="D548" s="347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348" t="n"/>
      <c r="N548" s="10" t="n"/>
      <c r="O548" s="10" t="n"/>
      <c r="P548" s="10" t="n"/>
      <c r="Q548" s="10" t="n"/>
      <c r="R548" s="10" t="n"/>
      <c r="S548" s="349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  <c r="AD548" s="10" t="n"/>
      <c r="AE548" s="10" t="n"/>
      <c r="AF548" s="10" t="n"/>
      <c r="AG548" s="10" t="n"/>
    </row>
    <row r="549" ht="15.75" customHeight="1" s="1349">
      <c r="A549" s="10" t="n"/>
      <c r="B549" s="10" t="n"/>
      <c r="C549" s="346" t="n"/>
      <c r="D549" s="347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348" t="n"/>
      <c r="N549" s="10" t="n"/>
      <c r="O549" s="10" t="n"/>
      <c r="P549" s="10" t="n"/>
      <c r="Q549" s="10" t="n"/>
      <c r="R549" s="10" t="n"/>
      <c r="S549" s="349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  <c r="AD549" s="10" t="n"/>
      <c r="AE549" s="10" t="n"/>
      <c r="AF549" s="10" t="n"/>
      <c r="AG549" s="10" t="n"/>
    </row>
    <row r="550" ht="15.75" customHeight="1" s="1349">
      <c r="A550" s="10" t="n"/>
      <c r="B550" s="10" t="n"/>
      <c r="C550" s="346" t="n"/>
      <c r="D550" s="347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348" t="n"/>
      <c r="N550" s="10" t="n"/>
      <c r="O550" s="10" t="n"/>
      <c r="P550" s="10" t="n"/>
      <c r="Q550" s="10" t="n"/>
      <c r="R550" s="10" t="n"/>
      <c r="S550" s="349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  <c r="AD550" s="10" t="n"/>
      <c r="AE550" s="10" t="n"/>
      <c r="AF550" s="10" t="n"/>
      <c r="AG550" s="10" t="n"/>
    </row>
    <row r="551" ht="15.75" customHeight="1" s="1349">
      <c r="A551" s="10" t="n"/>
      <c r="B551" s="10" t="n"/>
      <c r="C551" s="346" t="n"/>
      <c r="D551" s="347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348" t="n"/>
      <c r="N551" s="10" t="n"/>
      <c r="O551" s="10" t="n"/>
      <c r="P551" s="10" t="n"/>
      <c r="Q551" s="10" t="n"/>
      <c r="R551" s="10" t="n"/>
      <c r="S551" s="349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  <c r="AD551" s="10" t="n"/>
      <c r="AE551" s="10" t="n"/>
      <c r="AF551" s="10" t="n"/>
      <c r="AG551" s="10" t="n"/>
    </row>
    <row r="552" ht="15.75" customHeight="1" s="1349">
      <c r="A552" s="10" t="n"/>
      <c r="B552" s="10" t="n"/>
      <c r="C552" s="346" t="n"/>
      <c r="D552" s="347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348" t="n"/>
      <c r="N552" s="10" t="n"/>
      <c r="O552" s="10" t="n"/>
      <c r="P552" s="10" t="n"/>
      <c r="Q552" s="10" t="n"/>
      <c r="R552" s="10" t="n"/>
      <c r="S552" s="349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  <c r="AD552" s="10" t="n"/>
      <c r="AE552" s="10" t="n"/>
      <c r="AF552" s="10" t="n"/>
      <c r="AG552" s="10" t="n"/>
    </row>
    <row r="553" ht="15.75" customHeight="1" s="1349">
      <c r="A553" s="10" t="n"/>
      <c r="B553" s="10" t="n"/>
      <c r="C553" s="346" t="n"/>
      <c r="D553" s="347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348" t="n"/>
      <c r="N553" s="10" t="n"/>
      <c r="O553" s="10" t="n"/>
      <c r="P553" s="10" t="n"/>
      <c r="Q553" s="10" t="n"/>
      <c r="R553" s="10" t="n"/>
      <c r="S553" s="349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  <c r="AD553" s="10" t="n"/>
      <c r="AE553" s="10" t="n"/>
      <c r="AF553" s="10" t="n"/>
      <c r="AG553" s="10" t="n"/>
    </row>
    <row r="554" ht="15.75" customHeight="1" s="1349">
      <c r="A554" s="10" t="n"/>
      <c r="B554" s="10" t="n"/>
      <c r="C554" s="346" t="n"/>
      <c r="D554" s="347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348" t="n"/>
      <c r="N554" s="10" t="n"/>
      <c r="O554" s="10" t="n"/>
      <c r="P554" s="10" t="n"/>
      <c r="Q554" s="10" t="n"/>
      <c r="R554" s="10" t="n"/>
      <c r="S554" s="349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  <c r="AD554" s="10" t="n"/>
      <c r="AE554" s="10" t="n"/>
      <c r="AF554" s="10" t="n"/>
      <c r="AG554" s="10" t="n"/>
    </row>
    <row r="555" ht="15.75" customHeight="1" s="1349">
      <c r="A555" s="10" t="n"/>
      <c r="B555" s="10" t="n"/>
      <c r="C555" s="346" t="n"/>
      <c r="D555" s="347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348" t="n"/>
      <c r="N555" s="10" t="n"/>
      <c r="O555" s="10" t="n"/>
      <c r="P555" s="10" t="n"/>
      <c r="Q555" s="10" t="n"/>
      <c r="R555" s="10" t="n"/>
      <c r="S555" s="349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  <c r="AD555" s="10" t="n"/>
      <c r="AE555" s="10" t="n"/>
      <c r="AF555" s="10" t="n"/>
      <c r="AG555" s="10" t="n"/>
    </row>
    <row r="556" ht="15.75" customHeight="1" s="1349">
      <c r="A556" s="10" t="n"/>
      <c r="B556" s="10" t="n"/>
      <c r="C556" s="346" t="n"/>
      <c r="D556" s="347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348" t="n"/>
      <c r="N556" s="10" t="n"/>
      <c r="O556" s="10" t="n"/>
      <c r="P556" s="10" t="n"/>
      <c r="Q556" s="10" t="n"/>
      <c r="R556" s="10" t="n"/>
      <c r="S556" s="349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</row>
    <row r="557" ht="15.75" customHeight="1" s="1349">
      <c r="A557" s="10" t="n"/>
      <c r="B557" s="10" t="n"/>
      <c r="C557" s="346" t="n"/>
      <c r="D557" s="347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348" t="n"/>
      <c r="N557" s="10" t="n"/>
      <c r="O557" s="10" t="n"/>
      <c r="P557" s="10" t="n"/>
      <c r="Q557" s="10" t="n"/>
      <c r="R557" s="10" t="n"/>
      <c r="S557" s="349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  <c r="AD557" s="10" t="n"/>
      <c r="AE557" s="10" t="n"/>
      <c r="AF557" s="10" t="n"/>
      <c r="AG557" s="10" t="n"/>
    </row>
    <row r="558" ht="15.75" customHeight="1" s="1349">
      <c r="A558" s="10" t="n"/>
      <c r="B558" s="10" t="n"/>
      <c r="C558" s="346" t="n"/>
      <c r="D558" s="347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348" t="n"/>
      <c r="N558" s="10" t="n"/>
      <c r="O558" s="10" t="n"/>
      <c r="P558" s="10" t="n"/>
      <c r="Q558" s="10" t="n"/>
      <c r="R558" s="10" t="n"/>
      <c r="S558" s="349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</row>
    <row r="559" ht="15.75" customHeight="1" s="1349">
      <c r="A559" s="10" t="n"/>
      <c r="B559" s="10" t="n"/>
      <c r="C559" s="346" t="n"/>
      <c r="D559" s="347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348" t="n"/>
      <c r="N559" s="10" t="n"/>
      <c r="O559" s="10" t="n"/>
      <c r="P559" s="10" t="n"/>
      <c r="Q559" s="10" t="n"/>
      <c r="R559" s="10" t="n"/>
      <c r="S559" s="349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</row>
    <row r="560" ht="15.75" customHeight="1" s="1349">
      <c r="A560" s="10" t="n"/>
      <c r="B560" s="10" t="n"/>
      <c r="C560" s="346" t="n"/>
      <c r="D560" s="347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348" t="n"/>
      <c r="N560" s="10" t="n"/>
      <c r="O560" s="10" t="n"/>
      <c r="P560" s="10" t="n"/>
      <c r="Q560" s="10" t="n"/>
      <c r="R560" s="10" t="n"/>
      <c r="S560" s="349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</row>
    <row r="561" ht="15.75" customHeight="1" s="1349">
      <c r="A561" s="10" t="n"/>
      <c r="B561" s="10" t="n"/>
      <c r="C561" s="346" t="n"/>
      <c r="D561" s="347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348" t="n"/>
      <c r="N561" s="10" t="n"/>
      <c r="O561" s="10" t="n"/>
      <c r="P561" s="10" t="n"/>
      <c r="Q561" s="10" t="n"/>
      <c r="R561" s="10" t="n"/>
      <c r="S561" s="349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</row>
    <row r="562" ht="15.75" customHeight="1" s="1349">
      <c r="A562" s="10" t="n"/>
      <c r="B562" s="10" t="n"/>
      <c r="C562" s="346" t="n"/>
      <c r="D562" s="347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348" t="n"/>
      <c r="N562" s="10" t="n"/>
      <c r="O562" s="10" t="n"/>
      <c r="P562" s="10" t="n"/>
      <c r="Q562" s="10" t="n"/>
      <c r="R562" s="10" t="n"/>
      <c r="S562" s="349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</row>
    <row r="563" ht="15.75" customHeight="1" s="1349">
      <c r="A563" s="10" t="n"/>
      <c r="B563" s="10" t="n"/>
      <c r="C563" s="346" t="n"/>
      <c r="D563" s="347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348" t="n"/>
      <c r="N563" s="10" t="n"/>
      <c r="O563" s="10" t="n"/>
      <c r="P563" s="10" t="n"/>
      <c r="Q563" s="10" t="n"/>
      <c r="R563" s="10" t="n"/>
      <c r="S563" s="349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</row>
    <row r="564" ht="15.75" customHeight="1" s="1349">
      <c r="A564" s="10" t="n"/>
      <c r="B564" s="10" t="n"/>
      <c r="C564" s="346" t="n"/>
      <c r="D564" s="347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348" t="n"/>
      <c r="N564" s="10" t="n"/>
      <c r="O564" s="10" t="n"/>
      <c r="P564" s="10" t="n"/>
      <c r="Q564" s="10" t="n"/>
      <c r="R564" s="10" t="n"/>
      <c r="S564" s="349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</row>
    <row r="565" ht="15.75" customHeight="1" s="1349">
      <c r="A565" s="10" t="n"/>
      <c r="B565" s="10" t="n"/>
      <c r="C565" s="346" t="n"/>
      <c r="D565" s="347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348" t="n"/>
      <c r="N565" s="10" t="n"/>
      <c r="O565" s="10" t="n"/>
      <c r="P565" s="10" t="n"/>
      <c r="Q565" s="10" t="n"/>
      <c r="R565" s="10" t="n"/>
      <c r="S565" s="349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</row>
    <row r="566" ht="15.75" customHeight="1" s="1349">
      <c r="A566" s="10" t="n"/>
      <c r="B566" s="10" t="n"/>
      <c r="C566" s="346" t="n"/>
      <c r="D566" s="347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348" t="n"/>
      <c r="N566" s="10" t="n"/>
      <c r="O566" s="10" t="n"/>
      <c r="P566" s="10" t="n"/>
      <c r="Q566" s="10" t="n"/>
      <c r="R566" s="10" t="n"/>
      <c r="S566" s="349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</row>
    <row r="567" ht="15.75" customHeight="1" s="1349">
      <c r="A567" s="10" t="n"/>
      <c r="B567" s="10" t="n"/>
      <c r="C567" s="346" t="n"/>
      <c r="D567" s="347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348" t="n"/>
      <c r="N567" s="10" t="n"/>
      <c r="O567" s="10" t="n"/>
      <c r="P567" s="10" t="n"/>
      <c r="Q567" s="10" t="n"/>
      <c r="R567" s="10" t="n"/>
      <c r="S567" s="349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</row>
    <row r="568" ht="15.75" customHeight="1" s="1349">
      <c r="A568" s="10" t="n"/>
      <c r="B568" s="10" t="n"/>
      <c r="C568" s="346" t="n"/>
      <c r="D568" s="347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348" t="n"/>
      <c r="N568" s="10" t="n"/>
      <c r="O568" s="10" t="n"/>
      <c r="P568" s="10" t="n"/>
      <c r="Q568" s="10" t="n"/>
      <c r="R568" s="10" t="n"/>
      <c r="S568" s="349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</row>
    <row r="569" ht="15.75" customHeight="1" s="1349">
      <c r="A569" s="10" t="n"/>
      <c r="B569" s="10" t="n"/>
      <c r="C569" s="346" t="n"/>
      <c r="D569" s="347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348" t="n"/>
      <c r="N569" s="10" t="n"/>
      <c r="O569" s="10" t="n"/>
      <c r="P569" s="10" t="n"/>
      <c r="Q569" s="10" t="n"/>
      <c r="R569" s="10" t="n"/>
      <c r="S569" s="349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</row>
    <row r="570" ht="15.75" customHeight="1" s="1349">
      <c r="A570" s="10" t="n"/>
      <c r="B570" s="10" t="n"/>
      <c r="C570" s="346" t="n"/>
      <c r="D570" s="347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348" t="n"/>
      <c r="N570" s="10" t="n"/>
      <c r="O570" s="10" t="n"/>
      <c r="P570" s="10" t="n"/>
      <c r="Q570" s="10" t="n"/>
      <c r="R570" s="10" t="n"/>
      <c r="S570" s="349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</row>
    <row r="571" ht="15.75" customHeight="1" s="1349">
      <c r="A571" s="10" t="n"/>
      <c r="B571" s="10" t="n"/>
      <c r="C571" s="346" t="n"/>
      <c r="D571" s="347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348" t="n"/>
      <c r="N571" s="10" t="n"/>
      <c r="O571" s="10" t="n"/>
      <c r="P571" s="10" t="n"/>
      <c r="Q571" s="10" t="n"/>
      <c r="R571" s="10" t="n"/>
      <c r="S571" s="349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</row>
    <row r="572" ht="15.75" customHeight="1" s="1349">
      <c r="A572" s="10" t="n"/>
      <c r="B572" s="10" t="n"/>
      <c r="C572" s="346" t="n"/>
      <c r="D572" s="347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348" t="n"/>
      <c r="N572" s="10" t="n"/>
      <c r="O572" s="10" t="n"/>
      <c r="P572" s="10" t="n"/>
      <c r="Q572" s="10" t="n"/>
      <c r="R572" s="10" t="n"/>
      <c r="S572" s="349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</row>
    <row r="573" ht="15.75" customHeight="1" s="1349">
      <c r="A573" s="10" t="n"/>
      <c r="B573" s="10" t="n"/>
      <c r="C573" s="346" t="n"/>
      <c r="D573" s="347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348" t="n"/>
      <c r="N573" s="10" t="n"/>
      <c r="O573" s="10" t="n"/>
      <c r="P573" s="10" t="n"/>
      <c r="Q573" s="10" t="n"/>
      <c r="R573" s="10" t="n"/>
      <c r="S573" s="349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</row>
    <row r="574" ht="15.75" customHeight="1" s="1349">
      <c r="A574" s="10" t="n"/>
      <c r="B574" s="10" t="n"/>
      <c r="C574" s="346" t="n"/>
      <c r="D574" s="347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348" t="n"/>
      <c r="N574" s="10" t="n"/>
      <c r="O574" s="10" t="n"/>
      <c r="P574" s="10" t="n"/>
      <c r="Q574" s="10" t="n"/>
      <c r="R574" s="10" t="n"/>
      <c r="S574" s="349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</row>
    <row r="575" ht="15.75" customHeight="1" s="1349">
      <c r="A575" s="10" t="n"/>
      <c r="B575" s="10" t="n"/>
      <c r="C575" s="346" t="n"/>
      <c r="D575" s="347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348" t="n"/>
      <c r="N575" s="10" t="n"/>
      <c r="O575" s="10" t="n"/>
      <c r="P575" s="10" t="n"/>
      <c r="Q575" s="10" t="n"/>
      <c r="R575" s="10" t="n"/>
      <c r="S575" s="349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</row>
    <row r="576" ht="15.75" customHeight="1" s="1349">
      <c r="A576" s="10" t="n"/>
      <c r="B576" s="10" t="n"/>
      <c r="C576" s="346" t="n"/>
      <c r="D576" s="347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348" t="n"/>
      <c r="N576" s="10" t="n"/>
      <c r="O576" s="10" t="n"/>
      <c r="P576" s="10" t="n"/>
      <c r="Q576" s="10" t="n"/>
      <c r="R576" s="10" t="n"/>
      <c r="S576" s="349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</row>
    <row r="577" ht="15.75" customHeight="1" s="1349">
      <c r="A577" s="10" t="n"/>
      <c r="B577" s="10" t="n"/>
      <c r="C577" s="346" t="n"/>
      <c r="D577" s="347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348" t="n"/>
      <c r="N577" s="10" t="n"/>
      <c r="O577" s="10" t="n"/>
      <c r="P577" s="10" t="n"/>
      <c r="Q577" s="10" t="n"/>
      <c r="R577" s="10" t="n"/>
      <c r="S577" s="349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</row>
    <row r="578" ht="15.75" customHeight="1" s="1349">
      <c r="A578" s="10" t="n"/>
      <c r="B578" s="10" t="n"/>
      <c r="C578" s="346" t="n"/>
      <c r="D578" s="347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348" t="n"/>
      <c r="N578" s="10" t="n"/>
      <c r="O578" s="10" t="n"/>
      <c r="P578" s="10" t="n"/>
      <c r="Q578" s="10" t="n"/>
      <c r="R578" s="10" t="n"/>
      <c r="S578" s="349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</row>
    <row r="579" ht="15.75" customHeight="1" s="1349">
      <c r="A579" s="10" t="n"/>
      <c r="B579" s="10" t="n"/>
      <c r="C579" s="346" t="n"/>
      <c r="D579" s="347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348" t="n"/>
      <c r="N579" s="10" t="n"/>
      <c r="O579" s="10" t="n"/>
      <c r="P579" s="10" t="n"/>
      <c r="Q579" s="10" t="n"/>
      <c r="R579" s="10" t="n"/>
      <c r="S579" s="349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</row>
    <row r="580" ht="15.75" customHeight="1" s="1349">
      <c r="A580" s="10" t="n"/>
      <c r="B580" s="10" t="n"/>
      <c r="C580" s="346" t="n"/>
      <c r="D580" s="347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348" t="n"/>
      <c r="N580" s="10" t="n"/>
      <c r="O580" s="10" t="n"/>
      <c r="P580" s="10" t="n"/>
      <c r="Q580" s="10" t="n"/>
      <c r="R580" s="10" t="n"/>
      <c r="S580" s="349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</row>
    <row r="581" ht="15.75" customHeight="1" s="1349">
      <c r="A581" s="10" t="n"/>
      <c r="B581" s="10" t="n"/>
      <c r="C581" s="346" t="n"/>
      <c r="D581" s="347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348" t="n"/>
      <c r="N581" s="10" t="n"/>
      <c r="O581" s="10" t="n"/>
      <c r="P581" s="10" t="n"/>
      <c r="Q581" s="10" t="n"/>
      <c r="R581" s="10" t="n"/>
      <c r="S581" s="349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</row>
    <row r="582" ht="15.75" customHeight="1" s="1349">
      <c r="A582" s="10" t="n"/>
      <c r="B582" s="10" t="n"/>
      <c r="C582" s="346" t="n"/>
      <c r="D582" s="347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348" t="n"/>
      <c r="N582" s="10" t="n"/>
      <c r="O582" s="10" t="n"/>
      <c r="P582" s="10" t="n"/>
      <c r="Q582" s="10" t="n"/>
      <c r="R582" s="10" t="n"/>
      <c r="S582" s="349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</row>
    <row r="583" ht="15.75" customHeight="1" s="1349">
      <c r="A583" s="10" t="n"/>
      <c r="B583" s="10" t="n"/>
      <c r="C583" s="346" t="n"/>
      <c r="D583" s="347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348" t="n"/>
      <c r="N583" s="10" t="n"/>
      <c r="O583" s="10" t="n"/>
      <c r="P583" s="10" t="n"/>
      <c r="Q583" s="10" t="n"/>
      <c r="R583" s="10" t="n"/>
      <c r="S583" s="349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</row>
    <row r="584" ht="15.75" customHeight="1" s="1349">
      <c r="A584" s="10" t="n"/>
      <c r="B584" s="10" t="n"/>
      <c r="C584" s="346" t="n"/>
      <c r="D584" s="347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348" t="n"/>
      <c r="N584" s="10" t="n"/>
      <c r="O584" s="10" t="n"/>
      <c r="P584" s="10" t="n"/>
      <c r="Q584" s="10" t="n"/>
      <c r="R584" s="10" t="n"/>
      <c r="S584" s="349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  <c r="AF584" s="10" t="n"/>
      <c r="AG584" s="10" t="n"/>
    </row>
    <row r="585" ht="15.75" customHeight="1" s="1349">
      <c r="A585" s="10" t="n"/>
      <c r="B585" s="10" t="n"/>
      <c r="C585" s="346" t="n"/>
      <c r="D585" s="347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348" t="n"/>
      <c r="N585" s="10" t="n"/>
      <c r="O585" s="10" t="n"/>
      <c r="P585" s="10" t="n"/>
      <c r="Q585" s="10" t="n"/>
      <c r="R585" s="10" t="n"/>
      <c r="S585" s="349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  <c r="AD585" s="10" t="n"/>
      <c r="AE585" s="10" t="n"/>
      <c r="AF585" s="10" t="n"/>
      <c r="AG585" s="10" t="n"/>
    </row>
    <row r="586" ht="15.75" customHeight="1" s="1349">
      <c r="A586" s="10" t="n"/>
      <c r="B586" s="10" t="n"/>
      <c r="C586" s="346" t="n"/>
      <c r="D586" s="347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348" t="n"/>
      <c r="N586" s="10" t="n"/>
      <c r="O586" s="10" t="n"/>
      <c r="P586" s="10" t="n"/>
      <c r="Q586" s="10" t="n"/>
      <c r="R586" s="10" t="n"/>
      <c r="S586" s="349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  <c r="AD586" s="10" t="n"/>
      <c r="AE586" s="10" t="n"/>
      <c r="AF586" s="10" t="n"/>
      <c r="AG586" s="10" t="n"/>
    </row>
    <row r="587" ht="15.75" customHeight="1" s="1349">
      <c r="A587" s="10" t="n"/>
      <c r="B587" s="10" t="n"/>
      <c r="C587" s="346" t="n"/>
      <c r="D587" s="347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348" t="n"/>
      <c r="N587" s="10" t="n"/>
      <c r="O587" s="10" t="n"/>
      <c r="P587" s="10" t="n"/>
      <c r="Q587" s="10" t="n"/>
      <c r="R587" s="10" t="n"/>
      <c r="S587" s="349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  <c r="AD587" s="10" t="n"/>
      <c r="AE587" s="10" t="n"/>
      <c r="AF587" s="10" t="n"/>
      <c r="AG587" s="10" t="n"/>
    </row>
    <row r="588" ht="15.75" customHeight="1" s="1349">
      <c r="A588" s="10" t="n"/>
      <c r="B588" s="10" t="n"/>
      <c r="C588" s="346" t="n"/>
      <c r="D588" s="347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348" t="n"/>
      <c r="N588" s="10" t="n"/>
      <c r="O588" s="10" t="n"/>
      <c r="P588" s="10" t="n"/>
      <c r="Q588" s="10" t="n"/>
      <c r="R588" s="10" t="n"/>
      <c r="S588" s="349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0" t="n"/>
    </row>
    <row r="589" ht="15.75" customHeight="1" s="1349">
      <c r="A589" s="10" t="n"/>
      <c r="B589" s="10" t="n"/>
      <c r="C589" s="346" t="n"/>
      <c r="D589" s="347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348" t="n"/>
      <c r="N589" s="10" t="n"/>
      <c r="O589" s="10" t="n"/>
      <c r="P589" s="10" t="n"/>
      <c r="Q589" s="10" t="n"/>
      <c r="R589" s="10" t="n"/>
      <c r="S589" s="349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</row>
    <row r="590" ht="15.75" customHeight="1" s="1349">
      <c r="A590" s="10" t="n"/>
      <c r="B590" s="10" t="n"/>
      <c r="C590" s="346" t="n"/>
      <c r="D590" s="347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348" t="n"/>
      <c r="N590" s="10" t="n"/>
      <c r="O590" s="10" t="n"/>
      <c r="P590" s="10" t="n"/>
      <c r="Q590" s="10" t="n"/>
      <c r="R590" s="10" t="n"/>
      <c r="S590" s="349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  <c r="AD590" s="10" t="n"/>
      <c r="AE590" s="10" t="n"/>
      <c r="AF590" s="10" t="n"/>
      <c r="AG590" s="10" t="n"/>
    </row>
    <row r="591" ht="15.75" customHeight="1" s="1349">
      <c r="A591" s="10" t="n"/>
      <c r="B591" s="10" t="n"/>
      <c r="C591" s="346" t="n"/>
      <c r="D591" s="347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348" t="n"/>
      <c r="N591" s="10" t="n"/>
      <c r="O591" s="10" t="n"/>
      <c r="P591" s="10" t="n"/>
      <c r="Q591" s="10" t="n"/>
      <c r="R591" s="10" t="n"/>
      <c r="S591" s="349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  <c r="AD591" s="10" t="n"/>
      <c r="AE591" s="10" t="n"/>
      <c r="AF591" s="10" t="n"/>
      <c r="AG591" s="10" t="n"/>
    </row>
    <row r="592" ht="15.75" customHeight="1" s="1349">
      <c r="A592" s="10" t="n"/>
      <c r="B592" s="10" t="n"/>
      <c r="C592" s="346" t="n"/>
      <c r="D592" s="347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348" t="n"/>
      <c r="N592" s="10" t="n"/>
      <c r="O592" s="10" t="n"/>
      <c r="P592" s="10" t="n"/>
      <c r="Q592" s="10" t="n"/>
      <c r="R592" s="10" t="n"/>
      <c r="S592" s="349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  <c r="AD592" s="10" t="n"/>
      <c r="AE592" s="10" t="n"/>
      <c r="AF592" s="10" t="n"/>
      <c r="AG592" s="10" t="n"/>
    </row>
    <row r="593" ht="15.75" customHeight="1" s="1349">
      <c r="A593" s="10" t="n"/>
      <c r="B593" s="10" t="n"/>
      <c r="C593" s="346" t="n"/>
      <c r="D593" s="347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348" t="n"/>
      <c r="N593" s="10" t="n"/>
      <c r="O593" s="10" t="n"/>
      <c r="P593" s="10" t="n"/>
      <c r="Q593" s="10" t="n"/>
      <c r="R593" s="10" t="n"/>
      <c r="S593" s="349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  <c r="AD593" s="10" t="n"/>
      <c r="AE593" s="10" t="n"/>
      <c r="AF593" s="10" t="n"/>
      <c r="AG593" s="10" t="n"/>
    </row>
    <row r="594" ht="15.75" customHeight="1" s="1349">
      <c r="A594" s="10" t="n"/>
      <c r="B594" s="10" t="n"/>
      <c r="C594" s="346" t="n"/>
      <c r="D594" s="347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348" t="n"/>
      <c r="N594" s="10" t="n"/>
      <c r="O594" s="10" t="n"/>
      <c r="P594" s="10" t="n"/>
      <c r="Q594" s="10" t="n"/>
      <c r="R594" s="10" t="n"/>
      <c r="S594" s="349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  <c r="AD594" s="10" t="n"/>
      <c r="AE594" s="10" t="n"/>
      <c r="AF594" s="10" t="n"/>
      <c r="AG594" s="10" t="n"/>
    </row>
    <row r="595" ht="15.75" customHeight="1" s="1349">
      <c r="A595" s="10" t="n"/>
      <c r="B595" s="10" t="n"/>
      <c r="C595" s="346" t="n"/>
      <c r="D595" s="347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348" t="n"/>
      <c r="N595" s="10" t="n"/>
      <c r="O595" s="10" t="n"/>
      <c r="P595" s="10" t="n"/>
      <c r="Q595" s="10" t="n"/>
      <c r="R595" s="10" t="n"/>
      <c r="S595" s="349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0" t="n"/>
    </row>
    <row r="596" ht="15.75" customHeight="1" s="1349">
      <c r="A596" s="10" t="n"/>
      <c r="B596" s="10" t="n"/>
      <c r="C596" s="346" t="n"/>
      <c r="D596" s="347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348" t="n"/>
      <c r="N596" s="10" t="n"/>
      <c r="O596" s="10" t="n"/>
      <c r="P596" s="10" t="n"/>
      <c r="Q596" s="10" t="n"/>
      <c r="R596" s="10" t="n"/>
      <c r="S596" s="349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  <c r="AD596" s="10" t="n"/>
      <c r="AE596" s="10" t="n"/>
      <c r="AF596" s="10" t="n"/>
      <c r="AG596" s="10" t="n"/>
    </row>
    <row r="597" ht="15.75" customHeight="1" s="1349">
      <c r="A597" s="10" t="n"/>
      <c r="B597" s="10" t="n"/>
      <c r="C597" s="346" t="n"/>
      <c r="D597" s="347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348" t="n"/>
      <c r="N597" s="10" t="n"/>
      <c r="O597" s="10" t="n"/>
      <c r="P597" s="10" t="n"/>
      <c r="Q597" s="10" t="n"/>
      <c r="R597" s="10" t="n"/>
      <c r="S597" s="349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  <c r="AD597" s="10" t="n"/>
      <c r="AE597" s="10" t="n"/>
      <c r="AF597" s="10" t="n"/>
      <c r="AG597" s="10" t="n"/>
    </row>
    <row r="598" ht="15.75" customHeight="1" s="1349">
      <c r="A598" s="10" t="n"/>
      <c r="B598" s="10" t="n"/>
      <c r="C598" s="346" t="n"/>
      <c r="D598" s="347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348" t="n"/>
      <c r="N598" s="10" t="n"/>
      <c r="O598" s="10" t="n"/>
      <c r="P598" s="10" t="n"/>
      <c r="Q598" s="10" t="n"/>
      <c r="R598" s="10" t="n"/>
      <c r="S598" s="349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n"/>
    </row>
    <row r="599" ht="15.75" customHeight="1" s="1349">
      <c r="A599" s="10" t="n"/>
      <c r="B599" s="10" t="n"/>
      <c r="C599" s="346" t="n"/>
      <c r="D599" s="347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348" t="n"/>
      <c r="N599" s="10" t="n"/>
      <c r="O599" s="10" t="n"/>
      <c r="P599" s="10" t="n"/>
      <c r="Q599" s="10" t="n"/>
      <c r="R599" s="10" t="n"/>
      <c r="S599" s="349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  <c r="AD599" s="10" t="n"/>
      <c r="AE599" s="10" t="n"/>
      <c r="AF599" s="10" t="n"/>
      <c r="AG599" s="10" t="n"/>
    </row>
    <row r="600" ht="15.75" customHeight="1" s="1349">
      <c r="A600" s="10" t="n"/>
      <c r="B600" s="10" t="n"/>
      <c r="C600" s="346" t="n"/>
      <c r="D600" s="347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348" t="n"/>
      <c r="N600" s="10" t="n"/>
      <c r="O600" s="10" t="n"/>
      <c r="P600" s="10" t="n"/>
      <c r="Q600" s="10" t="n"/>
      <c r="R600" s="10" t="n"/>
      <c r="S600" s="349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  <c r="AF600" s="10" t="n"/>
      <c r="AG600" s="10" t="n"/>
    </row>
    <row r="601" ht="15.75" customHeight="1" s="1349">
      <c r="A601" s="10" t="n"/>
      <c r="B601" s="10" t="n"/>
      <c r="C601" s="346" t="n"/>
      <c r="D601" s="347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348" t="n"/>
      <c r="N601" s="10" t="n"/>
      <c r="O601" s="10" t="n"/>
      <c r="P601" s="10" t="n"/>
      <c r="Q601" s="10" t="n"/>
      <c r="R601" s="10" t="n"/>
      <c r="S601" s="349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  <c r="AD601" s="10" t="n"/>
      <c r="AE601" s="10" t="n"/>
      <c r="AF601" s="10" t="n"/>
      <c r="AG601" s="10" t="n"/>
    </row>
    <row r="602" ht="15.75" customHeight="1" s="1349">
      <c r="A602" s="10" t="n"/>
      <c r="B602" s="10" t="n"/>
      <c r="C602" s="346" t="n"/>
      <c r="D602" s="347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348" t="n"/>
      <c r="N602" s="10" t="n"/>
      <c r="O602" s="10" t="n"/>
      <c r="P602" s="10" t="n"/>
      <c r="Q602" s="10" t="n"/>
      <c r="R602" s="10" t="n"/>
      <c r="S602" s="349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  <c r="AD602" s="10" t="n"/>
      <c r="AE602" s="10" t="n"/>
      <c r="AF602" s="10" t="n"/>
      <c r="AG602" s="10" t="n"/>
    </row>
    <row r="603" ht="15.75" customHeight="1" s="1349">
      <c r="A603" s="10" t="n"/>
      <c r="B603" s="10" t="n"/>
      <c r="C603" s="346" t="n"/>
      <c r="D603" s="347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348" t="n"/>
      <c r="N603" s="10" t="n"/>
      <c r="O603" s="10" t="n"/>
      <c r="P603" s="10" t="n"/>
      <c r="Q603" s="10" t="n"/>
      <c r="R603" s="10" t="n"/>
      <c r="S603" s="349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</row>
    <row r="604" ht="15.75" customHeight="1" s="1349">
      <c r="A604" s="10" t="n"/>
      <c r="B604" s="10" t="n"/>
      <c r="C604" s="346" t="n"/>
      <c r="D604" s="347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348" t="n"/>
      <c r="N604" s="10" t="n"/>
      <c r="O604" s="10" t="n"/>
      <c r="P604" s="10" t="n"/>
      <c r="Q604" s="10" t="n"/>
      <c r="R604" s="10" t="n"/>
      <c r="S604" s="349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</row>
    <row r="605" ht="15.75" customHeight="1" s="1349">
      <c r="A605" s="10" t="n"/>
      <c r="B605" s="10" t="n"/>
      <c r="C605" s="346" t="n"/>
      <c r="D605" s="347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348" t="n"/>
      <c r="N605" s="10" t="n"/>
      <c r="O605" s="10" t="n"/>
      <c r="P605" s="10" t="n"/>
      <c r="Q605" s="10" t="n"/>
      <c r="R605" s="10" t="n"/>
      <c r="S605" s="349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  <c r="AD605" s="10" t="n"/>
      <c r="AE605" s="10" t="n"/>
      <c r="AF605" s="10" t="n"/>
      <c r="AG605" s="10" t="n"/>
    </row>
    <row r="606" ht="15.75" customHeight="1" s="1349">
      <c r="A606" s="10" t="n"/>
      <c r="B606" s="10" t="n"/>
      <c r="C606" s="346" t="n"/>
      <c r="D606" s="347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348" t="n"/>
      <c r="N606" s="10" t="n"/>
      <c r="O606" s="10" t="n"/>
      <c r="P606" s="10" t="n"/>
      <c r="Q606" s="10" t="n"/>
      <c r="R606" s="10" t="n"/>
      <c r="S606" s="349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  <c r="AD606" s="10" t="n"/>
      <c r="AE606" s="10" t="n"/>
      <c r="AF606" s="10" t="n"/>
      <c r="AG606" s="10" t="n"/>
    </row>
    <row r="607" ht="15.75" customHeight="1" s="1349">
      <c r="A607" s="10" t="n"/>
      <c r="B607" s="10" t="n"/>
      <c r="C607" s="346" t="n"/>
      <c r="D607" s="347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348" t="n"/>
      <c r="N607" s="10" t="n"/>
      <c r="O607" s="10" t="n"/>
      <c r="P607" s="10" t="n"/>
      <c r="Q607" s="10" t="n"/>
      <c r="R607" s="10" t="n"/>
      <c r="S607" s="349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  <c r="AD607" s="10" t="n"/>
      <c r="AE607" s="10" t="n"/>
      <c r="AF607" s="10" t="n"/>
      <c r="AG607" s="10" t="n"/>
    </row>
    <row r="608" ht="15.75" customHeight="1" s="1349">
      <c r="A608" s="10" t="n"/>
      <c r="B608" s="10" t="n"/>
      <c r="C608" s="346" t="n"/>
      <c r="D608" s="347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348" t="n"/>
      <c r="N608" s="10" t="n"/>
      <c r="O608" s="10" t="n"/>
      <c r="P608" s="10" t="n"/>
      <c r="Q608" s="10" t="n"/>
      <c r="R608" s="10" t="n"/>
      <c r="S608" s="349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</row>
    <row r="609" ht="15.75" customHeight="1" s="1349">
      <c r="A609" s="10" t="n"/>
      <c r="B609" s="10" t="n"/>
      <c r="C609" s="346" t="n"/>
      <c r="D609" s="347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348" t="n"/>
      <c r="N609" s="10" t="n"/>
      <c r="O609" s="10" t="n"/>
      <c r="P609" s="10" t="n"/>
      <c r="Q609" s="10" t="n"/>
      <c r="R609" s="10" t="n"/>
      <c r="S609" s="349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  <c r="AD609" s="10" t="n"/>
      <c r="AE609" s="10" t="n"/>
      <c r="AF609" s="10" t="n"/>
      <c r="AG609" s="10" t="n"/>
    </row>
    <row r="610" ht="15.75" customHeight="1" s="1349">
      <c r="A610" s="10" t="n"/>
      <c r="B610" s="10" t="n"/>
      <c r="C610" s="346" t="n"/>
      <c r="D610" s="347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348" t="n"/>
      <c r="N610" s="10" t="n"/>
      <c r="O610" s="10" t="n"/>
      <c r="P610" s="10" t="n"/>
      <c r="Q610" s="10" t="n"/>
      <c r="R610" s="10" t="n"/>
      <c r="S610" s="349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</row>
    <row r="611" ht="15.75" customHeight="1" s="1349">
      <c r="A611" s="10" t="n"/>
      <c r="B611" s="10" t="n"/>
      <c r="C611" s="346" t="n"/>
      <c r="D611" s="347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348" t="n"/>
      <c r="N611" s="10" t="n"/>
      <c r="O611" s="10" t="n"/>
      <c r="P611" s="10" t="n"/>
      <c r="Q611" s="10" t="n"/>
      <c r="R611" s="10" t="n"/>
      <c r="S611" s="349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  <c r="AD611" s="10" t="n"/>
      <c r="AE611" s="10" t="n"/>
      <c r="AF611" s="10" t="n"/>
      <c r="AG611" s="10" t="n"/>
    </row>
    <row r="612" ht="15.75" customHeight="1" s="1349">
      <c r="A612" s="10" t="n"/>
      <c r="B612" s="10" t="n"/>
      <c r="C612" s="346" t="n"/>
      <c r="D612" s="347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348" t="n"/>
      <c r="N612" s="10" t="n"/>
      <c r="O612" s="10" t="n"/>
      <c r="P612" s="10" t="n"/>
      <c r="Q612" s="10" t="n"/>
      <c r="R612" s="10" t="n"/>
      <c r="S612" s="349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  <c r="AD612" s="10" t="n"/>
      <c r="AE612" s="10" t="n"/>
      <c r="AF612" s="10" t="n"/>
      <c r="AG612" s="10" t="n"/>
    </row>
    <row r="613" ht="15.75" customHeight="1" s="1349">
      <c r="A613" s="10" t="n"/>
      <c r="B613" s="10" t="n"/>
      <c r="C613" s="346" t="n"/>
      <c r="D613" s="347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348" t="n"/>
      <c r="N613" s="10" t="n"/>
      <c r="O613" s="10" t="n"/>
      <c r="P613" s="10" t="n"/>
      <c r="Q613" s="10" t="n"/>
      <c r="R613" s="10" t="n"/>
      <c r="S613" s="349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  <c r="AD613" s="10" t="n"/>
      <c r="AE613" s="10" t="n"/>
      <c r="AF613" s="10" t="n"/>
      <c r="AG613" s="10" t="n"/>
    </row>
    <row r="614" ht="15.75" customHeight="1" s="1349">
      <c r="A614" s="10" t="n"/>
      <c r="B614" s="10" t="n"/>
      <c r="C614" s="346" t="n"/>
      <c r="D614" s="347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348" t="n"/>
      <c r="N614" s="10" t="n"/>
      <c r="O614" s="10" t="n"/>
      <c r="P614" s="10" t="n"/>
      <c r="Q614" s="10" t="n"/>
      <c r="R614" s="10" t="n"/>
      <c r="S614" s="349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  <c r="AF614" s="10" t="n"/>
      <c r="AG614" s="10" t="n"/>
    </row>
    <row r="615" ht="15.75" customHeight="1" s="1349">
      <c r="A615" s="10" t="n"/>
      <c r="B615" s="10" t="n"/>
      <c r="C615" s="346" t="n"/>
      <c r="D615" s="347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348" t="n"/>
      <c r="N615" s="10" t="n"/>
      <c r="O615" s="10" t="n"/>
      <c r="P615" s="10" t="n"/>
      <c r="Q615" s="10" t="n"/>
      <c r="R615" s="10" t="n"/>
      <c r="S615" s="349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  <c r="AD615" s="10" t="n"/>
      <c r="AE615" s="10" t="n"/>
      <c r="AF615" s="10" t="n"/>
      <c r="AG615" s="10" t="n"/>
    </row>
    <row r="616" ht="15.75" customHeight="1" s="1349">
      <c r="A616" s="10" t="n"/>
      <c r="B616" s="10" t="n"/>
      <c r="C616" s="346" t="n"/>
      <c r="D616" s="347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348" t="n"/>
      <c r="N616" s="10" t="n"/>
      <c r="O616" s="10" t="n"/>
      <c r="P616" s="10" t="n"/>
      <c r="Q616" s="10" t="n"/>
      <c r="R616" s="10" t="n"/>
      <c r="S616" s="349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  <c r="AD616" s="10" t="n"/>
      <c r="AE616" s="10" t="n"/>
      <c r="AF616" s="10" t="n"/>
      <c r="AG616" s="10" t="n"/>
    </row>
    <row r="617" ht="15.75" customHeight="1" s="1349">
      <c r="A617" s="10" t="n"/>
      <c r="B617" s="10" t="n"/>
      <c r="C617" s="346" t="n"/>
      <c r="D617" s="347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348" t="n"/>
      <c r="N617" s="10" t="n"/>
      <c r="O617" s="10" t="n"/>
      <c r="P617" s="10" t="n"/>
      <c r="Q617" s="10" t="n"/>
      <c r="R617" s="10" t="n"/>
      <c r="S617" s="349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  <c r="AD617" s="10" t="n"/>
      <c r="AE617" s="10" t="n"/>
      <c r="AF617" s="10" t="n"/>
      <c r="AG617" s="10" t="n"/>
    </row>
    <row r="618" ht="15.75" customHeight="1" s="1349">
      <c r="A618" s="10" t="n"/>
      <c r="B618" s="10" t="n"/>
      <c r="C618" s="346" t="n"/>
      <c r="D618" s="347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348" t="n"/>
      <c r="N618" s="10" t="n"/>
      <c r="O618" s="10" t="n"/>
      <c r="P618" s="10" t="n"/>
      <c r="Q618" s="10" t="n"/>
      <c r="R618" s="10" t="n"/>
      <c r="S618" s="349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  <c r="AD618" s="10" t="n"/>
      <c r="AE618" s="10" t="n"/>
      <c r="AF618" s="10" t="n"/>
      <c r="AG618" s="10" t="n"/>
    </row>
    <row r="619" ht="15.75" customHeight="1" s="1349">
      <c r="A619" s="10" t="n"/>
      <c r="B619" s="10" t="n"/>
      <c r="C619" s="346" t="n"/>
      <c r="D619" s="347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348" t="n"/>
      <c r="N619" s="10" t="n"/>
      <c r="O619" s="10" t="n"/>
      <c r="P619" s="10" t="n"/>
      <c r="Q619" s="10" t="n"/>
      <c r="R619" s="10" t="n"/>
      <c r="S619" s="349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  <c r="AD619" s="10" t="n"/>
      <c r="AE619" s="10" t="n"/>
      <c r="AF619" s="10" t="n"/>
      <c r="AG619" s="10" t="n"/>
    </row>
    <row r="620" ht="15.75" customHeight="1" s="1349">
      <c r="A620" s="10" t="n"/>
      <c r="B620" s="10" t="n"/>
      <c r="C620" s="346" t="n"/>
      <c r="D620" s="347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348" t="n"/>
      <c r="N620" s="10" t="n"/>
      <c r="O620" s="10" t="n"/>
      <c r="P620" s="10" t="n"/>
      <c r="Q620" s="10" t="n"/>
      <c r="R620" s="10" t="n"/>
      <c r="S620" s="349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  <c r="AF620" s="10" t="n"/>
      <c r="AG620" s="10" t="n"/>
    </row>
    <row r="621" ht="15.75" customHeight="1" s="1349">
      <c r="A621" s="10" t="n"/>
      <c r="B621" s="10" t="n"/>
      <c r="C621" s="346" t="n"/>
      <c r="D621" s="347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348" t="n"/>
      <c r="N621" s="10" t="n"/>
      <c r="O621" s="10" t="n"/>
      <c r="P621" s="10" t="n"/>
      <c r="Q621" s="10" t="n"/>
      <c r="R621" s="10" t="n"/>
      <c r="S621" s="349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  <c r="AD621" s="10" t="n"/>
      <c r="AE621" s="10" t="n"/>
      <c r="AF621" s="10" t="n"/>
      <c r="AG621" s="10" t="n"/>
    </row>
    <row r="622" ht="15.75" customHeight="1" s="1349">
      <c r="A622" s="10" t="n"/>
      <c r="B622" s="10" t="n"/>
      <c r="C622" s="346" t="n"/>
      <c r="D622" s="347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348" t="n"/>
      <c r="N622" s="10" t="n"/>
      <c r="O622" s="10" t="n"/>
      <c r="P622" s="10" t="n"/>
      <c r="Q622" s="10" t="n"/>
      <c r="R622" s="10" t="n"/>
      <c r="S622" s="349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  <c r="AD622" s="10" t="n"/>
      <c r="AE622" s="10" t="n"/>
      <c r="AF622" s="10" t="n"/>
      <c r="AG622" s="10" t="n"/>
    </row>
    <row r="623" ht="15.75" customHeight="1" s="1349">
      <c r="A623" s="10" t="n"/>
      <c r="B623" s="10" t="n"/>
      <c r="C623" s="346" t="n"/>
      <c r="D623" s="347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348" t="n"/>
      <c r="N623" s="10" t="n"/>
      <c r="O623" s="10" t="n"/>
      <c r="P623" s="10" t="n"/>
      <c r="Q623" s="10" t="n"/>
      <c r="R623" s="10" t="n"/>
      <c r="S623" s="349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  <c r="AD623" s="10" t="n"/>
      <c r="AE623" s="10" t="n"/>
      <c r="AF623" s="10" t="n"/>
      <c r="AG623" s="10" t="n"/>
    </row>
    <row r="624" ht="15.75" customHeight="1" s="1349">
      <c r="A624" s="10" t="n"/>
      <c r="B624" s="10" t="n"/>
      <c r="C624" s="346" t="n"/>
      <c r="D624" s="347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348" t="n"/>
      <c r="N624" s="10" t="n"/>
      <c r="O624" s="10" t="n"/>
      <c r="P624" s="10" t="n"/>
      <c r="Q624" s="10" t="n"/>
      <c r="R624" s="10" t="n"/>
      <c r="S624" s="349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  <c r="AD624" s="10" t="n"/>
      <c r="AE624" s="10" t="n"/>
      <c r="AF624" s="10" t="n"/>
      <c r="AG624" s="10" t="n"/>
    </row>
    <row r="625" ht="15.75" customHeight="1" s="1349">
      <c r="A625" s="10" t="n"/>
      <c r="B625" s="10" t="n"/>
      <c r="C625" s="346" t="n"/>
      <c r="D625" s="347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348" t="n"/>
      <c r="N625" s="10" t="n"/>
      <c r="O625" s="10" t="n"/>
      <c r="P625" s="10" t="n"/>
      <c r="Q625" s="10" t="n"/>
      <c r="R625" s="10" t="n"/>
      <c r="S625" s="349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  <c r="AD625" s="10" t="n"/>
      <c r="AE625" s="10" t="n"/>
      <c r="AF625" s="10" t="n"/>
      <c r="AG625" s="10" t="n"/>
    </row>
    <row r="626" ht="15.75" customHeight="1" s="1349">
      <c r="A626" s="10" t="n"/>
      <c r="B626" s="10" t="n"/>
      <c r="C626" s="346" t="n"/>
      <c r="D626" s="347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348" t="n"/>
      <c r="N626" s="10" t="n"/>
      <c r="O626" s="10" t="n"/>
      <c r="P626" s="10" t="n"/>
      <c r="Q626" s="10" t="n"/>
      <c r="R626" s="10" t="n"/>
      <c r="S626" s="349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  <c r="AD626" s="10" t="n"/>
      <c r="AE626" s="10" t="n"/>
      <c r="AF626" s="10" t="n"/>
      <c r="AG626" s="10" t="n"/>
    </row>
    <row r="627" ht="15.75" customHeight="1" s="1349">
      <c r="A627" s="10" t="n"/>
      <c r="B627" s="10" t="n"/>
      <c r="C627" s="346" t="n"/>
      <c r="D627" s="347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348" t="n"/>
      <c r="N627" s="10" t="n"/>
      <c r="O627" s="10" t="n"/>
      <c r="P627" s="10" t="n"/>
      <c r="Q627" s="10" t="n"/>
      <c r="R627" s="10" t="n"/>
      <c r="S627" s="349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  <c r="AD627" s="10" t="n"/>
      <c r="AE627" s="10" t="n"/>
      <c r="AF627" s="10" t="n"/>
      <c r="AG627" s="10" t="n"/>
    </row>
    <row r="628" ht="15.75" customHeight="1" s="1349">
      <c r="A628" s="10" t="n"/>
      <c r="B628" s="10" t="n"/>
      <c r="C628" s="346" t="n"/>
      <c r="D628" s="347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348" t="n"/>
      <c r="N628" s="10" t="n"/>
      <c r="O628" s="10" t="n"/>
      <c r="P628" s="10" t="n"/>
      <c r="Q628" s="10" t="n"/>
      <c r="R628" s="10" t="n"/>
      <c r="S628" s="349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  <c r="AF628" s="10" t="n"/>
      <c r="AG628" s="10" t="n"/>
    </row>
    <row r="629" ht="15.75" customHeight="1" s="1349">
      <c r="A629" s="10" t="n"/>
      <c r="B629" s="10" t="n"/>
      <c r="C629" s="346" t="n"/>
      <c r="D629" s="347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348" t="n"/>
      <c r="N629" s="10" t="n"/>
      <c r="O629" s="10" t="n"/>
      <c r="P629" s="10" t="n"/>
      <c r="Q629" s="10" t="n"/>
      <c r="R629" s="10" t="n"/>
      <c r="S629" s="349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  <c r="AD629" s="10" t="n"/>
      <c r="AE629" s="10" t="n"/>
      <c r="AF629" s="10" t="n"/>
      <c r="AG629" s="10" t="n"/>
    </row>
    <row r="630" ht="15.75" customHeight="1" s="1349">
      <c r="A630" s="10" t="n"/>
      <c r="B630" s="10" t="n"/>
      <c r="C630" s="346" t="n"/>
      <c r="D630" s="347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348" t="n"/>
      <c r="N630" s="10" t="n"/>
      <c r="O630" s="10" t="n"/>
      <c r="P630" s="10" t="n"/>
      <c r="Q630" s="10" t="n"/>
      <c r="R630" s="10" t="n"/>
      <c r="S630" s="349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  <c r="AD630" s="10" t="n"/>
      <c r="AE630" s="10" t="n"/>
      <c r="AF630" s="10" t="n"/>
      <c r="AG630" s="10" t="n"/>
    </row>
    <row r="631" ht="15.75" customHeight="1" s="1349">
      <c r="A631" s="10" t="n"/>
      <c r="B631" s="10" t="n"/>
      <c r="C631" s="346" t="n"/>
      <c r="D631" s="347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348" t="n"/>
      <c r="N631" s="10" t="n"/>
      <c r="O631" s="10" t="n"/>
      <c r="P631" s="10" t="n"/>
      <c r="Q631" s="10" t="n"/>
      <c r="R631" s="10" t="n"/>
      <c r="S631" s="349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  <c r="AD631" s="10" t="n"/>
      <c r="AE631" s="10" t="n"/>
      <c r="AF631" s="10" t="n"/>
      <c r="AG631" s="10" t="n"/>
    </row>
    <row r="632" ht="15.75" customHeight="1" s="1349">
      <c r="A632" s="10" t="n"/>
      <c r="B632" s="10" t="n"/>
      <c r="C632" s="346" t="n"/>
      <c r="D632" s="347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348" t="n"/>
      <c r="N632" s="10" t="n"/>
      <c r="O632" s="10" t="n"/>
      <c r="P632" s="10" t="n"/>
      <c r="Q632" s="10" t="n"/>
      <c r="R632" s="10" t="n"/>
      <c r="S632" s="349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  <c r="AD632" s="10" t="n"/>
      <c r="AE632" s="10" t="n"/>
      <c r="AF632" s="10" t="n"/>
      <c r="AG632" s="10" t="n"/>
    </row>
    <row r="633" ht="15.75" customHeight="1" s="1349">
      <c r="A633" s="10" t="n"/>
      <c r="B633" s="10" t="n"/>
      <c r="C633" s="346" t="n"/>
      <c r="D633" s="347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348" t="n"/>
      <c r="N633" s="10" t="n"/>
      <c r="O633" s="10" t="n"/>
      <c r="P633" s="10" t="n"/>
      <c r="Q633" s="10" t="n"/>
      <c r="R633" s="10" t="n"/>
      <c r="S633" s="349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</row>
    <row r="634" ht="15.75" customHeight="1" s="1349">
      <c r="A634" s="10" t="n"/>
      <c r="B634" s="10" t="n"/>
      <c r="C634" s="346" t="n"/>
      <c r="D634" s="347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348" t="n"/>
      <c r="N634" s="10" t="n"/>
      <c r="O634" s="10" t="n"/>
      <c r="P634" s="10" t="n"/>
      <c r="Q634" s="10" t="n"/>
      <c r="R634" s="10" t="n"/>
      <c r="S634" s="349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  <c r="AD634" s="10" t="n"/>
      <c r="AE634" s="10" t="n"/>
      <c r="AF634" s="10" t="n"/>
      <c r="AG634" s="10" t="n"/>
    </row>
    <row r="635" ht="15.75" customHeight="1" s="1349">
      <c r="A635" s="10" t="n"/>
      <c r="B635" s="10" t="n"/>
      <c r="C635" s="346" t="n"/>
      <c r="D635" s="347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348" t="n"/>
      <c r="N635" s="10" t="n"/>
      <c r="O635" s="10" t="n"/>
      <c r="P635" s="10" t="n"/>
      <c r="Q635" s="10" t="n"/>
      <c r="R635" s="10" t="n"/>
      <c r="S635" s="349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  <c r="AD635" s="10" t="n"/>
      <c r="AE635" s="10" t="n"/>
      <c r="AF635" s="10" t="n"/>
      <c r="AG635" s="10" t="n"/>
    </row>
    <row r="636" ht="15.75" customHeight="1" s="1349">
      <c r="A636" s="10" t="n"/>
      <c r="B636" s="10" t="n"/>
      <c r="C636" s="346" t="n"/>
      <c r="D636" s="347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348" t="n"/>
      <c r="N636" s="10" t="n"/>
      <c r="O636" s="10" t="n"/>
      <c r="P636" s="10" t="n"/>
      <c r="Q636" s="10" t="n"/>
      <c r="R636" s="10" t="n"/>
      <c r="S636" s="349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  <c r="AD636" s="10" t="n"/>
      <c r="AE636" s="10" t="n"/>
      <c r="AF636" s="10" t="n"/>
      <c r="AG636" s="10" t="n"/>
    </row>
    <row r="637" ht="15.75" customHeight="1" s="1349">
      <c r="A637" s="10" t="n"/>
      <c r="B637" s="10" t="n"/>
      <c r="C637" s="346" t="n"/>
      <c r="D637" s="347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348" t="n"/>
      <c r="N637" s="10" t="n"/>
      <c r="O637" s="10" t="n"/>
      <c r="P637" s="10" t="n"/>
      <c r="Q637" s="10" t="n"/>
      <c r="R637" s="10" t="n"/>
      <c r="S637" s="349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  <c r="AD637" s="10" t="n"/>
      <c r="AE637" s="10" t="n"/>
      <c r="AF637" s="10" t="n"/>
      <c r="AG637" s="10" t="n"/>
    </row>
    <row r="638" ht="15.75" customHeight="1" s="1349">
      <c r="A638" s="10" t="n"/>
      <c r="B638" s="10" t="n"/>
      <c r="C638" s="346" t="n"/>
      <c r="D638" s="347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348" t="n"/>
      <c r="N638" s="10" t="n"/>
      <c r="O638" s="10" t="n"/>
      <c r="P638" s="10" t="n"/>
      <c r="Q638" s="10" t="n"/>
      <c r="R638" s="10" t="n"/>
      <c r="S638" s="349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  <c r="AD638" s="10" t="n"/>
      <c r="AE638" s="10" t="n"/>
      <c r="AF638" s="10" t="n"/>
      <c r="AG638" s="10" t="n"/>
    </row>
    <row r="639" ht="15.75" customHeight="1" s="1349">
      <c r="A639" s="10" t="n"/>
      <c r="B639" s="10" t="n"/>
      <c r="C639" s="346" t="n"/>
      <c r="D639" s="347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348" t="n"/>
      <c r="N639" s="10" t="n"/>
      <c r="O639" s="10" t="n"/>
      <c r="P639" s="10" t="n"/>
      <c r="Q639" s="10" t="n"/>
      <c r="R639" s="10" t="n"/>
      <c r="S639" s="349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  <c r="AD639" s="10" t="n"/>
      <c r="AE639" s="10" t="n"/>
      <c r="AF639" s="10" t="n"/>
      <c r="AG639" s="10" t="n"/>
    </row>
    <row r="640" ht="15.75" customHeight="1" s="1349">
      <c r="A640" s="10" t="n"/>
      <c r="B640" s="10" t="n"/>
      <c r="C640" s="346" t="n"/>
      <c r="D640" s="347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348" t="n"/>
      <c r="N640" s="10" t="n"/>
      <c r="O640" s="10" t="n"/>
      <c r="P640" s="10" t="n"/>
      <c r="Q640" s="10" t="n"/>
      <c r="R640" s="10" t="n"/>
      <c r="S640" s="349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  <c r="AD640" s="10" t="n"/>
      <c r="AE640" s="10" t="n"/>
      <c r="AF640" s="10" t="n"/>
      <c r="AG640" s="10" t="n"/>
    </row>
    <row r="641" ht="15.75" customHeight="1" s="1349">
      <c r="A641" s="10" t="n"/>
      <c r="B641" s="10" t="n"/>
      <c r="C641" s="346" t="n"/>
      <c r="D641" s="347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348" t="n"/>
      <c r="N641" s="10" t="n"/>
      <c r="O641" s="10" t="n"/>
      <c r="P641" s="10" t="n"/>
      <c r="Q641" s="10" t="n"/>
      <c r="R641" s="10" t="n"/>
      <c r="S641" s="349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  <c r="AD641" s="10" t="n"/>
      <c r="AE641" s="10" t="n"/>
      <c r="AF641" s="10" t="n"/>
      <c r="AG641" s="10" t="n"/>
    </row>
    <row r="642" ht="15.75" customHeight="1" s="1349">
      <c r="A642" s="10" t="n"/>
      <c r="B642" s="10" t="n"/>
      <c r="C642" s="346" t="n"/>
      <c r="D642" s="347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348" t="n"/>
      <c r="N642" s="10" t="n"/>
      <c r="O642" s="10" t="n"/>
      <c r="P642" s="10" t="n"/>
      <c r="Q642" s="10" t="n"/>
      <c r="R642" s="10" t="n"/>
      <c r="S642" s="349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</row>
    <row r="643" ht="15.75" customHeight="1" s="1349">
      <c r="A643" s="10" t="n"/>
      <c r="B643" s="10" t="n"/>
      <c r="C643" s="346" t="n"/>
      <c r="D643" s="347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348" t="n"/>
      <c r="N643" s="10" t="n"/>
      <c r="O643" s="10" t="n"/>
      <c r="P643" s="10" t="n"/>
      <c r="Q643" s="10" t="n"/>
      <c r="R643" s="10" t="n"/>
      <c r="S643" s="349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</row>
    <row r="644" ht="15.75" customHeight="1" s="1349">
      <c r="A644" s="10" t="n"/>
      <c r="B644" s="10" t="n"/>
      <c r="C644" s="346" t="n"/>
      <c r="D644" s="347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348" t="n"/>
      <c r="N644" s="10" t="n"/>
      <c r="O644" s="10" t="n"/>
      <c r="P644" s="10" t="n"/>
      <c r="Q644" s="10" t="n"/>
      <c r="R644" s="10" t="n"/>
      <c r="S644" s="349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  <c r="AD644" s="10" t="n"/>
      <c r="AE644" s="10" t="n"/>
      <c r="AF644" s="10" t="n"/>
      <c r="AG644" s="10" t="n"/>
    </row>
    <row r="645" ht="15.75" customHeight="1" s="1349">
      <c r="A645" s="10" t="n"/>
      <c r="B645" s="10" t="n"/>
      <c r="C645" s="346" t="n"/>
      <c r="D645" s="347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348" t="n"/>
      <c r="N645" s="10" t="n"/>
      <c r="O645" s="10" t="n"/>
      <c r="P645" s="10" t="n"/>
      <c r="Q645" s="10" t="n"/>
      <c r="R645" s="10" t="n"/>
      <c r="S645" s="349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</row>
    <row r="646" ht="15.75" customHeight="1" s="1349">
      <c r="A646" s="10" t="n"/>
      <c r="B646" s="10" t="n"/>
      <c r="C646" s="346" t="n"/>
      <c r="D646" s="347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348" t="n"/>
      <c r="N646" s="10" t="n"/>
      <c r="O646" s="10" t="n"/>
      <c r="P646" s="10" t="n"/>
      <c r="Q646" s="10" t="n"/>
      <c r="R646" s="10" t="n"/>
      <c r="S646" s="349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</row>
    <row r="647" ht="15.75" customHeight="1" s="1349">
      <c r="A647" s="10" t="n"/>
      <c r="B647" s="10" t="n"/>
      <c r="C647" s="346" t="n"/>
      <c r="D647" s="347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348" t="n"/>
      <c r="N647" s="10" t="n"/>
      <c r="O647" s="10" t="n"/>
      <c r="P647" s="10" t="n"/>
      <c r="Q647" s="10" t="n"/>
      <c r="R647" s="10" t="n"/>
      <c r="S647" s="349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  <c r="AD647" s="10" t="n"/>
      <c r="AE647" s="10" t="n"/>
      <c r="AF647" s="10" t="n"/>
      <c r="AG647" s="10" t="n"/>
    </row>
    <row r="648" ht="15.75" customHeight="1" s="1349">
      <c r="A648" s="10" t="n"/>
      <c r="B648" s="10" t="n"/>
      <c r="C648" s="346" t="n"/>
      <c r="D648" s="347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348" t="n"/>
      <c r="N648" s="10" t="n"/>
      <c r="O648" s="10" t="n"/>
      <c r="P648" s="10" t="n"/>
      <c r="Q648" s="10" t="n"/>
      <c r="R648" s="10" t="n"/>
      <c r="S648" s="349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  <c r="AD648" s="10" t="n"/>
      <c r="AE648" s="10" t="n"/>
      <c r="AF648" s="10" t="n"/>
      <c r="AG648" s="10" t="n"/>
    </row>
    <row r="649" ht="15.75" customHeight="1" s="1349">
      <c r="A649" s="10" t="n"/>
      <c r="B649" s="10" t="n"/>
      <c r="C649" s="346" t="n"/>
      <c r="D649" s="347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348" t="n"/>
      <c r="N649" s="10" t="n"/>
      <c r="O649" s="10" t="n"/>
      <c r="P649" s="10" t="n"/>
      <c r="Q649" s="10" t="n"/>
      <c r="R649" s="10" t="n"/>
      <c r="S649" s="349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  <c r="AD649" s="10" t="n"/>
      <c r="AE649" s="10" t="n"/>
      <c r="AF649" s="10" t="n"/>
      <c r="AG649" s="10" t="n"/>
    </row>
    <row r="650" ht="15.75" customHeight="1" s="1349">
      <c r="A650" s="10" t="n"/>
      <c r="B650" s="10" t="n"/>
      <c r="C650" s="346" t="n"/>
      <c r="D650" s="347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348" t="n"/>
      <c r="N650" s="10" t="n"/>
      <c r="O650" s="10" t="n"/>
      <c r="P650" s="10" t="n"/>
      <c r="Q650" s="10" t="n"/>
      <c r="R650" s="10" t="n"/>
      <c r="S650" s="349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</row>
    <row r="651" ht="15.75" customHeight="1" s="1349">
      <c r="A651" s="10" t="n"/>
      <c r="B651" s="10" t="n"/>
      <c r="C651" s="346" t="n"/>
      <c r="D651" s="347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348" t="n"/>
      <c r="N651" s="10" t="n"/>
      <c r="O651" s="10" t="n"/>
      <c r="P651" s="10" t="n"/>
      <c r="Q651" s="10" t="n"/>
      <c r="R651" s="10" t="n"/>
      <c r="S651" s="349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  <c r="AD651" s="10" t="n"/>
      <c r="AE651" s="10" t="n"/>
      <c r="AF651" s="10" t="n"/>
      <c r="AG651" s="10" t="n"/>
    </row>
    <row r="652" ht="15.75" customHeight="1" s="1349">
      <c r="A652" s="10" t="n"/>
      <c r="B652" s="10" t="n"/>
      <c r="C652" s="346" t="n"/>
      <c r="D652" s="347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348" t="n"/>
      <c r="N652" s="10" t="n"/>
      <c r="O652" s="10" t="n"/>
      <c r="P652" s="10" t="n"/>
      <c r="Q652" s="10" t="n"/>
      <c r="R652" s="10" t="n"/>
      <c r="S652" s="349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  <c r="AD652" s="10" t="n"/>
      <c r="AE652" s="10" t="n"/>
      <c r="AF652" s="10" t="n"/>
      <c r="AG652" s="10" t="n"/>
    </row>
    <row r="653" ht="15.75" customHeight="1" s="1349">
      <c r="A653" s="10" t="n"/>
      <c r="B653" s="10" t="n"/>
      <c r="C653" s="346" t="n"/>
      <c r="D653" s="347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348" t="n"/>
      <c r="N653" s="10" t="n"/>
      <c r="O653" s="10" t="n"/>
      <c r="P653" s="10" t="n"/>
      <c r="Q653" s="10" t="n"/>
      <c r="R653" s="10" t="n"/>
      <c r="S653" s="349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  <c r="AD653" s="10" t="n"/>
      <c r="AE653" s="10" t="n"/>
      <c r="AF653" s="10" t="n"/>
      <c r="AG653" s="10" t="n"/>
    </row>
    <row r="654" ht="15.75" customHeight="1" s="1349">
      <c r="A654" s="10" t="n"/>
      <c r="B654" s="10" t="n"/>
      <c r="C654" s="346" t="n"/>
      <c r="D654" s="347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348" t="n"/>
      <c r="N654" s="10" t="n"/>
      <c r="O654" s="10" t="n"/>
      <c r="P654" s="10" t="n"/>
      <c r="Q654" s="10" t="n"/>
      <c r="R654" s="10" t="n"/>
      <c r="S654" s="349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</row>
    <row r="655" ht="15.75" customHeight="1" s="1349">
      <c r="A655" s="10" t="n"/>
      <c r="B655" s="10" t="n"/>
      <c r="C655" s="346" t="n"/>
      <c r="D655" s="347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348" t="n"/>
      <c r="N655" s="10" t="n"/>
      <c r="O655" s="10" t="n"/>
      <c r="P655" s="10" t="n"/>
      <c r="Q655" s="10" t="n"/>
      <c r="R655" s="10" t="n"/>
      <c r="S655" s="349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</row>
    <row r="656" ht="15.75" customHeight="1" s="1349">
      <c r="A656" s="10" t="n"/>
      <c r="B656" s="10" t="n"/>
      <c r="C656" s="346" t="n"/>
      <c r="D656" s="347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348" t="n"/>
      <c r="N656" s="10" t="n"/>
      <c r="O656" s="10" t="n"/>
      <c r="P656" s="10" t="n"/>
      <c r="Q656" s="10" t="n"/>
      <c r="R656" s="10" t="n"/>
      <c r="S656" s="349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</row>
    <row r="657" ht="15.75" customHeight="1" s="1349">
      <c r="A657" s="10" t="n"/>
      <c r="B657" s="10" t="n"/>
      <c r="C657" s="346" t="n"/>
      <c r="D657" s="347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348" t="n"/>
      <c r="N657" s="10" t="n"/>
      <c r="O657" s="10" t="n"/>
      <c r="P657" s="10" t="n"/>
      <c r="Q657" s="10" t="n"/>
      <c r="R657" s="10" t="n"/>
      <c r="S657" s="349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</row>
    <row r="658" ht="15.75" customHeight="1" s="1349">
      <c r="A658" s="10" t="n"/>
      <c r="B658" s="10" t="n"/>
      <c r="C658" s="346" t="n"/>
      <c r="D658" s="347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348" t="n"/>
      <c r="N658" s="10" t="n"/>
      <c r="O658" s="10" t="n"/>
      <c r="P658" s="10" t="n"/>
      <c r="Q658" s="10" t="n"/>
      <c r="R658" s="10" t="n"/>
      <c r="S658" s="349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</row>
    <row r="659" ht="15.75" customHeight="1" s="1349">
      <c r="A659" s="10" t="n"/>
      <c r="B659" s="10" t="n"/>
      <c r="C659" s="346" t="n"/>
      <c r="D659" s="347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348" t="n"/>
      <c r="N659" s="10" t="n"/>
      <c r="O659" s="10" t="n"/>
      <c r="P659" s="10" t="n"/>
      <c r="Q659" s="10" t="n"/>
      <c r="R659" s="10" t="n"/>
      <c r="S659" s="349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</row>
    <row r="660" ht="15.75" customHeight="1" s="1349">
      <c r="A660" s="10" t="n"/>
      <c r="B660" s="10" t="n"/>
      <c r="C660" s="346" t="n"/>
      <c r="D660" s="347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348" t="n"/>
      <c r="N660" s="10" t="n"/>
      <c r="O660" s="10" t="n"/>
      <c r="P660" s="10" t="n"/>
      <c r="Q660" s="10" t="n"/>
      <c r="R660" s="10" t="n"/>
      <c r="S660" s="349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</row>
    <row r="661" ht="15.75" customHeight="1" s="1349">
      <c r="A661" s="10" t="n"/>
      <c r="B661" s="10" t="n"/>
      <c r="C661" s="346" t="n"/>
      <c r="D661" s="347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348" t="n"/>
      <c r="N661" s="10" t="n"/>
      <c r="O661" s="10" t="n"/>
      <c r="P661" s="10" t="n"/>
      <c r="Q661" s="10" t="n"/>
      <c r="R661" s="10" t="n"/>
      <c r="S661" s="349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</row>
    <row r="662" ht="15.75" customHeight="1" s="1349">
      <c r="A662" s="10" t="n"/>
      <c r="B662" s="10" t="n"/>
      <c r="C662" s="346" t="n"/>
      <c r="D662" s="347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348" t="n"/>
      <c r="N662" s="10" t="n"/>
      <c r="O662" s="10" t="n"/>
      <c r="P662" s="10" t="n"/>
      <c r="Q662" s="10" t="n"/>
      <c r="R662" s="10" t="n"/>
      <c r="S662" s="349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</row>
    <row r="663" ht="15.75" customHeight="1" s="1349">
      <c r="A663" s="10" t="n"/>
      <c r="B663" s="10" t="n"/>
      <c r="C663" s="346" t="n"/>
      <c r="D663" s="347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348" t="n"/>
      <c r="N663" s="10" t="n"/>
      <c r="O663" s="10" t="n"/>
      <c r="P663" s="10" t="n"/>
      <c r="Q663" s="10" t="n"/>
      <c r="R663" s="10" t="n"/>
      <c r="S663" s="349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</row>
    <row r="664" ht="15.75" customHeight="1" s="1349">
      <c r="A664" s="10" t="n"/>
      <c r="B664" s="10" t="n"/>
      <c r="C664" s="346" t="n"/>
      <c r="D664" s="347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348" t="n"/>
      <c r="N664" s="10" t="n"/>
      <c r="O664" s="10" t="n"/>
      <c r="P664" s="10" t="n"/>
      <c r="Q664" s="10" t="n"/>
      <c r="R664" s="10" t="n"/>
      <c r="S664" s="349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</row>
    <row r="665" ht="15.75" customHeight="1" s="1349">
      <c r="A665" s="10" t="n"/>
      <c r="B665" s="10" t="n"/>
      <c r="C665" s="346" t="n"/>
      <c r="D665" s="347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348" t="n"/>
      <c r="N665" s="10" t="n"/>
      <c r="O665" s="10" t="n"/>
      <c r="P665" s="10" t="n"/>
      <c r="Q665" s="10" t="n"/>
      <c r="R665" s="10" t="n"/>
      <c r="S665" s="349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</row>
    <row r="666" ht="15.75" customHeight="1" s="1349">
      <c r="A666" s="10" t="n"/>
      <c r="B666" s="10" t="n"/>
      <c r="C666" s="346" t="n"/>
      <c r="D666" s="347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348" t="n"/>
      <c r="N666" s="10" t="n"/>
      <c r="O666" s="10" t="n"/>
      <c r="P666" s="10" t="n"/>
      <c r="Q666" s="10" t="n"/>
      <c r="R666" s="10" t="n"/>
      <c r="S666" s="349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</row>
    <row r="667" ht="15.75" customHeight="1" s="1349">
      <c r="A667" s="10" t="n"/>
      <c r="B667" s="10" t="n"/>
      <c r="C667" s="346" t="n"/>
      <c r="D667" s="347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348" t="n"/>
      <c r="N667" s="10" t="n"/>
      <c r="O667" s="10" t="n"/>
      <c r="P667" s="10" t="n"/>
      <c r="Q667" s="10" t="n"/>
      <c r="R667" s="10" t="n"/>
      <c r="S667" s="349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</row>
    <row r="668" ht="15.75" customHeight="1" s="1349">
      <c r="A668" s="10" t="n"/>
      <c r="B668" s="10" t="n"/>
      <c r="C668" s="346" t="n"/>
      <c r="D668" s="347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348" t="n"/>
      <c r="N668" s="10" t="n"/>
      <c r="O668" s="10" t="n"/>
      <c r="P668" s="10" t="n"/>
      <c r="Q668" s="10" t="n"/>
      <c r="R668" s="10" t="n"/>
      <c r="S668" s="349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</row>
    <row r="669" ht="15.75" customHeight="1" s="1349">
      <c r="A669" s="10" t="n"/>
      <c r="B669" s="10" t="n"/>
      <c r="C669" s="346" t="n"/>
      <c r="D669" s="347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348" t="n"/>
      <c r="N669" s="10" t="n"/>
      <c r="O669" s="10" t="n"/>
      <c r="P669" s="10" t="n"/>
      <c r="Q669" s="10" t="n"/>
      <c r="R669" s="10" t="n"/>
      <c r="S669" s="349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  <c r="AD669" s="10" t="n"/>
      <c r="AE669" s="10" t="n"/>
      <c r="AF669" s="10" t="n"/>
      <c r="AG669" s="10" t="n"/>
    </row>
    <row r="670" ht="15.75" customHeight="1" s="1349">
      <c r="A670" s="10" t="n"/>
      <c r="B670" s="10" t="n"/>
      <c r="C670" s="346" t="n"/>
      <c r="D670" s="347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348" t="n"/>
      <c r="N670" s="10" t="n"/>
      <c r="O670" s="10" t="n"/>
      <c r="P670" s="10" t="n"/>
      <c r="Q670" s="10" t="n"/>
      <c r="R670" s="10" t="n"/>
      <c r="S670" s="349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  <c r="AD670" s="10" t="n"/>
      <c r="AE670" s="10" t="n"/>
      <c r="AF670" s="10" t="n"/>
      <c r="AG670" s="10" t="n"/>
    </row>
    <row r="671" ht="15.75" customHeight="1" s="1349">
      <c r="A671" s="10" t="n"/>
      <c r="B671" s="10" t="n"/>
      <c r="C671" s="346" t="n"/>
      <c r="D671" s="347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348" t="n"/>
      <c r="N671" s="10" t="n"/>
      <c r="O671" s="10" t="n"/>
      <c r="P671" s="10" t="n"/>
      <c r="Q671" s="10" t="n"/>
      <c r="R671" s="10" t="n"/>
      <c r="S671" s="349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</row>
    <row r="672" ht="15.75" customHeight="1" s="1349">
      <c r="A672" s="10" t="n"/>
      <c r="B672" s="10" t="n"/>
      <c r="C672" s="346" t="n"/>
      <c r="D672" s="347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348" t="n"/>
      <c r="N672" s="10" t="n"/>
      <c r="O672" s="10" t="n"/>
      <c r="P672" s="10" t="n"/>
      <c r="Q672" s="10" t="n"/>
      <c r="R672" s="10" t="n"/>
      <c r="S672" s="349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  <c r="AD672" s="10" t="n"/>
      <c r="AE672" s="10" t="n"/>
      <c r="AF672" s="10" t="n"/>
      <c r="AG672" s="10" t="n"/>
    </row>
    <row r="673" ht="15.75" customHeight="1" s="1349">
      <c r="A673" s="10" t="n"/>
      <c r="B673" s="10" t="n"/>
      <c r="C673" s="346" t="n"/>
      <c r="D673" s="347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348" t="n"/>
      <c r="N673" s="10" t="n"/>
      <c r="O673" s="10" t="n"/>
      <c r="P673" s="10" t="n"/>
      <c r="Q673" s="10" t="n"/>
      <c r="R673" s="10" t="n"/>
      <c r="S673" s="349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  <c r="AD673" s="10" t="n"/>
      <c r="AE673" s="10" t="n"/>
      <c r="AF673" s="10" t="n"/>
      <c r="AG673" s="10" t="n"/>
    </row>
    <row r="674" ht="15.75" customHeight="1" s="1349">
      <c r="A674" s="10" t="n"/>
      <c r="B674" s="10" t="n"/>
      <c r="C674" s="346" t="n"/>
      <c r="D674" s="347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348" t="n"/>
      <c r="N674" s="10" t="n"/>
      <c r="O674" s="10" t="n"/>
      <c r="P674" s="10" t="n"/>
      <c r="Q674" s="10" t="n"/>
      <c r="R674" s="10" t="n"/>
      <c r="S674" s="349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  <c r="AD674" s="10" t="n"/>
      <c r="AE674" s="10" t="n"/>
      <c r="AF674" s="10" t="n"/>
      <c r="AG674" s="10" t="n"/>
    </row>
    <row r="675" ht="15.75" customHeight="1" s="1349">
      <c r="A675" s="10" t="n"/>
      <c r="B675" s="10" t="n"/>
      <c r="C675" s="346" t="n"/>
      <c r="D675" s="347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348" t="n"/>
      <c r="N675" s="10" t="n"/>
      <c r="O675" s="10" t="n"/>
      <c r="P675" s="10" t="n"/>
      <c r="Q675" s="10" t="n"/>
      <c r="R675" s="10" t="n"/>
      <c r="S675" s="349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  <c r="AD675" s="10" t="n"/>
      <c r="AE675" s="10" t="n"/>
      <c r="AF675" s="10" t="n"/>
      <c r="AG675" s="10" t="n"/>
    </row>
    <row r="676" ht="15.75" customHeight="1" s="1349">
      <c r="A676" s="10" t="n"/>
      <c r="B676" s="10" t="n"/>
      <c r="C676" s="346" t="n"/>
      <c r="D676" s="347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348" t="n"/>
      <c r="N676" s="10" t="n"/>
      <c r="O676" s="10" t="n"/>
      <c r="P676" s="10" t="n"/>
      <c r="Q676" s="10" t="n"/>
      <c r="R676" s="10" t="n"/>
      <c r="S676" s="349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  <c r="AD676" s="10" t="n"/>
      <c r="AE676" s="10" t="n"/>
      <c r="AF676" s="10" t="n"/>
      <c r="AG676" s="10" t="n"/>
    </row>
    <row r="677" ht="15.75" customHeight="1" s="1349">
      <c r="A677" s="10" t="n"/>
      <c r="B677" s="10" t="n"/>
      <c r="C677" s="346" t="n"/>
      <c r="D677" s="347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348" t="n"/>
      <c r="N677" s="10" t="n"/>
      <c r="O677" s="10" t="n"/>
      <c r="P677" s="10" t="n"/>
      <c r="Q677" s="10" t="n"/>
      <c r="R677" s="10" t="n"/>
      <c r="S677" s="349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</row>
    <row r="678" ht="15.75" customHeight="1" s="1349">
      <c r="A678" s="10" t="n"/>
      <c r="B678" s="10" t="n"/>
      <c r="C678" s="346" t="n"/>
      <c r="D678" s="347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348" t="n"/>
      <c r="N678" s="10" t="n"/>
      <c r="O678" s="10" t="n"/>
      <c r="P678" s="10" t="n"/>
      <c r="Q678" s="10" t="n"/>
      <c r="R678" s="10" t="n"/>
      <c r="S678" s="349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</row>
    <row r="679" ht="15.75" customHeight="1" s="1349">
      <c r="A679" s="10" t="n"/>
      <c r="B679" s="10" t="n"/>
      <c r="C679" s="346" t="n"/>
      <c r="D679" s="347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348" t="n"/>
      <c r="N679" s="10" t="n"/>
      <c r="O679" s="10" t="n"/>
      <c r="P679" s="10" t="n"/>
      <c r="Q679" s="10" t="n"/>
      <c r="R679" s="10" t="n"/>
      <c r="S679" s="349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</row>
    <row r="680" ht="15.75" customHeight="1" s="1349">
      <c r="A680" s="10" t="n"/>
      <c r="B680" s="10" t="n"/>
      <c r="C680" s="346" t="n"/>
      <c r="D680" s="347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348" t="n"/>
      <c r="N680" s="10" t="n"/>
      <c r="O680" s="10" t="n"/>
      <c r="P680" s="10" t="n"/>
      <c r="Q680" s="10" t="n"/>
      <c r="R680" s="10" t="n"/>
      <c r="S680" s="349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</row>
    <row r="681" ht="15.75" customHeight="1" s="1349">
      <c r="A681" s="10" t="n"/>
      <c r="B681" s="10" t="n"/>
      <c r="C681" s="346" t="n"/>
      <c r="D681" s="347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348" t="n"/>
      <c r="N681" s="10" t="n"/>
      <c r="O681" s="10" t="n"/>
      <c r="P681" s="10" t="n"/>
      <c r="Q681" s="10" t="n"/>
      <c r="R681" s="10" t="n"/>
      <c r="S681" s="349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</row>
    <row r="682" ht="15.75" customHeight="1" s="1349">
      <c r="A682" s="10" t="n"/>
      <c r="B682" s="10" t="n"/>
      <c r="C682" s="346" t="n"/>
      <c r="D682" s="347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348" t="n"/>
      <c r="N682" s="10" t="n"/>
      <c r="O682" s="10" t="n"/>
      <c r="P682" s="10" t="n"/>
      <c r="Q682" s="10" t="n"/>
      <c r="R682" s="10" t="n"/>
      <c r="S682" s="349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</row>
    <row r="683" ht="15.75" customHeight="1" s="1349">
      <c r="A683" s="10" t="n"/>
      <c r="B683" s="10" t="n"/>
      <c r="C683" s="346" t="n"/>
      <c r="D683" s="347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348" t="n"/>
      <c r="N683" s="10" t="n"/>
      <c r="O683" s="10" t="n"/>
      <c r="P683" s="10" t="n"/>
      <c r="Q683" s="10" t="n"/>
      <c r="R683" s="10" t="n"/>
      <c r="S683" s="349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</row>
    <row r="684" ht="15.75" customHeight="1" s="1349">
      <c r="A684" s="10" t="n"/>
      <c r="B684" s="10" t="n"/>
      <c r="C684" s="346" t="n"/>
      <c r="D684" s="347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348" t="n"/>
      <c r="N684" s="10" t="n"/>
      <c r="O684" s="10" t="n"/>
      <c r="P684" s="10" t="n"/>
      <c r="Q684" s="10" t="n"/>
      <c r="R684" s="10" t="n"/>
      <c r="S684" s="349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</row>
    <row r="685" ht="15.75" customHeight="1" s="1349">
      <c r="A685" s="10" t="n"/>
      <c r="B685" s="10" t="n"/>
      <c r="C685" s="346" t="n"/>
      <c r="D685" s="347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348" t="n"/>
      <c r="N685" s="10" t="n"/>
      <c r="O685" s="10" t="n"/>
      <c r="P685" s="10" t="n"/>
      <c r="Q685" s="10" t="n"/>
      <c r="R685" s="10" t="n"/>
      <c r="S685" s="349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</row>
    <row r="686" ht="15.75" customHeight="1" s="1349">
      <c r="A686" s="10" t="n"/>
      <c r="B686" s="10" t="n"/>
      <c r="C686" s="346" t="n"/>
      <c r="D686" s="347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348" t="n"/>
      <c r="N686" s="10" t="n"/>
      <c r="O686" s="10" t="n"/>
      <c r="P686" s="10" t="n"/>
      <c r="Q686" s="10" t="n"/>
      <c r="R686" s="10" t="n"/>
      <c r="S686" s="349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</row>
    <row r="687" ht="15.75" customHeight="1" s="1349">
      <c r="A687" s="10" t="n"/>
      <c r="B687" s="10" t="n"/>
      <c r="C687" s="346" t="n"/>
      <c r="D687" s="347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348" t="n"/>
      <c r="N687" s="10" t="n"/>
      <c r="O687" s="10" t="n"/>
      <c r="P687" s="10" t="n"/>
      <c r="Q687" s="10" t="n"/>
      <c r="R687" s="10" t="n"/>
      <c r="S687" s="349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</row>
    <row r="688" ht="15.75" customHeight="1" s="1349">
      <c r="A688" s="10" t="n"/>
      <c r="B688" s="10" t="n"/>
      <c r="C688" s="346" t="n"/>
      <c r="D688" s="347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348" t="n"/>
      <c r="N688" s="10" t="n"/>
      <c r="O688" s="10" t="n"/>
      <c r="P688" s="10" t="n"/>
      <c r="Q688" s="10" t="n"/>
      <c r="R688" s="10" t="n"/>
      <c r="S688" s="349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</row>
    <row r="689" ht="15.75" customHeight="1" s="1349">
      <c r="A689" s="10" t="n"/>
      <c r="B689" s="10" t="n"/>
      <c r="C689" s="346" t="n"/>
      <c r="D689" s="347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348" t="n"/>
      <c r="N689" s="10" t="n"/>
      <c r="O689" s="10" t="n"/>
      <c r="P689" s="10" t="n"/>
      <c r="Q689" s="10" t="n"/>
      <c r="R689" s="10" t="n"/>
      <c r="S689" s="349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</row>
    <row r="690" ht="15.75" customHeight="1" s="1349">
      <c r="A690" s="10" t="n"/>
      <c r="B690" s="10" t="n"/>
      <c r="C690" s="346" t="n"/>
      <c r="D690" s="347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348" t="n"/>
      <c r="N690" s="10" t="n"/>
      <c r="O690" s="10" t="n"/>
      <c r="P690" s="10" t="n"/>
      <c r="Q690" s="10" t="n"/>
      <c r="R690" s="10" t="n"/>
      <c r="S690" s="349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</row>
    <row r="691" ht="15.75" customHeight="1" s="1349">
      <c r="A691" s="10" t="n"/>
      <c r="B691" s="10" t="n"/>
      <c r="C691" s="346" t="n"/>
      <c r="D691" s="347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348" t="n"/>
      <c r="N691" s="10" t="n"/>
      <c r="O691" s="10" t="n"/>
      <c r="P691" s="10" t="n"/>
      <c r="Q691" s="10" t="n"/>
      <c r="R691" s="10" t="n"/>
      <c r="S691" s="349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</row>
    <row r="692" ht="15.75" customHeight="1" s="1349">
      <c r="A692" s="10" t="n"/>
      <c r="B692" s="10" t="n"/>
      <c r="C692" s="346" t="n"/>
      <c r="D692" s="347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348" t="n"/>
      <c r="N692" s="10" t="n"/>
      <c r="O692" s="10" t="n"/>
      <c r="P692" s="10" t="n"/>
      <c r="Q692" s="10" t="n"/>
      <c r="R692" s="10" t="n"/>
      <c r="S692" s="349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</row>
    <row r="693" ht="15.75" customHeight="1" s="1349">
      <c r="A693" s="10" t="n"/>
      <c r="B693" s="10" t="n"/>
      <c r="C693" s="346" t="n"/>
      <c r="D693" s="347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348" t="n"/>
      <c r="N693" s="10" t="n"/>
      <c r="O693" s="10" t="n"/>
      <c r="P693" s="10" t="n"/>
      <c r="Q693" s="10" t="n"/>
      <c r="R693" s="10" t="n"/>
      <c r="S693" s="349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</row>
    <row r="694" ht="15.75" customHeight="1" s="1349">
      <c r="A694" s="10" t="n"/>
      <c r="B694" s="10" t="n"/>
      <c r="C694" s="346" t="n"/>
      <c r="D694" s="347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348" t="n"/>
      <c r="N694" s="10" t="n"/>
      <c r="O694" s="10" t="n"/>
      <c r="P694" s="10" t="n"/>
      <c r="Q694" s="10" t="n"/>
      <c r="R694" s="10" t="n"/>
      <c r="S694" s="349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</row>
    <row r="695" ht="15.75" customHeight="1" s="1349">
      <c r="A695" s="10" t="n"/>
      <c r="B695" s="10" t="n"/>
      <c r="C695" s="346" t="n"/>
      <c r="D695" s="347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348" t="n"/>
      <c r="N695" s="10" t="n"/>
      <c r="O695" s="10" t="n"/>
      <c r="P695" s="10" t="n"/>
      <c r="Q695" s="10" t="n"/>
      <c r="R695" s="10" t="n"/>
      <c r="S695" s="349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</row>
    <row r="696" ht="15.75" customHeight="1" s="1349">
      <c r="A696" s="10" t="n"/>
      <c r="B696" s="10" t="n"/>
      <c r="C696" s="346" t="n"/>
      <c r="D696" s="347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348" t="n"/>
      <c r="N696" s="10" t="n"/>
      <c r="O696" s="10" t="n"/>
      <c r="P696" s="10" t="n"/>
      <c r="Q696" s="10" t="n"/>
      <c r="R696" s="10" t="n"/>
      <c r="S696" s="349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</row>
    <row r="697" ht="15.75" customHeight="1" s="1349">
      <c r="A697" s="10" t="n"/>
      <c r="B697" s="10" t="n"/>
      <c r="C697" s="346" t="n"/>
      <c r="D697" s="347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348" t="n"/>
      <c r="N697" s="10" t="n"/>
      <c r="O697" s="10" t="n"/>
      <c r="P697" s="10" t="n"/>
      <c r="Q697" s="10" t="n"/>
      <c r="R697" s="10" t="n"/>
      <c r="S697" s="349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</row>
    <row r="698" ht="15.75" customHeight="1" s="1349">
      <c r="A698" s="10" t="n"/>
      <c r="B698" s="10" t="n"/>
      <c r="C698" s="346" t="n"/>
      <c r="D698" s="347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348" t="n"/>
      <c r="N698" s="10" t="n"/>
      <c r="O698" s="10" t="n"/>
      <c r="P698" s="10" t="n"/>
      <c r="Q698" s="10" t="n"/>
      <c r="R698" s="10" t="n"/>
      <c r="S698" s="349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</row>
    <row r="699" ht="15.75" customHeight="1" s="1349">
      <c r="A699" s="10" t="n"/>
      <c r="B699" s="10" t="n"/>
      <c r="C699" s="346" t="n"/>
      <c r="D699" s="347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348" t="n"/>
      <c r="N699" s="10" t="n"/>
      <c r="O699" s="10" t="n"/>
      <c r="P699" s="10" t="n"/>
      <c r="Q699" s="10" t="n"/>
      <c r="R699" s="10" t="n"/>
      <c r="S699" s="349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</row>
    <row r="700" ht="15.75" customHeight="1" s="1349">
      <c r="A700" s="10" t="n"/>
      <c r="B700" s="10" t="n"/>
      <c r="C700" s="346" t="n"/>
      <c r="D700" s="347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348" t="n"/>
      <c r="N700" s="10" t="n"/>
      <c r="O700" s="10" t="n"/>
      <c r="P700" s="10" t="n"/>
      <c r="Q700" s="10" t="n"/>
      <c r="R700" s="10" t="n"/>
      <c r="S700" s="349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</row>
    <row r="701" ht="15.75" customHeight="1" s="1349">
      <c r="A701" s="10" t="n"/>
      <c r="B701" s="10" t="n"/>
      <c r="C701" s="346" t="n"/>
      <c r="D701" s="347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348" t="n"/>
      <c r="N701" s="10" t="n"/>
      <c r="O701" s="10" t="n"/>
      <c r="P701" s="10" t="n"/>
      <c r="Q701" s="10" t="n"/>
      <c r="R701" s="10" t="n"/>
      <c r="S701" s="349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</row>
    <row r="702" ht="15.75" customHeight="1" s="1349">
      <c r="A702" s="10" t="n"/>
      <c r="B702" s="10" t="n"/>
      <c r="C702" s="346" t="n"/>
      <c r="D702" s="347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348" t="n"/>
      <c r="N702" s="10" t="n"/>
      <c r="O702" s="10" t="n"/>
      <c r="P702" s="10" t="n"/>
      <c r="Q702" s="10" t="n"/>
      <c r="R702" s="10" t="n"/>
      <c r="S702" s="349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</row>
    <row r="703" ht="15.75" customHeight="1" s="1349">
      <c r="A703" s="10" t="n"/>
      <c r="B703" s="10" t="n"/>
      <c r="C703" s="346" t="n"/>
      <c r="D703" s="347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348" t="n"/>
      <c r="N703" s="10" t="n"/>
      <c r="O703" s="10" t="n"/>
      <c r="P703" s="10" t="n"/>
      <c r="Q703" s="10" t="n"/>
      <c r="R703" s="10" t="n"/>
      <c r="S703" s="349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</row>
    <row r="704" ht="15.75" customHeight="1" s="1349">
      <c r="A704" s="10" t="n"/>
      <c r="B704" s="10" t="n"/>
      <c r="C704" s="346" t="n"/>
      <c r="D704" s="347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348" t="n"/>
      <c r="N704" s="10" t="n"/>
      <c r="O704" s="10" t="n"/>
      <c r="P704" s="10" t="n"/>
      <c r="Q704" s="10" t="n"/>
      <c r="R704" s="10" t="n"/>
      <c r="S704" s="349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</row>
    <row r="705" ht="15.75" customHeight="1" s="1349">
      <c r="A705" s="10" t="n"/>
      <c r="B705" s="10" t="n"/>
      <c r="C705" s="346" t="n"/>
      <c r="D705" s="347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348" t="n"/>
      <c r="N705" s="10" t="n"/>
      <c r="O705" s="10" t="n"/>
      <c r="P705" s="10" t="n"/>
      <c r="Q705" s="10" t="n"/>
      <c r="R705" s="10" t="n"/>
      <c r="S705" s="349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</row>
    <row r="706" ht="15.75" customHeight="1" s="1349">
      <c r="A706" s="10" t="n"/>
      <c r="B706" s="10" t="n"/>
      <c r="C706" s="346" t="n"/>
      <c r="D706" s="347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348" t="n"/>
      <c r="N706" s="10" t="n"/>
      <c r="O706" s="10" t="n"/>
      <c r="P706" s="10" t="n"/>
      <c r="Q706" s="10" t="n"/>
      <c r="R706" s="10" t="n"/>
      <c r="S706" s="349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</row>
    <row r="707" ht="15.75" customHeight="1" s="1349">
      <c r="A707" s="10" t="n"/>
      <c r="B707" s="10" t="n"/>
      <c r="C707" s="346" t="n"/>
      <c r="D707" s="347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348" t="n"/>
      <c r="N707" s="10" t="n"/>
      <c r="O707" s="10" t="n"/>
      <c r="P707" s="10" t="n"/>
      <c r="Q707" s="10" t="n"/>
      <c r="R707" s="10" t="n"/>
      <c r="S707" s="349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</row>
    <row r="708" ht="15.75" customHeight="1" s="1349">
      <c r="A708" s="10" t="n"/>
      <c r="B708" s="10" t="n"/>
      <c r="C708" s="346" t="n"/>
      <c r="D708" s="347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348" t="n"/>
      <c r="N708" s="10" t="n"/>
      <c r="O708" s="10" t="n"/>
      <c r="P708" s="10" t="n"/>
      <c r="Q708" s="10" t="n"/>
      <c r="R708" s="10" t="n"/>
      <c r="S708" s="349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</row>
    <row r="709" ht="15.75" customHeight="1" s="1349">
      <c r="A709" s="10" t="n"/>
      <c r="B709" s="10" t="n"/>
      <c r="C709" s="346" t="n"/>
      <c r="D709" s="347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348" t="n"/>
      <c r="N709" s="10" t="n"/>
      <c r="O709" s="10" t="n"/>
      <c r="P709" s="10" t="n"/>
      <c r="Q709" s="10" t="n"/>
      <c r="R709" s="10" t="n"/>
      <c r="S709" s="349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</row>
    <row r="710" ht="15.75" customHeight="1" s="1349">
      <c r="A710" s="10" t="n"/>
      <c r="B710" s="10" t="n"/>
      <c r="C710" s="346" t="n"/>
      <c r="D710" s="347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348" t="n"/>
      <c r="N710" s="10" t="n"/>
      <c r="O710" s="10" t="n"/>
      <c r="P710" s="10" t="n"/>
      <c r="Q710" s="10" t="n"/>
      <c r="R710" s="10" t="n"/>
      <c r="S710" s="349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</row>
    <row r="711" ht="15.75" customHeight="1" s="1349">
      <c r="A711" s="10" t="n"/>
      <c r="B711" s="10" t="n"/>
      <c r="C711" s="346" t="n"/>
      <c r="D711" s="347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348" t="n"/>
      <c r="N711" s="10" t="n"/>
      <c r="O711" s="10" t="n"/>
      <c r="P711" s="10" t="n"/>
      <c r="Q711" s="10" t="n"/>
      <c r="R711" s="10" t="n"/>
      <c r="S711" s="349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</row>
    <row r="712" ht="15.75" customHeight="1" s="1349">
      <c r="A712" s="10" t="n"/>
      <c r="B712" s="10" t="n"/>
      <c r="C712" s="346" t="n"/>
      <c r="D712" s="347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348" t="n"/>
      <c r="N712" s="10" t="n"/>
      <c r="O712" s="10" t="n"/>
      <c r="P712" s="10" t="n"/>
      <c r="Q712" s="10" t="n"/>
      <c r="R712" s="10" t="n"/>
      <c r="S712" s="349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</row>
    <row r="713" ht="15.75" customHeight="1" s="1349">
      <c r="A713" s="10" t="n"/>
      <c r="B713" s="10" t="n"/>
      <c r="C713" s="346" t="n"/>
      <c r="D713" s="347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348" t="n"/>
      <c r="N713" s="10" t="n"/>
      <c r="O713" s="10" t="n"/>
      <c r="P713" s="10" t="n"/>
      <c r="Q713" s="10" t="n"/>
      <c r="R713" s="10" t="n"/>
      <c r="S713" s="349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  <c r="AD713" s="10" t="n"/>
      <c r="AE713" s="10" t="n"/>
      <c r="AF713" s="10" t="n"/>
      <c r="AG713" s="10" t="n"/>
    </row>
    <row r="714" ht="15.75" customHeight="1" s="1349">
      <c r="A714" s="10" t="n"/>
      <c r="B714" s="10" t="n"/>
      <c r="C714" s="346" t="n"/>
      <c r="D714" s="347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348" t="n"/>
      <c r="N714" s="10" t="n"/>
      <c r="O714" s="10" t="n"/>
      <c r="P714" s="10" t="n"/>
      <c r="Q714" s="10" t="n"/>
      <c r="R714" s="10" t="n"/>
      <c r="S714" s="349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</row>
    <row r="715" ht="15.75" customHeight="1" s="1349">
      <c r="A715" s="10" t="n"/>
      <c r="B715" s="10" t="n"/>
      <c r="C715" s="346" t="n"/>
      <c r="D715" s="347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348" t="n"/>
      <c r="N715" s="10" t="n"/>
      <c r="O715" s="10" t="n"/>
      <c r="P715" s="10" t="n"/>
      <c r="Q715" s="10" t="n"/>
      <c r="R715" s="10" t="n"/>
      <c r="S715" s="349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</row>
    <row r="716" ht="15.75" customHeight="1" s="1349">
      <c r="A716" s="10" t="n"/>
      <c r="B716" s="10" t="n"/>
      <c r="C716" s="346" t="n"/>
      <c r="D716" s="347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348" t="n"/>
      <c r="N716" s="10" t="n"/>
      <c r="O716" s="10" t="n"/>
      <c r="P716" s="10" t="n"/>
      <c r="Q716" s="10" t="n"/>
      <c r="R716" s="10" t="n"/>
      <c r="S716" s="349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</row>
    <row r="717" ht="15.75" customHeight="1" s="1349">
      <c r="A717" s="10" t="n"/>
      <c r="B717" s="10" t="n"/>
      <c r="C717" s="346" t="n"/>
      <c r="D717" s="347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348" t="n"/>
      <c r="N717" s="10" t="n"/>
      <c r="O717" s="10" t="n"/>
      <c r="P717" s="10" t="n"/>
      <c r="Q717" s="10" t="n"/>
      <c r="R717" s="10" t="n"/>
      <c r="S717" s="349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</row>
    <row r="718" ht="15.75" customHeight="1" s="1349">
      <c r="A718" s="10" t="n"/>
      <c r="B718" s="10" t="n"/>
      <c r="C718" s="346" t="n"/>
      <c r="D718" s="347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348" t="n"/>
      <c r="N718" s="10" t="n"/>
      <c r="O718" s="10" t="n"/>
      <c r="P718" s="10" t="n"/>
      <c r="Q718" s="10" t="n"/>
      <c r="R718" s="10" t="n"/>
      <c r="S718" s="349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</row>
    <row r="719" ht="15.75" customHeight="1" s="1349">
      <c r="A719" s="10" t="n"/>
      <c r="B719" s="10" t="n"/>
      <c r="C719" s="346" t="n"/>
      <c r="D719" s="347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348" t="n"/>
      <c r="N719" s="10" t="n"/>
      <c r="O719" s="10" t="n"/>
      <c r="P719" s="10" t="n"/>
      <c r="Q719" s="10" t="n"/>
      <c r="R719" s="10" t="n"/>
      <c r="S719" s="349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</row>
    <row r="720" ht="15.75" customHeight="1" s="1349">
      <c r="A720" s="10" t="n"/>
      <c r="B720" s="10" t="n"/>
      <c r="C720" s="346" t="n"/>
      <c r="D720" s="347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348" t="n"/>
      <c r="N720" s="10" t="n"/>
      <c r="O720" s="10" t="n"/>
      <c r="P720" s="10" t="n"/>
      <c r="Q720" s="10" t="n"/>
      <c r="R720" s="10" t="n"/>
      <c r="S720" s="349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  <c r="AF720" s="10" t="n"/>
      <c r="AG720" s="10" t="n"/>
    </row>
    <row r="721" ht="15.75" customHeight="1" s="1349">
      <c r="A721" s="10" t="n"/>
      <c r="B721" s="10" t="n"/>
      <c r="C721" s="346" t="n"/>
      <c r="D721" s="347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348" t="n"/>
      <c r="N721" s="10" t="n"/>
      <c r="O721" s="10" t="n"/>
      <c r="P721" s="10" t="n"/>
      <c r="Q721" s="10" t="n"/>
      <c r="R721" s="10" t="n"/>
      <c r="S721" s="349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  <c r="AD721" s="10" t="n"/>
      <c r="AE721" s="10" t="n"/>
      <c r="AF721" s="10" t="n"/>
      <c r="AG721" s="10" t="n"/>
    </row>
    <row r="722" ht="15.75" customHeight="1" s="1349">
      <c r="A722" s="10" t="n"/>
      <c r="B722" s="10" t="n"/>
      <c r="C722" s="346" t="n"/>
      <c r="D722" s="347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348" t="n"/>
      <c r="N722" s="10" t="n"/>
      <c r="O722" s="10" t="n"/>
      <c r="P722" s="10" t="n"/>
      <c r="Q722" s="10" t="n"/>
      <c r="R722" s="10" t="n"/>
      <c r="S722" s="349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  <c r="AF722" s="10" t="n"/>
      <c r="AG722" s="10" t="n"/>
    </row>
    <row r="723" ht="15.75" customHeight="1" s="1349">
      <c r="A723" s="10" t="n"/>
      <c r="B723" s="10" t="n"/>
      <c r="C723" s="346" t="n"/>
      <c r="D723" s="347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348" t="n"/>
      <c r="N723" s="10" t="n"/>
      <c r="O723" s="10" t="n"/>
      <c r="P723" s="10" t="n"/>
      <c r="Q723" s="10" t="n"/>
      <c r="R723" s="10" t="n"/>
      <c r="S723" s="349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  <c r="AD723" s="10" t="n"/>
      <c r="AE723" s="10" t="n"/>
      <c r="AF723" s="10" t="n"/>
      <c r="AG723" s="10" t="n"/>
    </row>
    <row r="724" ht="15.75" customHeight="1" s="1349">
      <c r="A724" s="10" t="n"/>
      <c r="B724" s="10" t="n"/>
      <c r="C724" s="346" t="n"/>
      <c r="D724" s="347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348" t="n"/>
      <c r="N724" s="10" t="n"/>
      <c r="O724" s="10" t="n"/>
      <c r="P724" s="10" t="n"/>
      <c r="Q724" s="10" t="n"/>
      <c r="R724" s="10" t="n"/>
      <c r="S724" s="349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  <c r="AD724" s="10" t="n"/>
      <c r="AE724" s="10" t="n"/>
      <c r="AF724" s="10" t="n"/>
      <c r="AG724" s="10" t="n"/>
    </row>
    <row r="725" ht="15.75" customHeight="1" s="1349">
      <c r="A725" s="10" t="n"/>
      <c r="B725" s="10" t="n"/>
      <c r="C725" s="346" t="n"/>
      <c r="D725" s="347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348" t="n"/>
      <c r="N725" s="10" t="n"/>
      <c r="O725" s="10" t="n"/>
      <c r="P725" s="10" t="n"/>
      <c r="Q725" s="10" t="n"/>
      <c r="R725" s="10" t="n"/>
      <c r="S725" s="349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  <c r="AD725" s="10" t="n"/>
      <c r="AE725" s="10" t="n"/>
      <c r="AF725" s="10" t="n"/>
      <c r="AG725" s="10" t="n"/>
    </row>
    <row r="726" ht="15.75" customHeight="1" s="1349">
      <c r="A726" s="10" t="n"/>
      <c r="B726" s="10" t="n"/>
      <c r="C726" s="346" t="n"/>
      <c r="D726" s="347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348" t="n"/>
      <c r="N726" s="10" t="n"/>
      <c r="O726" s="10" t="n"/>
      <c r="P726" s="10" t="n"/>
      <c r="Q726" s="10" t="n"/>
      <c r="R726" s="10" t="n"/>
      <c r="S726" s="349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  <c r="AD726" s="10" t="n"/>
      <c r="AE726" s="10" t="n"/>
      <c r="AF726" s="10" t="n"/>
      <c r="AG726" s="10" t="n"/>
    </row>
    <row r="727" ht="15.75" customHeight="1" s="1349">
      <c r="A727" s="10" t="n"/>
      <c r="B727" s="10" t="n"/>
      <c r="C727" s="346" t="n"/>
      <c r="D727" s="347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348" t="n"/>
      <c r="N727" s="10" t="n"/>
      <c r="O727" s="10" t="n"/>
      <c r="P727" s="10" t="n"/>
      <c r="Q727" s="10" t="n"/>
      <c r="R727" s="10" t="n"/>
      <c r="S727" s="349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  <c r="AD727" s="10" t="n"/>
      <c r="AE727" s="10" t="n"/>
      <c r="AF727" s="10" t="n"/>
      <c r="AG727" s="10" t="n"/>
    </row>
    <row r="728" ht="15.75" customHeight="1" s="1349">
      <c r="A728" s="10" t="n"/>
      <c r="B728" s="10" t="n"/>
      <c r="C728" s="346" t="n"/>
      <c r="D728" s="347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348" t="n"/>
      <c r="N728" s="10" t="n"/>
      <c r="O728" s="10" t="n"/>
      <c r="P728" s="10" t="n"/>
      <c r="Q728" s="10" t="n"/>
      <c r="R728" s="10" t="n"/>
      <c r="S728" s="349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  <c r="AD728" s="10" t="n"/>
      <c r="AE728" s="10" t="n"/>
      <c r="AF728" s="10" t="n"/>
      <c r="AG728" s="10" t="n"/>
    </row>
    <row r="729" ht="15.75" customHeight="1" s="1349">
      <c r="A729" s="10" t="n"/>
      <c r="B729" s="10" t="n"/>
      <c r="C729" s="346" t="n"/>
      <c r="D729" s="347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348" t="n"/>
      <c r="N729" s="10" t="n"/>
      <c r="O729" s="10" t="n"/>
      <c r="P729" s="10" t="n"/>
      <c r="Q729" s="10" t="n"/>
      <c r="R729" s="10" t="n"/>
      <c r="S729" s="349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</row>
    <row r="730" ht="15.75" customHeight="1" s="1349">
      <c r="A730" s="10" t="n"/>
      <c r="B730" s="10" t="n"/>
      <c r="C730" s="346" t="n"/>
      <c r="D730" s="347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348" t="n"/>
      <c r="N730" s="10" t="n"/>
      <c r="O730" s="10" t="n"/>
      <c r="P730" s="10" t="n"/>
      <c r="Q730" s="10" t="n"/>
      <c r="R730" s="10" t="n"/>
      <c r="S730" s="349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</row>
    <row r="731" ht="15.75" customHeight="1" s="1349">
      <c r="A731" s="10" t="n"/>
      <c r="B731" s="10" t="n"/>
      <c r="C731" s="346" t="n"/>
      <c r="D731" s="347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348" t="n"/>
      <c r="N731" s="10" t="n"/>
      <c r="O731" s="10" t="n"/>
      <c r="P731" s="10" t="n"/>
      <c r="Q731" s="10" t="n"/>
      <c r="R731" s="10" t="n"/>
      <c r="S731" s="349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</row>
    <row r="732" ht="15.75" customHeight="1" s="1349">
      <c r="A732" s="10" t="n"/>
      <c r="B732" s="10" t="n"/>
      <c r="C732" s="346" t="n"/>
      <c r="D732" s="347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348" t="n"/>
      <c r="N732" s="10" t="n"/>
      <c r="O732" s="10" t="n"/>
      <c r="P732" s="10" t="n"/>
      <c r="Q732" s="10" t="n"/>
      <c r="R732" s="10" t="n"/>
      <c r="S732" s="349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</row>
    <row r="733" ht="15.75" customHeight="1" s="1349">
      <c r="A733" s="10" t="n"/>
      <c r="B733" s="10" t="n"/>
      <c r="C733" s="346" t="n"/>
      <c r="D733" s="347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348" t="n"/>
      <c r="N733" s="10" t="n"/>
      <c r="O733" s="10" t="n"/>
      <c r="P733" s="10" t="n"/>
      <c r="Q733" s="10" t="n"/>
      <c r="R733" s="10" t="n"/>
      <c r="S733" s="349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</row>
    <row r="734" ht="15.75" customHeight="1" s="1349">
      <c r="A734" s="10" t="n"/>
      <c r="B734" s="10" t="n"/>
      <c r="C734" s="346" t="n"/>
      <c r="D734" s="347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348" t="n"/>
      <c r="N734" s="10" t="n"/>
      <c r="O734" s="10" t="n"/>
      <c r="P734" s="10" t="n"/>
      <c r="Q734" s="10" t="n"/>
      <c r="R734" s="10" t="n"/>
      <c r="S734" s="349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</row>
    <row r="735" ht="15.75" customHeight="1" s="1349">
      <c r="A735" s="10" t="n"/>
      <c r="B735" s="10" t="n"/>
      <c r="C735" s="346" t="n"/>
      <c r="D735" s="347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348" t="n"/>
      <c r="N735" s="10" t="n"/>
      <c r="O735" s="10" t="n"/>
      <c r="P735" s="10" t="n"/>
      <c r="Q735" s="10" t="n"/>
      <c r="R735" s="10" t="n"/>
      <c r="S735" s="349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</row>
    <row r="736" ht="15.75" customHeight="1" s="1349">
      <c r="A736" s="10" t="n"/>
      <c r="B736" s="10" t="n"/>
      <c r="C736" s="346" t="n"/>
      <c r="D736" s="347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348" t="n"/>
      <c r="N736" s="10" t="n"/>
      <c r="O736" s="10" t="n"/>
      <c r="P736" s="10" t="n"/>
      <c r="Q736" s="10" t="n"/>
      <c r="R736" s="10" t="n"/>
      <c r="S736" s="349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  <c r="AF736" s="10" t="n"/>
      <c r="AG736" s="10" t="n"/>
    </row>
    <row r="737" ht="15.75" customHeight="1" s="1349">
      <c r="A737" s="10" t="n"/>
      <c r="B737" s="10" t="n"/>
      <c r="C737" s="346" t="n"/>
      <c r="D737" s="347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348" t="n"/>
      <c r="N737" s="10" t="n"/>
      <c r="O737" s="10" t="n"/>
      <c r="P737" s="10" t="n"/>
      <c r="Q737" s="10" t="n"/>
      <c r="R737" s="10" t="n"/>
      <c r="S737" s="349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0" t="n"/>
    </row>
    <row r="738" ht="15.75" customHeight="1" s="1349">
      <c r="A738" s="10" t="n"/>
      <c r="B738" s="10" t="n"/>
      <c r="C738" s="346" t="n"/>
      <c r="D738" s="347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348" t="n"/>
      <c r="N738" s="10" t="n"/>
      <c r="O738" s="10" t="n"/>
      <c r="P738" s="10" t="n"/>
      <c r="Q738" s="10" t="n"/>
      <c r="R738" s="10" t="n"/>
      <c r="S738" s="349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  <c r="AF738" s="10" t="n"/>
      <c r="AG738" s="10" t="n"/>
    </row>
    <row r="739" ht="15.75" customHeight="1" s="1349">
      <c r="A739" s="10" t="n"/>
      <c r="B739" s="10" t="n"/>
      <c r="C739" s="346" t="n"/>
      <c r="D739" s="347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348" t="n"/>
      <c r="N739" s="10" t="n"/>
      <c r="O739" s="10" t="n"/>
      <c r="P739" s="10" t="n"/>
      <c r="Q739" s="10" t="n"/>
      <c r="R739" s="10" t="n"/>
      <c r="S739" s="349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</row>
    <row r="740" ht="15.75" customHeight="1" s="1349">
      <c r="A740" s="10" t="n"/>
      <c r="B740" s="10" t="n"/>
      <c r="C740" s="346" t="n"/>
      <c r="D740" s="347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348" t="n"/>
      <c r="N740" s="10" t="n"/>
      <c r="O740" s="10" t="n"/>
      <c r="P740" s="10" t="n"/>
      <c r="Q740" s="10" t="n"/>
      <c r="R740" s="10" t="n"/>
      <c r="S740" s="349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</row>
    <row r="741" ht="15.75" customHeight="1" s="1349">
      <c r="A741" s="10" t="n"/>
      <c r="B741" s="10" t="n"/>
      <c r="C741" s="346" t="n"/>
      <c r="D741" s="347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348" t="n"/>
      <c r="N741" s="10" t="n"/>
      <c r="O741" s="10" t="n"/>
      <c r="P741" s="10" t="n"/>
      <c r="Q741" s="10" t="n"/>
      <c r="R741" s="10" t="n"/>
      <c r="S741" s="349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</row>
    <row r="742" ht="15.75" customHeight="1" s="1349">
      <c r="A742" s="10" t="n"/>
      <c r="B742" s="10" t="n"/>
      <c r="C742" s="346" t="n"/>
      <c r="D742" s="347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348" t="n"/>
      <c r="N742" s="10" t="n"/>
      <c r="O742" s="10" t="n"/>
      <c r="P742" s="10" t="n"/>
      <c r="Q742" s="10" t="n"/>
      <c r="R742" s="10" t="n"/>
      <c r="S742" s="349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  <c r="AF742" s="10" t="n"/>
      <c r="AG742" s="10" t="n"/>
    </row>
    <row r="743" ht="15.75" customHeight="1" s="1349">
      <c r="A743" s="10" t="n"/>
      <c r="B743" s="10" t="n"/>
      <c r="C743" s="346" t="n"/>
      <c r="D743" s="347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348" t="n"/>
      <c r="N743" s="10" t="n"/>
      <c r="O743" s="10" t="n"/>
      <c r="P743" s="10" t="n"/>
      <c r="Q743" s="10" t="n"/>
      <c r="R743" s="10" t="n"/>
      <c r="S743" s="349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</row>
    <row r="744" ht="15.75" customHeight="1" s="1349">
      <c r="A744" s="10" t="n"/>
      <c r="B744" s="10" t="n"/>
      <c r="C744" s="346" t="n"/>
      <c r="D744" s="347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348" t="n"/>
      <c r="N744" s="10" t="n"/>
      <c r="O744" s="10" t="n"/>
      <c r="P744" s="10" t="n"/>
      <c r="Q744" s="10" t="n"/>
      <c r="R744" s="10" t="n"/>
      <c r="S744" s="349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</row>
    <row r="745" ht="15.75" customHeight="1" s="1349">
      <c r="A745" s="10" t="n"/>
      <c r="B745" s="10" t="n"/>
      <c r="C745" s="346" t="n"/>
      <c r="D745" s="347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348" t="n"/>
      <c r="N745" s="10" t="n"/>
      <c r="O745" s="10" t="n"/>
      <c r="P745" s="10" t="n"/>
      <c r="Q745" s="10" t="n"/>
      <c r="R745" s="10" t="n"/>
      <c r="S745" s="349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</row>
    <row r="746" ht="15.75" customHeight="1" s="1349">
      <c r="A746" s="10" t="n"/>
      <c r="B746" s="10" t="n"/>
      <c r="C746" s="346" t="n"/>
      <c r="D746" s="347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348" t="n"/>
      <c r="N746" s="10" t="n"/>
      <c r="O746" s="10" t="n"/>
      <c r="P746" s="10" t="n"/>
      <c r="Q746" s="10" t="n"/>
      <c r="R746" s="10" t="n"/>
      <c r="S746" s="349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  <c r="AF746" s="10" t="n"/>
      <c r="AG746" s="10" t="n"/>
    </row>
    <row r="747" ht="15.75" customHeight="1" s="1349">
      <c r="A747" s="10" t="n"/>
      <c r="B747" s="10" t="n"/>
      <c r="C747" s="346" t="n"/>
      <c r="D747" s="347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348" t="n"/>
      <c r="N747" s="10" t="n"/>
      <c r="O747" s="10" t="n"/>
      <c r="P747" s="10" t="n"/>
      <c r="Q747" s="10" t="n"/>
      <c r="R747" s="10" t="n"/>
      <c r="S747" s="349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  <c r="AD747" s="10" t="n"/>
      <c r="AE747" s="10" t="n"/>
      <c r="AF747" s="10" t="n"/>
      <c r="AG747" s="10" t="n"/>
    </row>
    <row r="748" ht="15.75" customHeight="1" s="1349">
      <c r="A748" s="10" t="n"/>
      <c r="B748" s="10" t="n"/>
      <c r="C748" s="346" t="n"/>
      <c r="D748" s="347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348" t="n"/>
      <c r="N748" s="10" t="n"/>
      <c r="O748" s="10" t="n"/>
      <c r="P748" s="10" t="n"/>
      <c r="Q748" s="10" t="n"/>
      <c r="R748" s="10" t="n"/>
      <c r="S748" s="349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</row>
    <row r="749" ht="15.75" customHeight="1" s="1349">
      <c r="A749" s="10" t="n"/>
      <c r="B749" s="10" t="n"/>
      <c r="C749" s="346" t="n"/>
      <c r="D749" s="347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348" t="n"/>
      <c r="N749" s="10" t="n"/>
      <c r="O749" s="10" t="n"/>
      <c r="P749" s="10" t="n"/>
      <c r="Q749" s="10" t="n"/>
      <c r="R749" s="10" t="n"/>
      <c r="S749" s="349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</row>
    <row r="750" ht="15.75" customHeight="1" s="1349">
      <c r="A750" s="10" t="n"/>
      <c r="B750" s="10" t="n"/>
      <c r="C750" s="346" t="n"/>
      <c r="D750" s="347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348" t="n"/>
      <c r="N750" s="10" t="n"/>
      <c r="O750" s="10" t="n"/>
      <c r="P750" s="10" t="n"/>
      <c r="Q750" s="10" t="n"/>
      <c r="R750" s="10" t="n"/>
      <c r="S750" s="349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  <c r="AF750" s="10" t="n"/>
      <c r="AG750" s="10" t="n"/>
    </row>
    <row r="751" ht="15.75" customHeight="1" s="1349">
      <c r="A751" s="10" t="n"/>
      <c r="B751" s="10" t="n"/>
      <c r="C751" s="346" t="n"/>
      <c r="D751" s="347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348" t="n"/>
      <c r="N751" s="10" t="n"/>
      <c r="O751" s="10" t="n"/>
      <c r="P751" s="10" t="n"/>
      <c r="Q751" s="10" t="n"/>
      <c r="R751" s="10" t="n"/>
      <c r="S751" s="349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  <c r="AD751" s="10" t="n"/>
      <c r="AE751" s="10" t="n"/>
      <c r="AF751" s="10" t="n"/>
      <c r="AG751" s="10" t="n"/>
    </row>
    <row r="752" ht="15.75" customHeight="1" s="1349">
      <c r="A752" s="10" t="n"/>
      <c r="B752" s="10" t="n"/>
      <c r="C752" s="346" t="n"/>
      <c r="D752" s="347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348" t="n"/>
      <c r="N752" s="10" t="n"/>
      <c r="O752" s="10" t="n"/>
      <c r="P752" s="10" t="n"/>
      <c r="Q752" s="10" t="n"/>
      <c r="R752" s="10" t="n"/>
      <c r="S752" s="349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  <c r="AD752" s="10" t="n"/>
      <c r="AE752" s="10" t="n"/>
      <c r="AF752" s="10" t="n"/>
      <c r="AG752" s="10" t="n"/>
    </row>
    <row r="753" ht="15.75" customHeight="1" s="1349">
      <c r="A753" s="10" t="n"/>
      <c r="B753" s="10" t="n"/>
      <c r="C753" s="346" t="n"/>
      <c r="D753" s="347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348" t="n"/>
      <c r="N753" s="10" t="n"/>
      <c r="O753" s="10" t="n"/>
      <c r="P753" s="10" t="n"/>
      <c r="Q753" s="10" t="n"/>
      <c r="R753" s="10" t="n"/>
      <c r="S753" s="349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  <c r="AD753" s="10" t="n"/>
      <c r="AE753" s="10" t="n"/>
      <c r="AF753" s="10" t="n"/>
      <c r="AG753" s="10" t="n"/>
    </row>
    <row r="754" ht="15.75" customHeight="1" s="1349">
      <c r="A754" s="10" t="n"/>
      <c r="B754" s="10" t="n"/>
      <c r="C754" s="346" t="n"/>
      <c r="D754" s="347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348" t="n"/>
      <c r="N754" s="10" t="n"/>
      <c r="O754" s="10" t="n"/>
      <c r="P754" s="10" t="n"/>
      <c r="Q754" s="10" t="n"/>
      <c r="R754" s="10" t="n"/>
      <c r="S754" s="349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  <c r="AD754" s="10" t="n"/>
      <c r="AE754" s="10" t="n"/>
      <c r="AF754" s="10" t="n"/>
      <c r="AG754" s="10" t="n"/>
    </row>
    <row r="755" ht="15.75" customHeight="1" s="1349">
      <c r="A755" s="10" t="n"/>
      <c r="B755" s="10" t="n"/>
      <c r="C755" s="346" t="n"/>
      <c r="D755" s="347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348" t="n"/>
      <c r="N755" s="10" t="n"/>
      <c r="O755" s="10" t="n"/>
      <c r="P755" s="10" t="n"/>
      <c r="Q755" s="10" t="n"/>
      <c r="R755" s="10" t="n"/>
      <c r="S755" s="349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</row>
    <row r="756" ht="15.75" customHeight="1" s="1349">
      <c r="A756" s="10" t="n"/>
      <c r="B756" s="10" t="n"/>
      <c r="C756" s="346" t="n"/>
      <c r="D756" s="347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348" t="n"/>
      <c r="N756" s="10" t="n"/>
      <c r="O756" s="10" t="n"/>
      <c r="P756" s="10" t="n"/>
      <c r="Q756" s="10" t="n"/>
      <c r="R756" s="10" t="n"/>
      <c r="S756" s="349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</row>
    <row r="757" ht="15.75" customHeight="1" s="1349">
      <c r="A757" s="10" t="n"/>
      <c r="B757" s="10" t="n"/>
      <c r="C757" s="346" t="n"/>
      <c r="D757" s="347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348" t="n"/>
      <c r="N757" s="10" t="n"/>
      <c r="O757" s="10" t="n"/>
      <c r="P757" s="10" t="n"/>
      <c r="Q757" s="10" t="n"/>
      <c r="R757" s="10" t="n"/>
      <c r="S757" s="349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  <c r="AD757" s="10" t="n"/>
      <c r="AE757" s="10" t="n"/>
      <c r="AF757" s="10" t="n"/>
      <c r="AG757" s="10" t="n"/>
    </row>
    <row r="758" ht="15.75" customHeight="1" s="1349">
      <c r="A758" s="10" t="n"/>
      <c r="B758" s="10" t="n"/>
      <c r="C758" s="346" t="n"/>
      <c r="D758" s="347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348" t="n"/>
      <c r="N758" s="10" t="n"/>
      <c r="O758" s="10" t="n"/>
      <c r="P758" s="10" t="n"/>
      <c r="Q758" s="10" t="n"/>
      <c r="R758" s="10" t="n"/>
      <c r="S758" s="349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  <c r="AF758" s="10" t="n"/>
      <c r="AG758" s="10" t="n"/>
    </row>
    <row r="759" ht="15.75" customHeight="1" s="1349">
      <c r="A759" s="10" t="n"/>
      <c r="B759" s="10" t="n"/>
      <c r="C759" s="346" t="n"/>
      <c r="D759" s="347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348" t="n"/>
      <c r="N759" s="10" t="n"/>
      <c r="O759" s="10" t="n"/>
      <c r="P759" s="10" t="n"/>
      <c r="Q759" s="10" t="n"/>
      <c r="R759" s="10" t="n"/>
      <c r="S759" s="349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  <c r="AD759" s="10" t="n"/>
      <c r="AE759" s="10" t="n"/>
      <c r="AF759" s="10" t="n"/>
      <c r="AG759" s="10" t="n"/>
    </row>
    <row r="760" ht="15.75" customHeight="1" s="1349">
      <c r="A760" s="10" t="n"/>
      <c r="B760" s="10" t="n"/>
      <c r="C760" s="346" t="n"/>
      <c r="D760" s="347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348" t="n"/>
      <c r="N760" s="10" t="n"/>
      <c r="O760" s="10" t="n"/>
      <c r="P760" s="10" t="n"/>
      <c r="Q760" s="10" t="n"/>
      <c r="R760" s="10" t="n"/>
      <c r="S760" s="349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  <c r="AF760" s="10" t="n"/>
      <c r="AG760" s="10" t="n"/>
    </row>
    <row r="761" ht="15.75" customHeight="1" s="1349">
      <c r="A761" s="10" t="n"/>
      <c r="B761" s="10" t="n"/>
      <c r="C761" s="346" t="n"/>
      <c r="D761" s="347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348" t="n"/>
      <c r="N761" s="10" t="n"/>
      <c r="O761" s="10" t="n"/>
      <c r="P761" s="10" t="n"/>
      <c r="Q761" s="10" t="n"/>
      <c r="R761" s="10" t="n"/>
      <c r="S761" s="349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  <c r="AD761" s="10" t="n"/>
      <c r="AE761" s="10" t="n"/>
      <c r="AF761" s="10" t="n"/>
      <c r="AG761" s="10" t="n"/>
    </row>
    <row r="762" ht="15.75" customHeight="1" s="1349">
      <c r="A762" s="10" t="n"/>
      <c r="B762" s="10" t="n"/>
      <c r="C762" s="346" t="n"/>
      <c r="D762" s="347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348" t="n"/>
      <c r="N762" s="10" t="n"/>
      <c r="O762" s="10" t="n"/>
      <c r="P762" s="10" t="n"/>
      <c r="Q762" s="10" t="n"/>
      <c r="R762" s="10" t="n"/>
      <c r="S762" s="349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</row>
    <row r="763" ht="15.75" customHeight="1" s="1349">
      <c r="A763" s="10" t="n"/>
      <c r="B763" s="10" t="n"/>
      <c r="C763" s="346" t="n"/>
      <c r="D763" s="347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348" t="n"/>
      <c r="N763" s="10" t="n"/>
      <c r="O763" s="10" t="n"/>
      <c r="P763" s="10" t="n"/>
      <c r="Q763" s="10" t="n"/>
      <c r="R763" s="10" t="n"/>
      <c r="S763" s="349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</row>
    <row r="764" ht="15.75" customHeight="1" s="1349">
      <c r="A764" s="10" t="n"/>
      <c r="B764" s="10" t="n"/>
      <c r="C764" s="346" t="n"/>
      <c r="D764" s="347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348" t="n"/>
      <c r="N764" s="10" t="n"/>
      <c r="O764" s="10" t="n"/>
      <c r="P764" s="10" t="n"/>
      <c r="Q764" s="10" t="n"/>
      <c r="R764" s="10" t="n"/>
      <c r="S764" s="349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  <c r="AD764" s="10" t="n"/>
      <c r="AE764" s="10" t="n"/>
      <c r="AF764" s="10" t="n"/>
      <c r="AG764" s="10" t="n"/>
    </row>
    <row r="765" ht="15.75" customHeight="1" s="1349">
      <c r="A765" s="10" t="n"/>
      <c r="B765" s="10" t="n"/>
      <c r="C765" s="346" t="n"/>
      <c r="D765" s="347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348" t="n"/>
      <c r="N765" s="10" t="n"/>
      <c r="O765" s="10" t="n"/>
      <c r="P765" s="10" t="n"/>
      <c r="Q765" s="10" t="n"/>
      <c r="R765" s="10" t="n"/>
      <c r="S765" s="349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  <c r="AD765" s="10" t="n"/>
      <c r="AE765" s="10" t="n"/>
      <c r="AF765" s="10" t="n"/>
      <c r="AG765" s="10" t="n"/>
    </row>
    <row r="766" ht="15.75" customHeight="1" s="1349">
      <c r="A766" s="10" t="n"/>
      <c r="B766" s="10" t="n"/>
      <c r="C766" s="346" t="n"/>
      <c r="D766" s="347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348" t="n"/>
      <c r="N766" s="10" t="n"/>
      <c r="O766" s="10" t="n"/>
      <c r="P766" s="10" t="n"/>
      <c r="Q766" s="10" t="n"/>
      <c r="R766" s="10" t="n"/>
      <c r="S766" s="349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  <c r="AD766" s="10" t="n"/>
      <c r="AE766" s="10" t="n"/>
      <c r="AF766" s="10" t="n"/>
      <c r="AG766" s="10" t="n"/>
    </row>
    <row r="767" ht="15.75" customHeight="1" s="1349">
      <c r="A767" s="10" t="n"/>
      <c r="B767" s="10" t="n"/>
      <c r="C767" s="346" t="n"/>
      <c r="D767" s="347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348" t="n"/>
      <c r="N767" s="10" t="n"/>
      <c r="O767" s="10" t="n"/>
      <c r="P767" s="10" t="n"/>
      <c r="Q767" s="10" t="n"/>
      <c r="R767" s="10" t="n"/>
      <c r="S767" s="349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  <c r="AD767" s="10" t="n"/>
      <c r="AE767" s="10" t="n"/>
      <c r="AF767" s="10" t="n"/>
      <c r="AG767" s="10" t="n"/>
    </row>
    <row r="768" ht="15.75" customHeight="1" s="1349">
      <c r="A768" s="10" t="n"/>
      <c r="B768" s="10" t="n"/>
      <c r="C768" s="346" t="n"/>
      <c r="D768" s="347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348" t="n"/>
      <c r="N768" s="10" t="n"/>
      <c r="O768" s="10" t="n"/>
      <c r="P768" s="10" t="n"/>
      <c r="Q768" s="10" t="n"/>
      <c r="R768" s="10" t="n"/>
      <c r="S768" s="349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  <c r="AD768" s="10" t="n"/>
      <c r="AE768" s="10" t="n"/>
      <c r="AF768" s="10" t="n"/>
      <c r="AG768" s="10" t="n"/>
    </row>
    <row r="769" ht="15.75" customHeight="1" s="1349">
      <c r="A769" s="10" t="n"/>
      <c r="B769" s="10" t="n"/>
      <c r="C769" s="346" t="n"/>
      <c r="D769" s="347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348" t="n"/>
      <c r="N769" s="10" t="n"/>
      <c r="O769" s="10" t="n"/>
      <c r="P769" s="10" t="n"/>
      <c r="Q769" s="10" t="n"/>
      <c r="R769" s="10" t="n"/>
      <c r="S769" s="349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  <c r="AD769" s="10" t="n"/>
      <c r="AE769" s="10" t="n"/>
      <c r="AF769" s="10" t="n"/>
      <c r="AG769" s="10" t="n"/>
    </row>
    <row r="770" ht="15.75" customHeight="1" s="1349">
      <c r="A770" s="10" t="n"/>
      <c r="B770" s="10" t="n"/>
      <c r="C770" s="346" t="n"/>
      <c r="D770" s="347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348" t="n"/>
      <c r="N770" s="10" t="n"/>
      <c r="O770" s="10" t="n"/>
      <c r="P770" s="10" t="n"/>
      <c r="Q770" s="10" t="n"/>
      <c r="R770" s="10" t="n"/>
      <c r="S770" s="349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</row>
    <row r="771" ht="15.75" customHeight="1" s="1349">
      <c r="A771" s="10" t="n"/>
      <c r="B771" s="10" t="n"/>
      <c r="C771" s="346" t="n"/>
      <c r="D771" s="347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348" t="n"/>
      <c r="N771" s="10" t="n"/>
      <c r="O771" s="10" t="n"/>
      <c r="P771" s="10" t="n"/>
      <c r="Q771" s="10" t="n"/>
      <c r="R771" s="10" t="n"/>
      <c r="S771" s="349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</row>
    <row r="772" ht="15.75" customHeight="1" s="1349">
      <c r="A772" s="10" t="n"/>
      <c r="B772" s="10" t="n"/>
      <c r="C772" s="346" t="n"/>
      <c r="D772" s="347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348" t="n"/>
      <c r="N772" s="10" t="n"/>
      <c r="O772" s="10" t="n"/>
      <c r="P772" s="10" t="n"/>
      <c r="Q772" s="10" t="n"/>
      <c r="R772" s="10" t="n"/>
      <c r="S772" s="349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  <c r="AF772" s="10" t="n"/>
      <c r="AG772" s="10" t="n"/>
    </row>
    <row r="773" ht="15.75" customHeight="1" s="1349">
      <c r="A773" s="10" t="n"/>
      <c r="B773" s="10" t="n"/>
      <c r="C773" s="346" t="n"/>
      <c r="D773" s="347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348" t="n"/>
      <c r="N773" s="10" t="n"/>
      <c r="O773" s="10" t="n"/>
      <c r="P773" s="10" t="n"/>
      <c r="Q773" s="10" t="n"/>
      <c r="R773" s="10" t="n"/>
      <c r="S773" s="349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  <c r="AD773" s="10" t="n"/>
      <c r="AE773" s="10" t="n"/>
      <c r="AF773" s="10" t="n"/>
      <c r="AG773" s="10" t="n"/>
    </row>
    <row r="774" ht="15.75" customHeight="1" s="1349">
      <c r="A774" s="10" t="n"/>
      <c r="B774" s="10" t="n"/>
      <c r="C774" s="346" t="n"/>
      <c r="D774" s="347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348" t="n"/>
      <c r="N774" s="10" t="n"/>
      <c r="O774" s="10" t="n"/>
      <c r="P774" s="10" t="n"/>
      <c r="Q774" s="10" t="n"/>
      <c r="R774" s="10" t="n"/>
      <c r="S774" s="349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  <c r="AF774" s="10" t="n"/>
      <c r="AG774" s="10" t="n"/>
    </row>
    <row r="775" ht="15.75" customHeight="1" s="1349">
      <c r="A775" s="10" t="n"/>
      <c r="B775" s="10" t="n"/>
      <c r="C775" s="346" t="n"/>
      <c r="D775" s="347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348" t="n"/>
      <c r="N775" s="10" t="n"/>
      <c r="O775" s="10" t="n"/>
      <c r="P775" s="10" t="n"/>
      <c r="Q775" s="10" t="n"/>
      <c r="R775" s="10" t="n"/>
      <c r="S775" s="349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</row>
    <row r="776" ht="15.75" customHeight="1" s="1349">
      <c r="A776" s="10" t="n"/>
      <c r="B776" s="10" t="n"/>
      <c r="C776" s="346" t="n"/>
      <c r="D776" s="347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348" t="n"/>
      <c r="N776" s="10" t="n"/>
      <c r="O776" s="10" t="n"/>
      <c r="P776" s="10" t="n"/>
      <c r="Q776" s="10" t="n"/>
      <c r="R776" s="10" t="n"/>
      <c r="S776" s="349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  <c r="AD776" s="10" t="n"/>
      <c r="AE776" s="10" t="n"/>
      <c r="AF776" s="10" t="n"/>
      <c r="AG776" s="10" t="n"/>
    </row>
    <row r="777" ht="15.75" customHeight="1" s="1349">
      <c r="A777" s="10" t="n"/>
      <c r="B777" s="10" t="n"/>
      <c r="C777" s="346" t="n"/>
      <c r="D777" s="347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348" t="n"/>
      <c r="N777" s="10" t="n"/>
      <c r="O777" s="10" t="n"/>
      <c r="P777" s="10" t="n"/>
      <c r="Q777" s="10" t="n"/>
      <c r="R777" s="10" t="n"/>
      <c r="S777" s="349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  <c r="AD777" s="10" t="n"/>
      <c r="AE777" s="10" t="n"/>
      <c r="AF777" s="10" t="n"/>
      <c r="AG777" s="10" t="n"/>
    </row>
    <row r="778" ht="15.75" customHeight="1" s="1349">
      <c r="A778" s="10" t="n"/>
      <c r="B778" s="10" t="n"/>
      <c r="C778" s="346" t="n"/>
      <c r="D778" s="347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348" t="n"/>
      <c r="N778" s="10" t="n"/>
      <c r="O778" s="10" t="n"/>
      <c r="P778" s="10" t="n"/>
      <c r="Q778" s="10" t="n"/>
      <c r="R778" s="10" t="n"/>
      <c r="S778" s="349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  <c r="AD778" s="10" t="n"/>
      <c r="AE778" s="10" t="n"/>
      <c r="AF778" s="10" t="n"/>
      <c r="AG778" s="10" t="n"/>
    </row>
    <row r="779" ht="15.75" customHeight="1" s="1349">
      <c r="A779" s="10" t="n"/>
      <c r="B779" s="10" t="n"/>
      <c r="C779" s="346" t="n"/>
      <c r="D779" s="347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348" t="n"/>
      <c r="N779" s="10" t="n"/>
      <c r="O779" s="10" t="n"/>
      <c r="P779" s="10" t="n"/>
      <c r="Q779" s="10" t="n"/>
      <c r="R779" s="10" t="n"/>
      <c r="S779" s="349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  <c r="AD779" s="10" t="n"/>
      <c r="AE779" s="10" t="n"/>
      <c r="AF779" s="10" t="n"/>
      <c r="AG779" s="10" t="n"/>
    </row>
    <row r="780" ht="15.75" customHeight="1" s="1349">
      <c r="A780" s="10" t="n"/>
      <c r="B780" s="10" t="n"/>
      <c r="C780" s="346" t="n"/>
      <c r="D780" s="347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348" t="n"/>
      <c r="N780" s="10" t="n"/>
      <c r="O780" s="10" t="n"/>
      <c r="P780" s="10" t="n"/>
      <c r="Q780" s="10" t="n"/>
      <c r="R780" s="10" t="n"/>
      <c r="S780" s="349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  <c r="AD780" s="10" t="n"/>
      <c r="AE780" s="10" t="n"/>
      <c r="AF780" s="10" t="n"/>
      <c r="AG780" s="10" t="n"/>
    </row>
    <row r="781" ht="15.75" customHeight="1" s="1349">
      <c r="A781" s="10" t="n"/>
      <c r="B781" s="10" t="n"/>
      <c r="C781" s="346" t="n"/>
      <c r="D781" s="347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348" t="n"/>
      <c r="N781" s="10" t="n"/>
      <c r="O781" s="10" t="n"/>
      <c r="P781" s="10" t="n"/>
      <c r="Q781" s="10" t="n"/>
      <c r="R781" s="10" t="n"/>
      <c r="S781" s="349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  <c r="AD781" s="10" t="n"/>
      <c r="AE781" s="10" t="n"/>
      <c r="AF781" s="10" t="n"/>
      <c r="AG781" s="10" t="n"/>
    </row>
    <row r="782" ht="15.75" customHeight="1" s="1349">
      <c r="A782" s="10" t="n"/>
      <c r="B782" s="10" t="n"/>
      <c r="C782" s="346" t="n"/>
      <c r="D782" s="347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348" t="n"/>
      <c r="N782" s="10" t="n"/>
      <c r="O782" s="10" t="n"/>
      <c r="P782" s="10" t="n"/>
      <c r="Q782" s="10" t="n"/>
      <c r="R782" s="10" t="n"/>
      <c r="S782" s="349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  <c r="AD782" s="10" t="n"/>
      <c r="AE782" s="10" t="n"/>
      <c r="AF782" s="10" t="n"/>
      <c r="AG782" s="10" t="n"/>
    </row>
    <row r="783" ht="15.75" customHeight="1" s="1349">
      <c r="A783" s="10" t="n"/>
      <c r="B783" s="10" t="n"/>
      <c r="C783" s="346" t="n"/>
      <c r="D783" s="347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348" t="n"/>
      <c r="N783" s="10" t="n"/>
      <c r="O783" s="10" t="n"/>
      <c r="P783" s="10" t="n"/>
      <c r="Q783" s="10" t="n"/>
      <c r="R783" s="10" t="n"/>
      <c r="S783" s="349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</row>
    <row r="784" ht="15.75" customHeight="1" s="1349">
      <c r="A784" s="10" t="n"/>
      <c r="B784" s="10" t="n"/>
      <c r="C784" s="346" t="n"/>
      <c r="D784" s="347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348" t="n"/>
      <c r="N784" s="10" t="n"/>
      <c r="O784" s="10" t="n"/>
      <c r="P784" s="10" t="n"/>
      <c r="Q784" s="10" t="n"/>
      <c r="R784" s="10" t="n"/>
      <c r="S784" s="349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</row>
    <row r="785" ht="15.75" customHeight="1" s="1349">
      <c r="A785" s="10" t="n"/>
      <c r="B785" s="10" t="n"/>
      <c r="C785" s="346" t="n"/>
      <c r="D785" s="347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348" t="n"/>
      <c r="N785" s="10" t="n"/>
      <c r="O785" s="10" t="n"/>
      <c r="P785" s="10" t="n"/>
      <c r="Q785" s="10" t="n"/>
      <c r="R785" s="10" t="n"/>
      <c r="S785" s="349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  <c r="AD785" s="10" t="n"/>
      <c r="AE785" s="10" t="n"/>
      <c r="AF785" s="10" t="n"/>
      <c r="AG785" s="10" t="n"/>
    </row>
    <row r="786" ht="15.75" customHeight="1" s="1349">
      <c r="A786" s="10" t="n"/>
      <c r="B786" s="10" t="n"/>
      <c r="C786" s="346" t="n"/>
      <c r="D786" s="347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348" t="n"/>
      <c r="N786" s="10" t="n"/>
      <c r="O786" s="10" t="n"/>
      <c r="P786" s="10" t="n"/>
      <c r="Q786" s="10" t="n"/>
      <c r="R786" s="10" t="n"/>
      <c r="S786" s="349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  <c r="AD786" s="10" t="n"/>
      <c r="AE786" s="10" t="n"/>
      <c r="AF786" s="10" t="n"/>
      <c r="AG786" s="10" t="n"/>
    </row>
    <row r="787" ht="15.75" customHeight="1" s="1349">
      <c r="A787" s="10" t="n"/>
      <c r="B787" s="10" t="n"/>
      <c r="C787" s="346" t="n"/>
      <c r="D787" s="347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348" t="n"/>
      <c r="N787" s="10" t="n"/>
      <c r="O787" s="10" t="n"/>
      <c r="P787" s="10" t="n"/>
      <c r="Q787" s="10" t="n"/>
      <c r="R787" s="10" t="n"/>
      <c r="S787" s="349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  <c r="AD787" s="10" t="n"/>
      <c r="AE787" s="10" t="n"/>
      <c r="AF787" s="10" t="n"/>
      <c r="AG787" s="10" t="n"/>
    </row>
    <row r="788" ht="15.75" customHeight="1" s="1349">
      <c r="A788" s="10" t="n"/>
      <c r="B788" s="10" t="n"/>
      <c r="C788" s="346" t="n"/>
      <c r="D788" s="347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348" t="n"/>
      <c r="N788" s="10" t="n"/>
      <c r="O788" s="10" t="n"/>
      <c r="P788" s="10" t="n"/>
      <c r="Q788" s="10" t="n"/>
      <c r="R788" s="10" t="n"/>
      <c r="S788" s="349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  <c r="AD788" s="10" t="n"/>
      <c r="AE788" s="10" t="n"/>
      <c r="AF788" s="10" t="n"/>
      <c r="AG788" s="10" t="n"/>
    </row>
    <row r="789" ht="15.75" customHeight="1" s="1349">
      <c r="A789" s="10" t="n"/>
      <c r="B789" s="10" t="n"/>
      <c r="C789" s="346" t="n"/>
      <c r="D789" s="347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348" t="n"/>
      <c r="N789" s="10" t="n"/>
      <c r="O789" s="10" t="n"/>
      <c r="P789" s="10" t="n"/>
      <c r="Q789" s="10" t="n"/>
      <c r="R789" s="10" t="n"/>
      <c r="S789" s="349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</row>
    <row r="790" ht="15.75" customHeight="1" s="1349">
      <c r="A790" s="10" t="n"/>
      <c r="B790" s="10" t="n"/>
      <c r="C790" s="346" t="n"/>
      <c r="D790" s="347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348" t="n"/>
      <c r="N790" s="10" t="n"/>
      <c r="O790" s="10" t="n"/>
      <c r="P790" s="10" t="n"/>
      <c r="Q790" s="10" t="n"/>
      <c r="R790" s="10" t="n"/>
      <c r="S790" s="349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  <c r="AF790" s="10" t="n"/>
      <c r="AG790" s="10" t="n"/>
    </row>
    <row r="791" ht="15.75" customHeight="1" s="1349">
      <c r="A791" s="10" t="n"/>
      <c r="B791" s="10" t="n"/>
      <c r="C791" s="346" t="n"/>
      <c r="D791" s="347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348" t="n"/>
      <c r="N791" s="10" t="n"/>
      <c r="O791" s="10" t="n"/>
      <c r="P791" s="10" t="n"/>
      <c r="Q791" s="10" t="n"/>
      <c r="R791" s="10" t="n"/>
      <c r="S791" s="349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  <c r="AD791" s="10" t="n"/>
      <c r="AE791" s="10" t="n"/>
      <c r="AF791" s="10" t="n"/>
      <c r="AG791" s="10" t="n"/>
    </row>
    <row r="792" ht="15.75" customHeight="1" s="1349">
      <c r="A792" s="10" t="n"/>
      <c r="B792" s="10" t="n"/>
      <c r="C792" s="346" t="n"/>
      <c r="D792" s="347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348" t="n"/>
      <c r="N792" s="10" t="n"/>
      <c r="O792" s="10" t="n"/>
      <c r="P792" s="10" t="n"/>
      <c r="Q792" s="10" t="n"/>
      <c r="R792" s="10" t="n"/>
      <c r="S792" s="349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  <c r="AF792" s="10" t="n"/>
      <c r="AG792" s="10" t="n"/>
    </row>
    <row r="793" ht="15.75" customHeight="1" s="1349">
      <c r="A793" s="10" t="n"/>
      <c r="B793" s="10" t="n"/>
      <c r="C793" s="346" t="n"/>
      <c r="D793" s="347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348" t="n"/>
      <c r="N793" s="10" t="n"/>
      <c r="O793" s="10" t="n"/>
      <c r="P793" s="10" t="n"/>
      <c r="Q793" s="10" t="n"/>
      <c r="R793" s="10" t="n"/>
      <c r="S793" s="349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  <c r="AD793" s="10" t="n"/>
      <c r="AE793" s="10" t="n"/>
      <c r="AF793" s="10" t="n"/>
      <c r="AG793" s="10" t="n"/>
    </row>
    <row r="794" ht="15.75" customHeight="1" s="1349">
      <c r="A794" s="10" t="n"/>
      <c r="B794" s="10" t="n"/>
      <c r="C794" s="346" t="n"/>
      <c r="D794" s="347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348" t="n"/>
      <c r="N794" s="10" t="n"/>
      <c r="O794" s="10" t="n"/>
      <c r="P794" s="10" t="n"/>
      <c r="Q794" s="10" t="n"/>
      <c r="R794" s="10" t="n"/>
      <c r="S794" s="349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  <c r="AD794" s="10" t="n"/>
      <c r="AE794" s="10" t="n"/>
      <c r="AF794" s="10" t="n"/>
      <c r="AG794" s="10" t="n"/>
    </row>
    <row r="795" ht="15.75" customHeight="1" s="1349">
      <c r="A795" s="10" t="n"/>
      <c r="B795" s="10" t="n"/>
      <c r="C795" s="346" t="n"/>
      <c r="D795" s="347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348" t="n"/>
      <c r="N795" s="10" t="n"/>
      <c r="O795" s="10" t="n"/>
      <c r="P795" s="10" t="n"/>
      <c r="Q795" s="10" t="n"/>
      <c r="R795" s="10" t="n"/>
      <c r="S795" s="349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  <c r="AD795" s="10" t="n"/>
      <c r="AE795" s="10" t="n"/>
      <c r="AF795" s="10" t="n"/>
      <c r="AG795" s="10" t="n"/>
    </row>
    <row r="796" ht="15.75" customHeight="1" s="1349">
      <c r="A796" s="10" t="n"/>
      <c r="B796" s="10" t="n"/>
      <c r="C796" s="346" t="n"/>
      <c r="D796" s="347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348" t="n"/>
      <c r="N796" s="10" t="n"/>
      <c r="O796" s="10" t="n"/>
      <c r="P796" s="10" t="n"/>
      <c r="Q796" s="10" t="n"/>
      <c r="R796" s="10" t="n"/>
      <c r="S796" s="349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  <c r="AD796" s="10" t="n"/>
      <c r="AE796" s="10" t="n"/>
      <c r="AF796" s="10" t="n"/>
      <c r="AG796" s="10" t="n"/>
    </row>
    <row r="797" ht="15.75" customHeight="1" s="1349">
      <c r="A797" s="10" t="n"/>
      <c r="B797" s="10" t="n"/>
      <c r="C797" s="346" t="n"/>
      <c r="D797" s="347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348" t="n"/>
      <c r="N797" s="10" t="n"/>
      <c r="O797" s="10" t="n"/>
      <c r="P797" s="10" t="n"/>
      <c r="Q797" s="10" t="n"/>
      <c r="R797" s="10" t="n"/>
      <c r="S797" s="349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  <c r="AD797" s="10" t="n"/>
      <c r="AE797" s="10" t="n"/>
      <c r="AF797" s="10" t="n"/>
      <c r="AG797" s="10" t="n"/>
    </row>
    <row r="798" ht="15.75" customHeight="1" s="1349">
      <c r="A798" s="10" t="n"/>
      <c r="B798" s="10" t="n"/>
      <c r="C798" s="346" t="n"/>
      <c r="D798" s="347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348" t="n"/>
      <c r="N798" s="10" t="n"/>
      <c r="O798" s="10" t="n"/>
      <c r="P798" s="10" t="n"/>
      <c r="Q798" s="10" t="n"/>
      <c r="R798" s="10" t="n"/>
      <c r="S798" s="349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  <c r="AD798" s="10" t="n"/>
      <c r="AE798" s="10" t="n"/>
      <c r="AF798" s="10" t="n"/>
      <c r="AG798" s="10" t="n"/>
    </row>
    <row r="799" ht="15.75" customHeight="1" s="1349">
      <c r="A799" s="10" t="n"/>
      <c r="B799" s="10" t="n"/>
      <c r="C799" s="346" t="n"/>
      <c r="D799" s="347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348" t="n"/>
      <c r="N799" s="10" t="n"/>
      <c r="O799" s="10" t="n"/>
      <c r="P799" s="10" t="n"/>
      <c r="Q799" s="10" t="n"/>
      <c r="R799" s="10" t="n"/>
      <c r="S799" s="349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  <c r="AD799" s="10" t="n"/>
      <c r="AE799" s="10" t="n"/>
      <c r="AF799" s="10" t="n"/>
      <c r="AG799" s="10" t="n"/>
    </row>
    <row r="800" ht="15.75" customHeight="1" s="1349">
      <c r="A800" s="10" t="n"/>
      <c r="B800" s="10" t="n"/>
      <c r="C800" s="346" t="n"/>
      <c r="D800" s="347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348" t="n"/>
      <c r="N800" s="10" t="n"/>
      <c r="O800" s="10" t="n"/>
      <c r="P800" s="10" t="n"/>
      <c r="Q800" s="10" t="n"/>
      <c r="R800" s="10" t="n"/>
      <c r="S800" s="349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  <c r="AF800" s="10" t="n"/>
      <c r="AG800" s="10" t="n"/>
    </row>
    <row r="801" ht="15.75" customHeight="1" s="1349">
      <c r="A801" s="10" t="n"/>
      <c r="B801" s="10" t="n"/>
      <c r="C801" s="346" t="n"/>
      <c r="D801" s="347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348" t="n"/>
      <c r="N801" s="10" t="n"/>
      <c r="O801" s="10" t="n"/>
      <c r="P801" s="10" t="n"/>
      <c r="Q801" s="10" t="n"/>
      <c r="R801" s="10" t="n"/>
      <c r="S801" s="349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</row>
    <row r="802" ht="15.75" customHeight="1" s="1349">
      <c r="A802" s="10" t="n"/>
      <c r="B802" s="10" t="n"/>
      <c r="C802" s="346" t="n"/>
      <c r="D802" s="347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348" t="n"/>
      <c r="N802" s="10" t="n"/>
      <c r="O802" s="10" t="n"/>
      <c r="P802" s="10" t="n"/>
      <c r="Q802" s="10" t="n"/>
      <c r="R802" s="10" t="n"/>
      <c r="S802" s="349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  <c r="AD802" s="10" t="n"/>
      <c r="AE802" s="10" t="n"/>
      <c r="AF802" s="10" t="n"/>
      <c r="AG802" s="10" t="n"/>
    </row>
    <row r="803" ht="15.75" customHeight="1" s="1349">
      <c r="A803" s="10" t="n"/>
      <c r="B803" s="10" t="n"/>
      <c r="C803" s="346" t="n"/>
      <c r="D803" s="347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348" t="n"/>
      <c r="N803" s="10" t="n"/>
      <c r="O803" s="10" t="n"/>
      <c r="P803" s="10" t="n"/>
      <c r="Q803" s="10" t="n"/>
      <c r="R803" s="10" t="n"/>
      <c r="S803" s="349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  <c r="AD803" s="10" t="n"/>
      <c r="AE803" s="10" t="n"/>
      <c r="AF803" s="10" t="n"/>
      <c r="AG803" s="10" t="n"/>
    </row>
    <row r="804" ht="15.75" customHeight="1" s="1349">
      <c r="A804" s="10" t="n"/>
      <c r="B804" s="10" t="n"/>
      <c r="C804" s="346" t="n"/>
      <c r="D804" s="347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348" t="n"/>
      <c r="N804" s="10" t="n"/>
      <c r="O804" s="10" t="n"/>
      <c r="P804" s="10" t="n"/>
      <c r="Q804" s="10" t="n"/>
      <c r="R804" s="10" t="n"/>
      <c r="S804" s="349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  <c r="AD804" s="10" t="n"/>
      <c r="AE804" s="10" t="n"/>
      <c r="AF804" s="10" t="n"/>
      <c r="AG804" s="10" t="n"/>
    </row>
    <row r="805" ht="15.75" customHeight="1" s="1349">
      <c r="A805" s="10" t="n"/>
      <c r="B805" s="10" t="n"/>
      <c r="C805" s="346" t="n"/>
      <c r="D805" s="347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348" t="n"/>
      <c r="N805" s="10" t="n"/>
      <c r="O805" s="10" t="n"/>
      <c r="P805" s="10" t="n"/>
      <c r="Q805" s="10" t="n"/>
      <c r="R805" s="10" t="n"/>
      <c r="S805" s="349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  <c r="AD805" s="10" t="n"/>
      <c r="AE805" s="10" t="n"/>
      <c r="AF805" s="10" t="n"/>
      <c r="AG805" s="10" t="n"/>
    </row>
    <row r="806" ht="15.75" customHeight="1" s="1349">
      <c r="A806" s="10" t="n"/>
      <c r="B806" s="10" t="n"/>
      <c r="C806" s="346" t="n"/>
      <c r="D806" s="347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348" t="n"/>
      <c r="N806" s="10" t="n"/>
      <c r="O806" s="10" t="n"/>
      <c r="P806" s="10" t="n"/>
      <c r="Q806" s="10" t="n"/>
      <c r="R806" s="10" t="n"/>
      <c r="S806" s="349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  <c r="AD806" s="10" t="n"/>
      <c r="AE806" s="10" t="n"/>
      <c r="AF806" s="10" t="n"/>
      <c r="AG806" s="10" t="n"/>
    </row>
    <row r="807" ht="15.75" customHeight="1" s="1349">
      <c r="A807" s="10" t="n"/>
      <c r="B807" s="10" t="n"/>
      <c r="C807" s="346" t="n"/>
      <c r="D807" s="347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348" t="n"/>
      <c r="N807" s="10" t="n"/>
      <c r="O807" s="10" t="n"/>
      <c r="P807" s="10" t="n"/>
      <c r="Q807" s="10" t="n"/>
      <c r="R807" s="10" t="n"/>
      <c r="S807" s="349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  <c r="AD807" s="10" t="n"/>
      <c r="AE807" s="10" t="n"/>
      <c r="AF807" s="10" t="n"/>
      <c r="AG807" s="10" t="n"/>
    </row>
    <row r="808" ht="15.75" customHeight="1" s="1349">
      <c r="A808" s="10" t="n"/>
      <c r="B808" s="10" t="n"/>
      <c r="C808" s="346" t="n"/>
      <c r="D808" s="347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348" t="n"/>
      <c r="N808" s="10" t="n"/>
      <c r="O808" s="10" t="n"/>
      <c r="P808" s="10" t="n"/>
      <c r="Q808" s="10" t="n"/>
      <c r="R808" s="10" t="n"/>
      <c r="S808" s="349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  <c r="AD808" s="10" t="n"/>
      <c r="AE808" s="10" t="n"/>
      <c r="AF808" s="10" t="n"/>
      <c r="AG808" s="10" t="n"/>
    </row>
    <row r="809" ht="15.75" customHeight="1" s="1349">
      <c r="A809" s="10" t="n"/>
      <c r="B809" s="10" t="n"/>
      <c r="C809" s="346" t="n"/>
      <c r="D809" s="347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348" t="n"/>
      <c r="N809" s="10" t="n"/>
      <c r="O809" s="10" t="n"/>
      <c r="P809" s="10" t="n"/>
      <c r="Q809" s="10" t="n"/>
      <c r="R809" s="10" t="n"/>
      <c r="S809" s="349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  <c r="AD809" s="10" t="n"/>
      <c r="AE809" s="10" t="n"/>
      <c r="AF809" s="10" t="n"/>
      <c r="AG809" s="10" t="n"/>
    </row>
    <row r="810" ht="15.75" customHeight="1" s="1349">
      <c r="A810" s="10" t="n"/>
      <c r="B810" s="10" t="n"/>
      <c r="C810" s="346" t="n"/>
      <c r="D810" s="347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348" t="n"/>
      <c r="N810" s="10" t="n"/>
      <c r="O810" s="10" t="n"/>
      <c r="P810" s="10" t="n"/>
      <c r="Q810" s="10" t="n"/>
      <c r="R810" s="10" t="n"/>
      <c r="S810" s="349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  <c r="AD810" s="10" t="n"/>
      <c r="AE810" s="10" t="n"/>
      <c r="AF810" s="10" t="n"/>
      <c r="AG810" s="10" t="n"/>
    </row>
    <row r="811" ht="15.75" customHeight="1" s="1349">
      <c r="A811" s="10" t="n"/>
      <c r="B811" s="10" t="n"/>
      <c r="C811" s="346" t="n"/>
      <c r="D811" s="347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348" t="n"/>
      <c r="N811" s="10" t="n"/>
      <c r="O811" s="10" t="n"/>
      <c r="P811" s="10" t="n"/>
      <c r="Q811" s="10" t="n"/>
      <c r="R811" s="10" t="n"/>
      <c r="S811" s="349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  <c r="AD811" s="10" t="n"/>
      <c r="AE811" s="10" t="n"/>
      <c r="AF811" s="10" t="n"/>
      <c r="AG811" s="10" t="n"/>
    </row>
    <row r="812" ht="15.75" customHeight="1" s="1349">
      <c r="A812" s="10" t="n"/>
      <c r="B812" s="10" t="n"/>
      <c r="C812" s="346" t="n"/>
      <c r="D812" s="347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348" t="n"/>
      <c r="N812" s="10" t="n"/>
      <c r="O812" s="10" t="n"/>
      <c r="P812" s="10" t="n"/>
      <c r="Q812" s="10" t="n"/>
      <c r="R812" s="10" t="n"/>
      <c r="S812" s="349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  <c r="AD812" s="10" t="n"/>
      <c r="AE812" s="10" t="n"/>
      <c r="AF812" s="10" t="n"/>
      <c r="AG812" s="10" t="n"/>
    </row>
    <row r="813" ht="15.75" customHeight="1" s="1349">
      <c r="A813" s="10" t="n"/>
      <c r="B813" s="10" t="n"/>
      <c r="C813" s="346" t="n"/>
      <c r="D813" s="347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348" t="n"/>
      <c r="N813" s="10" t="n"/>
      <c r="O813" s="10" t="n"/>
      <c r="P813" s="10" t="n"/>
      <c r="Q813" s="10" t="n"/>
      <c r="R813" s="10" t="n"/>
      <c r="S813" s="349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  <c r="AD813" s="10" t="n"/>
      <c r="AE813" s="10" t="n"/>
      <c r="AF813" s="10" t="n"/>
      <c r="AG813" s="10" t="n"/>
    </row>
    <row r="814" ht="15.75" customHeight="1" s="1349">
      <c r="A814" s="10" t="n"/>
      <c r="B814" s="10" t="n"/>
      <c r="C814" s="346" t="n"/>
      <c r="D814" s="347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348" t="n"/>
      <c r="N814" s="10" t="n"/>
      <c r="O814" s="10" t="n"/>
      <c r="P814" s="10" t="n"/>
      <c r="Q814" s="10" t="n"/>
      <c r="R814" s="10" t="n"/>
      <c r="S814" s="349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  <c r="AD814" s="10" t="n"/>
      <c r="AE814" s="10" t="n"/>
      <c r="AF814" s="10" t="n"/>
      <c r="AG814" s="10" t="n"/>
    </row>
    <row r="815" ht="15.75" customHeight="1" s="1349">
      <c r="A815" s="10" t="n"/>
      <c r="B815" s="10" t="n"/>
      <c r="C815" s="346" t="n"/>
      <c r="D815" s="347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348" t="n"/>
      <c r="N815" s="10" t="n"/>
      <c r="O815" s="10" t="n"/>
      <c r="P815" s="10" t="n"/>
      <c r="Q815" s="10" t="n"/>
      <c r="R815" s="10" t="n"/>
      <c r="S815" s="349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  <c r="AD815" s="10" t="n"/>
      <c r="AE815" s="10" t="n"/>
      <c r="AF815" s="10" t="n"/>
      <c r="AG815" s="10" t="n"/>
    </row>
    <row r="816" ht="15.75" customHeight="1" s="1349">
      <c r="A816" s="10" t="n"/>
      <c r="B816" s="10" t="n"/>
      <c r="C816" s="346" t="n"/>
      <c r="D816" s="347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348" t="n"/>
      <c r="N816" s="10" t="n"/>
      <c r="O816" s="10" t="n"/>
      <c r="P816" s="10" t="n"/>
      <c r="Q816" s="10" t="n"/>
      <c r="R816" s="10" t="n"/>
      <c r="S816" s="349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  <c r="AD816" s="10" t="n"/>
      <c r="AE816" s="10" t="n"/>
      <c r="AF816" s="10" t="n"/>
      <c r="AG816" s="10" t="n"/>
    </row>
    <row r="817" ht="15.75" customHeight="1" s="1349">
      <c r="A817" s="10" t="n"/>
      <c r="B817" s="10" t="n"/>
      <c r="C817" s="346" t="n"/>
      <c r="D817" s="347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348" t="n"/>
      <c r="N817" s="10" t="n"/>
      <c r="O817" s="10" t="n"/>
      <c r="P817" s="10" t="n"/>
      <c r="Q817" s="10" t="n"/>
      <c r="R817" s="10" t="n"/>
      <c r="S817" s="349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  <c r="AD817" s="10" t="n"/>
      <c r="AE817" s="10" t="n"/>
      <c r="AF817" s="10" t="n"/>
      <c r="AG817" s="10" t="n"/>
    </row>
    <row r="818" ht="15.75" customHeight="1" s="1349">
      <c r="A818" s="10" t="n"/>
      <c r="B818" s="10" t="n"/>
      <c r="C818" s="346" t="n"/>
      <c r="D818" s="347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348" t="n"/>
      <c r="N818" s="10" t="n"/>
      <c r="O818" s="10" t="n"/>
      <c r="P818" s="10" t="n"/>
      <c r="Q818" s="10" t="n"/>
      <c r="R818" s="10" t="n"/>
      <c r="S818" s="349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  <c r="AD818" s="10" t="n"/>
      <c r="AE818" s="10" t="n"/>
      <c r="AF818" s="10" t="n"/>
      <c r="AG818" s="10" t="n"/>
    </row>
    <row r="819" ht="15.75" customHeight="1" s="1349">
      <c r="A819" s="10" t="n"/>
      <c r="B819" s="10" t="n"/>
      <c r="C819" s="346" t="n"/>
      <c r="D819" s="347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348" t="n"/>
      <c r="N819" s="10" t="n"/>
      <c r="O819" s="10" t="n"/>
      <c r="P819" s="10" t="n"/>
      <c r="Q819" s="10" t="n"/>
      <c r="R819" s="10" t="n"/>
      <c r="S819" s="349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  <c r="AD819" s="10" t="n"/>
      <c r="AE819" s="10" t="n"/>
      <c r="AF819" s="10" t="n"/>
      <c r="AG819" s="10" t="n"/>
    </row>
    <row r="820" ht="15.75" customHeight="1" s="1349">
      <c r="A820" s="10" t="n"/>
      <c r="B820" s="10" t="n"/>
      <c r="C820" s="346" t="n"/>
      <c r="D820" s="347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348" t="n"/>
      <c r="N820" s="10" t="n"/>
      <c r="O820" s="10" t="n"/>
      <c r="P820" s="10" t="n"/>
      <c r="Q820" s="10" t="n"/>
      <c r="R820" s="10" t="n"/>
      <c r="S820" s="349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  <c r="AF820" s="10" t="n"/>
      <c r="AG820" s="10" t="n"/>
    </row>
    <row r="821" ht="15.75" customHeight="1" s="1349">
      <c r="A821" s="10" t="n"/>
      <c r="B821" s="10" t="n"/>
      <c r="C821" s="346" t="n"/>
      <c r="D821" s="347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348" t="n"/>
      <c r="N821" s="10" t="n"/>
      <c r="O821" s="10" t="n"/>
      <c r="P821" s="10" t="n"/>
      <c r="Q821" s="10" t="n"/>
      <c r="R821" s="10" t="n"/>
      <c r="S821" s="349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  <c r="AD821" s="10" t="n"/>
      <c r="AE821" s="10" t="n"/>
      <c r="AF821" s="10" t="n"/>
      <c r="AG821" s="10" t="n"/>
    </row>
    <row r="822" ht="15.75" customHeight="1" s="1349">
      <c r="A822" s="10" t="n"/>
      <c r="B822" s="10" t="n"/>
      <c r="C822" s="346" t="n"/>
      <c r="D822" s="347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348" t="n"/>
      <c r="N822" s="10" t="n"/>
      <c r="O822" s="10" t="n"/>
      <c r="P822" s="10" t="n"/>
      <c r="Q822" s="10" t="n"/>
      <c r="R822" s="10" t="n"/>
      <c r="S822" s="349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0" t="n"/>
    </row>
    <row r="823" ht="15.75" customHeight="1" s="1349">
      <c r="A823" s="10" t="n"/>
      <c r="B823" s="10" t="n"/>
      <c r="C823" s="346" t="n"/>
      <c r="D823" s="347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348" t="n"/>
      <c r="N823" s="10" t="n"/>
      <c r="O823" s="10" t="n"/>
      <c r="P823" s="10" t="n"/>
      <c r="Q823" s="10" t="n"/>
      <c r="R823" s="10" t="n"/>
      <c r="S823" s="349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  <c r="AD823" s="10" t="n"/>
      <c r="AE823" s="10" t="n"/>
      <c r="AF823" s="10" t="n"/>
      <c r="AG823" s="10" t="n"/>
    </row>
    <row r="824" ht="15.75" customHeight="1" s="1349">
      <c r="A824" s="10" t="n"/>
      <c r="B824" s="10" t="n"/>
      <c r="C824" s="346" t="n"/>
      <c r="D824" s="347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348" t="n"/>
      <c r="N824" s="10" t="n"/>
      <c r="O824" s="10" t="n"/>
      <c r="P824" s="10" t="n"/>
      <c r="Q824" s="10" t="n"/>
      <c r="R824" s="10" t="n"/>
      <c r="S824" s="349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  <c r="AF824" s="10" t="n"/>
      <c r="AG824" s="10" t="n"/>
    </row>
    <row r="825" ht="15.75" customHeight="1" s="1349">
      <c r="A825" s="10" t="n"/>
      <c r="B825" s="10" t="n"/>
      <c r="C825" s="346" t="n"/>
      <c r="D825" s="347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348" t="n"/>
      <c r="N825" s="10" t="n"/>
      <c r="O825" s="10" t="n"/>
      <c r="P825" s="10" t="n"/>
      <c r="Q825" s="10" t="n"/>
      <c r="R825" s="10" t="n"/>
      <c r="S825" s="349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  <c r="AD825" s="10" t="n"/>
      <c r="AE825" s="10" t="n"/>
      <c r="AF825" s="10" t="n"/>
      <c r="AG825" s="10" t="n"/>
    </row>
    <row r="826" ht="15.75" customHeight="1" s="1349">
      <c r="A826" s="10" t="n"/>
      <c r="B826" s="10" t="n"/>
      <c r="C826" s="346" t="n"/>
      <c r="D826" s="347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348" t="n"/>
      <c r="N826" s="10" t="n"/>
      <c r="O826" s="10" t="n"/>
      <c r="P826" s="10" t="n"/>
      <c r="Q826" s="10" t="n"/>
      <c r="R826" s="10" t="n"/>
      <c r="S826" s="349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  <c r="AD826" s="10" t="n"/>
      <c r="AE826" s="10" t="n"/>
      <c r="AF826" s="10" t="n"/>
      <c r="AG826" s="10" t="n"/>
    </row>
    <row r="827" ht="15.75" customHeight="1" s="1349">
      <c r="A827" s="10" t="n"/>
      <c r="B827" s="10" t="n"/>
      <c r="C827" s="346" t="n"/>
      <c r="D827" s="347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348" t="n"/>
      <c r="N827" s="10" t="n"/>
      <c r="O827" s="10" t="n"/>
      <c r="P827" s="10" t="n"/>
      <c r="Q827" s="10" t="n"/>
      <c r="R827" s="10" t="n"/>
      <c r="S827" s="349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  <c r="AD827" s="10" t="n"/>
      <c r="AE827" s="10" t="n"/>
      <c r="AF827" s="10" t="n"/>
      <c r="AG827" s="10" t="n"/>
    </row>
    <row r="828" ht="15.75" customHeight="1" s="1349">
      <c r="A828" s="10" t="n"/>
      <c r="B828" s="10" t="n"/>
      <c r="C828" s="346" t="n"/>
      <c r="D828" s="347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348" t="n"/>
      <c r="N828" s="10" t="n"/>
      <c r="O828" s="10" t="n"/>
      <c r="P828" s="10" t="n"/>
      <c r="Q828" s="10" t="n"/>
      <c r="R828" s="10" t="n"/>
      <c r="S828" s="349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  <c r="AF828" s="10" t="n"/>
      <c r="AG828" s="10" t="n"/>
    </row>
    <row r="829" ht="15.75" customHeight="1" s="1349">
      <c r="A829" s="10" t="n"/>
      <c r="B829" s="10" t="n"/>
      <c r="C829" s="346" t="n"/>
      <c r="D829" s="347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348" t="n"/>
      <c r="N829" s="10" t="n"/>
      <c r="O829" s="10" t="n"/>
      <c r="P829" s="10" t="n"/>
      <c r="Q829" s="10" t="n"/>
      <c r="R829" s="10" t="n"/>
      <c r="S829" s="349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  <c r="AD829" s="10" t="n"/>
      <c r="AE829" s="10" t="n"/>
      <c r="AF829" s="10" t="n"/>
      <c r="AG829" s="10" t="n"/>
    </row>
    <row r="830" ht="15.75" customHeight="1" s="1349">
      <c r="A830" s="10" t="n"/>
      <c r="B830" s="10" t="n"/>
      <c r="C830" s="346" t="n"/>
      <c r="D830" s="347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348" t="n"/>
      <c r="N830" s="10" t="n"/>
      <c r="O830" s="10" t="n"/>
      <c r="P830" s="10" t="n"/>
      <c r="Q830" s="10" t="n"/>
      <c r="R830" s="10" t="n"/>
      <c r="S830" s="349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  <c r="AD830" s="10" t="n"/>
      <c r="AE830" s="10" t="n"/>
      <c r="AF830" s="10" t="n"/>
      <c r="AG830" s="10" t="n"/>
    </row>
    <row r="831" ht="15.75" customHeight="1" s="1349">
      <c r="A831" s="10" t="n"/>
      <c r="B831" s="10" t="n"/>
      <c r="C831" s="346" t="n"/>
      <c r="D831" s="347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348" t="n"/>
      <c r="N831" s="10" t="n"/>
      <c r="O831" s="10" t="n"/>
      <c r="P831" s="10" t="n"/>
      <c r="Q831" s="10" t="n"/>
      <c r="R831" s="10" t="n"/>
      <c r="S831" s="349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  <c r="AD831" s="10" t="n"/>
      <c r="AE831" s="10" t="n"/>
      <c r="AF831" s="10" t="n"/>
      <c r="AG831" s="10" t="n"/>
    </row>
    <row r="832" ht="15.75" customHeight="1" s="1349">
      <c r="A832" s="10" t="n"/>
      <c r="B832" s="10" t="n"/>
      <c r="C832" s="346" t="n"/>
      <c r="D832" s="347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348" t="n"/>
      <c r="N832" s="10" t="n"/>
      <c r="O832" s="10" t="n"/>
      <c r="P832" s="10" t="n"/>
      <c r="Q832" s="10" t="n"/>
      <c r="R832" s="10" t="n"/>
      <c r="S832" s="349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  <c r="AF832" s="10" t="n"/>
      <c r="AG832" s="10" t="n"/>
    </row>
    <row r="833" ht="15.75" customHeight="1" s="1349">
      <c r="A833" s="10" t="n"/>
      <c r="B833" s="10" t="n"/>
      <c r="C833" s="346" t="n"/>
      <c r="D833" s="347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348" t="n"/>
      <c r="N833" s="10" t="n"/>
      <c r="O833" s="10" t="n"/>
      <c r="P833" s="10" t="n"/>
      <c r="Q833" s="10" t="n"/>
      <c r="R833" s="10" t="n"/>
      <c r="S833" s="349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  <c r="AD833" s="10" t="n"/>
      <c r="AE833" s="10" t="n"/>
      <c r="AF833" s="10" t="n"/>
      <c r="AG833" s="10" t="n"/>
    </row>
    <row r="834" ht="15.75" customHeight="1" s="1349">
      <c r="A834" s="10" t="n"/>
      <c r="B834" s="10" t="n"/>
      <c r="C834" s="346" t="n"/>
      <c r="D834" s="347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348" t="n"/>
      <c r="N834" s="10" t="n"/>
      <c r="O834" s="10" t="n"/>
      <c r="P834" s="10" t="n"/>
      <c r="Q834" s="10" t="n"/>
      <c r="R834" s="10" t="n"/>
      <c r="S834" s="349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  <c r="AF834" s="10" t="n"/>
      <c r="AG834" s="10" t="n"/>
    </row>
    <row r="835" ht="15.75" customHeight="1" s="1349">
      <c r="A835" s="10" t="n"/>
      <c r="B835" s="10" t="n"/>
      <c r="C835" s="346" t="n"/>
      <c r="D835" s="347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348" t="n"/>
      <c r="N835" s="10" t="n"/>
      <c r="O835" s="10" t="n"/>
      <c r="P835" s="10" t="n"/>
      <c r="Q835" s="10" t="n"/>
      <c r="R835" s="10" t="n"/>
      <c r="S835" s="349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  <c r="AD835" s="10" t="n"/>
      <c r="AE835" s="10" t="n"/>
      <c r="AF835" s="10" t="n"/>
      <c r="AG835" s="10" t="n"/>
    </row>
    <row r="836" ht="15.75" customHeight="1" s="1349">
      <c r="A836" s="10" t="n"/>
      <c r="B836" s="10" t="n"/>
      <c r="C836" s="346" t="n"/>
      <c r="D836" s="347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348" t="n"/>
      <c r="N836" s="10" t="n"/>
      <c r="O836" s="10" t="n"/>
      <c r="P836" s="10" t="n"/>
      <c r="Q836" s="10" t="n"/>
      <c r="R836" s="10" t="n"/>
      <c r="S836" s="349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  <c r="AF836" s="10" t="n"/>
      <c r="AG836" s="10" t="n"/>
    </row>
    <row r="837" ht="15.75" customHeight="1" s="1349">
      <c r="A837" s="10" t="n"/>
      <c r="B837" s="10" t="n"/>
      <c r="C837" s="346" t="n"/>
      <c r="D837" s="347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348" t="n"/>
      <c r="N837" s="10" t="n"/>
      <c r="O837" s="10" t="n"/>
      <c r="P837" s="10" t="n"/>
      <c r="Q837" s="10" t="n"/>
      <c r="R837" s="10" t="n"/>
      <c r="S837" s="349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  <c r="AD837" s="10" t="n"/>
      <c r="AE837" s="10" t="n"/>
      <c r="AF837" s="10" t="n"/>
      <c r="AG837" s="10" t="n"/>
    </row>
    <row r="838" ht="15.75" customHeight="1" s="1349">
      <c r="A838" s="10" t="n"/>
      <c r="B838" s="10" t="n"/>
      <c r="C838" s="346" t="n"/>
      <c r="D838" s="347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348" t="n"/>
      <c r="N838" s="10" t="n"/>
      <c r="O838" s="10" t="n"/>
      <c r="P838" s="10" t="n"/>
      <c r="Q838" s="10" t="n"/>
      <c r="R838" s="10" t="n"/>
      <c r="S838" s="349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  <c r="AF838" s="10" t="n"/>
      <c r="AG838" s="10" t="n"/>
    </row>
    <row r="839" ht="15.75" customHeight="1" s="1349">
      <c r="A839" s="10" t="n"/>
      <c r="B839" s="10" t="n"/>
      <c r="C839" s="346" t="n"/>
      <c r="D839" s="347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348" t="n"/>
      <c r="N839" s="10" t="n"/>
      <c r="O839" s="10" t="n"/>
      <c r="P839" s="10" t="n"/>
      <c r="Q839" s="10" t="n"/>
      <c r="R839" s="10" t="n"/>
      <c r="S839" s="349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  <c r="AD839" s="10" t="n"/>
      <c r="AE839" s="10" t="n"/>
      <c r="AF839" s="10" t="n"/>
      <c r="AG839" s="10" t="n"/>
    </row>
    <row r="840" ht="15.75" customHeight="1" s="1349">
      <c r="A840" s="10" t="n"/>
      <c r="B840" s="10" t="n"/>
      <c r="C840" s="346" t="n"/>
      <c r="D840" s="347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348" t="n"/>
      <c r="N840" s="10" t="n"/>
      <c r="O840" s="10" t="n"/>
      <c r="P840" s="10" t="n"/>
      <c r="Q840" s="10" t="n"/>
      <c r="R840" s="10" t="n"/>
      <c r="S840" s="349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  <c r="AD840" s="10" t="n"/>
      <c r="AE840" s="10" t="n"/>
      <c r="AF840" s="10" t="n"/>
      <c r="AG840" s="10" t="n"/>
    </row>
    <row r="841" ht="15.75" customHeight="1" s="1349">
      <c r="A841" s="10" t="n"/>
      <c r="B841" s="10" t="n"/>
      <c r="C841" s="346" t="n"/>
      <c r="D841" s="347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348" t="n"/>
      <c r="N841" s="10" t="n"/>
      <c r="O841" s="10" t="n"/>
      <c r="P841" s="10" t="n"/>
      <c r="Q841" s="10" t="n"/>
      <c r="R841" s="10" t="n"/>
      <c r="S841" s="349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  <c r="AD841" s="10" t="n"/>
      <c r="AE841" s="10" t="n"/>
      <c r="AF841" s="10" t="n"/>
      <c r="AG841" s="10" t="n"/>
    </row>
    <row r="842" ht="15.75" customHeight="1" s="1349">
      <c r="A842" s="10" t="n"/>
      <c r="B842" s="10" t="n"/>
      <c r="C842" s="346" t="n"/>
      <c r="D842" s="347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348" t="n"/>
      <c r="N842" s="10" t="n"/>
      <c r="O842" s="10" t="n"/>
      <c r="P842" s="10" t="n"/>
      <c r="Q842" s="10" t="n"/>
      <c r="R842" s="10" t="n"/>
      <c r="S842" s="349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  <c r="AD842" s="10" t="n"/>
      <c r="AE842" s="10" t="n"/>
      <c r="AF842" s="10" t="n"/>
      <c r="AG842" s="10" t="n"/>
    </row>
    <row r="843" ht="15.75" customHeight="1" s="1349">
      <c r="A843" s="10" t="n"/>
      <c r="B843" s="10" t="n"/>
      <c r="C843" s="346" t="n"/>
      <c r="D843" s="347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348" t="n"/>
      <c r="N843" s="10" t="n"/>
      <c r="O843" s="10" t="n"/>
      <c r="P843" s="10" t="n"/>
      <c r="Q843" s="10" t="n"/>
      <c r="R843" s="10" t="n"/>
      <c r="S843" s="349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  <c r="AD843" s="10" t="n"/>
      <c r="AE843" s="10" t="n"/>
      <c r="AF843" s="10" t="n"/>
      <c r="AG843" s="10" t="n"/>
    </row>
    <row r="844" ht="15.75" customHeight="1" s="1349">
      <c r="A844" s="10" t="n"/>
      <c r="B844" s="10" t="n"/>
      <c r="C844" s="346" t="n"/>
      <c r="D844" s="347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348" t="n"/>
      <c r="N844" s="10" t="n"/>
      <c r="O844" s="10" t="n"/>
      <c r="P844" s="10" t="n"/>
      <c r="Q844" s="10" t="n"/>
      <c r="R844" s="10" t="n"/>
      <c r="S844" s="349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  <c r="AD844" s="10" t="n"/>
      <c r="AE844" s="10" t="n"/>
      <c r="AF844" s="10" t="n"/>
      <c r="AG844" s="10" t="n"/>
    </row>
    <row r="845" ht="15.75" customHeight="1" s="1349">
      <c r="A845" s="10" t="n"/>
      <c r="B845" s="10" t="n"/>
      <c r="C845" s="346" t="n"/>
      <c r="D845" s="347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348" t="n"/>
      <c r="N845" s="10" t="n"/>
      <c r="O845" s="10" t="n"/>
      <c r="P845" s="10" t="n"/>
      <c r="Q845" s="10" t="n"/>
      <c r="R845" s="10" t="n"/>
      <c r="S845" s="349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  <c r="AD845" s="10" t="n"/>
      <c r="AE845" s="10" t="n"/>
      <c r="AF845" s="10" t="n"/>
      <c r="AG845" s="10" t="n"/>
    </row>
    <row r="846" ht="15.75" customHeight="1" s="1349">
      <c r="A846" s="10" t="n"/>
      <c r="B846" s="10" t="n"/>
      <c r="C846" s="346" t="n"/>
      <c r="D846" s="347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348" t="n"/>
      <c r="N846" s="10" t="n"/>
      <c r="O846" s="10" t="n"/>
      <c r="P846" s="10" t="n"/>
      <c r="Q846" s="10" t="n"/>
      <c r="R846" s="10" t="n"/>
      <c r="S846" s="349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  <c r="AF846" s="10" t="n"/>
      <c r="AG846" s="10" t="n"/>
    </row>
    <row r="847" ht="15.75" customHeight="1" s="1349">
      <c r="A847" s="10" t="n"/>
      <c r="B847" s="10" t="n"/>
      <c r="C847" s="346" t="n"/>
      <c r="D847" s="347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348" t="n"/>
      <c r="N847" s="10" t="n"/>
      <c r="O847" s="10" t="n"/>
      <c r="P847" s="10" t="n"/>
      <c r="Q847" s="10" t="n"/>
      <c r="R847" s="10" t="n"/>
      <c r="S847" s="349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  <c r="AD847" s="10" t="n"/>
      <c r="AE847" s="10" t="n"/>
      <c r="AF847" s="10" t="n"/>
      <c r="AG847" s="10" t="n"/>
    </row>
    <row r="848" ht="15.75" customHeight="1" s="1349">
      <c r="A848" s="10" t="n"/>
      <c r="B848" s="10" t="n"/>
      <c r="C848" s="346" t="n"/>
      <c r="D848" s="347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348" t="n"/>
      <c r="N848" s="10" t="n"/>
      <c r="O848" s="10" t="n"/>
      <c r="P848" s="10" t="n"/>
      <c r="Q848" s="10" t="n"/>
      <c r="R848" s="10" t="n"/>
      <c r="S848" s="349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  <c r="AF848" s="10" t="n"/>
      <c r="AG848" s="10" t="n"/>
    </row>
    <row r="849" ht="15.75" customHeight="1" s="1349">
      <c r="A849" s="10" t="n"/>
      <c r="B849" s="10" t="n"/>
      <c r="C849" s="346" t="n"/>
      <c r="D849" s="347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348" t="n"/>
      <c r="N849" s="10" t="n"/>
      <c r="O849" s="10" t="n"/>
      <c r="P849" s="10" t="n"/>
      <c r="Q849" s="10" t="n"/>
      <c r="R849" s="10" t="n"/>
      <c r="S849" s="349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  <c r="AD849" s="10" t="n"/>
      <c r="AE849" s="10" t="n"/>
      <c r="AF849" s="10" t="n"/>
      <c r="AG849" s="10" t="n"/>
    </row>
    <row r="850" ht="15.75" customHeight="1" s="1349">
      <c r="A850" s="10" t="n"/>
      <c r="B850" s="10" t="n"/>
      <c r="C850" s="346" t="n"/>
      <c r="D850" s="347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348" t="n"/>
      <c r="N850" s="10" t="n"/>
      <c r="O850" s="10" t="n"/>
      <c r="P850" s="10" t="n"/>
      <c r="Q850" s="10" t="n"/>
      <c r="R850" s="10" t="n"/>
      <c r="S850" s="349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n"/>
    </row>
    <row r="851" ht="15.75" customHeight="1" s="1349">
      <c r="A851" s="10" t="n"/>
      <c r="B851" s="10" t="n"/>
      <c r="C851" s="346" t="n"/>
      <c r="D851" s="347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348" t="n"/>
      <c r="N851" s="10" t="n"/>
      <c r="O851" s="10" t="n"/>
      <c r="P851" s="10" t="n"/>
      <c r="Q851" s="10" t="n"/>
      <c r="R851" s="10" t="n"/>
      <c r="S851" s="349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  <c r="AD851" s="10" t="n"/>
      <c r="AE851" s="10" t="n"/>
      <c r="AF851" s="10" t="n"/>
      <c r="AG851" s="10" t="n"/>
    </row>
    <row r="852" ht="15.75" customHeight="1" s="1349">
      <c r="A852" s="10" t="n"/>
      <c r="B852" s="10" t="n"/>
      <c r="C852" s="346" t="n"/>
      <c r="D852" s="347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348" t="n"/>
      <c r="N852" s="10" t="n"/>
      <c r="O852" s="10" t="n"/>
      <c r="P852" s="10" t="n"/>
      <c r="Q852" s="10" t="n"/>
      <c r="R852" s="10" t="n"/>
      <c r="S852" s="349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  <c r="AD852" s="10" t="n"/>
      <c r="AE852" s="10" t="n"/>
      <c r="AF852" s="10" t="n"/>
      <c r="AG852" s="10" t="n"/>
    </row>
    <row r="853" ht="15.75" customHeight="1" s="1349">
      <c r="A853" s="10" t="n"/>
      <c r="B853" s="10" t="n"/>
      <c r="C853" s="346" t="n"/>
      <c r="D853" s="347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348" t="n"/>
      <c r="N853" s="10" t="n"/>
      <c r="O853" s="10" t="n"/>
      <c r="P853" s="10" t="n"/>
      <c r="Q853" s="10" t="n"/>
      <c r="R853" s="10" t="n"/>
      <c r="S853" s="349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  <c r="AD853" s="10" t="n"/>
      <c r="AE853" s="10" t="n"/>
      <c r="AF853" s="10" t="n"/>
      <c r="AG853" s="10" t="n"/>
    </row>
    <row r="854" ht="15.75" customHeight="1" s="1349">
      <c r="A854" s="10" t="n"/>
      <c r="B854" s="10" t="n"/>
      <c r="C854" s="346" t="n"/>
      <c r="D854" s="347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348" t="n"/>
      <c r="N854" s="10" t="n"/>
      <c r="O854" s="10" t="n"/>
      <c r="P854" s="10" t="n"/>
      <c r="Q854" s="10" t="n"/>
      <c r="R854" s="10" t="n"/>
      <c r="S854" s="349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  <c r="AF854" s="10" t="n"/>
      <c r="AG854" s="10" t="n"/>
    </row>
    <row r="855" ht="15.75" customHeight="1" s="1349">
      <c r="A855" s="10" t="n"/>
      <c r="B855" s="10" t="n"/>
      <c r="C855" s="346" t="n"/>
      <c r="D855" s="347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348" t="n"/>
      <c r="N855" s="10" t="n"/>
      <c r="O855" s="10" t="n"/>
      <c r="P855" s="10" t="n"/>
      <c r="Q855" s="10" t="n"/>
      <c r="R855" s="10" t="n"/>
      <c r="S855" s="349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n"/>
    </row>
    <row r="856" ht="15.75" customHeight="1" s="1349">
      <c r="A856" s="10" t="n"/>
      <c r="B856" s="10" t="n"/>
      <c r="C856" s="346" t="n"/>
      <c r="D856" s="347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348" t="n"/>
      <c r="N856" s="10" t="n"/>
      <c r="O856" s="10" t="n"/>
      <c r="P856" s="10" t="n"/>
      <c r="Q856" s="10" t="n"/>
      <c r="R856" s="10" t="n"/>
      <c r="S856" s="349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  <c r="AF856" s="10" t="n"/>
      <c r="AG856" s="10" t="n"/>
    </row>
    <row r="857" ht="15.75" customHeight="1" s="1349">
      <c r="A857" s="10" t="n"/>
      <c r="B857" s="10" t="n"/>
      <c r="C857" s="346" t="n"/>
      <c r="D857" s="347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348" t="n"/>
      <c r="N857" s="10" t="n"/>
      <c r="O857" s="10" t="n"/>
      <c r="P857" s="10" t="n"/>
      <c r="Q857" s="10" t="n"/>
      <c r="R857" s="10" t="n"/>
      <c r="S857" s="349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  <c r="AD857" s="10" t="n"/>
      <c r="AE857" s="10" t="n"/>
      <c r="AF857" s="10" t="n"/>
      <c r="AG857" s="10" t="n"/>
    </row>
    <row r="858" ht="15.75" customHeight="1" s="1349">
      <c r="A858" s="10" t="n"/>
      <c r="B858" s="10" t="n"/>
      <c r="C858" s="346" t="n"/>
      <c r="D858" s="347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348" t="n"/>
      <c r="N858" s="10" t="n"/>
      <c r="O858" s="10" t="n"/>
      <c r="P858" s="10" t="n"/>
      <c r="Q858" s="10" t="n"/>
      <c r="R858" s="10" t="n"/>
      <c r="S858" s="349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  <c r="AF858" s="10" t="n"/>
      <c r="AG858" s="10" t="n"/>
    </row>
    <row r="859" ht="15.75" customHeight="1" s="1349">
      <c r="A859" s="10" t="n"/>
      <c r="B859" s="10" t="n"/>
      <c r="C859" s="346" t="n"/>
      <c r="D859" s="347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348" t="n"/>
      <c r="N859" s="10" t="n"/>
      <c r="O859" s="10" t="n"/>
      <c r="P859" s="10" t="n"/>
      <c r="Q859" s="10" t="n"/>
      <c r="R859" s="10" t="n"/>
      <c r="S859" s="349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  <c r="AD859" s="10" t="n"/>
      <c r="AE859" s="10" t="n"/>
      <c r="AF859" s="10" t="n"/>
      <c r="AG859" s="10" t="n"/>
    </row>
    <row r="860" ht="15.75" customHeight="1" s="1349">
      <c r="A860" s="10" t="n"/>
      <c r="B860" s="10" t="n"/>
      <c r="C860" s="346" t="n"/>
      <c r="D860" s="347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348" t="n"/>
      <c r="N860" s="10" t="n"/>
      <c r="O860" s="10" t="n"/>
      <c r="P860" s="10" t="n"/>
      <c r="Q860" s="10" t="n"/>
      <c r="R860" s="10" t="n"/>
      <c r="S860" s="349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  <c r="AF860" s="10" t="n"/>
      <c r="AG860" s="10" t="n"/>
    </row>
    <row r="861" ht="15.75" customHeight="1" s="1349">
      <c r="A861" s="10" t="n"/>
      <c r="B861" s="10" t="n"/>
      <c r="C861" s="346" t="n"/>
      <c r="D861" s="347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348" t="n"/>
      <c r="N861" s="10" t="n"/>
      <c r="O861" s="10" t="n"/>
      <c r="P861" s="10" t="n"/>
      <c r="Q861" s="10" t="n"/>
      <c r="R861" s="10" t="n"/>
      <c r="S861" s="349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  <c r="AD861" s="10" t="n"/>
      <c r="AE861" s="10" t="n"/>
      <c r="AF861" s="10" t="n"/>
      <c r="AG861" s="10" t="n"/>
    </row>
    <row r="862" ht="15.75" customHeight="1" s="1349">
      <c r="A862" s="10" t="n"/>
      <c r="B862" s="10" t="n"/>
      <c r="C862" s="346" t="n"/>
      <c r="D862" s="347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348" t="n"/>
      <c r="N862" s="10" t="n"/>
      <c r="O862" s="10" t="n"/>
      <c r="P862" s="10" t="n"/>
      <c r="Q862" s="10" t="n"/>
      <c r="R862" s="10" t="n"/>
      <c r="S862" s="349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  <c r="AF862" s="10" t="n"/>
      <c r="AG862" s="10" t="n"/>
    </row>
    <row r="863" ht="15.75" customHeight="1" s="1349">
      <c r="A863" s="10" t="n"/>
      <c r="B863" s="10" t="n"/>
      <c r="C863" s="346" t="n"/>
      <c r="D863" s="347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348" t="n"/>
      <c r="N863" s="10" t="n"/>
      <c r="O863" s="10" t="n"/>
      <c r="P863" s="10" t="n"/>
      <c r="Q863" s="10" t="n"/>
      <c r="R863" s="10" t="n"/>
      <c r="S863" s="349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  <c r="AD863" s="10" t="n"/>
      <c r="AE863" s="10" t="n"/>
      <c r="AF863" s="10" t="n"/>
      <c r="AG863" s="10" t="n"/>
    </row>
    <row r="864" ht="15.75" customHeight="1" s="1349">
      <c r="A864" s="10" t="n"/>
      <c r="B864" s="10" t="n"/>
      <c r="C864" s="346" t="n"/>
      <c r="D864" s="347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348" t="n"/>
      <c r="N864" s="10" t="n"/>
      <c r="O864" s="10" t="n"/>
      <c r="P864" s="10" t="n"/>
      <c r="Q864" s="10" t="n"/>
      <c r="R864" s="10" t="n"/>
      <c r="S864" s="349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0" t="n"/>
    </row>
    <row r="865" ht="15.75" customHeight="1" s="1349">
      <c r="A865" s="10" t="n"/>
      <c r="B865" s="10" t="n"/>
      <c r="C865" s="346" t="n"/>
      <c r="D865" s="347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348" t="n"/>
      <c r="N865" s="10" t="n"/>
      <c r="O865" s="10" t="n"/>
      <c r="P865" s="10" t="n"/>
      <c r="Q865" s="10" t="n"/>
      <c r="R865" s="10" t="n"/>
      <c r="S865" s="349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  <c r="AD865" s="10" t="n"/>
      <c r="AE865" s="10" t="n"/>
      <c r="AF865" s="10" t="n"/>
      <c r="AG865" s="10" t="n"/>
    </row>
    <row r="866" ht="15.75" customHeight="1" s="1349">
      <c r="A866" s="10" t="n"/>
      <c r="B866" s="10" t="n"/>
      <c r="C866" s="346" t="n"/>
      <c r="D866" s="347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348" t="n"/>
      <c r="N866" s="10" t="n"/>
      <c r="O866" s="10" t="n"/>
      <c r="P866" s="10" t="n"/>
      <c r="Q866" s="10" t="n"/>
      <c r="R866" s="10" t="n"/>
      <c r="S866" s="349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  <c r="AD866" s="10" t="n"/>
      <c r="AE866" s="10" t="n"/>
      <c r="AF866" s="10" t="n"/>
      <c r="AG866" s="10" t="n"/>
    </row>
    <row r="867" ht="15.75" customHeight="1" s="1349">
      <c r="A867" s="10" t="n"/>
      <c r="B867" s="10" t="n"/>
      <c r="C867" s="346" t="n"/>
      <c r="D867" s="347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348" t="n"/>
      <c r="N867" s="10" t="n"/>
      <c r="O867" s="10" t="n"/>
      <c r="P867" s="10" t="n"/>
      <c r="Q867" s="10" t="n"/>
      <c r="R867" s="10" t="n"/>
      <c r="S867" s="349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  <c r="AD867" s="10" t="n"/>
      <c r="AE867" s="10" t="n"/>
      <c r="AF867" s="10" t="n"/>
      <c r="AG867" s="10" t="n"/>
    </row>
    <row r="868" ht="15.75" customHeight="1" s="1349">
      <c r="A868" s="10" t="n"/>
      <c r="B868" s="10" t="n"/>
      <c r="C868" s="346" t="n"/>
      <c r="D868" s="347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348" t="n"/>
      <c r="N868" s="10" t="n"/>
      <c r="O868" s="10" t="n"/>
      <c r="P868" s="10" t="n"/>
      <c r="Q868" s="10" t="n"/>
      <c r="R868" s="10" t="n"/>
      <c r="S868" s="349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  <c r="AD868" s="10" t="n"/>
      <c r="AE868" s="10" t="n"/>
      <c r="AF868" s="10" t="n"/>
      <c r="AG868" s="10" t="n"/>
    </row>
    <row r="869" ht="15.75" customHeight="1" s="1349">
      <c r="A869" s="10" t="n"/>
      <c r="B869" s="10" t="n"/>
      <c r="C869" s="346" t="n"/>
      <c r="D869" s="347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348" t="n"/>
      <c r="N869" s="10" t="n"/>
      <c r="O869" s="10" t="n"/>
      <c r="P869" s="10" t="n"/>
      <c r="Q869" s="10" t="n"/>
      <c r="R869" s="10" t="n"/>
      <c r="S869" s="349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  <c r="AD869" s="10" t="n"/>
      <c r="AE869" s="10" t="n"/>
      <c r="AF869" s="10" t="n"/>
      <c r="AG869" s="10" t="n"/>
    </row>
    <row r="870" ht="15.75" customHeight="1" s="1349">
      <c r="A870" s="10" t="n"/>
      <c r="B870" s="10" t="n"/>
      <c r="C870" s="346" t="n"/>
      <c r="D870" s="347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348" t="n"/>
      <c r="N870" s="10" t="n"/>
      <c r="O870" s="10" t="n"/>
      <c r="P870" s="10" t="n"/>
      <c r="Q870" s="10" t="n"/>
      <c r="R870" s="10" t="n"/>
      <c r="S870" s="349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  <c r="AD870" s="10" t="n"/>
      <c r="AE870" s="10" t="n"/>
      <c r="AF870" s="10" t="n"/>
      <c r="AG870" s="10" t="n"/>
    </row>
    <row r="871" ht="15.75" customHeight="1" s="1349">
      <c r="A871" s="10" t="n"/>
      <c r="B871" s="10" t="n"/>
      <c r="C871" s="346" t="n"/>
      <c r="D871" s="347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348" t="n"/>
      <c r="N871" s="10" t="n"/>
      <c r="O871" s="10" t="n"/>
      <c r="P871" s="10" t="n"/>
      <c r="Q871" s="10" t="n"/>
      <c r="R871" s="10" t="n"/>
      <c r="S871" s="349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  <c r="AD871" s="10" t="n"/>
      <c r="AE871" s="10" t="n"/>
      <c r="AF871" s="10" t="n"/>
      <c r="AG871" s="10" t="n"/>
    </row>
    <row r="872" ht="15.75" customHeight="1" s="1349">
      <c r="A872" s="10" t="n"/>
      <c r="B872" s="10" t="n"/>
      <c r="C872" s="346" t="n"/>
      <c r="D872" s="347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348" t="n"/>
      <c r="N872" s="10" t="n"/>
      <c r="O872" s="10" t="n"/>
      <c r="P872" s="10" t="n"/>
      <c r="Q872" s="10" t="n"/>
      <c r="R872" s="10" t="n"/>
      <c r="S872" s="349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  <c r="AD872" s="10" t="n"/>
      <c r="AE872" s="10" t="n"/>
      <c r="AF872" s="10" t="n"/>
      <c r="AG872" s="10" t="n"/>
    </row>
    <row r="873" ht="15.75" customHeight="1" s="1349">
      <c r="A873" s="10" t="n"/>
      <c r="B873" s="10" t="n"/>
      <c r="C873" s="346" t="n"/>
      <c r="D873" s="347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348" t="n"/>
      <c r="N873" s="10" t="n"/>
      <c r="O873" s="10" t="n"/>
      <c r="P873" s="10" t="n"/>
      <c r="Q873" s="10" t="n"/>
      <c r="R873" s="10" t="n"/>
      <c r="S873" s="349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  <c r="AD873" s="10" t="n"/>
      <c r="AE873" s="10" t="n"/>
      <c r="AF873" s="10" t="n"/>
      <c r="AG873" s="10" t="n"/>
    </row>
    <row r="874" ht="15.75" customHeight="1" s="1349">
      <c r="A874" s="10" t="n"/>
      <c r="B874" s="10" t="n"/>
      <c r="C874" s="346" t="n"/>
      <c r="D874" s="347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348" t="n"/>
      <c r="N874" s="10" t="n"/>
      <c r="O874" s="10" t="n"/>
      <c r="P874" s="10" t="n"/>
      <c r="Q874" s="10" t="n"/>
      <c r="R874" s="10" t="n"/>
      <c r="S874" s="349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  <c r="AF874" s="10" t="n"/>
      <c r="AG874" s="10" t="n"/>
    </row>
    <row r="875" ht="15.75" customHeight="1" s="1349">
      <c r="A875" s="10" t="n"/>
      <c r="B875" s="10" t="n"/>
      <c r="C875" s="346" t="n"/>
      <c r="D875" s="347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348" t="n"/>
      <c r="N875" s="10" t="n"/>
      <c r="O875" s="10" t="n"/>
      <c r="P875" s="10" t="n"/>
      <c r="Q875" s="10" t="n"/>
      <c r="R875" s="10" t="n"/>
      <c r="S875" s="349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  <c r="AD875" s="10" t="n"/>
      <c r="AE875" s="10" t="n"/>
      <c r="AF875" s="10" t="n"/>
      <c r="AG875" s="10" t="n"/>
    </row>
    <row r="876" ht="15.75" customHeight="1" s="1349">
      <c r="A876" s="10" t="n"/>
      <c r="B876" s="10" t="n"/>
      <c r="C876" s="346" t="n"/>
      <c r="D876" s="347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348" t="n"/>
      <c r="N876" s="10" t="n"/>
      <c r="O876" s="10" t="n"/>
      <c r="P876" s="10" t="n"/>
      <c r="Q876" s="10" t="n"/>
      <c r="R876" s="10" t="n"/>
      <c r="S876" s="349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  <c r="AF876" s="10" t="n"/>
      <c r="AG876" s="10" t="n"/>
    </row>
    <row r="877" ht="15.75" customHeight="1" s="1349">
      <c r="A877" s="10" t="n"/>
      <c r="B877" s="10" t="n"/>
      <c r="C877" s="346" t="n"/>
      <c r="D877" s="347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348" t="n"/>
      <c r="N877" s="10" t="n"/>
      <c r="O877" s="10" t="n"/>
      <c r="P877" s="10" t="n"/>
      <c r="Q877" s="10" t="n"/>
      <c r="R877" s="10" t="n"/>
      <c r="S877" s="349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  <c r="AD877" s="10" t="n"/>
      <c r="AE877" s="10" t="n"/>
      <c r="AF877" s="10" t="n"/>
      <c r="AG877" s="10" t="n"/>
    </row>
    <row r="878" ht="15.75" customHeight="1" s="1349">
      <c r="A878" s="10" t="n"/>
      <c r="B878" s="10" t="n"/>
      <c r="C878" s="346" t="n"/>
      <c r="D878" s="347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348" t="n"/>
      <c r="N878" s="10" t="n"/>
      <c r="O878" s="10" t="n"/>
      <c r="P878" s="10" t="n"/>
      <c r="Q878" s="10" t="n"/>
      <c r="R878" s="10" t="n"/>
      <c r="S878" s="349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  <c r="AF878" s="10" t="n"/>
      <c r="AG878" s="10" t="n"/>
    </row>
    <row r="879" ht="15.75" customHeight="1" s="1349">
      <c r="A879" s="10" t="n"/>
      <c r="B879" s="10" t="n"/>
      <c r="C879" s="346" t="n"/>
      <c r="D879" s="347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348" t="n"/>
      <c r="N879" s="10" t="n"/>
      <c r="O879" s="10" t="n"/>
      <c r="P879" s="10" t="n"/>
      <c r="Q879" s="10" t="n"/>
      <c r="R879" s="10" t="n"/>
      <c r="S879" s="349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  <c r="AD879" s="10" t="n"/>
      <c r="AE879" s="10" t="n"/>
      <c r="AF879" s="10" t="n"/>
      <c r="AG879" s="10" t="n"/>
    </row>
    <row r="880" ht="15.75" customHeight="1" s="1349">
      <c r="A880" s="10" t="n"/>
      <c r="B880" s="10" t="n"/>
      <c r="C880" s="346" t="n"/>
      <c r="D880" s="347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348" t="n"/>
      <c r="N880" s="10" t="n"/>
      <c r="O880" s="10" t="n"/>
      <c r="P880" s="10" t="n"/>
      <c r="Q880" s="10" t="n"/>
      <c r="R880" s="10" t="n"/>
      <c r="S880" s="349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  <c r="AF880" s="10" t="n"/>
      <c r="AG880" s="10" t="n"/>
    </row>
    <row r="881" ht="15.75" customHeight="1" s="1349">
      <c r="A881" s="10" t="n"/>
      <c r="B881" s="10" t="n"/>
      <c r="C881" s="346" t="n"/>
      <c r="D881" s="347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348" t="n"/>
      <c r="N881" s="10" t="n"/>
      <c r="O881" s="10" t="n"/>
      <c r="P881" s="10" t="n"/>
      <c r="Q881" s="10" t="n"/>
      <c r="R881" s="10" t="n"/>
      <c r="S881" s="349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  <c r="AD881" s="10" t="n"/>
      <c r="AE881" s="10" t="n"/>
      <c r="AF881" s="10" t="n"/>
      <c r="AG881" s="10" t="n"/>
    </row>
    <row r="882" ht="15.75" customHeight="1" s="1349">
      <c r="A882" s="10" t="n"/>
      <c r="B882" s="10" t="n"/>
      <c r="C882" s="346" t="n"/>
      <c r="D882" s="347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348" t="n"/>
      <c r="N882" s="10" t="n"/>
      <c r="O882" s="10" t="n"/>
      <c r="P882" s="10" t="n"/>
      <c r="Q882" s="10" t="n"/>
      <c r="R882" s="10" t="n"/>
      <c r="S882" s="349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  <c r="AF882" s="10" t="n"/>
      <c r="AG882" s="10" t="n"/>
    </row>
    <row r="883" ht="15.75" customHeight="1" s="1349">
      <c r="A883" s="10" t="n"/>
      <c r="B883" s="10" t="n"/>
      <c r="C883" s="346" t="n"/>
      <c r="D883" s="347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348" t="n"/>
      <c r="N883" s="10" t="n"/>
      <c r="O883" s="10" t="n"/>
      <c r="P883" s="10" t="n"/>
      <c r="Q883" s="10" t="n"/>
      <c r="R883" s="10" t="n"/>
      <c r="S883" s="349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  <c r="AD883" s="10" t="n"/>
      <c r="AE883" s="10" t="n"/>
      <c r="AF883" s="10" t="n"/>
      <c r="AG883" s="10" t="n"/>
    </row>
    <row r="884" ht="15.75" customHeight="1" s="1349">
      <c r="A884" s="10" t="n"/>
      <c r="B884" s="10" t="n"/>
      <c r="C884" s="346" t="n"/>
      <c r="D884" s="347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348" t="n"/>
      <c r="N884" s="10" t="n"/>
      <c r="O884" s="10" t="n"/>
      <c r="P884" s="10" t="n"/>
      <c r="Q884" s="10" t="n"/>
      <c r="R884" s="10" t="n"/>
      <c r="S884" s="349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  <c r="AF884" s="10" t="n"/>
      <c r="AG884" s="10" t="n"/>
    </row>
    <row r="885" ht="15.75" customHeight="1" s="1349">
      <c r="A885" s="10" t="n"/>
      <c r="B885" s="10" t="n"/>
      <c r="C885" s="346" t="n"/>
      <c r="D885" s="347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348" t="n"/>
      <c r="N885" s="10" t="n"/>
      <c r="O885" s="10" t="n"/>
      <c r="P885" s="10" t="n"/>
      <c r="Q885" s="10" t="n"/>
      <c r="R885" s="10" t="n"/>
      <c r="S885" s="349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  <c r="AD885" s="10" t="n"/>
      <c r="AE885" s="10" t="n"/>
      <c r="AF885" s="10" t="n"/>
      <c r="AG885" s="10" t="n"/>
    </row>
    <row r="886" ht="15.75" customHeight="1" s="1349">
      <c r="A886" s="10" t="n"/>
      <c r="B886" s="10" t="n"/>
      <c r="C886" s="346" t="n"/>
      <c r="D886" s="347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348" t="n"/>
      <c r="N886" s="10" t="n"/>
      <c r="O886" s="10" t="n"/>
      <c r="P886" s="10" t="n"/>
      <c r="Q886" s="10" t="n"/>
      <c r="R886" s="10" t="n"/>
      <c r="S886" s="349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  <c r="AF886" s="10" t="n"/>
      <c r="AG886" s="10" t="n"/>
    </row>
    <row r="887" ht="15.75" customHeight="1" s="1349">
      <c r="A887" s="10" t="n"/>
      <c r="B887" s="10" t="n"/>
      <c r="C887" s="346" t="n"/>
      <c r="D887" s="347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348" t="n"/>
      <c r="N887" s="10" t="n"/>
      <c r="O887" s="10" t="n"/>
      <c r="P887" s="10" t="n"/>
      <c r="Q887" s="10" t="n"/>
      <c r="R887" s="10" t="n"/>
      <c r="S887" s="349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  <c r="AD887" s="10" t="n"/>
      <c r="AE887" s="10" t="n"/>
      <c r="AF887" s="10" t="n"/>
      <c r="AG887" s="10" t="n"/>
    </row>
    <row r="888" ht="15.75" customHeight="1" s="1349">
      <c r="A888" s="10" t="n"/>
      <c r="B888" s="10" t="n"/>
      <c r="C888" s="346" t="n"/>
      <c r="D888" s="347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348" t="n"/>
      <c r="N888" s="10" t="n"/>
      <c r="O888" s="10" t="n"/>
      <c r="P888" s="10" t="n"/>
      <c r="Q888" s="10" t="n"/>
      <c r="R888" s="10" t="n"/>
      <c r="S888" s="349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  <c r="AF888" s="10" t="n"/>
      <c r="AG888" s="10" t="n"/>
    </row>
    <row r="889" ht="15.75" customHeight="1" s="1349">
      <c r="A889" s="10" t="n"/>
      <c r="B889" s="10" t="n"/>
      <c r="C889" s="346" t="n"/>
      <c r="D889" s="347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348" t="n"/>
      <c r="N889" s="10" t="n"/>
      <c r="O889" s="10" t="n"/>
      <c r="P889" s="10" t="n"/>
      <c r="Q889" s="10" t="n"/>
      <c r="R889" s="10" t="n"/>
      <c r="S889" s="349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  <c r="AD889" s="10" t="n"/>
      <c r="AE889" s="10" t="n"/>
      <c r="AF889" s="10" t="n"/>
      <c r="AG889" s="10" t="n"/>
    </row>
    <row r="890" ht="15.75" customHeight="1" s="1349">
      <c r="A890" s="10" t="n"/>
      <c r="B890" s="10" t="n"/>
      <c r="C890" s="346" t="n"/>
      <c r="D890" s="347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348" t="n"/>
      <c r="N890" s="10" t="n"/>
      <c r="O890" s="10" t="n"/>
      <c r="P890" s="10" t="n"/>
      <c r="Q890" s="10" t="n"/>
      <c r="R890" s="10" t="n"/>
      <c r="S890" s="349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  <c r="AD890" s="10" t="n"/>
      <c r="AE890" s="10" t="n"/>
      <c r="AF890" s="10" t="n"/>
      <c r="AG890" s="10" t="n"/>
    </row>
    <row r="891" ht="15.75" customHeight="1" s="1349">
      <c r="A891" s="10" t="n"/>
      <c r="B891" s="10" t="n"/>
      <c r="C891" s="346" t="n"/>
      <c r="D891" s="347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348" t="n"/>
      <c r="N891" s="10" t="n"/>
      <c r="O891" s="10" t="n"/>
      <c r="P891" s="10" t="n"/>
      <c r="Q891" s="10" t="n"/>
      <c r="R891" s="10" t="n"/>
      <c r="S891" s="349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  <c r="AD891" s="10" t="n"/>
      <c r="AE891" s="10" t="n"/>
      <c r="AF891" s="10" t="n"/>
      <c r="AG891" s="10" t="n"/>
    </row>
    <row r="892" ht="15.75" customHeight="1" s="1349">
      <c r="A892" s="10" t="n"/>
      <c r="B892" s="10" t="n"/>
      <c r="C892" s="346" t="n"/>
      <c r="D892" s="347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348" t="n"/>
      <c r="N892" s="10" t="n"/>
      <c r="O892" s="10" t="n"/>
      <c r="P892" s="10" t="n"/>
      <c r="Q892" s="10" t="n"/>
      <c r="R892" s="10" t="n"/>
      <c r="S892" s="349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  <c r="AD892" s="10" t="n"/>
      <c r="AE892" s="10" t="n"/>
      <c r="AF892" s="10" t="n"/>
      <c r="AG892" s="10" t="n"/>
    </row>
    <row r="893" ht="15.75" customHeight="1" s="1349">
      <c r="A893" s="10" t="n"/>
      <c r="B893" s="10" t="n"/>
      <c r="C893" s="346" t="n"/>
      <c r="D893" s="347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348" t="n"/>
      <c r="N893" s="10" t="n"/>
      <c r="O893" s="10" t="n"/>
      <c r="P893" s="10" t="n"/>
      <c r="Q893" s="10" t="n"/>
      <c r="R893" s="10" t="n"/>
      <c r="S893" s="349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  <c r="AD893" s="10" t="n"/>
      <c r="AE893" s="10" t="n"/>
      <c r="AF893" s="10" t="n"/>
      <c r="AG893" s="10" t="n"/>
    </row>
    <row r="894" ht="15.75" customHeight="1" s="1349">
      <c r="A894" s="10" t="n"/>
      <c r="B894" s="10" t="n"/>
      <c r="C894" s="346" t="n"/>
      <c r="D894" s="347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348" t="n"/>
      <c r="N894" s="10" t="n"/>
      <c r="O894" s="10" t="n"/>
      <c r="P894" s="10" t="n"/>
      <c r="Q894" s="10" t="n"/>
      <c r="R894" s="10" t="n"/>
      <c r="S894" s="349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  <c r="AD894" s="10" t="n"/>
      <c r="AE894" s="10" t="n"/>
      <c r="AF894" s="10" t="n"/>
      <c r="AG894" s="10" t="n"/>
    </row>
    <row r="895" ht="15.75" customHeight="1" s="1349">
      <c r="A895" s="10" t="n"/>
      <c r="B895" s="10" t="n"/>
      <c r="C895" s="346" t="n"/>
      <c r="D895" s="347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348" t="n"/>
      <c r="N895" s="10" t="n"/>
      <c r="O895" s="10" t="n"/>
      <c r="P895" s="10" t="n"/>
      <c r="Q895" s="10" t="n"/>
      <c r="R895" s="10" t="n"/>
      <c r="S895" s="349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  <c r="AD895" s="10" t="n"/>
      <c r="AE895" s="10" t="n"/>
      <c r="AF895" s="10" t="n"/>
      <c r="AG895" s="10" t="n"/>
    </row>
    <row r="896" ht="15.75" customHeight="1" s="1349">
      <c r="A896" s="10" t="n"/>
      <c r="B896" s="10" t="n"/>
      <c r="C896" s="346" t="n"/>
      <c r="D896" s="347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348" t="n"/>
      <c r="N896" s="10" t="n"/>
      <c r="O896" s="10" t="n"/>
      <c r="P896" s="10" t="n"/>
      <c r="Q896" s="10" t="n"/>
      <c r="R896" s="10" t="n"/>
      <c r="S896" s="349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  <c r="AD896" s="10" t="n"/>
      <c r="AE896" s="10" t="n"/>
      <c r="AF896" s="10" t="n"/>
      <c r="AG896" s="10" t="n"/>
    </row>
    <row r="897" ht="15.75" customHeight="1" s="1349">
      <c r="A897" s="10" t="n"/>
      <c r="B897" s="10" t="n"/>
      <c r="C897" s="346" t="n"/>
      <c r="D897" s="347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348" t="n"/>
      <c r="N897" s="10" t="n"/>
      <c r="O897" s="10" t="n"/>
      <c r="P897" s="10" t="n"/>
      <c r="Q897" s="10" t="n"/>
      <c r="R897" s="10" t="n"/>
      <c r="S897" s="349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  <c r="AD897" s="10" t="n"/>
      <c r="AE897" s="10" t="n"/>
      <c r="AF897" s="10" t="n"/>
      <c r="AG897" s="10" t="n"/>
    </row>
    <row r="898" ht="15.75" customHeight="1" s="1349">
      <c r="A898" s="10" t="n"/>
      <c r="B898" s="10" t="n"/>
      <c r="C898" s="346" t="n"/>
      <c r="D898" s="347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348" t="n"/>
      <c r="N898" s="10" t="n"/>
      <c r="O898" s="10" t="n"/>
      <c r="P898" s="10" t="n"/>
      <c r="Q898" s="10" t="n"/>
      <c r="R898" s="10" t="n"/>
      <c r="S898" s="349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  <c r="AD898" s="10" t="n"/>
      <c r="AE898" s="10" t="n"/>
      <c r="AF898" s="10" t="n"/>
      <c r="AG898" s="10" t="n"/>
    </row>
    <row r="899" ht="15.75" customHeight="1" s="1349">
      <c r="A899" s="10" t="n"/>
      <c r="B899" s="10" t="n"/>
      <c r="C899" s="346" t="n"/>
      <c r="D899" s="347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348" t="n"/>
      <c r="N899" s="10" t="n"/>
      <c r="O899" s="10" t="n"/>
      <c r="P899" s="10" t="n"/>
      <c r="Q899" s="10" t="n"/>
      <c r="R899" s="10" t="n"/>
      <c r="S899" s="349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  <c r="AD899" s="10" t="n"/>
      <c r="AE899" s="10" t="n"/>
      <c r="AF899" s="10" t="n"/>
      <c r="AG899" s="10" t="n"/>
    </row>
    <row r="900" ht="15.75" customHeight="1" s="1349">
      <c r="A900" s="10" t="n"/>
      <c r="B900" s="10" t="n"/>
      <c r="C900" s="346" t="n"/>
      <c r="D900" s="347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348" t="n"/>
      <c r="N900" s="10" t="n"/>
      <c r="O900" s="10" t="n"/>
      <c r="P900" s="10" t="n"/>
      <c r="Q900" s="10" t="n"/>
      <c r="R900" s="10" t="n"/>
      <c r="S900" s="349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  <c r="AD900" s="10" t="n"/>
      <c r="AE900" s="10" t="n"/>
      <c r="AF900" s="10" t="n"/>
      <c r="AG900" s="10" t="n"/>
    </row>
    <row r="901" ht="15.75" customHeight="1" s="1349">
      <c r="A901" s="10" t="n"/>
      <c r="B901" s="10" t="n"/>
      <c r="C901" s="346" t="n"/>
      <c r="D901" s="347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348" t="n"/>
      <c r="N901" s="10" t="n"/>
      <c r="O901" s="10" t="n"/>
      <c r="P901" s="10" t="n"/>
      <c r="Q901" s="10" t="n"/>
      <c r="R901" s="10" t="n"/>
      <c r="S901" s="349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  <c r="AD901" s="10" t="n"/>
      <c r="AE901" s="10" t="n"/>
      <c r="AF901" s="10" t="n"/>
      <c r="AG901" s="10" t="n"/>
    </row>
    <row r="902" ht="15.75" customHeight="1" s="1349">
      <c r="A902" s="10" t="n"/>
      <c r="B902" s="10" t="n"/>
      <c r="C902" s="346" t="n"/>
      <c r="D902" s="347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348" t="n"/>
      <c r="N902" s="10" t="n"/>
      <c r="O902" s="10" t="n"/>
      <c r="P902" s="10" t="n"/>
      <c r="Q902" s="10" t="n"/>
      <c r="R902" s="10" t="n"/>
      <c r="S902" s="349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  <c r="AD902" s="10" t="n"/>
      <c r="AE902" s="10" t="n"/>
      <c r="AF902" s="10" t="n"/>
      <c r="AG902" s="10" t="n"/>
    </row>
    <row r="903" ht="15.75" customHeight="1" s="1349">
      <c r="A903" s="10" t="n"/>
      <c r="B903" s="10" t="n"/>
      <c r="C903" s="346" t="n"/>
      <c r="D903" s="347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348" t="n"/>
      <c r="N903" s="10" t="n"/>
      <c r="O903" s="10" t="n"/>
      <c r="P903" s="10" t="n"/>
      <c r="Q903" s="10" t="n"/>
      <c r="R903" s="10" t="n"/>
      <c r="S903" s="349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  <c r="AD903" s="10" t="n"/>
      <c r="AE903" s="10" t="n"/>
      <c r="AF903" s="10" t="n"/>
      <c r="AG903" s="10" t="n"/>
    </row>
    <row r="904" ht="15.75" customHeight="1" s="1349">
      <c r="A904" s="10" t="n"/>
      <c r="B904" s="10" t="n"/>
      <c r="C904" s="346" t="n"/>
      <c r="D904" s="347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348" t="n"/>
      <c r="N904" s="10" t="n"/>
      <c r="O904" s="10" t="n"/>
      <c r="P904" s="10" t="n"/>
      <c r="Q904" s="10" t="n"/>
      <c r="R904" s="10" t="n"/>
      <c r="S904" s="349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  <c r="AD904" s="10" t="n"/>
      <c r="AE904" s="10" t="n"/>
      <c r="AF904" s="10" t="n"/>
      <c r="AG904" s="10" t="n"/>
    </row>
    <row r="905" ht="15.75" customHeight="1" s="1349">
      <c r="A905" s="10" t="n"/>
      <c r="B905" s="10" t="n"/>
      <c r="C905" s="346" t="n"/>
      <c r="D905" s="347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348" t="n"/>
      <c r="N905" s="10" t="n"/>
      <c r="O905" s="10" t="n"/>
      <c r="P905" s="10" t="n"/>
      <c r="Q905" s="10" t="n"/>
      <c r="R905" s="10" t="n"/>
      <c r="S905" s="349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  <c r="AD905" s="10" t="n"/>
      <c r="AE905" s="10" t="n"/>
      <c r="AF905" s="10" t="n"/>
      <c r="AG905" s="10" t="n"/>
    </row>
    <row r="906" ht="15.75" customHeight="1" s="1349">
      <c r="A906" s="10" t="n"/>
      <c r="B906" s="10" t="n"/>
      <c r="C906" s="346" t="n"/>
      <c r="D906" s="347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348" t="n"/>
      <c r="N906" s="10" t="n"/>
      <c r="O906" s="10" t="n"/>
      <c r="P906" s="10" t="n"/>
      <c r="Q906" s="10" t="n"/>
      <c r="R906" s="10" t="n"/>
      <c r="S906" s="349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  <c r="AD906" s="10" t="n"/>
      <c r="AE906" s="10" t="n"/>
      <c r="AF906" s="10" t="n"/>
      <c r="AG906" s="10" t="n"/>
    </row>
    <row r="907" ht="15.75" customHeight="1" s="1349">
      <c r="A907" s="10" t="n"/>
      <c r="B907" s="10" t="n"/>
      <c r="C907" s="346" t="n"/>
      <c r="D907" s="347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348" t="n"/>
      <c r="N907" s="10" t="n"/>
      <c r="O907" s="10" t="n"/>
      <c r="P907" s="10" t="n"/>
      <c r="Q907" s="10" t="n"/>
      <c r="R907" s="10" t="n"/>
      <c r="S907" s="349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  <c r="AD907" s="10" t="n"/>
      <c r="AE907" s="10" t="n"/>
      <c r="AF907" s="10" t="n"/>
      <c r="AG907" s="10" t="n"/>
    </row>
    <row r="908" ht="15.75" customHeight="1" s="1349">
      <c r="A908" s="10" t="n"/>
      <c r="B908" s="10" t="n"/>
      <c r="C908" s="346" t="n"/>
      <c r="D908" s="347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348" t="n"/>
      <c r="N908" s="10" t="n"/>
      <c r="O908" s="10" t="n"/>
      <c r="P908" s="10" t="n"/>
      <c r="Q908" s="10" t="n"/>
      <c r="R908" s="10" t="n"/>
      <c r="S908" s="349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  <c r="AD908" s="10" t="n"/>
      <c r="AE908" s="10" t="n"/>
      <c r="AF908" s="10" t="n"/>
      <c r="AG908" s="10" t="n"/>
    </row>
    <row r="909" ht="15.75" customHeight="1" s="1349">
      <c r="A909" s="10" t="n"/>
      <c r="B909" s="10" t="n"/>
      <c r="C909" s="346" t="n"/>
      <c r="D909" s="347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348" t="n"/>
      <c r="N909" s="10" t="n"/>
      <c r="O909" s="10" t="n"/>
      <c r="P909" s="10" t="n"/>
      <c r="Q909" s="10" t="n"/>
      <c r="R909" s="10" t="n"/>
      <c r="S909" s="349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  <c r="AD909" s="10" t="n"/>
      <c r="AE909" s="10" t="n"/>
      <c r="AF909" s="10" t="n"/>
      <c r="AG909" s="10" t="n"/>
    </row>
    <row r="910" ht="15.75" customHeight="1" s="1349">
      <c r="A910" s="10" t="n"/>
      <c r="B910" s="10" t="n"/>
      <c r="C910" s="346" t="n"/>
      <c r="D910" s="347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348" t="n"/>
      <c r="N910" s="10" t="n"/>
      <c r="O910" s="10" t="n"/>
      <c r="P910" s="10" t="n"/>
      <c r="Q910" s="10" t="n"/>
      <c r="R910" s="10" t="n"/>
      <c r="S910" s="349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  <c r="AD910" s="10" t="n"/>
      <c r="AE910" s="10" t="n"/>
      <c r="AF910" s="10" t="n"/>
      <c r="AG910" s="10" t="n"/>
    </row>
    <row r="911" ht="15.75" customHeight="1" s="1349">
      <c r="A911" s="10" t="n"/>
      <c r="B911" s="10" t="n"/>
      <c r="C911" s="346" t="n"/>
      <c r="D911" s="347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348" t="n"/>
      <c r="N911" s="10" t="n"/>
      <c r="O911" s="10" t="n"/>
      <c r="P911" s="10" t="n"/>
      <c r="Q911" s="10" t="n"/>
      <c r="R911" s="10" t="n"/>
      <c r="S911" s="349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  <c r="AD911" s="10" t="n"/>
      <c r="AE911" s="10" t="n"/>
      <c r="AF911" s="10" t="n"/>
      <c r="AG911" s="10" t="n"/>
    </row>
    <row r="912" ht="15.75" customHeight="1" s="1349">
      <c r="A912" s="10" t="n"/>
      <c r="B912" s="10" t="n"/>
      <c r="C912" s="346" t="n"/>
      <c r="D912" s="347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348" t="n"/>
      <c r="N912" s="10" t="n"/>
      <c r="O912" s="10" t="n"/>
      <c r="P912" s="10" t="n"/>
      <c r="Q912" s="10" t="n"/>
      <c r="R912" s="10" t="n"/>
      <c r="S912" s="349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  <c r="AD912" s="10" t="n"/>
      <c r="AE912" s="10" t="n"/>
      <c r="AF912" s="10" t="n"/>
      <c r="AG912" s="10" t="n"/>
    </row>
    <row r="913" ht="15.75" customHeight="1" s="1349">
      <c r="A913" s="10" t="n"/>
      <c r="B913" s="10" t="n"/>
      <c r="C913" s="346" t="n"/>
      <c r="D913" s="347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348" t="n"/>
      <c r="N913" s="10" t="n"/>
      <c r="O913" s="10" t="n"/>
      <c r="P913" s="10" t="n"/>
      <c r="Q913" s="10" t="n"/>
      <c r="R913" s="10" t="n"/>
      <c r="S913" s="349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  <c r="AD913" s="10" t="n"/>
      <c r="AE913" s="10" t="n"/>
      <c r="AF913" s="10" t="n"/>
      <c r="AG913" s="10" t="n"/>
    </row>
    <row r="914" ht="15.75" customHeight="1" s="1349">
      <c r="A914" s="10" t="n"/>
      <c r="B914" s="10" t="n"/>
      <c r="C914" s="346" t="n"/>
      <c r="D914" s="347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348" t="n"/>
      <c r="N914" s="10" t="n"/>
      <c r="O914" s="10" t="n"/>
      <c r="P914" s="10" t="n"/>
      <c r="Q914" s="10" t="n"/>
      <c r="R914" s="10" t="n"/>
      <c r="S914" s="349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  <c r="AD914" s="10" t="n"/>
      <c r="AE914" s="10" t="n"/>
      <c r="AF914" s="10" t="n"/>
      <c r="AG914" s="10" t="n"/>
    </row>
    <row r="915" ht="15.75" customHeight="1" s="1349">
      <c r="A915" s="10" t="n"/>
      <c r="B915" s="10" t="n"/>
      <c r="C915" s="346" t="n"/>
      <c r="D915" s="347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348" t="n"/>
      <c r="N915" s="10" t="n"/>
      <c r="O915" s="10" t="n"/>
      <c r="P915" s="10" t="n"/>
      <c r="Q915" s="10" t="n"/>
      <c r="R915" s="10" t="n"/>
      <c r="S915" s="349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  <c r="AD915" s="10" t="n"/>
      <c r="AE915" s="10" t="n"/>
      <c r="AF915" s="10" t="n"/>
      <c r="AG915" s="10" t="n"/>
    </row>
    <row r="916" ht="15.75" customHeight="1" s="1349">
      <c r="A916" s="10" t="n"/>
      <c r="B916" s="10" t="n"/>
      <c r="C916" s="346" t="n"/>
      <c r="D916" s="347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348" t="n"/>
      <c r="N916" s="10" t="n"/>
      <c r="O916" s="10" t="n"/>
      <c r="P916" s="10" t="n"/>
      <c r="Q916" s="10" t="n"/>
      <c r="R916" s="10" t="n"/>
      <c r="S916" s="349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  <c r="AD916" s="10" t="n"/>
      <c r="AE916" s="10" t="n"/>
      <c r="AF916" s="10" t="n"/>
      <c r="AG916" s="10" t="n"/>
    </row>
    <row r="917" ht="15.75" customHeight="1" s="1349">
      <c r="A917" s="10" t="n"/>
      <c r="B917" s="10" t="n"/>
      <c r="C917" s="346" t="n"/>
      <c r="D917" s="347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348" t="n"/>
      <c r="N917" s="10" t="n"/>
      <c r="O917" s="10" t="n"/>
      <c r="P917" s="10" t="n"/>
      <c r="Q917" s="10" t="n"/>
      <c r="R917" s="10" t="n"/>
      <c r="S917" s="349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  <c r="AD917" s="10" t="n"/>
      <c r="AE917" s="10" t="n"/>
      <c r="AF917" s="10" t="n"/>
      <c r="AG917" s="10" t="n"/>
    </row>
    <row r="918" ht="15.75" customHeight="1" s="1349">
      <c r="A918" s="10" t="n"/>
      <c r="B918" s="10" t="n"/>
      <c r="C918" s="346" t="n"/>
      <c r="D918" s="347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348" t="n"/>
      <c r="N918" s="10" t="n"/>
      <c r="O918" s="10" t="n"/>
      <c r="P918" s="10" t="n"/>
      <c r="Q918" s="10" t="n"/>
      <c r="R918" s="10" t="n"/>
      <c r="S918" s="349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  <c r="AD918" s="10" t="n"/>
      <c r="AE918" s="10" t="n"/>
      <c r="AF918" s="10" t="n"/>
      <c r="AG918" s="10" t="n"/>
    </row>
    <row r="919" ht="15.75" customHeight="1" s="1349">
      <c r="A919" s="10" t="n"/>
      <c r="B919" s="10" t="n"/>
      <c r="C919" s="346" t="n"/>
      <c r="D919" s="347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348" t="n"/>
      <c r="N919" s="10" t="n"/>
      <c r="O919" s="10" t="n"/>
      <c r="P919" s="10" t="n"/>
      <c r="Q919" s="10" t="n"/>
      <c r="R919" s="10" t="n"/>
      <c r="S919" s="349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  <c r="AD919" s="10" t="n"/>
      <c r="AE919" s="10" t="n"/>
      <c r="AF919" s="10" t="n"/>
      <c r="AG919" s="10" t="n"/>
    </row>
    <row r="920" ht="15.75" customHeight="1" s="1349">
      <c r="A920" s="10" t="n"/>
      <c r="B920" s="10" t="n"/>
      <c r="C920" s="346" t="n"/>
      <c r="D920" s="347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348" t="n"/>
      <c r="N920" s="10" t="n"/>
      <c r="O920" s="10" t="n"/>
      <c r="P920" s="10" t="n"/>
      <c r="Q920" s="10" t="n"/>
      <c r="R920" s="10" t="n"/>
      <c r="S920" s="349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  <c r="AD920" s="10" t="n"/>
      <c r="AE920" s="10" t="n"/>
      <c r="AF920" s="10" t="n"/>
      <c r="AG920" s="10" t="n"/>
    </row>
    <row r="921" ht="15.75" customHeight="1" s="1349">
      <c r="A921" s="10" t="n"/>
      <c r="B921" s="10" t="n"/>
      <c r="C921" s="346" t="n"/>
      <c r="D921" s="347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348" t="n"/>
      <c r="N921" s="10" t="n"/>
      <c r="O921" s="10" t="n"/>
      <c r="P921" s="10" t="n"/>
      <c r="Q921" s="10" t="n"/>
      <c r="R921" s="10" t="n"/>
      <c r="S921" s="349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  <c r="AD921" s="10" t="n"/>
      <c r="AE921" s="10" t="n"/>
      <c r="AF921" s="10" t="n"/>
      <c r="AG921" s="10" t="n"/>
    </row>
    <row r="922" ht="15.75" customHeight="1" s="1349">
      <c r="A922" s="10" t="n"/>
      <c r="B922" s="10" t="n"/>
      <c r="C922" s="346" t="n"/>
      <c r="D922" s="347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348" t="n"/>
      <c r="N922" s="10" t="n"/>
      <c r="O922" s="10" t="n"/>
      <c r="P922" s="10" t="n"/>
      <c r="Q922" s="10" t="n"/>
      <c r="R922" s="10" t="n"/>
      <c r="S922" s="349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  <c r="AD922" s="10" t="n"/>
      <c r="AE922" s="10" t="n"/>
      <c r="AF922" s="10" t="n"/>
      <c r="AG922" s="10" t="n"/>
    </row>
    <row r="923" ht="15.75" customHeight="1" s="1349">
      <c r="A923" s="10" t="n"/>
      <c r="B923" s="10" t="n"/>
      <c r="C923" s="346" t="n"/>
      <c r="D923" s="347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348" t="n"/>
      <c r="N923" s="10" t="n"/>
      <c r="O923" s="10" t="n"/>
      <c r="P923" s="10" t="n"/>
      <c r="Q923" s="10" t="n"/>
      <c r="R923" s="10" t="n"/>
      <c r="S923" s="349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  <c r="AD923" s="10" t="n"/>
      <c r="AE923" s="10" t="n"/>
      <c r="AF923" s="10" t="n"/>
      <c r="AG923" s="10" t="n"/>
    </row>
    <row r="924" ht="15.75" customHeight="1" s="1349">
      <c r="A924" s="10" t="n"/>
      <c r="B924" s="10" t="n"/>
      <c r="C924" s="346" t="n"/>
      <c r="D924" s="347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348" t="n"/>
      <c r="N924" s="10" t="n"/>
      <c r="O924" s="10" t="n"/>
      <c r="P924" s="10" t="n"/>
      <c r="Q924" s="10" t="n"/>
      <c r="R924" s="10" t="n"/>
      <c r="S924" s="349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  <c r="AD924" s="10" t="n"/>
      <c r="AE924" s="10" t="n"/>
      <c r="AF924" s="10" t="n"/>
      <c r="AG924" s="10" t="n"/>
    </row>
    <row r="925" ht="15.75" customHeight="1" s="1349">
      <c r="A925" s="10" t="n"/>
      <c r="B925" s="10" t="n"/>
      <c r="C925" s="346" t="n"/>
      <c r="D925" s="347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348" t="n"/>
      <c r="N925" s="10" t="n"/>
      <c r="O925" s="10" t="n"/>
      <c r="P925" s="10" t="n"/>
      <c r="Q925" s="10" t="n"/>
      <c r="R925" s="10" t="n"/>
      <c r="S925" s="349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  <c r="AD925" s="10" t="n"/>
      <c r="AE925" s="10" t="n"/>
      <c r="AF925" s="10" t="n"/>
      <c r="AG925" s="10" t="n"/>
    </row>
    <row r="926" ht="15.75" customHeight="1" s="1349">
      <c r="A926" s="10" t="n"/>
      <c r="B926" s="10" t="n"/>
      <c r="C926" s="346" t="n"/>
      <c r="D926" s="347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348" t="n"/>
      <c r="N926" s="10" t="n"/>
      <c r="O926" s="10" t="n"/>
      <c r="P926" s="10" t="n"/>
      <c r="Q926" s="10" t="n"/>
      <c r="R926" s="10" t="n"/>
      <c r="S926" s="349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  <c r="AD926" s="10" t="n"/>
      <c r="AE926" s="10" t="n"/>
      <c r="AF926" s="10" t="n"/>
      <c r="AG926" s="10" t="n"/>
    </row>
    <row r="927" ht="15.75" customHeight="1" s="1349">
      <c r="A927" s="10" t="n"/>
      <c r="B927" s="10" t="n"/>
      <c r="C927" s="346" t="n"/>
      <c r="D927" s="347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348" t="n"/>
      <c r="N927" s="10" t="n"/>
      <c r="O927" s="10" t="n"/>
      <c r="P927" s="10" t="n"/>
      <c r="Q927" s="10" t="n"/>
      <c r="R927" s="10" t="n"/>
      <c r="S927" s="349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  <c r="AD927" s="10" t="n"/>
      <c r="AE927" s="10" t="n"/>
      <c r="AF927" s="10" t="n"/>
      <c r="AG927" s="10" t="n"/>
    </row>
    <row r="928" ht="15.75" customHeight="1" s="1349">
      <c r="A928" s="10" t="n"/>
      <c r="B928" s="10" t="n"/>
      <c r="C928" s="346" t="n"/>
      <c r="D928" s="347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348" t="n"/>
      <c r="N928" s="10" t="n"/>
      <c r="O928" s="10" t="n"/>
      <c r="P928" s="10" t="n"/>
      <c r="Q928" s="10" t="n"/>
      <c r="R928" s="10" t="n"/>
      <c r="S928" s="349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  <c r="AD928" s="10" t="n"/>
      <c r="AE928" s="10" t="n"/>
      <c r="AF928" s="10" t="n"/>
      <c r="AG928" s="10" t="n"/>
    </row>
    <row r="929" ht="15.75" customHeight="1" s="1349">
      <c r="A929" s="10" t="n"/>
      <c r="B929" s="10" t="n"/>
      <c r="C929" s="346" t="n"/>
      <c r="D929" s="347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348" t="n"/>
      <c r="N929" s="10" t="n"/>
      <c r="O929" s="10" t="n"/>
      <c r="P929" s="10" t="n"/>
      <c r="Q929" s="10" t="n"/>
      <c r="R929" s="10" t="n"/>
      <c r="S929" s="349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  <c r="AD929" s="10" t="n"/>
      <c r="AE929" s="10" t="n"/>
      <c r="AF929" s="10" t="n"/>
      <c r="AG929" s="10" t="n"/>
    </row>
    <row r="930" ht="15.75" customHeight="1" s="1349">
      <c r="A930" s="10" t="n"/>
      <c r="B930" s="10" t="n"/>
      <c r="C930" s="346" t="n"/>
      <c r="D930" s="347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348" t="n"/>
      <c r="N930" s="10" t="n"/>
      <c r="O930" s="10" t="n"/>
      <c r="P930" s="10" t="n"/>
      <c r="Q930" s="10" t="n"/>
      <c r="R930" s="10" t="n"/>
      <c r="S930" s="349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  <c r="AD930" s="10" t="n"/>
      <c r="AE930" s="10" t="n"/>
      <c r="AF930" s="10" t="n"/>
      <c r="AG930" s="10" t="n"/>
    </row>
    <row r="931" ht="15.75" customHeight="1" s="1349">
      <c r="A931" s="10" t="n"/>
      <c r="B931" s="10" t="n"/>
      <c r="C931" s="346" t="n"/>
      <c r="D931" s="347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348" t="n"/>
      <c r="N931" s="10" t="n"/>
      <c r="O931" s="10" t="n"/>
      <c r="P931" s="10" t="n"/>
      <c r="Q931" s="10" t="n"/>
      <c r="R931" s="10" t="n"/>
      <c r="S931" s="349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  <c r="AD931" s="10" t="n"/>
      <c r="AE931" s="10" t="n"/>
      <c r="AF931" s="10" t="n"/>
      <c r="AG931" s="10" t="n"/>
    </row>
    <row r="932" ht="15.75" customHeight="1" s="1349">
      <c r="A932" s="10" t="n"/>
      <c r="B932" s="10" t="n"/>
      <c r="C932" s="346" t="n"/>
      <c r="D932" s="347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348" t="n"/>
      <c r="N932" s="10" t="n"/>
      <c r="O932" s="10" t="n"/>
      <c r="P932" s="10" t="n"/>
      <c r="Q932" s="10" t="n"/>
      <c r="R932" s="10" t="n"/>
      <c r="S932" s="349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  <c r="AD932" s="10" t="n"/>
      <c r="AE932" s="10" t="n"/>
      <c r="AF932" s="10" t="n"/>
      <c r="AG932" s="10" t="n"/>
    </row>
    <row r="933" ht="15.75" customHeight="1" s="1349">
      <c r="A933" s="10" t="n"/>
      <c r="B933" s="10" t="n"/>
      <c r="C933" s="346" t="n"/>
      <c r="D933" s="347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348" t="n"/>
      <c r="N933" s="10" t="n"/>
      <c r="O933" s="10" t="n"/>
      <c r="P933" s="10" t="n"/>
      <c r="Q933" s="10" t="n"/>
      <c r="R933" s="10" t="n"/>
      <c r="S933" s="349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  <c r="AD933" s="10" t="n"/>
      <c r="AE933" s="10" t="n"/>
      <c r="AF933" s="10" t="n"/>
      <c r="AG933" s="10" t="n"/>
    </row>
    <row r="934" ht="15.75" customHeight="1" s="1349">
      <c r="A934" s="10" t="n"/>
      <c r="B934" s="10" t="n"/>
      <c r="C934" s="346" t="n"/>
      <c r="D934" s="347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348" t="n"/>
      <c r="N934" s="10" t="n"/>
      <c r="O934" s="10" t="n"/>
      <c r="P934" s="10" t="n"/>
      <c r="Q934" s="10" t="n"/>
      <c r="R934" s="10" t="n"/>
      <c r="S934" s="349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  <c r="AD934" s="10" t="n"/>
      <c r="AE934" s="10" t="n"/>
      <c r="AF934" s="10" t="n"/>
      <c r="AG934" s="10" t="n"/>
    </row>
    <row r="935" ht="15.75" customHeight="1" s="1349">
      <c r="A935" s="10" t="n"/>
      <c r="B935" s="10" t="n"/>
      <c r="C935" s="346" t="n"/>
      <c r="D935" s="347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348" t="n"/>
      <c r="N935" s="10" t="n"/>
      <c r="O935" s="10" t="n"/>
      <c r="P935" s="10" t="n"/>
      <c r="Q935" s="10" t="n"/>
      <c r="R935" s="10" t="n"/>
      <c r="S935" s="349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</row>
    <row r="936" ht="15.75" customHeight="1" s="1349">
      <c r="A936" s="10" t="n"/>
      <c r="B936" s="10" t="n"/>
      <c r="C936" s="346" t="n"/>
      <c r="D936" s="347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348" t="n"/>
      <c r="N936" s="10" t="n"/>
      <c r="O936" s="10" t="n"/>
      <c r="P936" s="10" t="n"/>
      <c r="Q936" s="10" t="n"/>
      <c r="R936" s="10" t="n"/>
      <c r="S936" s="349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  <c r="AD936" s="10" t="n"/>
      <c r="AE936" s="10" t="n"/>
      <c r="AF936" s="10" t="n"/>
      <c r="AG936" s="10" t="n"/>
    </row>
    <row r="937" ht="15.75" customHeight="1" s="1349">
      <c r="A937" s="10" t="n"/>
      <c r="B937" s="10" t="n"/>
      <c r="C937" s="346" t="n"/>
      <c r="D937" s="347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348" t="n"/>
      <c r="N937" s="10" t="n"/>
      <c r="O937" s="10" t="n"/>
      <c r="P937" s="10" t="n"/>
      <c r="Q937" s="10" t="n"/>
      <c r="R937" s="10" t="n"/>
      <c r="S937" s="349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  <c r="AD937" s="10" t="n"/>
      <c r="AE937" s="10" t="n"/>
      <c r="AF937" s="10" t="n"/>
      <c r="AG937" s="10" t="n"/>
    </row>
    <row r="938" ht="15.75" customHeight="1" s="1349">
      <c r="A938" s="10" t="n"/>
      <c r="B938" s="10" t="n"/>
      <c r="C938" s="346" t="n"/>
      <c r="D938" s="347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348" t="n"/>
      <c r="N938" s="10" t="n"/>
      <c r="O938" s="10" t="n"/>
      <c r="P938" s="10" t="n"/>
      <c r="Q938" s="10" t="n"/>
      <c r="R938" s="10" t="n"/>
      <c r="S938" s="349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  <c r="AF938" s="10" t="n"/>
      <c r="AG938" s="10" t="n"/>
    </row>
    <row r="939" ht="15.75" customHeight="1" s="1349">
      <c r="A939" s="10" t="n"/>
      <c r="B939" s="10" t="n"/>
      <c r="C939" s="346" t="n"/>
      <c r="D939" s="347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348" t="n"/>
      <c r="N939" s="10" t="n"/>
      <c r="O939" s="10" t="n"/>
      <c r="P939" s="10" t="n"/>
      <c r="Q939" s="10" t="n"/>
      <c r="R939" s="10" t="n"/>
      <c r="S939" s="349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  <c r="AD939" s="10" t="n"/>
      <c r="AE939" s="10" t="n"/>
      <c r="AF939" s="10" t="n"/>
      <c r="AG939" s="10" t="n"/>
    </row>
    <row r="940" ht="15.75" customHeight="1" s="1349">
      <c r="A940" s="10" t="n"/>
      <c r="B940" s="10" t="n"/>
      <c r="C940" s="346" t="n"/>
      <c r="D940" s="347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348" t="n"/>
      <c r="N940" s="10" t="n"/>
      <c r="O940" s="10" t="n"/>
      <c r="P940" s="10" t="n"/>
      <c r="Q940" s="10" t="n"/>
      <c r="R940" s="10" t="n"/>
      <c r="S940" s="349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  <c r="AD940" s="10" t="n"/>
      <c r="AE940" s="10" t="n"/>
      <c r="AF940" s="10" t="n"/>
      <c r="AG940" s="10" t="n"/>
    </row>
    <row r="941" ht="15.75" customHeight="1" s="1349">
      <c r="A941" s="10" t="n"/>
      <c r="B941" s="10" t="n"/>
      <c r="C941" s="346" t="n"/>
      <c r="D941" s="347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348" t="n"/>
      <c r="N941" s="10" t="n"/>
      <c r="O941" s="10" t="n"/>
      <c r="P941" s="10" t="n"/>
      <c r="Q941" s="10" t="n"/>
      <c r="R941" s="10" t="n"/>
      <c r="S941" s="349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  <c r="AD941" s="10" t="n"/>
      <c r="AE941" s="10" t="n"/>
      <c r="AF941" s="10" t="n"/>
      <c r="AG941" s="10" t="n"/>
    </row>
    <row r="942" ht="15.75" customHeight="1" s="1349">
      <c r="A942" s="10" t="n"/>
      <c r="B942" s="10" t="n"/>
      <c r="C942" s="346" t="n"/>
      <c r="D942" s="347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348" t="n"/>
      <c r="N942" s="10" t="n"/>
      <c r="O942" s="10" t="n"/>
      <c r="P942" s="10" t="n"/>
      <c r="Q942" s="10" t="n"/>
      <c r="R942" s="10" t="n"/>
      <c r="S942" s="349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  <c r="AD942" s="10" t="n"/>
      <c r="AE942" s="10" t="n"/>
      <c r="AF942" s="10" t="n"/>
      <c r="AG942" s="10" t="n"/>
    </row>
    <row r="943" ht="15.75" customHeight="1" s="1349">
      <c r="A943" s="10" t="n"/>
      <c r="B943" s="10" t="n"/>
      <c r="C943" s="346" t="n"/>
      <c r="D943" s="347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348" t="n"/>
      <c r="N943" s="10" t="n"/>
      <c r="O943" s="10" t="n"/>
      <c r="P943" s="10" t="n"/>
      <c r="Q943" s="10" t="n"/>
      <c r="R943" s="10" t="n"/>
      <c r="S943" s="349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  <c r="AD943" s="10" t="n"/>
      <c r="AE943" s="10" t="n"/>
      <c r="AF943" s="10" t="n"/>
      <c r="AG943" s="10" t="n"/>
    </row>
    <row r="944" ht="15.75" customHeight="1" s="1349">
      <c r="A944" s="10" t="n"/>
      <c r="B944" s="10" t="n"/>
      <c r="C944" s="346" t="n"/>
      <c r="D944" s="347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348" t="n"/>
      <c r="N944" s="10" t="n"/>
      <c r="O944" s="10" t="n"/>
      <c r="P944" s="10" t="n"/>
      <c r="Q944" s="10" t="n"/>
      <c r="R944" s="10" t="n"/>
      <c r="S944" s="349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  <c r="AD944" s="10" t="n"/>
      <c r="AE944" s="10" t="n"/>
      <c r="AF944" s="10" t="n"/>
      <c r="AG944" s="10" t="n"/>
    </row>
    <row r="945" ht="15.75" customHeight="1" s="1349">
      <c r="A945" s="10" t="n"/>
      <c r="B945" s="10" t="n"/>
      <c r="C945" s="346" t="n"/>
      <c r="D945" s="347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348" t="n"/>
      <c r="N945" s="10" t="n"/>
      <c r="O945" s="10" t="n"/>
      <c r="P945" s="10" t="n"/>
      <c r="Q945" s="10" t="n"/>
      <c r="R945" s="10" t="n"/>
      <c r="S945" s="349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  <c r="AD945" s="10" t="n"/>
      <c r="AE945" s="10" t="n"/>
      <c r="AF945" s="10" t="n"/>
      <c r="AG945" s="10" t="n"/>
    </row>
    <row r="946" ht="15.75" customHeight="1" s="1349">
      <c r="A946" s="10" t="n"/>
      <c r="B946" s="10" t="n"/>
      <c r="C946" s="346" t="n"/>
      <c r="D946" s="347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348" t="n"/>
      <c r="N946" s="10" t="n"/>
      <c r="O946" s="10" t="n"/>
      <c r="P946" s="10" t="n"/>
      <c r="Q946" s="10" t="n"/>
      <c r="R946" s="10" t="n"/>
      <c r="S946" s="349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  <c r="AF946" s="10" t="n"/>
      <c r="AG946" s="10" t="n"/>
    </row>
    <row r="947" ht="15.75" customHeight="1" s="1349">
      <c r="A947" s="10" t="n"/>
      <c r="B947" s="10" t="n"/>
      <c r="C947" s="346" t="n"/>
      <c r="D947" s="347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348" t="n"/>
      <c r="N947" s="10" t="n"/>
      <c r="O947" s="10" t="n"/>
      <c r="P947" s="10" t="n"/>
      <c r="Q947" s="10" t="n"/>
      <c r="R947" s="10" t="n"/>
      <c r="S947" s="349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  <c r="AD947" s="10" t="n"/>
      <c r="AE947" s="10" t="n"/>
      <c r="AF947" s="10" t="n"/>
      <c r="AG947" s="10" t="n"/>
    </row>
    <row r="948" ht="15.75" customHeight="1" s="1349">
      <c r="A948" s="10" t="n"/>
      <c r="B948" s="10" t="n"/>
      <c r="C948" s="346" t="n"/>
      <c r="D948" s="347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348" t="n"/>
      <c r="N948" s="10" t="n"/>
      <c r="O948" s="10" t="n"/>
      <c r="P948" s="10" t="n"/>
      <c r="Q948" s="10" t="n"/>
      <c r="R948" s="10" t="n"/>
      <c r="S948" s="349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  <c r="AD948" s="10" t="n"/>
      <c r="AE948" s="10" t="n"/>
      <c r="AF948" s="10" t="n"/>
      <c r="AG948" s="10" t="n"/>
    </row>
    <row r="949" ht="15.75" customHeight="1" s="1349">
      <c r="A949" s="10" t="n"/>
      <c r="B949" s="10" t="n"/>
      <c r="C949" s="346" t="n"/>
      <c r="D949" s="347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348" t="n"/>
      <c r="N949" s="10" t="n"/>
      <c r="O949" s="10" t="n"/>
      <c r="P949" s="10" t="n"/>
      <c r="Q949" s="10" t="n"/>
      <c r="R949" s="10" t="n"/>
      <c r="S949" s="349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  <c r="AD949" s="10" t="n"/>
      <c r="AE949" s="10" t="n"/>
      <c r="AF949" s="10" t="n"/>
      <c r="AG949" s="10" t="n"/>
    </row>
    <row r="950" ht="15.75" customHeight="1" s="1349">
      <c r="A950" s="10" t="n"/>
      <c r="B950" s="10" t="n"/>
      <c r="C950" s="346" t="n"/>
      <c r="D950" s="347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348" t="n"/>
      <c r="N950" s="10" t="n"/>
      <c r="O950" s="10" t="n"/>
      <c r="P950" s="10" t="n"/>
      <c r="Q950" s="10" t="n"/>
      <c r="R950" s="10" t="n"/>
      <c r="S950" s="349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  <c r="AD950" s="10" t="n"/>
      <c r="AE950" s="10" t="n"/>
      <c r="AF950" s="10" t="n"/>
      <c r="AG950" s="10" t="n"/>
    </row>
    <row r="951" ht="15.75" customHeight="1" s="1349">
      <c r="A951" s="10" t="n"/>
      <c r="B951" s="10" t="n"/>
      <c r="C951" s="346" t="n"/>
      <c r="D951" s="347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348" t="n"/>
      <c r="N951" s="10" t="n"/>
      <c r="O951" s="10" t="n"/>
      <c r="P951" s="10" t="n"/>
      <c r="Q951" s="10" t="n"/>
      <c r="R951" s="10" t="n"/>
      <c r="S951" s="349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  <c r="AD951" s="10" t="n"/>
      <c r="AE951" s="10" t="n"/>
      <c r="AF951" s="10" t="n"/>
      <c r="AG951" s="10" t="n"/>
    </row>
    <row r="952" ht="15.75" customHeight="1" s="1349">
      <c r="A952" s="10" t="n"/>
      <c r="B952" s="10" t="n"/>
      <c r="C952" s="346" t="n"/>
      <c r="D952" s="347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348" t="n"/>
      <c r="N952" s="10" t="n"/>
      <c r="O952" s="10" t="n"/>
      <c r="P952" s="10" t="n"/>
      <c r="Q952" s="10" t="n"/>
      <c r="R952" s="10" t="n"/>
      <c r="S952" s="349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  <c r="AD952" s="10" t="n"/>
      <c r="AE952" s="10" t="n"/>
      <c r="AF952" s="10" t="n"/>
      <c r="AG952" s="10" t="n"/>
    </row>
    <row r="953" ht="15.75" customHeight="1" s="1349">
      <c r="A953" s="10" t="n"/>
      <c r="B953" s="10" t="n"/>
      <c r="C953" s="346" t="n"/>
      <c r="D953" s="347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348" t="n"/>
      <c r="N953" s="10" t="n"/>
      <c r="O953" s="10" t="n"/>
      <c r="P953" s="10" t="n"/>
      <c r="Q953" s="10" t="n"/>
      <c r="R953" s="10" t="n"/>
      <c r="S953" s="349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  <c r="AD953" s="10" t="n"/>
      <c r="AE953" s="10" t="n"/>
      <c r="AF953" s="10" t="n"/>
      <c r="AG953" s="10" t="n"/>
    </row>
    <row r="954" ht="15.75" customHeight="1" s="1349">
      <c r="A954" s="10" t="n"/>
      <c r="B954" s="10" t="n"/>
      <c r="C954" s="346" t="n"/>
      <c r="D954" s="347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348" t="n"/>
      <c r="N954" s="10" t="n"/>
      <c r="O954" s="10" t="n"/>
      <c r="P954" s="10" t="n"/>
      <c r="Q954" s="10" t="n"/>
      <c r="R954" s="10" t="n"/>
      <c r="S954" s="349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  <c r="AD954" s="10" t="n"/>
      <c r="AE954" s="10" t="n"/>
      <c r="AF954" s="10" t="n"/>
      <c r="AG954" s="10" t="n"/>
    </row>
    <row r="955" ht="15.75" customHeight="1" s="1349">
      <c r="A955" s="10" t="n"/>
      <c r="B955" s="10" t="n"/>
      <c r="C955" s="346" t="n"/>
      <c r="D955" s="347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348" t="n"/>
      <c r="N955" s="10" t="n"/>
      <c r="O955" s="10" t="n"/>
      <c r="P955" s="10" t="n"/>
      <c r="Q955" s="10" t="n"/>
      <c r="R955" s="10" t="n"/>
      <c r="S955" s="349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  <c r="AD955" s="10" t="n"/>
      <c r="AE955" s="10" t="n"/>
      <c r="AF955" s="10" t="n"/>
      <c r="AG955" s="10" t="n"/>
    </row>
    <row r="956" ht="15.75" customHeight="1" s="1349">
      <c r="A956" s="10" t="n"/>
      <c r="B956" s="10" t="n"/>
      <c r="C956" s="346" t="n"/>
      <c r="D956" s="347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348" t="n"/>
      <c r="N956" s="10" t="n"/>
      <c r="O956" s="10" t="n"/>
      <c r="P956" s="10" t="n"/>
      <c r="Q956" s="10" t="n"/>
      <c r="R956" s="10" t="n"/>
      <c r="S956" s="349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  <c r="AD956" s="10" t="n"/>
      <c r="AE956" s="10" t="n"/>
      <c r="AF956" s="10" t="n"/>
      <c r="AG956" s="10" t="n"/>
    </row>
    <row r="957" ht="15.75" customHeight="1" s="1349">
      <c r="A957" s="10" t="n"/>
      <c r="B957" s="10" t="n"/>
      <c r="C957" s="346" t="n"/>
      <c r="D957" s="347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348" t="n"/>
      <c r="N957" s="10" t="n"/>
      <c r="O957" s="10" t="n"/>
      <c r="P957" s="10" t="n"/>
      <c r="Q957" s="10" t="n"/>
      <c r="R957" s="10" t="n"/>
      <c r="S957" s="349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  <c r="AD957" s="10" t="n"/>
      <c r="AE957" s="10" t="n"/>
      <c r="AF957" s="10" t="n"/>
      <c r="AG957" s="10" t="n"/>
    </row>
    <row r="958" ht="15.75" customHeight="1" s="1349">
      <c r="A958" s="10" t="n"/>
      <c r="B958" s="10" t="n"/>
      <c r="C958" s="346" t="n"/>
      <c r="D958" s="347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348" t="n"/>
      <c r="N958" s="10" t="n"/>
      <c r="O958" s="10" t="n"/>
      <c r="P958" s="10" t="n"/>
      <c r="Q958" s="10" t="n"/>
      <c r="R958" s="10" t="n"/>
      <c r="S958" s="349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  <c r="AF958" s="10" t="n"/>
      <c r="AG958" s="10" t="n"/>
    </row>
    <row r="959" ht="15.75" customHeight="1" s="1349">
      <c r="A959" s="10" t="n"/>
      <c r="B959" s="10" t="n"/>
      <c r="C959" s="346" t="n"/>
      <c r="D959" s="347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348" t="n"/>
      <c r="N959" s="10" t="n"/>
      <c r="O959" s="10" t="n"/>
      <c r="P959" s="10" t="n"/>
      <c r="Q959" s="10" t="n"/>
      <c r="R959" s="10" t="n"/>
      <c r="S959" s="349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  <c r="AD959" s="10" t="n"/>
      <c r="AE959" s="10" t="n"/>
      <c r="AF959" s="10" t="n"/>
      <c r="AG959" s="10" t="n"/>
    </row>
    <row r="960" ht="15.75" customHeight="1" s="1349">
      <c r="A960" s="10" t="n"/>
      <c r="B960" s="10" t="n"/>
      <c r="C960" s="346" t="n"/>
      <c r="D960" s="347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348" t="n"/>
      <c r="N960" s="10" t="n"/>
      <c r="O960" s="10" t="n"/>
      <c r="P960" s="10" t="n"/>
      <c r="Q960" s="10" t="n"/>
      <c r="R960" s="10" t="n"/>
      <c r="S960" s="349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  <c r="AD960" s="10" t="n"/>
      <c r="AE960" s="10" t="n"/>
      <c r="AF960" s="10" t="n"/>
      <c r="AG960" s="10" t="n"/>
    </row>
    <row r="961" ht="15.75" customHeight="1" s="1349">
      <c r="A961" s="10" t="n"/>
      <c r="B961" s="10" t="n"/>
      <c r="C961" s="346" t="n"/>
      <c r="D961" s="347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348" t="n"/>
      <c r="N961" s="10" t="n"/>
      <c r="O961" s="10" t="n"/>
      <c r="P961" s="10" t="n"/>
      <c r="Q961" s="10" t="n"/>
      <c r="R961" s="10" t="n"/>
      <c r="S961" s="349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  <c r="AD961" s="10" t="n"/>
      <c r="AE961" s="10" t="n"/>
      <c r="AF961" s="10" t="n"/>
      <c r="AG961" s="10" t="n"/>
    </row>
    <row r="962" ht="15.75" customHeight="1" s="1349">
      <c r="A962" s="10" t="n"/>
      <c r="B962" s="10" t="n"/>
      <c r="C962" s="346" t="n"/>
      <c r="D962" s="347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348" t="n"/>
      <c r="N962" s="10" t="n"/>
      <c r="O962" s="10" t="n"/>
      <c r="P962" s="10" t="n"/>
      <c r="Q962" s="10" t="n"/>
      <c r="R962" s="10" t="n"/>
      <c r="S962" s="349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  <c r="AD962" s="10" t="n"/>
      <c r="AE962" s="10" t="n"/>
      <c r="AF962" s="10" t="n"/>
      <c r="AG962" s="10" t="n"/>
    </row>
    <row r="963" ht="15.75" customHeight="1" s="1349">
      <c r="A963" s="10" t="n"/>
      <c r="B963" s="10" t="n"/>
      <c r="C963" s="346" t="n"/>
      <c r="D963" s="347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348" t="n"/>
      <c r="N963" s="10" t="n"/>
      <c r="O963" s="10" t="n"/>
      <c r="P963" s="10" t="n"/>
      <c r="Q963" s="10" t="n"/>
      <c r="R963" s="10" t="n"/>
      <c r="S963" s="349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  <c r="AD963" s="10" t="n"/>
      <c r="AE963" s="10" t="n"/>
      <c r="AF963" s="10" t="n"/>
      <c r="AG963" s="10" t="n"/>
    </row>
    <row r="964" ht="15.75" customHeight="1" s="1349">
      <c r="A964" s="10" t="n"/>
      <c r="B964" s="10" t="n"/>
      <c r="C964" s="346" t="n"/>
      <c r="D964" s="347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348" t="n"/>
      <c r="N964" s="10" t="n"/>
      <c r="O964" s="10" t="n"/>
      <c r="P964" s="10" t="n"/>
      <c r="Q964" s="10" t="n"/>
      <c r="R964" s="10" t="n"/>
      <c r="S964" s="349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  <c r="AF964" s="10" t="n"/>
      <c r="AG964" s="10" t="n"/>
    </row>
    <row r="965" ht="15.75" customHeight="1" s="1349">
      <c r="A965" s="10" t="n"/>
      <c r="B965" s="10" t="n"/>
      <c r="C965" s="346" t="n"/>
      <c r="D965" s="347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348" t="n"/>
      <c r="N965" s="10" t="n"/>
      <c r="O965" s="10" t="n"/>
      <c r="P965" s="10" t="n"/>
      <c r="Q965" s="10" t="n"/>
      <c r="R965" s="10" t="n"/>
      <c r="S965" s="349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  <c r="AD965" s="10" t="n"/>
      <c r="AE965" s="10" t="n"/>
      <c r="AF965" s="10" t="n"/>
      <c r="AG965" s="10" t="n"/>
    </row>
    <row r="966" ht="15.75" customHeight="1" s="1349">
      <c r="A966" s="10" t="n"/>
      <c r="B966" s="10" t="n"/>
      <c r="C966" s="346" t="n"/>
      <c r="D966" s="347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348" t="n"/>
      <c r="N966" s="10" t="n"/>
      <c r="O966" s="10" t="n"/>
      <c r="P966" s="10" t="n"/>
      <c r="Q966" s="10" t="n"/>
      <c r="R966" s="10" t="n"/>
      <c r="S966" s="349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  <c r="AD966" s="10" t="n"/>
      <c r="AE966" s="10" t="n"/>
      <c r="AF966" s="10" t="n"/>
      <c r="AG966" s="10" t="n"/>
    </row>
    <row r="967" ht="15.75" customHeight="1" s="1349">
      <c r="A967" s="10" t="n"/>
      <c r="B967" s="10" t="n"/>
      <c r="C967" s="346" t="n"/>
      <c r="D967" s="347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348" t="n"/>
      <c r="N967" s="10" t="n"/>
      <c r="O967" s="10" t="n"/>
      <c r="P967" s="10" t="n"/>
      <c r="Q967" s="10" t="n"/>
      <c r="R967" s="10" t="n"/>
      <c r="S967" s="349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  <c r="AD967" s="10" t="n"/>
      <c r="AE967" s="10" t="n"/>
      <c r="AF967" s="10" t="n"/>
      <c r="AG967" s="10" t="n"/>
    </row>
    <row r="968" ht="15.75" customHeight="1" s="1349">
      <c r="A968" s="10" t="n"/>
      <c r="B968" s="10" t="n"/>
      <c r="C968" s="346" t="n"/>
      <c r="D968" s="347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348" t="n"/>
      <c r="N968" s="10" t="n"/>
      <c r="O968" s="10" t="n"/>
      <c r="P968" s="10" t="n"/>
      <c r="Q968" s="10" t="n"/>
      <c r="R968" s="10" t="n"/>
      <c r="S968" s="349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  <c r="AD968" s="10" t="n"/>
      <c r="AE968" s="10" t="n"/>
      <c r="AF968" s="10" t="n"/>
      <c r="AG968" s="10" t="n"/>
    </row>
    <row r="969" ht="15.75" customHeight="1" s="1349">
      <c r="A969" s="10" t="n"/>
      <c r="B969" s="10" t="n"/>
      <c r="C969" s="346" t="n"/>
      <c r="D969" s="347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348" t="n"/>
      <c r="N969" s="10" t="n"/>
      <c r="O969" s="10" t="n"/>
      <c r="P969" s="10" t="n"/>
      <c r="Q969" s="10" t="n"/>
      <c r="R969" s="10" t="n"/>
      <c r="S969" s="349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  <c r="AD969" s="10" t="n"/>
      <c r="AE969" s="10" t="n"/>
      <c r="AF969" s="10" t="n"/>
      <c r="AG969" s="10" t="n"/>
    </row>
    <row r="970" ht="15.75" customHeight="1" s="1349">
      <c r="A970" s="10" t="n"/>
      <c r="B970" s="10" t="n"/>
      <c r="C970" s="346" t="n"/>
      <c r="D970" s="347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348" t="n"/>
      <c r="N970" s="10" t="n"/>
      <c r="O970" s="10" t="n"/>
      <c r="P970" s="10" t="n"/>
      <c r="Q970" s="10" t="n"/>
      <c r="R970" s="10" t="n"/>
      <c r="S970" s="349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  <c r="AD970" s="10" t="n"/>
      <c r="AE970" s="10" t="n"/>
      <c r="AF970" s="10" t="n"/>
      <c r="AG970" s="10" t="n"/>
    </row>
    <row r="971" ht="15.75" customHeight="1" s="1349">
      <c r="A971" s="10" t="n"/>
      <c r="B971" s="10" t="n"/>
      <c r="C971" s="346" t="n"/>
      <c r="D971" s="347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348" t="n"/>
      <c r="N971" s="10" t="n"/>
      <c r="O971" s="10" t="n"/>
      <c r="P971" s="10" t="n"/>
      <c r="Q971" s="10" t="n"/>
      <c r="R971" s="10" t="n"/>
      <c r="S971" s="349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  <c r="AD971" s="10" t="n"/>
      <c r="AE971" s="10" t="n"/>
      <c r="AF971" s="10" t="n"/>
      <c r="AG971" s="10" t="n"/>
    </row>
    <row r="972" ht="15.75" customHeight="1" s="1349">
      <c r="A972" s="10" t="n"/>
      <c r="B972" s="10" t="n"/>
      <c r="C972" s="346" t="n"/>
      <c r="D972" s="347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348" t="n"/>
      <c r="N972" s="10" t="n"/>
      <c r="O972" s="10" t="n"/>
      <c r="P972" s="10" t="n"/>
      <c r="Q972" s="10" t="n"/>
      <c r="R972" s="10" t="n"/>
      <c r="S972" s="349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  <c r="AD972" s="10" t="n"/>
      <c r="AE972" s="10" t="n"/>
      <c r="AF972" s="10" t="n"/>
      <c r="AG972" s="10" t="n"/>
    </row>
    <row r="973" ht="15.75" customHeight="1" s="1349">
      <c r="A973" s="10" t="n"/>
      <c r="B973" s="10" t="n"/>
      <c r="C973" s="346" t="n"/>
      <c r="D973" s="347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348" t="n"/>
      <c r="N973" s="10" t="n"/>
      <c r="O973" s="10" t="n"/>
      <c r="P973" s="10" t="n"/>
      <c r="Q973" s="10" t="n"/>
      <c r="R973" s="10" t="n"/>
      <c r="S973" s="349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</row>
    <row r="974" ht="15.75" customHeight="1" s="1349">
      <c r="A974" s="10" t="n"/>
      <c r="B974" s="10" t="n"/>
      <c r="C974" s="346" t="n"/>
      <c r="D974" s="347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348" t="n"/>
      <c r="N974" s="10" t="n"/>
      <c r="O974" s="10" t="n"/>
      <c r="P974" s="10" t="n"/>
      <c r="Q974" s="10" t="n"/>
      <c r="R974" s="10" t="n"/>
      <c r="S974" s="349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  <c r="AF974" s="10" t="n"/>
      <c r="AG974" s="10" t="n"/>
    </row>
    <row r="975" ht="15.75" customHeight="1" s="1349">
      <c r="A975" s="10" t="n"/>
      <c r="B975" s="10" t="n"/>
      <c r="C975" s="346" t="n"/>
      <c r="D975" s="347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348" t="n"/>
      <c r="N975" s="10" t="n"/>
      <c r="O975" s="10" t="n"/>
      <c r="P975" s="10" t="n"/>
      <c r="Q975" s="10" t="n"/>
      <c r="R975" s="10" t="n"/>
      <c r="S975" s="349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  <c r="AD975" s="10" t="n"/>
      <c r="AE975" s="10" t="n"/>
      <c r="AF975" s="10" t="n"/>
      <c r="AG975" s="10" t="n"/>
    </row>
    <row r="976" ht="15.75" customHeight="1" s="1349">
      <c r="A976" s="10" t="n"/>
      <c r="B976" s="10" t="n"/>
      <c r="C976" s="346" t="n"/>
      <c r="D976" s="347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348" t="n"/>
      <c r="N976" s="10" t="n"/>
      <c r="O976" s="10" t="n"/>
      <c r="P976" s="10" t="n"/>
      <c r="Q976" s="10" t="n"/>
      <c r="R976" s="10" t="n"/>
      <c r="S976" s="349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  <c r="AD976" s="10" t="n"/>
      <c r="AE976" s="10" t="n"/>
      <c r="AF976" s="10" t="n"/>
      <c r="AG976" s="10" t="n"/>
    </row>
    <row r="977" ht="15.75" customHeight="1" s="1349">
      <c r="A977" s="10" t="n"/>
      <c r="B977" s="10" t="n"/>
      <c r="C977" s="346" t="n"/>
      <c r="D977" s="347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348" t="n"/>
      <c r="N977" s="10" t="n"/>
      <c r="O977" s="10" t="n"/>
      <c r="P977" s="10" t="n"/>
      <c r="Q977" s="10" t="n"/>
      <c r="R977" s="10" t="n"/>
      <c r="S977" s="349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  <c r="AD977" s="10" t="n"/>
      <c r="AE977" s="10" t="n"/>
      <c r="AF977" s="10" t="n"/>
      <c r="AG977" s="10" t="n"/>
    </row>
    <row r="978" ht="15.75" customHeight="1" s="1349">
      <c r="A978" s="10" t="n"/>
      <c r="B978" s="10" t="n"/>
      <c r="C978" s="346" t="n"/>
      <c r="D978" s="347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348" t="n"/>
      <c r="N978" s="10" t="n"/>
      <c r="O978" s="10" t="n"/>
      <c r="P978" s="10" t="n"/>
      <c r="Q978" s="10" t="n"/>
      <c r="R978" s="10" t="n"/>
      <c r="S978" s="349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  <c r="AF978" s="10" t="n"/>
      <c r="AG978" s="10" t="n"/>
    </row>
  </sheetData>
  <conditionalFormatting sqref="A75:R75">
    <cfRule type="expression" priority="1" dxfId="9">
      <formula>$R75="Estoque encalhado"</formula>
    </cfRule>
    <cfRule type="expression" priority="2" dxfId="5">
      <formula>$R75="sem estoque"</formula>
    </cfRule>
  </conditionalFormatting>
  <conditionalFormatting sqref="Q75">
    <cfRule type="cellIs" priority="3" operator="greaterThan" dxfId="7">
      <formula>"10%"</formula>
    </cfRule>
    <cfRule type="cellIs" priority="4" operator="lessThan" dxfId="12">
      <formula>9.99%</formula>
    </cfRule>
  </conditionalFormatting>
  <conditionalFormatting sqref="G75">
    <cfRule type="expression" priority="5" dxfId="11">
      <formula>ROUND(G75/F75,2)&lt;=0.149</formula>
    </cfRule>
    <cfRule type="expression" priority="6" dxfId="10">
      <formula>AND(ROUND(G75/F75,2)&gt;=0.149, ROUND(G75/F75,2)&lt;=0.3)</formula>
    </cfRule>
  </conditionalFormatting>
  <conditionalFormatting sqref="A1:M74 A76:M87 N1:N87 O1:Q74 O76:Q87 R1:R87">
    <cfRule type="expression" priority="7" dxfId="8">
      <formula>$R1="Sem Estoque"</formula>
    </cfRule>
  </conditionalFormatting>
  <conditionalFormatting sqref="A1:M74 A76:M187 N1:N187 O1:Q74 O76:Q187 R1:R187">
    <cfRule type="expression" priority="8" dxfId="9">
      <formula>$R1="Estoque encalhado"</formula>
    </cfRule>
  </conditionalFormatting>
  <conditionalFormatting sqref="G74">
    <cfRule type="expression" priority="9" dxfId="11">
      <formula>ROUND(G74/F74,2)&lt;=0.149</formula>
    </cfRule>
    <cfRule type="expression" priority="10" dxfId="10">
      <formula>AND(ROUND(G74/F74,2)&gt;=0.149, ROUND(H74/G74,2)&lt;=0.3)</formula>
    </cfRule>
  </conditionalFormatting>
  <conditionalFormatting sqref="G73">
    <cfRule type="expression" priority="11" dxfId="11">
      <formula>ROUND(G73/F73,2)&lt;=0.149</formula>
    </cfRule>
    <cfRule type="expression" priority="12" dxfId="10">
      <formula>AND(ROUND(G73/F73,2)&gt;=0.149, ROUND(H73/G73,2)&lt;=0.3)</formula>
    </cfRule>
  </conditionalFormatting>
  <conditionalFormatting sqref="G72">
    <cfRule type="expression" priority="13" dxfId="11">
      <formula>ROUND(G72/F72,2)&lt;=0.149</formula>
    </cfRule>
    <cfRule type="expression" priority="14" dxfId="10">
      <formula>AND(ROUND(G72/F72,2)&gt;=0.149, ROUND(H72/G72,2)&lt;=0.3)</formula>
    </cfRule>
  </conditionalFormatting>
  <conditionalFormatting sqref="G68">
    <cfRule type="expression" priority="15" dxfId="11">
      <formula>ROUND(G68/F68,2)&lt;=0.149</formula>
    </cfRule>
  </conditionalFormatting>
  <conditionalFormatting sqref="G68:G71">
    <cfRule type="expression" priority="16" dxfId="10">
      <formula>AND(ROUND(G68/F68,2)&gt;=0.149, ROUND(H68/G68,2)&lt;=0.3)</formula>
    </cfRule>
  </conditionalFormatting>
  <conditionalFormatting sqref="Q1:Q74 Q76:Q87">
    <cfRule type="cellIs" priority="17" operator="greaterThan" dxfId="13">
      <formula>"10%"</formula>
    </cfRule>
    <cfRule type="cellIs" priority="18" operator="lessThan" dxfId="14">
      <formula>"10%"</formula>
    </cfRule>
  </conditionalFormatting>
  <conditionalFormatting sqref="G66:G67">
    <cfRule type="expression" priority="19" dxfId="11">
      <formula>ROUND(G66/F66,2)&lt;=0.149</formula>
    </cfRule>
    <cfRule type="expression" priority="20" dxfId="10">
      <formula>AND(ROUND(G66/F66,2)&gt;=0.149, ROUND(H66/G66,2)&lt;=0.3)</formula>
    </cfRule>
  </conditionalFormatting>
  <conditionalFormatting sqref="G2:G65 G69:G71 G76:G978">
    <cfRule type="expression" priority="21" dxfId="10">
      <formula>AND(ROUND(G2/F2,2)&gt;=0.149, ROUND(G2/F2,2)&lt;=0.3)</formula>
    </cfRule>
    <cfRule type="expression" priority="22" dxfId="11">
      <formula>ROUND(G2/F2,2)&lt;=0.149</formula>
    </cfRule>
  </conditionalFormatting>
  <conditionalFormatting sqref="B43:R43">
    <cfRule type="expression" priority="23" dxfId="15">
      <formula>$R1="Estoque encalhado"</formula>
    </cfRule>
  </conditionalFormatting>
  <dataValidations count="5">
    <dataValidation sqref="C2:C72" showDropDown="0" showInputMessage="0" showErrorMessage="0" allowBlank="1" type="list">
      <formula1>"ÂNCORA,Camper,VOLK,MUCAMBO,Carbografite,EPI,Calfor,Bracol,Innpro,Vonder,Avant,Delta plus,MARLUVAS,Medix,Nutriex,Irwin"</formula1>
    </dataValidation>
    <dataValidation sqref="R2:R72" showDropDown="0" showInputMessage="0" showErrorMessage="0" allowBlank="1" type="list">
      <formula1>"Ativo,TRAVADO,sem estoque,Desativado,Temporário,Estoque encalhado,Reajuste de preço,Revitalizar,Novo"</formula1>
    </dataValidation>
    <dataValidation sqref="R73:R75" showDropDown="0" showInputMessage="0" showErrorMessage="0" allowBlank="1" type="list">
      <formula1>"Ativo,TRAVADO,sem estoque,Desativado,Temporário,Estoque encalhado,Reajuste de preço,Revitalizar,Novo"</formula1>
    </dataValidation>
    <dataValidation sqref="E2:G72 J2:M72 P2:Q72" showDropDown="1" showInputMessage="0" showErrorMessage="0" allowBlank="1" type="custom">
      <formula1>AND(ISNUMBER(E2),(NOT(OR(NOT(ISERROR(DATEVALUE(E2))), AND(ISNUMBER(E2), LEFT(CELL("format", E2))="D")))))</formula1>
    </dataValidation>
    <dataValidation sqref="A2:A72" showDropDown="1" showInputMessage="0" showErrorMessage="0" allowBlank="1"/>
  </dataValidations>
  <hyperlinks>
    <hyperlink xmlns:r="http://schemas.openxmlformats.org/officeDocument/2006/relationships" ref="D8" r:id="rId1"/>
    <hyperlink xmlns:r="http://schemas.openxmlformats.org/officeDocument/2006/relationships" ref="D75" r:id="rId2"/>
  </hyperlinks>
  <pageMargins left="0.7" right="0.7" top="0.75" bottom="0.75" header="0" footer="0"/>
  <pageSetup orientation="landscape"/>
  <tableParts count="1"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11.78" customWidth="1" style="1349" min="1" max="1"/>
    <col width="12.22" customWidth="1" style="1349" min="2" max="2"/>
    <col width="10.56" customWidth="1" style="1349" min="3" max="3"/>
    <col width="22.44" customWidth="1" style="1349" min="4" max="4"/>
    <col width="8.33" customWidth="1" style="1349" min="5" max="5"/>
    <col width="11" customWidth="1" style="1349" min="6" max="6"/>
    <col width="11.56" customWidth="1" style="1349" min="7" max="7"/>
    <col width="7.22" customWidth="1" style="1349" min="8" max="8"/>
    <col width="9" customWidth="1" style="1349" min="9" max="9"/>
    <col width="13.56" customWidth="1" style="1349" min="10" max="10"/>
    <col width="11.67" customWidth="1" style="1349" min="11" max="11"/>
    <col width="12.78" customWidth="1" style="1349" min="12" max="12"/>
    <col width="10.89" customWidth="1" style="1349" min="13" max="14"/>
    <col width="11.11" customWidth="1" style="1349" min="15" max="15"/>
    <col width="12.22" customWidth="1" style="1349" min="16" max="16"/>
    <col width="9.220000000000001" customWidth="1" style="1349" min="17" max="17"/>
    <col width="13.89" customWidth="1" style="1349" min="18" max="18"/>
    <col hidden="1" width="9.56" customWidth="1" style="1349" min="19" max="19"/>
    <col width="20.89" customWidth="1" style="1349" min="20" max="20"/>
    <col width="14" customWidth="1" style="1349" min="21" max="21"/>
    <col width="11" customWidth="1" style="1349" min="22" max="33"/>
  </cols>
  <sheetData>
    <row r="1" ht="15.75" customHeight="1" s="1349">
      <c r="A1" s="350" t="inlineStr">
        <is>
          <t>velc</t>
        </is>
      </c>
      <c r="B1" s="350" t="inlineStr">
        <is>
          <t>SKU</t>
        </is>
      </c>
      <c r="C1" s="2" t="inlineStr">
        <is>
          <t>Categoria</t>
        </is>
      </c>
      <c r="D1" s="352" t="inlineStr">
        <is>
          <t>items</t>
        </is>
      </c>
      <c r="E1" s="352" t="inlineStr">
        <is>
          <t>Preço Base</t>
        </is>
      </c>
      <c r="F1" s="353" t="inlineStr">
        <is>
          <t>Valor de Venda</t>
        </is>
      </c>
      <c r="G1" s="354" t="inlineStr">
        <is>
          <t>Taxa</t>
        </is>
      </c>
      <c r="H1" s="352" t="inlineStr">
        <is>
          <t>RT</t>
        </is>
      </c>
      <c r="I1" s="350" t="inlineStr">
        <is>
          <t>Frete</t>
        </is>
      </c>
      <c r="J1" s="352" t="inlineStr">
        <is>
          <t>ICMS (18%)</t>
        </is>
      </c>
      <c r="K1" s="352" t="inlineStr">
        <is>
          <t>PIS (1,65%)</t>
        </is>
      </c>
      <c r="L1" s="354" t="inlineStr">
        <is>
          <t>COFINS (7,6%)</t>
        </is>
      </c>
      <c r="M1" s="6" t="inlineStr">
        <is>
          <t>Imposto Recuperável</t>
        </is>
      </c>
      <c r="N1" s="6" t="inlineStr">
        <is>
          <t>crédito comissão + frete</t>
        </is>
      </c>
      <c r="O1" s="3" t="inlineStr">
        <is>
          <t>CUSTO</t>
        </is>
      </c>
      <c r="P1" s="3" t="inlineStr">
        <is>
          <t>Lucro Líquido (Valor)</t>
        </is>
      </c>
      <c r="Q1" s="4" t="inlineStr">
        <is>
          <t>Lucro Líquido (%)</t>
        </is>
      </c>
      <c r="R1" s="355" t="inlineStr">
        <is>
          <t>webwebwe</t>
        </is>
      </c>
      <c r="S1" s="330" t="inlineStr">
        <is>
          <t>vendas</t>
        </is>
      </c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ht="18.75" customHeight="1" s="1349">
      <c r="A2" s="356" t="inlineStr">
        <is>
          <t>3983359955</t>
        </is>
      </c>
      <c r="B2" s="264" t="n">
        <v>10034034167474</v>
      </c>
      <c r="C2" s="318" t="inlineStr">
        <is>
          <t>EPI</t>
        </is>
      </c>
      <c r="D2" s="1310" t="inlineStr">
        <is>
          <t>Kit 4 Rolo De Tela Pesada Tapume Laranja E Branca 1,2x50m</t>
        </is>
      </c>
      <c r="E2" s="320" t="n"/>
      <c r="F2" s="320" t="n">
        <v>750</v>
      </c>
      <c r="G2" s="321">
        <f>F2*12%</f>
        <v/>
      </c>
      <c r="H2" s="322" t="n"/>
      <c r="I2" s="1310" t="n">
        <v>44.45</v>
      </c>
      <c r="J2" s="321">
        <f>F2*18%</f>
        <v/>
      </c>
      <c r="K2" s="321">
        <f>(F2-J2)*1.65%</f>
        <v/>
      </c>
      <c r="L2" s="321">
        <f>(F2-J2)*7.6%</f>
        <v/>
      </c>
      <c r="M2" s="357" t="n"/>
      <c r="N2" s="357">
        <f>(G2+I2) * (9.25%)</f>
        <v/>
      </c>
      <c r="O2" s="492" t="n">
        <v>492</v>
      </c>
      <c r="P2" s="447">
        <f>(F2 - (G2+I2+O2+(J2+K2+L2))) - (H2-M2-N2)</f>
        <v/>
      </c>
      <c r="Q2" s="328">
        <f>P2/F2</f>
        <v/>
      </c>
      <c r="R2" s="512" t="inlineStr">
        <is>
          <t>sem estoque</t>
        </is>
      </c>
      <c r="S2" s="330" t="n">
        <v>3394</v>
      </c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ht="18.75" customHeight="1" s="1349">
      <c r="A3" s="310" t="inlineStr">
        <is>
          <t>5914143390</t>
        </is>
      </c>
      <c r="B3" s="402" t="n">
        <v>10034034167670</v>
      </c>
      <c r="C3" s="318" t="inlineStr">
        <is>
          <t>Plastcor</t>
        </is>
      </c>
      <c r="D3" s="404" t="inlineStr">
        <is>
          <t>Kit 5 Fita Zebrada Laranja E Branco Reforçada 7 Cm X 100m</t>
        </is>
      </c>
      <c r="E3" s="359" t="n"/>
      <c r="F3" s="359" t="n">
        <v>76.62</v>
      </c>
      <c r="G3" s="321">
        <f>F3*16.5%</f>
        <v/>
      </c>
      <c r="H3" s="322" t="n">
        <v>-0.66</v>
      </c>
      <c r="I3" s="331">
        <f>IFS(
  F3&lt;12.5, F3/2,
  F3&lt;29, 6.25,
  F3&lt;50, 6.5,
  F3&lt;=79, 6.75,
  TRUE, 25
)</f>
        <v/>
      </c>
      <c r="J3" s="321">
        <f>F3*18%</f>
        <v/>
      </c>
      <c r="K3" s="321">
        <f>(F3-J3)*1.65%</f>
        <v/>
      </c>
      <c r="L3" s="321">
        <f>(F3-J3)*7.6%</f>
        <v/>
      </c>
      <c r="M3" s="1120">
        <f>0.91*5</f>
        <v/>
      </c>
      <c r="N3" s="1120">
        <f>(G3+I3) * (9.25%)</f>
        <v/>
      </c>
      <c r="O3" s="121">
        <f>9.8*5</f>
        <v/>
      </c>
      <c r="P3" s="447">
        <f>(F3 - (G3+I3+O3+(J3+K3+L3))) - (H3-M3-N3)</f>
        <v/>
      </c>
      <c r="Q3" s="1328">
        <f>P3/F3</f>
        <v/>
      </c>
      <c r="R3" s="512" t="inlineStr">
        <is>
          <t>sem estoque</t>
        </is>
      </c>
      <c r="S3" s="330" t="n">
        <v>2124</v>
      </c>
      <c r="T3" s="579" t="n"/>
      <c r="U3" s="579" t="n"/>
      <c r="V3" s="579" t="n"/>
      <c r="W3" s="579" t="n"/>
      <c r="X3" s="579" t="n"/>
      <c r="Y3" s="579" t="n"/>
      <c r="Z3" s="579" t="n"/>
      <c r="AA3" s="579" t="n"/>
      <c r="AB3" s="579" t="n"/>
      <c r="AC3" s="579" t="n"/>
      <c r="AD3" s="579" t="n"/>
      <c r="AE3" s="579" t="n"/>
      <c r="AF3" s="579" t="n"/>
      <c r="AG3" s="579" t="n"/>
    </row>
    <row r="4" ht="18.75" customHeight="1" s="1349">
      <c r="A4" s="310" t="inlineStr">
        <is>
          <t>6169953816</t>
        </is>
      </c>
      <c r="B4" s="402" t="n">
        <v>10034034168101</v>
      </c>
      <c r="C4" s="331" t="inlineStr">
        <is>
          <t>ÂNCORA</t>
        </is>
      </c>
      <c r="D4" s="404" t="inlineStr">
        <is>
          <t>Kit 100 Bucha Nylon 8 Fixação Aba Anel Parede Oca Drywall</t>
        </is>
      </c>
      <c r="E4" s="359" t="n"/>
      <c r="F4" s="359" t="n">
        <v>25.9</v>
      </c>
      <c r="G4" s="321">
        <f>F4*16.5%</f>
        <v/>
      </c>
      <c r="H4" s="322" t="n"/>
      <c r="I4" s="331">
        <f>IFS(
F4&lt;12.5, F4/2,
F4&lt;29, 6.25,
F4&lt;50, 6.5,
F4&lt;=79, 6.75,
TRUE, 
25)</f>
        <v/>
      </c>
      <c r="J4" s="321">
        <f>F4*18%</f>
        <v/>
      </c>
      <c r="K4" s="321">
        <f>(F4-J4)*1.65%</f>
        <v/>
      </c>
      <c r="L4" s="321">
        <f>(F4-J4)*7.6%</f>
        <v/>
      </c>
      <c r="M4" s="357" t="n"/>
      <c r="N4" s="357">
        <f>(G4+I4) * (9.25%)</f>
        <v/>
      </c>
      <c r="O4" s="730">
        <f>10.78</f>
        <v/>
      </c>
      <c r="P4" s="447">
        <f>(F4 - (G4+I4+O4+(J4+K4+L4))) - (H4-M4-N4)</f>
        <v/>
      </c>
      <c r="Q4" s="1328">
        <f>P4/F4</f>
        <v/>
      </c>
      <c r="R4" s="512" t="inlineStr">
        <is>
          <t>sem estoque</t>
        </is>
      </c>
      <c r="S4" s="330" t="n">
        <v>868</v>
      </c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</row>
    <row r="5" ht="18.75" customHeight="1" s="1349">
      <c r="A5" s="310" t="inlineStr">
        <is>
          <t>6174765626</t>
        </is>
      </c>
      <c r="B5" s="402" t="n">
        <v>10034034168112</v>
      </c>
      <c r="C5" s="331" t="inlineStr">
        <is>
          <t>ÂNCORA</t>
        </is>
      </c>
      <c r="D5" s="404" t="inlineStr">
        <is>
          <t>Pacote 100 Bucha A12 Nylon 12mm Fixação Concreto Alvenaria</t>
        </is>
      </c>
      <c r="E5" s="359" t="n"/>
      <c r="F5" s="359" t="n">
        <v>41.61</v>
      </c>
      <c r="G5" s="321">
        <f>F5*16.5%</f>
        <v/>
      </c>
      <c r="H5" s="322" t="n">
        <v>-1.33</v>
      </c>
      <c r="I5" s="331">
        <f>IFS(
F5&lt;12.5, F5/2,
F5&lt;29, 6.25,
F5&lt;50, 6.5,
F5&lt;=79, 6.75,
TRUE, 
25)</f>
        <v/>
      </c>
      <c r="J5" s="321">
        <f>F5*18%</f>
        <v/>
      </c>
      <c r="K5" s="321">
        <f>(F5-J5)*1.65%</f>
        <v/>
      </c>
      <c r="L5" s="321">
        <f>(F5-J5)*7.6%</f>
        <v/>
      </c>
      <c r="M5" s="357" t="n"/>
      <c r="N5" s="357">
        <f>(G5+I5) * (9.25%)</f>
        <v/>
      </c>
      <c r="O5" s="730">
        <f>21.79</f>
        <v/>
      </c>
      <c r="P5" s="447">
        <f>(F5 - (G5+I5+O5+(J5+K5+L5))) - (H5-M5-N5)</f>
        <v/>
      </c>
      <c r="Q5" s="1328">
        <f>P5/F5</f>
        <v/>
      </c>
      <c r="R5" s="512" t="inlineStr">
        <is>
          <t>sem estoque</t>
        </is>
      </c>
      <c r="S5" s="330" t="n">
        <v>860</v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</row>
    <row r="6" ht="18.75" customHeight="1" s="1349">
      <c r="A6" s="310" t="inlineStr">
        <is>
          <t>4313276359</t>
        </is>
      </c>
      <c r="B6" s="402" t="n">
        <v>10034034167847</v>
      </c>
      <c r="C6" s="318" t="inlineStr">
        <is>
          <t>EPI</t>
        </is>
      </c>
      <c r="D6" s="404" t="inlineStr">
        <is>
          <t>Prolongador Liso 1/2 Zincado P/ Chumbador Cba Extensor 50un</t>
        </is>
      </c>
      <c r="E6" s="359" t="n"/>
      <c r="F6" s="359" t="n">
        <v>132.6</v>
      </c>
      <c r="G6" s="321">
        <f>F6*16.5%</f>
        <v/>
      </c>
      <c r="H6" s="322" t="n"/>
      <c r="I6" s="331" t="n">
        <v>18.76</v>
      </c>
      <c r="J6" s="321">
        <f>F6*18%</f>
        <v/>
      </c>
      <c r="K6" s="321">
        <f>(F6-J6)*1.65%</f>
        <v/>
      </c>
      <c r="L6" s="321">
        <f>(F6-J6)*7.6%</f>
        <v/>
      </c>
      <c r="M6" s="357" t="n"/>
      <c r="N6" s="357">
        <f>(G6+I6) * (9.25%)</f>
        <v/>
      </c>
      <c r="O6" s="515">
        <f>1.33*50</f>
        <v/>
      </c>
      <c r="P6" s="447">
        <f>(F6 - (G6+I6+O6+(J6+K6+L6))) - (H6-M6-N6)</f>
        <v/>
      </c>
      <c r="Q6" s="1328">
        <f>P6/F6</f>
        <v/>
      </c>
      <c r="R6" s="512" t="inlineStr">
        <is>
          <t>sem estoque</t>
        </is>
      </c>
      <c r="S6" s="330" t="n">
        <v>635</v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</row>
    <row r="7" ht="18.75" customHeight="1" s="1349">
      <c r="A7" s="310" t="inlineStr">
        <is>
          <t>4293235549</t>
        </is>
      </c>
      <c r="B7" s="402" t="n">
        <v>10034034168087</v>
      </c>
      <c r="C7" s="318" t="inlineStr">
        <is>
          <t>Plastcor</t>
        </is>
      </c>
      <c r="D7" s="331" t="inlineStr">
        <is>
          <t>Fita Zebrada Laranja Branca Demarcação Reforçada 100m X</t>
        </is>
      </c>
      <c r="E7" s="359" t="n"/>
      <c r="F7" s="359" t="n">
        <v>24.1</v>
      </c>
      <c r="G7" s="321">
        <f>F7*16.5%</f>
        <v/>
      </c>
      <c r="H7" s="322" t="n"/>
      <c r="I7" s="331">
        <f>IFS(
  F7&lt;12.5, F7/2,
  F7&lt;29, 6.25,
  F7&lt;50, 6.5,
  F7&lt;=79, 6.75,
  TRUE, 25
)</f>
        <v/>
      </c>
      <c r="J7" s="321">
        <f>F7*18%</f>
        <v/>
      </c>
      <c r="K7" s="321">
        <f>(F7-J7)*1.65%</f>
        <v/>
      </c>
      <c r="L7" s="321">
        <f>(F7-J7)*7.6%</f>
        <v/>
      </c>
      <c r="M7" s="1120" t="n">
        <v>0.91</v>
      </c>
      <c r="N7" s="1120">
        <f>(G7+I7) * (9.25%)</f>
        <v/>
      </c>
      <c r="O7" s="121" t="n">
        <v>9.800000000000001</v>
      </c>
      <c r="P7" s="447">
        <f>(F7 - (G7+I7+O7+(J7+K7+L7))) - (H7-M7-N7)</f>
        <v/>
      </c>
      <c r="Q7" s="1328">
        <f>P7/F7</f>
        <v/>
      </c>
      <c r="R7" s="512" t="inlineStr">
        <is>
          <t>sem estoque</t>
        </is>
      </c>
      <c r="S7" s="33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18.75" customHeight="1" s="1349">
      <c r="A8" s="310" t="inlineStr">
        <is>
          <t>4355101819</t>
        </is>
      </c>
      <c r="B8" s="402" t="n">
        <v>10034034166210</v>
      </c>
      <c r="C8" s="318" t="inlineStr">
        <is>
          <t>EPI</t>
        </is>
      </c>
      <c r="D8" s="404" t="inlineStr">
        <is>
          <t>Sabonete Líquido Citric Power Esfoliante Limpeza Pesada 4l</t>
        </is>
      </c>
      <c r="E8" s="359" t="n"/>
      <c r="F8" s="359" t="n">
        <v>144</v>
      </c>
      <c r="G8" s="321">
        <f>F8*18%</f>
        <v/>
      </c>
      <c r="H8" s="322" t="n"/>
      <c r="I8" s="331" t="n">
        <v>22.76</v>
      </c>
      <c r="J8" s="321">
        <f>F8*18%</f>
        <v/>
      </c>
      <c r="K8" s="321">
        <f>(F8-J8)*1.65%</f>
        <v/>
      </c>
      <c r="L8" s="321">
        <f>(F8-J8)*7.6%</f>
        <v/>
      </c>
      <c r="M8" s="357" t="n"/>
      <c r="N8" s="357">
        <f>(G8+I8) * (9.25%)</f>
        <v/>
      </c>
      <c r="O8" s="515" t="n">
        <v>63.6</v>
      </c>
      <c r="P8" s="447">
        <f>(F8 - (G8+I8+O8+(J8+K8+L8))) - (H8-M8-N8)</f>
        <v/>
      </c>
      <c r="Q8" s="1328">
        <f>P8/F8</f>
        <v/>
      </c>
      <c r="R8" s="512" t="inlineStr">
        <is>
          <t>sem estoque</t>
        </is>
      </c>
      <c r="S8" s="33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 ht="18.75" customHeight="1" s="1349">
      <c r="A9" s="310" t="inlineStr">
        <is>
          <t>4345284807</t>
        </is>
      </c>
      <c r="B9" s="402" t="n">
        <v>10034034167820</v>
      </c>
      <c r="C9" s="318" t="inlineStr">
        <is>
          <t>EPI</t>
        </is>
      </c>
      <c r="D9" s="404" t="inlineStr">
        <is>
          <t>Trena Aço 10m X 25mm Abs Plus Profissional Medição Precisa</t>
        </is>
      </c>
      <c r="E9" s="359" t="n"/>
      <c r="F9" s="359" t="n">
        <v>75.04000000000001</v>
      </c>
      <c r="G9" s="321">
        <f>F9*17%</f>
        <v/>
      </c>
      <c r="H9" s="322" t="n"/>
      <c r="I9" s="331">
        <f>IFS(
  F9&lt;12.5, F9/2,
  F9&lt;29, 6.25,
  F9&lt;50, 6.5,
  F9&lt;=79, 6.75,
  TRUE, 25
)</f>
        <v/>
      </c>
      <c r="J9" s="321">
        <f>F9*18%</f>
        <v/>
      </c>
      <c r="K9" s="321">
        <f>(F9-J9)*1.65%</f>
        <v/>
      </c>
      <c r="L9" s="321">
        <f>(F9-J9)*7.6%</f>
        <v/>
      </c>
      <c r="M9" s="357" t="n"/>
      <c r="N9" s="357">
        <f>(G9+I9) * (9.25%)</f>
        <v/>
      </c>
      <c r="O9" s="515" t="n">
        <v>38.36</v>
      </c>
      <c r="P9" s="447">
        <f>(F9 - (G9+I9+O9+(J9+K9+L9))) - (H9-M9-N9)</f>
        <v/>
      </c>
      <c r="Q9" s="1328">
        <f>P9/F9</f>
        <v/>
      </c>
      <c r="R9" s="512" t="inlineStr">
        <is>
          <t>sem estoque</t>
        </is>
      </c>
      <c r="S9" s="330" t="n">
        <v>64</v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 ht="18.75" customHeight="1" s="1349">
      <c r="A10" s="310" t="inlineStr">
        <is>
          <t>5873272254</t>
        </is>
      </c>
      <c r="B10" s="402" t="n">
        <v>10034034167690</v>
      </c>
      <c r="C10" s="318" t="inlineStr">
        <is>
          <t>Plastcor</t>
        </is>
      </c>
      <c r="D10" s="1310" t="inlineStr">
        <is>
          <t>Corrente De Segurança Delimitação Sinalização Plastcor 50m</t>
        </is>
      </c>
      <c r="E10" s="359" t="n"/>
      <c r="F10" s="499" t="n">
        <v>308.86</v>
      </c>
      <c r="G10" s="321">
        <f>F10*12%</f>
        <v/>
      </c>
      <c r="H10" s="831" t="n">
        <v>-9.550000000000001</v>
      </c>
      <c r="I10" s="331" t="n">
        <v>28.35</v>
      </c>
      <c r="J10" s="321">
        <f>F10*18%</f>
        <v/>
      </c>
      <c r="K10" s="321">
        <f>(F10-J10)*1.65%</f>
        <v/>
      </c>
      <c r="L10" s="321">
        <f>(F10-J10)*7.6%</f>
        <v/>
      </c>
      <c r="M10" s="1120" t="n">
        <v>50</v>
      </c>
      <c r="N10" s="1120">
        <f>(G10+I10) * (9.25%)</f>
        <v/>
      </c>
      <c r="O10" s="121">
        <f>4.27*50</f>
        <v/>
      </c>
      <c r="P10" s="447">
        <f>(F10 - (G10+I10+O10+(J10+K10+L10))) - (H10-M10-N10)</f>
        <v/>
      </c>
      <c r="Q10" s="1328">
        <f>P10/F10</f>
        <v/>
      </c>
      <c r="R10" s="512" t="inlineStr">
        <is>
          <t>Ativo</t>
        </is>
      </c>
      <c r="S10" s="330" t="n">
        <v>11</v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 ht="18.75" customHeight="1" s="1349">
      <c r="A11" s="310" t="inlineStr">
        <is>
          <t>6011593770</t>
        </is>
      </c>
      <c r="B11" s="402" t="n">
        <v>10034034168002</v>
      </c>
      <c r="C11" s="318" t="inlineStr">
        <is>
          <t>EPI</t>
        </is>
      </c>
      <c r="D11" s="404" t="inlineStr">
        <is>
          <t>Kit 2 Protetor Solar Fps 60 Repelente Proteção Intensa 120ml</t>
        </is>
      </c>
      <c r="E11" s="359" t="n"/>
      <c r="F11" s="359" t="n">
        <v>49.8</v>
      </c>
      <c r="G11" s="321">
        <f>F11*14%</f>
        <v/>
      </c>
      <c r="H11" s="322" t="n">
        <v>-2.91</v>
      </c>
      <c r="I11" s="331">
        <f>IFS(
  F11&lt;12.5, F11/2,
  F11&lt;29, 6.25,
  F11&lt;50, 6.5,
  F11&lt;=79, 6.75,
  TRUE, 25
)</f>
        <v/>
      </c>
      <c r="J11" s="321">
        <f>F11*18%</f>
        <v/>
      </c>
      <c r="K11" s="321">
        <f>(F11-J11)*1.65%</f>
        <v/>
      </c>
      <c r="L11" s="321">
        <f>(F11-J11)*7.6%</f>
        <v/>
      </c>
      <c r="M11" s="357" t="n"/>
      <c r="N11" s="357">
        <f>(G11+I11) * (9.25%)</f>
        <v/>
      </c>
      <c r="O11" s="515">
        <f>13.79*2</f>
        <v/>
      </c>
      <c r="P11" s="447">
        <f>(F11 - (G11+I11+O11+(J11+K11+L11))) - (H11-M11-N11)</f>
        <v/>
      </c>
      <c r="Q11" s="1328">
        <f>P11/F11</f>
        <v/>
      </c>
      <c r="R11" s="512" t="inlineStr">
        <is>
          <t>sem estoque</t>
        </is>
      </c>
      <c r="S11" s="330" t="n"/>
      <c r="T11" s="579" t="n"/>
      <c r="U11" s="579" t="n"/>
      <c r="V11" s="579" t="n"/>
      <c r="W11" s="579" t="n"/>
      <c r="X11" s="579" t="n"/>
      <c r="Y11" s="579" t="n"/>
      <c r="Z11" s="579" t="n"/>
      <c r="AA11" s="579" t="n"/>
      <c r="AB11" s="579" t="n"/>
      <c r="AC11" s="579" t="n"/>
      <c r="AD11" s="579" t="n"/>
      <c r="AE11" s="579" t="n"/>
      <c r="AF11" s="579" t="n"/>
      <c r="AG11" s="579" t="n"/>
    </row>
    <row r="12" ht="18.75" customHeight="1" s="1349">
      <c r="A12" s="356" t="inlineStr">
        <is>
          <t>5367672936</t>
        </is>
      </c>
      <c r="B12" s="264" t="n">
        <v>10034034167378</v>
      </c>
      <c r="C12" s="318" t="inlineStr">
        <is>
          <t>New Lacre</t>
        </is>
      </c>
      <c r="D12" s="265" t="inlineStr">
        <is>
          <t>Kit 1000 Abraçadeira Nylon Cinta Plásticas Reforçada 7,2x400</t>
        </is>
      </c>
      <c r="E12" s="320" t="n"/>
      <c r="F12" s="320" t="n">
        <v>465.6</v>
      </c>
      <c r="G12" s="321">
        <f>F12*12%</f>
        <v/>
      </c>
      <c r="H12" s="322" t="n">
        <v>-1.44</v>
      </c>
      <c r="I12" s="1310" t="n">
        <v>30.75</v>
      </c>
      <c r="J12" s="321">
        <f>F12*18%</f>
        <v/>
      </c>
      <c r="K12" s="321">
        <f>(F12-J12)*1.65%</f>
        <v/>
      </c>
      <c r="L12" s="321">
        <f>(F12-J12)*7.6%</f>
        <v/>
      </c>
      <c r="M12" s="1120">
        <f>2.7*10</f>
        <v/>
      </c>
      <c r="N12" s="1120">
        <f>(G12+I12) * (9.25%)</f>
        <v/>
      </c>
      <c r="O12" s="121" t="n">
        <v>292</v>
      </c>
      <c r="P12" s="447">
        <f>(F12 - (G12+I12+O12+(J12+K12+L12))) - (H12-M12-N12)</f>
        <v/>
      </c>
      <c r="Q12" s="328">
        <f>P12/F12</f>
        <v/>
      </c>
      <c r="R12" s="64" t="inlineStr">
        <is>
          <t>sem estoque</t>
        </is>
      </c>
      <c r="S12" s="33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 ht="18.75" customHeight="1" s="1349">
      <c r="A13" s="316" t="inlineStr">
        <is>
          <t>3833121751 5000372024</t>
        </is>
      </c>
      <c r="B13" s="317" t="n">
        <v>10034034167320</v>
      </c>
      <c r="C13" s="318" t="inlineStr">
        <is>
          <t>EPI</t>
        </is>
      </c>
      <c r="D13" s="265" t="inlineStr">
        <is>
          <t>Sabonete Liquido Desengraxante 4l Citric Power Nutriex</t>
        </is>
      </c>
      <c r="E13" s="320" t="n"/>
      <c r="F13" s="320" t="n">
        <v>148</v>
      </c>
      <c r="G13" s="321">
        <f>F13*14%</f>
        <v/>
      </c>
      <c r="H13" s="361" t="n"/>
      <c r="I13" s="1310" t="n">
        <v>22.76</v>
      </c>
      <c r="J13" s="321">
        <f>F13*18%</f>
        <v/>
      </c>
      <c r="K13" s="321">
        <f>(F13-J13)*1.65%</f>
        <v/>
      </c>
      <c r="L13" s="321">
        <f>(F13-J13)*7.6%</f>
        <v/>
      </c>
      <c r="M13" s="357" t="n"/>
      <c r="N13" s="357">
        <f>(G13+I13) * (9.25%)</f>
        <v/>
      </c>
      <c r="O13" s="1050" t="n">
        <v>69</v>
      </c>
      <c r="P13" s="447">
        <f>(F13 - (G13+I13+O13+(J13+K13+L13))) - (H13-M13-N13)</f>
        <v/>
      </c>
      <c r="Q13" s="328">
        <f>P13/F13</f>
        <v/>
      </c>
      <c r="R13" s="512" t="inlineStr">
        <is>
          <t>sem estoque</t>
        </is>
      </c>
      <c r="S13" s="330" t="n">
        <v>67</v>
      </c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18.75" customHeight="1" s="1349">
      <c r="A14" s="310" t="inlineStr">
        <is>
          <t>4421155151</t>
        </is>
      </c>
      <c r="B14" s="402" t="n">
        <v>10034034168100</v>
      </c>
      <c r="C14" s="331" t="inlineStr">
        <is>
          <t>ÂNCORA</t>
        </is>
      </c>
      <c r="D14" s="404" t="inlineStr">
        <is>
          <t>Kit 50 Bucha Nylon 8 Fixação 50mm Base Oca Maciça Multi Uso</t>
        </is>
      </c>
      <c r="E14" s="359" t="n"/>
      <c r="F14" s="359" t="n">
        <v>19</v>
      </c>
      <c r="G14" s="321">
        <f>F14*16.5%</f>
        <v/>
      </c>
      <c r="H14" s="322" t="n"/>
      <c r="I14" s="331">
        <f>IFS(
  F14&lt;12.5, F14/2,
  F14&lt;29, 6.25,
  F14&lt;50, 6.5,
  F14&lt;=79, 6.75,
  TRUE, 25
)</f>
        <v/>
      </c>
      <c r="J14" s="321">
        <f>F14*18%</f>
        <v/>
      </c>
      <c r="K14" s="321">
        <f>(F14-J14)*1.65%</f>
        <v/>
      </c>
      <c r="L14" s="321">
        <f>(F14-J14)*7.6%</f>
        <v/>
      </c>
      <c r="M14" s="357" t="n"/>
      <c r="N14" s="357">
        <f>(G14+I14) * (9.25%)</f>
        <v/>
      </c>
      <c r="O14" s="730">
        <f>10.78/2</f>
        <v/>
      </c>
      <c r="P14" s="447">
        <f>(F14 - (G14+I14+O14+(J14+K14+L14))) - (H14-M14-N14)</f>
        <v/>
      </c>
      <c r="Q14" s="1328">
        <f>P14/F14</f>
        <v/>
      </c>
      <c r="R14" s="512" t="inlineStr">
        <is>
          <t>sem estoque</t>
        </is>
      </c>
      <c r="S14" s="330" t="n"/>
      <c r="T14" s="579" t="n"/>
      <c r="U14" s="579" t="n"/>
      <c r="V14" s="579" t="n"/>
      <c r="W14" s="579" t="n"/>
      <c r="X14" s="579" t="n"/>
      <c r="Y14" s="579" t="n"/>
      <c r="Z14" s="579" t="n"/>
      <c r="AA14" s="579" t="n"/>
      <c r="AB14" s="579" t="n"/>
      <c r="AC14" s="579" t="n"/>
      <c r="AD14" s="579" t="n"/>
      <c r="AE14" s="579" t="n"/>
      <c r="AF14" s="579" t="n"/>
      <c r="AG14" s="579" t="n"/>
    </row>
    <row r="15" ht="18.75" customHeight="1" s="1349">
      <c r="A15" s="310" t="inlineStr">
        <is>
          <t>6206863496</t>
        </is>
      </c>
      <c r="B15" s="402" t="n">
        <v>10034034168130</v>
      </c>
      <c r="C15" s="331" t="inlineStr">
        <is>
          <t>ÂNCORA</t>
        </is>
      </c>
      <c r="D15" s="404" t="inlineStr">
        <is>
          <t>2 Bits Soquete Magnético 3/8 Aço Parafusadeira Sextavado Pro</t>
        </is>
      </c>
      <c r="E15" s="359" t="n"/>
      <c r="F15" s="359" t="n">
        <v>36.9</v>
      </c>
      <c r="G15" s="321">
        <f>F15*17%</f>
        <v/>
      </c>
      <c r="H15" s="322" t="n"/>
      <c r="I15" s="331">
        <f>IFS(
F15&lt;12.5, F15/2,
F15&lt;29, 6.25,
F15&lt;50, 6.5,
F15&lt;=79, 6.75,
TRUE, 
25)</f>
        <v/>
      </c>
      <c r="J15" s="321">
        <f>F15*18%</f>
        <v/>
      </c>
      <c r="K15" s="321">
        <f>(F15-J15)*1.65%</f>
        <v/>
      </c>
      <c r="L15" s="321">
        <f>(F15-J15)*7.6%</f>
        <v/>
      </c>
      <c r="M15" s="357" t="n"/>
      <c r="N15" s="357">
        <f>(G15+I15) * (9.25%)</f>
        <v/>
      </c>
      <c r="O15" s="362">
        <f>7.68*2</f>
        <v/>
      </c>
      <c r="P15" s="447">
        <f>(F15 - (G15+I15+O15+(J15+K15+L15))) - (H15-M15-N15)</f>
        <v/>
      </c>
      <c r="Q15" s="1328">
        <f>P15/F15</f>
        <v/>
      </c>
      <c r="R15" s="512" t="inlineStr">
        <is>
          <t>sem estoque</t>
        </is>
      </c>
      <c r="S15" s="330" t="n">
        <v>277</v>
      </c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 ht="18.75" customHeight="1" s="1349">
      <c r="A16" s="310" t="inlineStr">
        <is>
          <t>6027612064</t>
        </is>
      </c>
      <c r="B16" s="402" t="n">
        <v>10034034168023</v>
      </c>
      <c r="C16" s="318" t="inlineStr">
        <is>
          <t>EPI</t>
        </is>
      </c>
      <c r="D16" s="404" t="inlineStr">
        <is>
          <t>Protetor Solar Repelente Fps 30 Alta Proteção Uva Uvb 2un</t>
        </is>
      </c>
      <c r="E16" s="359" t="n"/>
      <c r="F16" s="359" t="n">
        <v>474.05</v>
      </c>
      <c r="G16" s="321">
        <f>F16*17.5%</f>
        <v/>
      </c>
      <c r="H16" s="322" t="n"/>
      <c r="I16" s="331" t="n">
        <v>26.95</v>
      </c>
      <c r="J16" s="321">
        <f>F16*18%</f>
        <v/>
      </c>
      <c r="K16" s="321">
        <f>(F16-J16)*1.65%</f>
        <v/>
      </c>
      <c r="L16" s="321">
        <f>(F16-J16)*7.6%</f>
        <v/>
      </c>
      <c r="M16" s="357" t="n"/>
      <c r="N16" s="357">
        <f>(G16+I16) * (9.25%)</f>
        <v/>
      </c>
      <c r="O16" s="515">
        <f>122.69*2</f>
        <v/>
      </c>
      <c r="P16" s="447">
        <f>(F16 - (G16+I16+O16+(J16+K16+L16))) - (H16-M16-N16)</f>
        <v/>
      </c>
      <c r="Q16" s="1328">
        <f>P16/F16</f>
        <v/>
      </c>
      <c r="R16" s="363" t="n"/>
      <c r="S16" s="33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 ht="18.75" customHeight="1" s="1349">
      <c r="A17" s="316" t="inlineStr">
        <is>
          <t>4060988207</t>
        </is>
      </c>
      <c r="B17" s="317" t="n">
        <v>10034034167408</v>
      </c>
      <c r="C17" s="318" t="inlineStr">
        <is>
          <t>EPI</t>
        </is>
      </c>
      <c r="D17" s="265" t="inlineStr">
        <is>
          <t>Kit 6 Luva Proteção Nitrílica C/ Forro Reforçada Nitrasolv</t>
        </is>
      </c>
      <c r="E17" s="320" t="n"/>
      <c r="F17" s="320" t="n">
        <v>67.8</v>
      </c>
      <c r="G17" s="321">
        <f>F17*12%</f>
        <v/>
      </c>
      <c r="H17" s="322" t="n">
        <v>-1.11</v>
      </c>
      <c r="I17" s="331" t="n">
        <v>8.949999999999999</v>
      </c>
      <c r="J17" s="321">
        <f>F17*18%</f>
        <v/>
      </c>
      <c r="K17" s="321">
        <f>(F17-J17)*1.65%</f>
        <v/>
      </c>
      <c r="L17" s="321">
        <f>(F17-J17)*7.6%</f>
        <v/>
      </c>
      <c r="M17" s="1120">
        <f>0.86*6</f>
        <v/>
      </c>
      <c r="N17" s="1120">
        <f>(G17+I17) * (9.25%)</f>
        <v/>
      </c>
      <c r="O17" s="121">
        <f>6.64*6</f>
        <v/>
      </c>
      <c r="P17" s="447">
        <f>(F17 - (G17+I17+O17+(J17+K17+L17))) - (H17-M17-N17)</f>
        <v/>
      </c>
      <c r="Q17" s="328">
        <f>P17/F17</f>
        <v/>
      </c>
      <c r="R17" s="364" t="inlineStr">
        <is>
          <t>Ativo</t>
        </is>
      </c>
      <c r="S17" s="330" t="n">
        <v>37</v>
      </c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 ht="18.75" customHeight="1" s="1349">
      <c r="A18" s="310" t="inlineStr">
        <is>
          <t>6207190786</t>
        </is>
      </c>
      <c r="B18" s="402" t="n">
        <v>10034034166789</v>
      </c>
      <c r="C18" s="331" t="inlineStr">
        <is>
          <t>ÂNCORA</t>
        </is>
      </c>
      <c r="D18" s="404" t="inlineStr">
        <is>
          <t>Broca Soquete Magnético 5/16 X 65mm Ponteira Parafusadeira</t>
        </is>
      </c>
      <c r="E18" s="365" t="n"/>
      <c r="F18" s="365" t="n">
        <v>18.43</v>
      </c>
      <c r="G18" s="321">
        <f>F18*12%</f>
        <v/>
      </c>
      <c r="H18" s="322" t="n">
        <v>-0.65</v>
      </c>
      <c r="I18" s="331">
        <f>IFS(
  F18&lt;12.5, F18/2,
  F18&lt;29, 6.25,
  F18&lt;50, 6.5,
  F18&lt;=79, 6.75,
  TRUE, 25
)</f>
        <v/>
      </c>
      <c r="J18" s="321">
        <f>F18*18%</f>
        <v/>
      </c>
      <c r="K18" s="321">
        <f>(F18-J18)*1.65%</f>
        <v/>
      </c>
      <c r="L18" s="321">
        <f>(F18-J18)*7.6%</f>
        <v/>
      </c>
      <c r="M18" s="1120" t="n">
        <v>0.88</v>
      </c>
      <c r="N18" s="1120">
        <f>(G18+I18) * (9.25%)</f>
        <v/>
      </c>
      <c r="O18" s="121" t="n">
        <v>7.19</v>
      </c>
      <c r="P18" s="447">
        <f>(F18 - (G18+I18+O18+(J18+K18+L18))) - (H18-M18-N18)</f>
        <v/>
      </c>
      <c r="Q18" s="1328">
        <f>P18/F18</f>
        <v/>
      </c>
      <c r="R18" s="363" t="n"/>
      <c r="S18" s="33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 ht="18.75" customHeight="1" s="1349">
      <c r="A19" s="310" t="inlineStr">
        <is>
          <t>4293235795</t>
        </is>
      </c>
      <c r="B19" s="402" t="n">
        <v>10034034168237</v>
      </c>
      <c r="C19" s="318" t="inlineStr">
        <is>
          <t>Plastcor</t>
        </is>
      </c>
      <c r="D19" s="404" t="inlineStr">
        <is>
          <t>Kit 2 Fita Zebrada Laranja E Branco Reforçada 7 Cm X 200m</t>
        </is>
      </c>
      <c r="E19" s="359" t="n"/>
      <c r="F19" s="359" t="n">
        <v>32.99</v>
      </c>
      <c r="G19" s="321">
        <f>F19*11.5%</f>
        <v/>
      </c>
      <c r="H19" s="322" t="n"/>
      <c r="I19" s="331" t="n">
        <v>6.65</v>
      </c>
      <c r="J19" s="321">
        <f>F19*18%</f>
        <v/>
      </c>
      <c r="K19" s="321">
        <f>(F19-J19)*1.65%</f>
        <v/>
      </c>
      <c r="L19" s="321">
        <f>(F19-J19)*7.6%</f>
        <v/>
      </c>
      <c r="M19" s="1120">
        <f>2.34*2</f>
        <v/>
      </c>
      <c r="N19" s="1120">
        <f>(G19+I19) * (9.25%)</f>
        <v/>
      </c>
      <c r="O19" s="786">
        <f>9.44*2</f>
        <v/>
      </c>
      <c r="P19" s="447">
        <f>(F19 - (G19+I19+O19+(J19+K19+L19))) - (H19-M19-N19)</f>
        <v/>
      </c>
      <c r="Q19" s="1328">
        <f>P19/F19</f>
        <v/>
      </c>
      <c r="R19" s="363" t="n"/>
      <c r="S19" s="330" t="n">
        <v>72</v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18.75" customHeight="1" s="1349">
      <c r="A20" s="310" t="inlineStr">
        <is>
          <t>4491158923</t>
        </is>
      </c>
      <c r="B20" s="402" t="n">
        <v>10034034168185</v>
      </c>
      <c r="C20" s="331" t="inlineStr">
        <is>
          <t>Vinilseg</t>
        </is>
      </c>
      <c r="D20" s="404" t="inlineStr">
        <is>
          <t>Macacão Impermeável Kp500 Saneamento Com Bota Luva Acoplada</t>
        </is>
      </c>
      <c r="E20" s="359" t="n"/>
      <c r="F20" s="359" t="n">
        <v>279.99</v>
      </c>
      <c r="G20" s="321">
        <f>F20*17%</f>
        <v/>
      </c>
      <c r="H20" s="296" t="n"/>
      <c r="I20" s="331" t="n">
        <v>28.45</v>
      </c>
      <c r="J20" s="321">
        <f>F20*18%</f>
        <v/>
      </c>
      <c r="K20" s="321">
        <f>(F20-J20)*1.65%</f>
        <v/>
      </c>
      <c r="L20" s="321">
        <f>(F20-J20)*7.6%</f>
        <v/>
      </c>
      <c r="M20" s="1120" t="n">
        <v>33.23</v>
      </c>
      <c r="N20" s="1120">
        <f>(G20+I20) * (9.25%)</f>
        <v/>
      </c>
      <c r="O20" s="121" t="n">
        <v>165</v>
      </c>
      <c r="P20" s="447">
        <f>(F20 - (G20+I20+O20+(J20+K20+L20))) - (H20-M20-N20)</f>
        <v/>
      </c>
      <c r="Q20" s="1328">
        <f>P20/F20</f>
        <v/>
      </c>
      <c r="R20" s="363" t="n"/>
      <c r="S20" s="330" t="n">
        <v>433</v>
      </c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 ht="18.75" customHeight="1" s="1349">
      <c r="A21" s="356" t="inlineStr">
        <is>
          <t>7376790325070226</t>
        </is>
      </c>
      <c r="B21" s="264" t="n">
        <v>10034034167422</v>
      </c>
      <c r="C21" s="318" t="inlineStr">
        <is>
          <t>VOLK</t>
        </is>
      </c>
      <c r="D21" s="1310" t="inlineStr">
        <is>
          <t>Kit 4 Luva Poliamida Pu Multitato Mecanico Oficina Uso Geral</t>
        </is>
      </c>
      <c r="E21" s="320" t="n"/>
      <c r="F21" s="320" t="n">
        <v>24.99</v>
      </c>
      <c r="G21" s="321">
        <f>F21*17%</f>
        <v/>
      </c>
      <c r="H21" s="322" t="n"/>
      <c r="I21" s="331" t="n">
        <v>7.95</v>
      </c>
      <c r="J21" s="321">
        <f>F21*18%</f>
        <v/>
      </c>
      <c r="K21" s="321">
        <f>(F21-J21)*1.65%</f>
        <v/>
      </c>
      <c r="L21" s="321">
        <f>(F21-J21)*7.6%</f>
        <v/>
      </c>
      <c r="M21" s="1120">
        <f>0.22*4</f>
        <v/>
      </c>
      <c r="N21" s="1120">
        <f>(G21+I21) * (9.25%)</f>
        <v/>
      </c>
      <c r="O21" s="121">
        <f>1.93*4</f>
        <v/>
      </c>
      <c r="P21" s="447">
        <f>(F21 - (G21+I21+O21+(J21+K21+L21))) - (H21-M21-N21)</f>
        <v/>
      </c>
      <c r="Q21" s="328">
        <f>P21/F21</f>
        <v/>
      </c>
      <c r="R21" s="364" t="inlineStr">
        <is>
          <t>Ativo</t>
        </is>
      </c>
      <c r="S21" s="330" t="n">
        <v>43</v>
      </c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 ht="18.75" customHeight="1" s="1349">
      <c r="A22" s="310" t="inlineStr">
        <is>
          <t>MLB4561920717</t>
        </is>
      </c>
      <c r="B22" s="402" t="n"/>
      <c r="C22" s="331" t="inlineStr">
        <is>
          <t>Valcan</t>
        </is>
      </c>
      <c r="D22" s="404" t="inlineStr">
        <is>
          <t>Luva Vaqueta Natural Petroleira VALCAN  Mista/Raspa/Total Punho curto</t>
        </is>
      </c>
      <c r="E22" s="359" t="n"/>
      <c r="F22" s="359" t="n">
        <v>24.5</v>
      </c>
      <c r="G22" s="321">
        <f>F22*17%</f>
        <v/>
      </c>
      <c r="H22" s="296" t="n"/>
      <c r="I22" s="331" t="n">
        <v>6.65</v>
      </c>
      <c r="J22" s="321">
        <f>F22*18%</f>
        <v/>
      </c>
      <c r="K22" s="321">
        <f>(F22-J22)*1.65%</f>
        <v/>
      </c>
      <c r="L22" s="321">
        <f>(F22-J22)*7.6%</f>
        <v/>
      </c>
      <c r="M22" s="1120" t="n">
        <v>1.95</v>
      </c>
      <c r="N22" s="1120">
        <f>(G22+I22) * (9.25%)</f>
        <v/>
      </c>
      <c r="O22" s="121" t="n">
        <v>9.69</v>
      </c>
      <c r="P22" s="447">
        <f>(F22 - (G22+I22+O22+(J22+K22+L22))) - (H22-M22-N22)</f>
        <v/>
      </c>
      <c r="Q22" s="1328">
        <f>P22/F22</f>
        <v/>
      </c>
      <c r="R22" s="363" t="n"/>
      <c r="S22" s="330" t="n">
        <v>0</v>
      </c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 ht="18.75" customHeight="1" s="1349">
      <c r="A23" s="310" t="inlineStr">
        <is>
          <t>6003023808</t>
        </is>
      </c>
      <c r="B23" s="402" t="n">
        <v>10034034166503</v>
      </c>
      <c r="C23" s="318" t="inlineStr">
        <is>
          <t>Irwin</t>
        </is>
      </c>
      <c r="D23" s="404" t="inlineStr">
        <is>
          <t>Trena Profissional 5m X 19mm Standard Fita Aço Trava Medição</t>
        </is>
      </c>
      <c r="E23" s="359" t="n"/>
      <c r="F23" s="359" t="n">
        <v>31.9</v>
      </c>
      <c r="G23" s="321">
        <f>F23*17%</f>
        <v/>
      </c>
      <c r="H23" s="322" t="n">
        <v>-1.71</v>
      </c>
      <c r="I23" s="331" t="n">
        <v>6.65</v>
      </c>
      <c r="J23" s="366" t="n">
        <v>0</v>
      </c>
      <c r="K23" s="321">
        <f>(F23-J23)*1.65%</f>
        <v/>
      </c>
      <c r="L23" s="321">
        <f>(F23-J23)*7.6%</f>
        <v/>
      </c>
      <c r="M23" s="1120" t="n">
        <v>1.66</v>
      </c>
      <c r="N23" s="1120">
        <f>(G23+I23) * (9.25%)</f>
        <v/>
      </c>
      <c r="O23" s="121" t="n">
        <v>20.47</v>
      </c>
      <c r="P23" s="447">
        <f>(F23 - (G23+I23+O23+(J23+K23+L23))) - (H23-M23-N23)</f>
        <v/>
      </c>
      <c r="Q23" s="1328">
        <f>P23/F23</f>
        <v/>
      </c>
      <c r="R23" s="363" t="n"/>
      <c r="S23" s="330" t="n">
        <v>3</v>
      </c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 ht="18.75" customHeight="1" s="1349">
      <c r="A24" s="310" t="n"/>
      <c r="B24" s="402" t="n"/>
      <c r="C24" s="331" t="n"/>
      <c r="D24" s="367" t="inlineStr">
        <is>
          <t>KIT 10 CHUMBADOR PARABOLT CBA 5/16 X 2.1/4 AÇO FIXAÇÃO</t>
        </is>
      </c>
      <c r="E24" s="359" t="n"/>
      <c r="F24" s="359" t="n">
        <v>25.9</v>
      </c>
      <c r="G24" s="321">
        <f>F24*17%</f>
        <v/>
      </c>
      <c r="H24" s="296" t="n"/>
      <c r="I24" s="331" t="n">
        <v>7</v>
      </c>
      <c r="J24" s="321">
        <f>F24*18%</f>
        <v/>
      </c>
      <c r="K24" s="321">
        <f>(F24-J24)*1.65%</f>
        <v/>
      </c>
      <c r="L24" s="321">
        <f>(F24-J24)*7.6%</f>
        <v/>
      </c>
      <c r="M24" s="1120" t="n">
        <v>1.1</v>
      </c>
      <c r="N24" s="1120">
        <f>(G24+I24) * (9.25%)</f>
        <v/>
      </c>
      <c r="O24" s="515" t="n">
        <v>9.300000000000001</v>
      </c>
      <c r="P24" s="447">
        <f>(F24 - (G24+I24+O24+(J24+K24+L24))) - (H24-M24-N24)</f>
        <v/>
      </c>
      <c r="Q24" s="1328">
        <f>P24/F24</f>
        <v/>
      </c>
      <c r="R24" s="363" t="n"/>
      <c r="S24" s="330" t="n">
        <v>2</v>
      </c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 ht="18.75" customHeight="1" s="1349">
      <c r="A25" s="310" t="inlineStr">
        <is>
          <t>5926535498</t>
        </is>
      </c>
      <c r="B25" s="402" t="inlineStr">
        <is>
          <t>F170430</t>
        </is>
      </c>
      <c r="C25" s="318" t="inlineStr">
        <is>
          <t>ÂNCORA</t>
        </is>
      </c>
      <c r="D25" s="404" t="inlineStr">
        <is>
          <t>Fita Perfurada Galvanizado Fixar Sustentação 17mm X 30m Rolo</t>
        </is>
      </c>
      <c r="E25" s="359" t="n"/>
      <c r="F25" s="359" t="n">
        <v>52.25</v>
      </c>
      <c r="G25" s="321">
        <f>F25*17%</f>
        <v/>
      </c>
      <c r="H25" s="322" t="n"/>
      <c r="I25" s="331" t="n">
        <v>8.15</v>
      </c>
      <c r="J25" s="321">
        <f>F25*18%</f>
        <v/>
      </c>
      <c r="K25" s="321">
        <f>(F25-J25)*1.65%</f>
        <v/>
      </c>
      <c r="L25" s="321">
        <f>(F25-J25)*7.6%</f>
        <v/>
      </c>
      <c r="M25" s="1120">
        <f>3.13*1</f>
        <v/>
      </c>
      <c r="N25" s="1120">
        <f>(G25+I25) * (9.25%)</f>
        <v/>
      </c>
      <c r="O25" s="121">
        <f>25.08*1</f>
        <v/>
      </c>
      <c r="P25" s="447">
        <f>(F25 - (G25+I25+O25+(J25+K25+L25))) - (H25-M25-N25)</f>
        <v/>
      </c>
      <c r="Q25" s="1328">
        <f>P25/F25</f>
        <v/>
      </c>
      <c r="R25" s="363" t="n"/>
      <c r="S25" s="33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18.75" customHeight="1" s="1349">
      <c r="A26" s="316" t="inlineStr">
        <is>
          <t>3417703535 4495307950</t>
        </is>
      </c>
      <c r="B26" s="317" t="n">
        <v>10034034166411</v>
      </c>
      <c r="C26" s="318" t="inlineStr">
        <is>
          <t>GERDAU</t>
        </is>
      </c>
      <c r="D26" s="1310" t="inlineStr">
        <is>
          <t>Prego 17x21 Com Cabeça Aço Polido Resistente A Corrosão 1kg</t>
        </is>
      </c>
      <c r="E26" s="320" t="n"/>
      <c r="F26" s="320" t="n">
        <v>24.7</v>
      </c>
      <c r="G26" s="321">
        <f>F26*11.5%</f>
        <v/>
      </c>
      <c r="H26" s="322" t="n"/>
      <c r="I26" s="331" t="n">
        <v>6.85</v>
      </c>
      <c r="J26" s="321">
        <f>F26*18%</f>
        <v/>
      </c>
      <c r="K26" s="321">
        <f>(F26-J26)*1.65%</f>
        <v/>
      </c>
      <c r="L26" s="321">
        <f>(F26-J26)*7.6%</f>
        <v/>
      </c>
      <c r="M26" s="1120" t="n">
        <v>0.91</v>
      </c>
      <c r="N26" s="1120">
        <f>(G26+I26) * (9.25%)</f>
        <v/>
      </c>
      <c r="O26" s="703" t="n">
        <v>9.73</v>
      </c>
      <c r="P26" s="447">
        <f>(F26 - (G26+I26+O26+(J26+K26+L26))) - (H26-M26-N26)</f>
        <v/>
      </c>
      <c r="Q26" s="328">
        <f>P26/F26</f>
        <v/>
      </c>
      <c r="R26" s="105" t="inlineStr">
        <is>
          <t>Ativo</t>
        </is>
      </c>
      <c r="S26" s="330" t="n">
        <v>326</v>
      </c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 ht="18.75" customHeight="1" s="1349">
      <c r="A27" s="310" t="inlineStr">
        <is>
          <t>6194476260</t>
        </is>
      </c>
      <c r="B27" s="368" t="n">
        <v>10034034167440</v>
      </c>
      <c r="C27" s="369" t="inlineStr">
        <is>
          <t>Jomarca</t>
        </is>
      </c>
      <c r="D27" s="370" t="inlineStr">
        <is>
          <t>Kit 200 Parafuso Phs 4,5 X 45 Mm Aço Bicromatizado Madeira</t>
        </is>
      </c>
      <c r="E27" s="359" t="n"/>
      <c r="F27" s="359" t="n">
        <v>27.5</v>
      </c>
      <c r="G27" s="321">
        <f>F27*17%</f>
        <v/>
      </c>
      <c r="H27" s="322" t="n"/>
      <c r="I27" s="331" t="n">
        <v>6.75</v>
      </c>
      <c r="J27" s="321">
        <f>F27*18%</f>
        <v/>
      </c>
      <c r="K27" s="321">
        <f>(F27-J27)*1.65%</f>
        <v/>
      </c>
      <c r="L27" s="321">
        <f>(F27-J27)*7.6%</f>
        <v/>
      </c>
      <c r="M27" s="1120" t="n">
        <v>2.92</v>
      </c>
      <c r="N27" s="1120">
        <f>(G27+I27) * (9.25%)</f>
        <v/>
      </c>
      <c r="O27" s="708">
        <f>6.08*2</f>
        <v/>
      </c>
      <c r="P27" s="447">
        <f>(F27 - (G27+I27+O27+(J27+K27+L27))) - (H27-M27-N27)</f>
        <v/>
      </c>
      <c r="Q27" s="1328">
        <f>P27/F27</f>
        <v/>
      </c>
      <c r="R27" s="363" t="n"/>
      <c r="S27" s="330" t="n">
        <v>58</v>
      </c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 ht="18.75" customHeight="1" s="1349">
      <c r="A28" s="371" t="inlineStr">
        <is>
          <t>6020547496</t>
        </is>
      </c>
      <c r="B28" s="368" t="n">
        <v>10034034168016</v>
      </c>
      <c r="C28" s="369" t="inlineStr">
        <is>
          <t>Nutriex</t>
        </is>
      </c>
      <c r="D28" s="370" t="inlineStr">
        <is>
          <t>Spray Repelente Corporal Insetos Mosquitos Pernilongos 10hrs</t>
        </is>
      </c>
      <c r="E28" s="359" t="n"/>
      <c r="F28" s="359" t="n">
        <v>36.38</v>
      </c>
      <c r="G28" s="321">
        <f>F28*17.5%</f>
        <v/>
      </c>
      <c r="H28" s="322" t="n">
        <v>-1.36</v>
      </c>
      <c r="I28" s="331" t="n">
        <v>7.85</v>
      </c>
      <c r="J28" s="321">
        <f>F28*18%</f>
        <v/>
      </c>
      <c r="K28" s="321">
        <f>(F28-J28)*1.65%</f>
        <v/>
      </c>
      <c r="L28" s="321">
        <f>(F28-J28)*7.6%</f>
        <v/>
      </c>
      <c r="M28" s="1120">
        <f>1.81*2</f>
        <v/>
      </c>
      <c r="N28" s="1120">
        <f>(G28+I28) * (9.25%)</f>
        <v/>
      </c>
      <c r="O28" s="121">
        <f>9*2</f>
        <v/>
      </c>
      <c r="P28" s="447">
        <f>(F28 - (G28+I28+O28+(J28+K28+L28))) - (H28-M28-N28)</f>
        <v/>
      </c>
      <c r="Q28" s="1328">
        <f>P28/F28</f>
        <v/>
      </c>
      <c r="R28" s="363" t="n"/>
      <c r="S28" s="330" t="n">
        <v>23</v>
      </c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 ht="18.75" customHeight="1" s="1349">
      <c r="A29" s="310" t="inlineStr">
        <is>
          <t>6169901426</t>
        </is>
      </c>
      <c r="B29" s="402" t="n">
        <v>10034034168099</v>
      </c>
      <c r="C29" s="331" t="inlineStr">
        <is>
          <t>ÂNCORA</t>
        </is>
      </c>
      <c r="D29" s="404" t="inlineStr">
        <is>
          <t>Kit 10 Bucha Nylon 8 Fixação Parede Oca Concreto Drywall</t>
        </is>
      </c>
      <c r="E29" s="365" t="n"/>
      <c r="F29" s="365" t="n">
        <v>10</v>
      </c>
      <c r="G29" s="321">
        <f>F29*16.5%</f>
        <v/>
      </c>
      <c r="H29" s="322" t="n"/>
      <c r="I29" s="331">
        <f>IFS(
  F29&lt;12.5, F29/2,
  F29&lt;29, 6.25,
  F29&lt;50, 6.5,
  F29&lt;=79, 6.75,
  TRUE, 25
)</f>
        <v/>
      </c>
      <c r="J29" s="321">
        <f>F29*18%</f>
        <v/>
      </c>
      <c r="K29" s="321">
        <f>(F29-J29)*1.65%</f>
        <v/>
      </c>
      <c r="L29" s="321">
        <f>(F29-J29)*7.6%</f>
        <v/>
      </c>
      <c r="M29" s="357" t="n"/>
      <c r="N29" s="357">
        <f>(G29+I29) * (9.25%)</f>
        <v/>
      </c>
      <c r="O29" s="730">
        <f>10.78/10</f>
        <v/>
      </c>
      <c r="P29" s="447">
        <f>(F29 - (G29+I29+O29+(J29+K29+L29))) - (H29-M29-N29)</f>
        <v/>
      </c>
      <c r="Q29" s="1328">
        <f>P29/F29</f>
        <v/>
      </c>
      <c r="R29" s="363" t="n"/>
      <c r="S29" s="33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 ht="18.75" customHeight="1" s="1349">
      <c r="A30" s="372" t="inlineStr">
        <is>
          <t>5862625558 5862677552</t>
        </is>
      </c>
      <c r="B30" s="373" t="n">
        <v>912303</v>
      </c>
      <c r="C30" s="318" t="inlineStr">
        <is>
          <t>Nutriex</t>
        </is>
      </c>
      <c r="D30" s="1310" t="inlineStr">
        <is>
          <t>Protetor Solar Nutriex Profissional C/ Repelente Fator 30 4l</t>
        </is>
      </c>
      <c r="E30" s="320" t="n"/>
      <c r="F30" s="320" t="n">
        <v>439</v>
      </c>
      <c r="G30" s="374">
        <f>F30*14%</f>
        <v/>
      </c>
      <c r="H30" s="375" t="n"/>
      <c r="I30" s="376" t="n">
        <v>28.35</v>
      </c>
      <c r="J30" s="321">
        <f>F30*18%</f>
        <v/>
      </c>
      <c r="K30" s="366" t="n">
        <v>0</v>
      </c>
      <c r="L30" s="366" t="n">
        <v>0</v>
      </c>
      <c r="M30" s="1120" t="n">
        <v>36</v>
      </c>
      <c r="N30" s="1120">
        <f>(G30+I30) * (9.25%)</f>
        <v/>
      </c>
      <c r="O30" s="708" t="n">
        <v>299.99</v>
      </c>
      <c r="P30" s="447">
        <f>(F30 - (G30+I30+O30+(J30+K30+L30))) - (H30-M30-N30)</f>
        <v/>
      </c>
      <c r="Q30" s="1328">
        <f>P30/F30</f>
        <v/>
      </c>
      <c r="R30" s="363" t="n"/>
      <c r="S30" s="33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 ht="18.75" customHeight="1" s="1349">
      <c r="A31" s="377" t="inlineStr">
        <is>
          <t>6808966134</t>
        </is>
      </c>
      <c r="B31" s="402" t="n"/>
      <c r="C31" s="331" t="inlineStr">
        <is>
          <t>Vinilseg</t>
        </is>
      </c>
      <c r="D31" s="404" t="inlineStr">
        <is>
          <t>Calça Chuva Forro Soft Impermeável Reforçada Solda Rebatida</t>
        </is>
      </c>
      <c r="E31" s="359" t="n"/>
      <c r="F31" s="359" t="n">
        <v>33.9</v>
      </c>
      <c r="G31" s="321">
        <f>F31*17%</f>
        <v/>
      </c>
      <c r="H31" s="296" t="n"/>
      <c r="I31" s="331" t="n">
        <v>8.050000000000001</v>
      </c>
      <c r="J31" s="321">
        <f>F31*18%</f>
        <v/>
      </c>
      <c r="K31" s="321">
        <f>(F31-J31)*1.65%</f>
        <v/>
      </c>
      <c r="L31" s="321">
        <f>(F31-J31)*7.6%</f>
        <v/>
      </c>
      <c r="M31" s="378" t="n">
        <v>1.68</v>
      </c>
      <c r="N31" s="378">
        <f>(G31+I31) * (9.25%)</f>
        <v/>
      </c>
      <c r="O31" s="121" t="n">
        <v>13.25</v>
      </c>
      <c r="P31" s="447">
        <f>(F31 - (G31+I31+O31+(J31+K31+L31))) - (H31-M31-N31)</f>
        <v/>
      </c>
      <c r="Q31" s="1328">
        <f>P31/F31</f>
        <v/>
      </c>
      <c r="R31" s="363" t="n"/>
      <c r="S31" s="33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18.75" customHeight="1" s="1349">
      <c r="A32" s="356" t="inlineStr">
        <is>
          <t>5367518286</t>
        </is>
      </c>
      <c r="B32" s="264" t="n">
        <v>10034034167377</v>
      </c>
      <c r="C32" s="318" t="inlineStr">
        <is>
          <t>EPI</t>
        </is>
      </c>
      <c r="D32" s="265" t="inlineStr">
        <is>
          <t>Kit 500 Abraçadeira Nylon Cintas Plásticas Reforçada 7,2x400</t>
        </is>
      </c>
      <c r="E32" s="320" t="n"/>
      <c r="F32" s="320" t="n">
        <v>299</v>
      </c>
      <c r="G32" s="321">
        <f>F32*17%</f>
        <v/>
      </c>
      <c r="H32" s="322" t="n"/>
      <c r="I32" s="1310" t="n">
        <v>22.45</v>
      </c>
      <c r="J32" s="321">
        <f>F32*18%</f>
        <v/>
      </c>
      <c r="K32" s="321">
        <f>(F32-J32)*1.65%</f>
        <v/>
      </c>
      <c r="L32" s="321">
        <f>(F32-J32)*7.6%</f>
        <v/>
      </c>
      <c r="M32" s="357" t="n"/>
      <c r="N32" s="357">
        <f>(G32+I32) * (9.25%)</f>
        <v/>
      </c>
      <c r="O32" s="260">
        <f>29.2*5</f>
        <v/>
      </c>
      <c r="P32" s="447">
        <f>(F32 - (G32+I32+O32+(J32+K32+L32))) - (H32-M32-N32)</f>
        <v/>
      </c>
      <c r="Q32" s="328">
        <f>P32/F32</f>
        <v/>
      </c>
      <c r="R32" s="105" t="inlineStr">
        <is>
          <t>Ativo</t>
        </is>
      </c>
      <c r="S32" s="33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 ht="18.75" customHeight="1" s="1349">
      <c r="A33" s="356" t="inlineStr">
        <is>
          <t>4207091765</t>
        </is>
      </c>
      <c r="B33" s="264" t="n">
        <v>10034034166472</v>
      </c>
      <c r="C33" s="318" t="inlineStr">
        <is>
          <t>Irwin</t>
        </is>
      </c>
      <c r="D33" s="1310" t="inlineStr">
        <is>
          <t>Mala Bolsa Ferramentas Irwin 16 Standard Capacidade 15kg</t>
        </is>
      </c>
      <c r="E33" s="320" t="n"/>
      <c r="F33" s="320" t="n">
        <v>210</v>
      </c>
      <c r="G33" s="321">
        <f>F33*17%</f>
        <v/>
      </c>
      <c r="H33" s="322" t="n"/>
      <c r="I33" s="1310" t="n">
        <v>21.65</v>
      </c>
      <c r="J33" s="321">
        <f>F33*18%</f>
        <v/>
      </c>
      <c r="K33" s="321">
        <f>(F33-J33)*1.65%</f>
        <v/>
      </c>
      <c r="L33" s="321">
        <f>(F33-J33)*7.6%</f>
        <v/>
      </c>
      <c r="M33" s="1120" t="n">
        <v>33.38</v>
      </c>
      <c r="N33" s="1120">
        <f>(G33+I33) * (9.25%)</f>
        <v/>
      </c>
      <c r="O33" s="708" t="n">
        <v>130.49</v>
      </c>
      <c r="P33" s="447">
        <f>(F33 - (G33+I33+O33+(J33+K33+L33))) - (H33-M33-N33)</f>
        <v/>
      </c>
      <c r="Q33" s="328">
        <f>P33/F33</f>
        <v/>
      </c>
      <c r="R33" s="379" t="inlineStr">
        <is>
          <t>Ativo</t>
        </is>
      </c>
      <c r="S33" s="33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 ht="18.75" customHeight="1" s="1349">
      <c r="A34" s="316" t="inlineStr">
        <is>
          <t>5285440768</t>
        </is>
      </c>
      <c r="B34" s="317" t="n">
        <v>10034034167370</v>
      </c>
      <c r="C34" s="318" t="inlineStr">
        <is>
          <t>Plastcor</t>
        </is>
      </c>
      <c r="D34" s="1310" t="inlineStr">
        <is>
          <t>Sinalizador Pl 6003 Viário Solar Led Segurança Trabalho Obra</t>
        </is>
      </c>
      <c r="E34" s="320" t="n"/>
      <c r="F34" s="320" t="n">
        <v>129.2</v>
      </c>
      <c r="G34" s="321">
        <f>F34*12%</f>
        <v/>
      </c>
      <c r="H34" s="831" t="n">
        <v>-7.42</v>
      </c>
      <c r="I34" s="1310" t="n">
        <v>25.55</v>
      </c>
      <c r="J34" s="321">
        <f>F34*18%</f>
        <v/>
      </c>
      <c r="K34" s="321">
        <f>(F34-J34)*1.65%</f>
        <v/>
      </c>
      <c r="L34" s="321">
        <f>(F34-J34)*7.6%</f>
        <v/>
      </c>
      <c r="M34" s="1120" t="n">
        <v>15</v>
      </c>
      <c r="N34" s="1120">
        <f>(G34+I34) * (9.25%)</f>
        <v/>
      </c>
      <c r="O34" s="708" t="n">
        <v>76.92</v>
      </c>
      <c r="P34" s="447">
        <f>(F34 - (G34+I34+O34+(J34+K34+L34))) - (H34-M34-N34)</f>
        <v/>
      </c>
      <c r="Q34" s="328">
        <f>P34/F34</f>
        <v/>
      </c>
      <c r="R34" s="363" t="n"/>
      <c r="S34" s="33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 ht="18.75" customHeight="1" s="1349">
      <c r="A35" s="356" t="inlineStr">
        <is>
          <t>5367677618</t>
        </is>
      </c>
      <c r="B35" s="317" t="n">
        <v>10034034167379</v>
      </c>
      <c r="C35" s="331" t="inlineStr">
        <is>
          <t>New Lacre</t>
        </is>
      </c>
      <c r="D35" s="265" t="inlineStr">
        <is>
          <t>Kit 1000 Abraçadeira Nylon Cinta Plásticas Reforçada 4,8x300</t>
        </is>
      </c>
      <c r="E35" s="320" t="n"/>
      <c r="F35" s="320" t="n">
        <v>242.5</v>
      </c>
      <c r="G35" s="321">
        <f>F35*17%</f>
        <v/>
      </c>
      <c r="H35" s="322" t="n">
        <v>-2.52</v>
      </c>
      <c r="I35" s="1310" t="n">
        <v>26.25</v>
      </c>
      <c r="J35" s="321">
        <f>F35*18%</f>
        <v/>
      </c>
      <c r="K35" s="321">
        <f>(F35-J35)*1.65%</f>
        <v/>
      </c>
      <c r="L35" s="321">
        <f>(F35-J35)*7.6%</f>
        <v/>
      </c>
      <c r="M35" s="1120" t="n">
        <v>11.6</v>
      </c>
      <c r="N35" s="1120">
        <f>(G35+I35) * (9.25%)</f>
        <v/>
      </c>
      <c r="O35" s="121" t="n">
        <v>125</v>
      </c>
      <c r="P35" s="447">
        <f>(F35 - (G35+I35+O35+(J35+K35+L35))) - (H35-M35-N35)</f>
        <v/>
      </c>
      <c r="Q35" s="328">
        <f>P35/F35</f>
        <v/>
      </c>
      <c r="R35" s="380" t="n"/>
      <c r="S35" s="330" t="n">
        <v>149</v>
      </c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 ht="18.75" customHeight="1" s="1349">
      <c r="A36" s="310" t="n"/>
      <c r="B36" s="402" t="n"/>
      <c r="C36" s="331" t="n"/>
      <c r="D36" s="381" t="inlineStr">
        <is>
          <t xml:space="preserve">KIT 10 CHUMBADOR PARABOLT CBA 1/2 X 4.1/2 AÇO FIXAÇÃO </t>
        </is>
      </c>
      <c r="E36" s="359" t="n"/>
      <c r="F36" s="359" t="n">
        <v>84.2</v>
      </c>
      <c r="G36" s="321">
        <f>F36*17%</f>
        <v/>
      </c>
      <c r="H36" s="296" t="n"/>
      <c r="I36" s="331" t="n">
        <v>7</v>
      </c>
      <c r="J36" s="321">
        <f>F36*18%</f>
        <v/>
      </c>
      <c r="K36" s="321">
        <f>(F36-J36)*1.65%</f>
        <v/>
      </c>
      <c r="L36" s="321">
        <f>(F36-J36)*7.6%</f>
        <v/>
      </c>
      <c r="M36" s="1120" t="n">
        <v>5.5</v>
      </c>
      <c r="N36" s="1120">
        <f>(G36+I36) * (9.25%)</f>
        <v/>
      </c>
      <c r="O36" s="515" t="n">
        <v>45.9</v>
      </c>
      <c r="P36" s="447">
        <f>(F36 - (G36+I36+O36+(J36+K36+L36))) - (H36-M36-N36)</f>
        <v/>
      </c>
      <c r="Q36" s="1328">
        <f>P36/F36</f>
        <v/>
      </c>
      <c r="R36" s="363" t="n"/>
      <c r="S36" s="330" t="n">
        <v>14</v>
      </c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 ht="18.75" customHeight="1" s="1349">
      <c r="A37" s="310" t="inlineStr">
        <is>
          <t>5869402276</t>
        </is>
      </c>
      <c r="B37" s="402" t="n">
        <v>10034034167682</v>
      </c>
      <c r="C37" s="318" t="inlineStr">
        <is>
          <t>Norton</t>
        </is>
      </c>
      <c r="D37" s="1310" t="inlineStr">
        <is>
          <t>Kit Disco Desbaste 180x6,4x22,23mm Bda600 Classic Norton 4un</t>
        </is>
      </c>
      <c r="E37" s="359" t="n"/>
      <c r="F37" s="359" t="n">
        <v>76.31999999999999</v>
      </c>
      <c r="G37" s="321">
        <f>F37*12%</f>
        <v/>
      </c>
      <c r="H37" s="296" t="n">
        <v>-0.89</v>
      </c>
      <c r="I37" s="331" t="n">
        <v>7.95</v>
      </c>
      <c r="J37" s="366" t="n">
        <v>0</v>
      </c>
      <c r="K37" s="321">
        <f>(F37-J37)*1.65%</f>
        <v/>
      </c>
      <c r="L37" s="321">
        <f>(F37-J37)*7.6%</f>
        <v/>
      </c>
      <c r="M37" s="1120">
        <f>1.22*4</f>
        <v/>
      </c>
      <c r="N37" s="1120">
        <f>(G37+I37) * (9.25%)</f>
        <v/>
      </c>
      <c r="O37" s="121">
        <f>14.21*4</f>
        <v/>
      </c>
      <c r="P37" s="447">
        <f>(F37 - (G37+I37+O37+(J37+K37+L37))) - (H37-M37-N37)</f>
        <v/>
      </c>
      <c r="Q37" s="1328">
        <f>P37/F37</f>
        <v/>
      </c>
      <c r="R37" s="363" t="n"/>
      <c r="S37" s="33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 ht="18.75" customHeight="1" s="1349">
      <c r="A38" s="316" t="inlineStr">
        <is>
          <t>3346096201</t>
        </is>
      </c>
      <c r="B38" s="317" t="n">
        <v>299</v>
      </c>
      <c r="C38" s="168" t="inlineStr">
        <is>
          <t>VOLK</t>
        </is>
      </c>
      <c r="D38" s="1310" t="inlineStr">
        <is>
          <t>Macacão Proteção Pintura Quimico Impermeável C/ Capuz Volk</t>
        </is>
      </c>
      <c r="E38" s="320" t="n"/>
      <c r="F38" s="320" t="n">
        <v>22.9</v>
      </c>
      <c r="G38" s="321">
        <f>F38*14%</f>
        <v/>
      </c>
      <c r="H38" s="361" t="n"/>
      <c r="I38" s="331" t="n">
        <v>7.95</v>
      </c>
      <c r="J38" s="321">
        <f>F38*18%</f>
        <v/>
      </c>
      <c r="K38" s="321">
        <f>(F38-J38)*1.65%</f>
        <v/>
      </c>
      <c r="L38" s="321">
        <f>(F38-J38)*7.6%</f>
        <v/>
      </c>
      <c r="M38" s="1120" t="n">
        <v>0.9</v>
      </c>
      <c r="N38" s="1120">
        <f>(G38+I38) * (9.25%)</f>
        <v/>
      </c>
      <c r="O38" s="197" t="n">
        <v>6.99</v>
      </c>
      <c r="P38" s="447">
        <f>(F38 - (G38+I38+O38+(J38+K38+L38))) - (H38-M38-N38)</f>
        <v/>
      </c>
      <c r="Q38" s="328">
        <f>P38/F38</f>
        <v/>
      </c>
      <c r="R38" s="105" t="inlineStr">
        <is>
          <t>Ativo</t>
        </is>
      </c>
      <c r="S38" s="33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 ht="18.75" customHeight="1" s="1349">
      <c r="A39" s="310" t="n"/>
      <c r="B39" s="402" t="n">
        <v>6600277696</v>
      </c>
      <c r="C39" s="331" t="inlineStr">
        <is>
          <t>ÂNCORA</t>
        </is>
      </c>
      <c r="D39" s="398" t="inlineStr">
        <is>
          <t>KIT 10 CHUMBADOR PARABOLT CBA 1/4X3 AÇO FIXAÇÃO</t>
        </is>
      </c>
      <c r="E39" s="359" t="n"/>
      <c r="F39" s="359" t="n">
        <v>24.99</v>
      </c>
      <c r="G39" s="321">
        <f>F39*17%</f>
        <v/>
      </c>
      <c r="H39" s="296" t="n">
        <v>-1.45</v>
      </c>
      <c r="I39" s="331" t="n">
        <v>8.35</v>
      </c>
      <c r="J39" s="321">
        <f>F39*18%</f>
        <v/>
      </c>
      <c r="K39" s="321">
        <f>(F39-J39)*1.65%</f>
        <v/>
      </c>
      <c r="L39" s="321">
        <f>(F39-J39)*7.6%</f>
        <v/>
      </c>
      <c r="M39" s="1120" t="n">
        <v>1</v>
      </c>
      <c r="N39" s="1120">
        <f>(G39+I39) * (9.25%)</f>
        <v/>
      </c>
      <c r="O39" s="515">
        <f>0.87*10</f>
        <v/>
      </c>
      <c r="P39" s="384">
        <f>(F39 - (G39+I39+O39+(J39+K39+L39))) - (H39-M39-N39)</f>
        <v/>
      </c>
      <c r="Q39" s="1328">
        <f>P39/F39</f>
        <v/>
      </c>
      <c r="R39" s="363" t="n"/>
      <c r="S39" s="330" t="n">
        <v>45</v>
      </c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 ht="18.75" customHeight="1" s="1349">
      <c r="A40" s="310" t="inlineStr">
        <is>
          <t>4592671495</t>
        </is>
      </c>
      <c r="B40" s="402" t="n">
        <v>10034034168371</v>
      </c>
      <c r="C40" s="331" t="inlineStr">
        <is>
          <t>Irwin</t>
        </is>
      </c>
      <c r="D40" s="404" t="inlineStr">
        <is>
          <t>Kit 10 Broca Aço Rápido Hss Para Furadeira 1/4 Perfuração</t>
        </is>
      </c>
      <c r="E40" s="359" t="n"/>
      <c r="F40" s="359" t="n">
        <v>124.9</v>
      </c>
      <c r="G40" s="321">
        <f>F40*17%</f>
        <v/>
      </c>
      <c r="H40" s="296" t="n"/>
      <c r="I40" s="331" t="n">
        <v>18.45</v>
      </c>
      <c r="J40" s="366" t="n">
        <v>0</v>
      </c>
      <c r="K40" s="321">
        <f>(F40-J40)*1.65%</f>
        <v/>
      </c>
      <c r="L40" s="321">
        <f>(F40-J40)*7.6%</f>
        <v/>
      </c>
      <c r="M40" s="1120">
        <f>0.66*10</f>
        <v/>
      </c>
      <c r="N40" s="1120">
        <f>(G40+I40) * (9.25%)</f>
        <v/>
      </c>
      <c r="O40" s="121">
        <f>7.93*10</f>
        <v/>
      </c>
      <c r="P40" s="447">
        <f>(F40 - (G40+I40+O40+(J40+K40+L40))) - (H40-M40-N40)</f>
        <v/>
      </c>
      <c r="Q40" s="1328">
        <f>P40/F40</f>
        <v/>
      </c>
      <c r="R40" s="363" t="n"/>
      <c r="S40" s="330" t="n">
        <v>9</v>
      </c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 ht="18.75" customHeight="1" s="1349">
      <c r="A41" s="356" t="inlineStr">
        <is>
          <t>3634048065</t>
        </is>
      </c>
      <c r="B41" s="264" t="n">
        <v>10034034166245</v>
      </c>
      <c r="C41" s="318" t="inlineStr">
        <is>
          <t>EPI</t>
        </is>
      </c>
      <c r="D41" s="265" t="inlineStr">
        <is>
          <t>Tela Sinalização Guarda Corpo Laranja E Branca 1,2x50 Pesada</t>
        </is>
      </c>
      <c r="E41" s="320" t="n"/>
      <c r="F41" s="320" t="n">
        <v>240</v>
      </c>
      <c r="G41" s="321">
        <f>F41*12%</f>
        <v/>
      </c>
      <c r="H41" s="322" t="n"/>
      <c r="I41" s="1310" t="n">
        <v>22.45</v>
      </c>
      <c r="J41" s="321">
        <f>F41*18%</f>
        <v/>
      </c>
      <c r="K41" s="321">
        <f>(F41-J41)*1.65%</f>
        <v/>
      </c>
      <c r="L41" s="321">
        <f>(F41-J41)*7.6%</f>
        <v/>
      </c>
      <c r="M41" s="357" t="n"/>
      <c r="N41" s="357">
        <f>(G41+I41) * (9.25%)</f>
        <v/>
      </c>
      <c r="O41" s="492" t="n">
        <v>123</v>
      </c>
      <c r="P41" s="447">
        <f>(F41 - (G41+I41+O41+(J41+K41+L41))) - (H41-M41-N41)</f>
        <v/>
      </c>
      <c r="Q41" s="328">
        <f>P41/F41</f>
        <v/>
      </c>
      <c r="R41" s="363" t="n"/>
      <c r="S41" s="330" t="n">
        <v>9</v>
      </c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 ht="18.75" customHeight="1" s="1349">
      <c r="A42" s="385" t="inlineStr">
        <is>
          <t>4276230577</t>
        </is>
      </c>
      <c r="B42" s="386" t="n">
        <v>10034034167765</v>
      </c>
      <c r="C42" s="318" t="inlineStr">
        <is>
          <t>Delta plus</t>
        </is>
      </c>
      <c r="D42" s="1310" t="inlineStr">
        <is>
          <t>Kit 10 Mascara Proteção Respirador Com Valvula Pff2 C/ Ca</t>
        </is>
      </c>
      <c r="E42" s="320" t="n"/>
      <c r="F42" s="320" t="n">
        <v>24</v>
      </c>
      <c r="G42" s="374">
        <f>F42*17%</f>
        <v/>
      </c>
      <c r="H42" s="387" t="n"/>
      <c r="I42" s="331" t="n">
        <v>6.75</v>
      </c>
      <c r="J42" s="321">
        <f>F42*18%</f>
        <v/>
      </c>
      <c r="K42" s="321">
        <f>(F42-J42)*1.65%</f>
        <v/>
      </c>
      <c r="L42" s="321">
        <f>(F42-J42)*7.6%</f>
        <v/>
      </c>
      <c r="M42" s="1120">
        <f>0.18*10</f>
        <v/>
      </c>
      <c r="N42" s="1120">
        <f>(G42+I42) * (9.25%)</f>
        <v/>
      </c>
      <c r="O42" s="708">
        <f>0.89*10</f>
        <v/>
      </c>
      <c r="P42" s="447">
        <f>(F42 - (G42+I42+O42+(J42+K42+L42))) - (H42-M42-N42)</f>
        <v/>
      </c>
      <c r="Q42" s="1328">
        <f>P42/F42</f>
        <v/>
      </c>
      <c r="R42" s="363" t="n"/>
      <c r="S42" s="33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 ht="18.75" customHeight="1" s="1349">
      <c r="A43" s="316" t="inlineStr">
        <is>
          <t>3955981385</t>
        </is>
      </c>
      <c r="B43" s="317" t="n">
        <v>62</v>
      </c>
      <c r="C43" s="318" t="inlineStr">
        <is>
          <t>VOLK</t>
        </is>
      </c>
      <c r="D43" s="1310" t="inlineStr">
        <is>
          <t>Luva Proteção Anticorte Fibra Pu Cut Smart Proteção Térmica</t>
        </is>
      </c>
      <c r="E43" s="320" t="n"/>
      <c r="F43" s="320" t="n">
        <v>32.3</v>
      </c>
      <c r="G43" s="321">
        <f>F43*17%</f>
        <v/>
      </c>
      <c r="H43" s="322" t="n"/>
      <c r="I43" s="331">
        <f>IFS(
  F43&lt;12.5, F43/2,
  F43&lt;29, 6.25,
  F43&lt;50, 6.5,
  F43&lt;=79, 6.75,
  TRUE, 25
)</f>
        <v/>
      </c>
      <c r="J43" s="321">
        <f>F43*18%</f>
        <v/>
      </c>
      <c r="K43" s="321">
        <f>(F43-J43)*1.65%</f>
        <v/>
      </c>
      <c r="L43" s="321">
        <f>(F43-J43)*7.6%</f>
        <v/>
      </c>
      <c r="M43" s="1120" t="n">
        <v>1.76</v>
      </c>
      <c r="N43" s="1120">
        <f>(G43+I43) * (9.25%)</f>
        <v/>
      </c>
      <c r="O43" s="708" t="n">
        <v>13.66</v>
      </c>
      <c r="P43" s="447">
        <f>(F43 - (G43+I43+O43+(J43+K43+L43))) - (H43-M43-N43)</f>
        <v/>
      </c>
      <c r="Q43" s="328">
        <f>P43/F43</f>
        <v/>
      </c>
      <c r="R43" s="105" t="inlineStr">
        <is>
          <t>Ativo</t>
        </is>
      </c>
      <c r="S43" s="33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 ht="18.75" customHeight="1" s="1349">
      <c r="A44" s="310" t="inlineStr">
        <is>
          <t>6624818426</t>
        </is>
      </c>
      <c r="B44" s="402" t="n">
        <v>10034034168372</v>
      </c>
      <c r="C44" s="331" t="inlineStr">
        <is>
          <t>Irwin</t>
        </is>
      </c>
      <c r="D44" s="404" t="inlineStr">
        <is>
          <t>Kit 5 Jogo Broca Aço Rápido 5/16 Hss Fura Alumínio Metal</t>
        </is>
      </c>
      <c r="E44" s="359" t="n"/>
      <c r="F44" s="359" t="n">
        <v>83.31999999999999</v>
      </c>
      <c r="G44" s="321">
        <f>F44*17%</f>
        <v/>
      </c>
      <c r="H44" s="296" t="n">
        <v>-1.56</v>
      </c>
      <c r="I44" s="331" t="n">
        <v>12.35</v>
      </c>
      <c r="J44" s="366" t="n">
        <v>0</v>
      </c>
      <c r="K44" s="321">
        <f>(F44-J44)*1.65%</f>
        <v/>
      </c>
      <c r="L44" s="321">
        <f>(F44-J44)*7.6%</f>
        <v/>
      </c>
      <c r="M44" s="1120">
        <f>0.87*5</f>
        <v/>
      </c>
      <c r="N44" s="1120">
        <f>(G44+I44) * (9.25%)</f>
        <v/>
      </c>
      <c r="O44" s="121">
        <f>10.83*5</f>
        <v/>
      </c>
      <c r="P44" s="447">
        <f>(F44 - (G44+I44+O44+(J44+K44+L44))) - (H44-M44-N44)</f>
        <v/>
      </c>
      <c r="Q44" s="1328">
        <f>P44/F44</f>
        <v/>
      </c>
      <c r="R44" s="363" t="n"/>
      <c r="S44" s="33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</row>
    <row r="45" ht="18.75" customHeight="1" s="1349">
      <c r="A45" s="388" t="inlineStr">
        <is>
          <t>4036430673</t>
        </is>
      </c>
      <c r="B45" s="389" t="n">
        <v>207</v>
      </c>
      <c r="C45" s="369" t="inlineStr">
        <is>
          <t>EPI</t>
        </is>
      </c>
      <c r="D45" s="390" t="inlineStr">
        <is>
          <t>Abraçadeira De Nylon Cinta Plástica Reforçada 7,2x40cm 100un</t>
        </is>
      </c>
      <c r="E45" s="320" t="n"/>
      <c r="F45" s="320" t="n">
        <v>59.39</v>
      </c>
      <c r="G45" s="321">
        <f>F45*12%</f>
        <v/>
      </c>
      <c r="H45" s="322" t="n"/>
      <c r="I45" s="331">
        <f>IFS(
  F45&lt;12.5, F45/2,
  F45&lt;29, 6.25,
  F45&lt;50, 6.5,
  F45&lt;=79, 6.75,
  TRUE, 25
)</f>
        <v/>
      </c>
      <c r="J45" s="321">
        <f>F45*18%</f>
        <v/>
      </c>
      <c r="K45" s="321">
        <f>(F45-J45)*1.65%</f>
        <v/>
      </c>
      <c r="L45" s="321">
        <f>(F45-J45)*7.6%</f>
        <v/>
      </c>
      <c r="M45" s="357" t="n"/>
      <c r="N45" s="357">
        <f>(G45+I45) * (9.25%)</f>
        <v/>
      </c>
      <c r="O45" s="632" t="n">
        <v>29.2</v>
      </c>
      <c r="P45" s="447">
        <f>(F45 - (G45+I45+O45+(J45+K45+L45))) - (H45-M45-N45)</f>
        <v/>
      </c>
      <c r="Q45" s="328">
        <f>P45/F45</f>
        <v/>
      </c>
      <c r="R45" s="105" t="inlineStr">
        <is>
          <t>Ativo</t>
        </is>
      </c>
      <c r="S45" s="330" t="n">
        <v>13</v>
      </c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 ht="18.75" customHeight="1" s="1349">
      <c r="A46" s="316" t="inlineStr">
        <is>
          <t>5378169546</t>
        </is>
      </c>
      <c r="B46" s="317" t="n">
        <v>10034034166750</v>
      </c>
      <c r="C46" s="318" t="inlineStr">
        <is>
          <t>ÂNCORA</t>
        </is>
      </c>
      <c r="D46" s="1310" t="inlineStr">
        <is>
          <t>Chumbador Químico Poliester Qpo300 C/ Aplicador Seca Rapido</t>
        </is>
      </c>
      <c r="E46" s="320" t="n"/>
      <c r="F46" s="320" t="n">
        <v>99</v>
      </c>
      <c r="G46" s="321">
        <f>F46*11.5%</f>
        <v/>
      </c>
      <c r="H46" s="322" t="n"/>
      <c r="I46" s="1310" t="n">
        <v>13.85</v>
      </c>
      <c r="J46" s="321">
        <f>F46*18%</f>
        <v/>
      </c>
      <c r="K46" s="321">
        <f>(F46-J46)*1.65%</f>
        <v/>
      </c>
      <c r="L46" s="321">
        <f>(F46-J46)*7.6%</f>
        <v/>
      </c>
      <c r="M46" s="1120" t="n">
        <v>6.91</v>
      </c>
      <c r="N46" s="1120">
        <f>(G46+I46) * (9.25%)</f>
        <v/>
      </c>
      <c r="O46" s="708" t="n">
        <v>53.65</v>
      </c>
      <c r="P46" s="447">
        <f>(F46 - (G46+I46+O46+(J46+K46+L46))) - (H46-M46-N46)</f>
        <v/>
      </c>
      <c r="Q46" s="328">
        <f>P46/F46</f>
        <v/>
      </c>
      <c r="R46" s="392" t="inlineStr">
        <is>
          <t>sem estoque</t>
        </is>
      </c>
      <c r="S46" s="33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</row>
    <row r="47" ht="18.75" customHeight="1" s="1349">
      <c r="A47" s="356" t="inlineStr">
        <is>
          <t>4224533463</t>
        </is>
      </c>
      <c r="B47" s="264" t="n">
        <v>10034034167143</v>
      </c>
      <c r="C47" s="318" t="inlineStr">
        <is>
          <t>Irwin</t>
        </is>
      </c>
      <c r="D47" s="1310" t="inlineStr">
        <is>
          <t>Caixa De Ferramentas Monobloco Irwin Lwst18800 Azul C/rodas</t>
        </is>
      </c>
      <c r="E47" s="320" t="n"/>
      <c r="F47" s="320" t="n">
        <v>454.08</v>
      </c>
      <c r="G47" s="321">
        <f>F47*17%</f>
        <v/>
      </c>
      <c r="H47" s="322" t="n">
        <v>-12.1</v>
      </c>
      <c r="I47" s="1310" t="n">
        <v>74.95</v>
      </c>
      <c r="J47" s="321">
        <f>F47*18%</f>
        <v/>
      </c>
      <c r="K47" s="321">
        <f>(F47-J47)*1.65%</f>
        <v/>
      </c>
      <c r="L47" s="321">
        <f>(F47-J47)*7.6%</f>
        <v/>
      </c>
      <c r="M47" s="1120" t="n">
        <v>66.44</v>
      </c>
      <c r="N47" s="1120">
        <f>(G47+I47) * (9.25%)</f>
        <v/>
      </c>
      <c r="O47" s="708" t="n">
        <v>259.69</v>
      </c>
      <c r="P47" s="447">
        <f>(F47 - (G47+I47+O47+(J47+K47+L47))) - (H47-M47-N47)</f>
        <v/>
      </c>
      <c r="Q47" s="328">
        <f>P47/F47</f>
        <v/>
      </c>
      <c r="R47" s="363" t="n"/>
      <c r="S47" s="33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 ht="18.75" customHeight="1" s="1349">
      <c r="A48" s="310" t="inlineStr">
        <is>
          <t>4453868537</t>
        </is>
      </c>
      <c r="B48" s="402" t="n">
        <v>10034034168139</v>
      </c>
      <c r="C48" s="331" t="inlineStr">
        <is>
          <t>Irwin</t>
        </is>
      </c>
      <c r="D48" s="404" t="inlineStr">
        <is>
          <t>Kit 72 Lápis Carpinteiro Marceneiro Obra Madeira Resistente</t>
        </is>
      </c>
      <c r="E48" s="359" t="n"/>
      <c r="F48" s="359" t="n">
        <v>159.01</v>
      </c>
      <c r="G48" s="321">
        <f>F48*17%</f>
        <v/>
      </c>
      <c r="H48" s="322" t="n">
        <v>-5.07</v>
      </c>
      <c r="I48" s="331" t="n">
        <v>20.75</v>
      </c>
      <c r="J48" s="321">
        <f>F48*18%</f>
        <v/>
      </c>
      <c r="K48" s="321">
        <f>(F48-J48)*1.65%</f>
        <v/>
      </c>
      <c r="L48" s="321">
        <f>(F48-J48)*7.6%</f>
        <v/>
      </c>
      <c r="M48" s="1120">
        <f>0.35*72</f>
        <v/>
      </c>
      <c r="N48" s="1120">
        <f>(G48+I48) * (9.25%)</f>
        <v/>
      </c>
      <c r="O48" s="121">
        <f>1.37*72</f>
        <v/>
      </c>
      <c r="P48" s="447">
        <f>(F48 - (G48+I48+O48+(J48+K48+L48))) - (H48-M48-N48)</f>
        <v/>
      </c>
      <c r="Q48" s="1328">
        <f>P48/F48</f>
        <v/>
      </c>
      <c r="R48" s="363" t="n"/>
      <c r="S48" s="33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</row>
    <row r="49" ht="18.75" customHeight="1" s="1349">
      <c r="A49" s="310" t="inlineStr">
        <is>
          <t>5892054624</t>
        </is>
      </c>
      <c r="B49" s="402" t="n">
        <v>842064</v>
      </c>
      <c r="C49" s="318" t="inlineStr">
        <is>
          <t>Bracol</t>
        </is>
      </c>
      <c r="D49" s="404" t="inlineStr">
        <is>
          <t>Botina Bota Flex Hes Ocupacional Couro Acolchoada Forrada</t>
        </is>
      </c>
      <c r="E49" s="359" t="n"/>
      <c r="F49" s="359" t="n">
        <v>99.98999999999999</v>
      </c>
      <c r="G49" s="321">
        <f>F49*17%</f>
        <v/>
      </c>
      <c r="H49" s="322" t="n"/>
      <c r="I49" s="331" t="n">
        <v>18.35</v>
      </c>
      <c r="J49" s="321">
        <f>F49*18%</f>
        <v/>
      </c>
      <c r="K49" s="321">
        <f>(F49-J49)*1.65%</f>
        <v/>
      </c>
      <c r="L49" s="321">
        <f>(F49-J49)*7.6%</f>
        <v/>
      </c>
      <c r="M49" s="1120" t="n">
        <v>9.619999999999999</v>
      </c>
      <c r="N49" s="1120">
        <f>(G49+I49) * (9.25%)</f>
        <v/>
      </c>
      <c r="O49" s="260" t="n">
        <v>47.78</v>
      </c>
      <c r="P49" s="447">
        <f>(F49 - (G49+I49+O49+(J49+K49+L49))) - (H49-M49-N49)</f>
        <v/>
      </c>
      <c r="Q49" s="1328">
        <f>P49/F49</f>
        <v/>
      </c>
      <c r="R49" s="363" t="n"/>
      <c r="S49" s="33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 ht="18.75" customHeight="1" s="1349">
      <c r="A50" s="310" t="inlineStr">
        <is>
          <t>6012906158</t>
        </is>
      </c>
      <c r="B50" s="402" t="n">
        <v>10034034168006</v>
      </c>
      <c r="C50" s="318" t="inlineStr">
        <is>
          <t>Nutriex</t>
        </is>
      </c>
      <c r="D50" s="404" t="inlineStr">
        <is>
          <t>Protetor Solar Fps 99 Proteção Altamente Eficaz Facial 2un</t>
        </is>
      </c>
      <c r="E50" s="359" t="n"/>
      <c r="F50" s="359" t="n">
        <v>129</v>
      </c>
      <c r="G50" s="321">
        <f>F50*19%</f>
        <v/>
      </c>
      <c r="H50" s="322" t="n">
        <v>-3</v>
      </c>
      <c r="I50" s="331" t="n">
        <v>17.96</v>
      </c>
      <c r="J50" s="321">
        <f>F50*18%</f>
        <v/>
      </c>
      <c r="K50" s="366" t="n">
        <v>0</v>
      </c>
      <c r="L50" s="366" t="n">
        <v>0</v>
      </c>
      <c r="M50" s="1120">
        <f>4.42*2</f>
        <v/>
      </c>
      <c r="N50" s="1120">
        <f>(G50+I50) * (9.25%)</f>
        <v/>
      </c>
      <c r="O50" s="121">
        <f>36.83*2</f>
        <v/>
      </c>
      <c r="P50" s="447">
        <f>(F50 - (G50+I50+O50+(J50+K50+L50))) - (H50-M50-N50)</f>
        <v/>
      </c>
      <c r="Q50" s="1328">
        <f>P50/F50</f>
        <v/>
      </c>
      <c r="R50" s="363" t="n"/>
      <c r="S50" s="330" t="n">
        <v>45</v>
      </c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</row>
    <row r="51" ht="18.75" customHeight="1" s="1349">
      <c r="A51" s="316" t="inlineStr">
        <is>
          <t>6530155644</t>
        </is>
      </c>
      <c r="B51" s="317" t="n">
        <v>10034034166208</v>
      </c>
      <c r="C51" s="318" t="inlineStr">
        <is>
          <t>Nutriex</t>
        </is>
      </c>
      <c r="D51" s="1310" t="inlineStr">
        <is>
          <t>Protetor Solar Profissional Fps 30 Sol Praia Resistente Agua</t>
        </is>
      </c>
      <c r="E51" s="320" t="n"/>
      <c r="F51" s="320" t="n">
        <v>107.43</v>
      </c>
      <c r="G51" s="321">
        <f>F51*12%</f>
        <v/>
      </c>
      <c r="H51" s="322" t="n"/>
      <c r="I51" s="1310" t="n">
        <v>16.15</v>
      </c>
      <c r="J51" s="321">
        <f>F51*18%</f>
        <v/>
      </c>
      <c r="K51" s="366" t="n">
        <v>0</v>
      </c>
      <c r="L51" s="366" t="n">
        <v>0</v>
      </c>
      <c r="M51" s="1120" t="n">
        <v>7.8</v>
      </c>
      <c r="N51" s="1120">
        <f>(G51+I51) * (9.25%)</f>
        <v/>
      </c>
      <c r="O51" s="708" t="n">
        <v>64.98999999999999</v>
      </c>
      <c r="P51" s="447">
        <f>(F51 - (G51+I51+O51+(J51+K51+L51))) - (H51-M51-N51)</f>
        <v/>
      </c>
      <c r="Q51" s="328">
        <f>P51/F51</f>
        <v/>
      </c>
      <c r="R51" s="363" t="n"/>
      <c r="S51" s="33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 ht="18.75" customHeight="1" s="1349">
      <c r="A52" s="310" t="inlineStr">
        <is>
          <t>5971005000</t>
        </is>
      </c>
      <c r="B52" s="402" t="n">
        <v>10034034167887</v>
      </c>
      <c r="C52" s="318" t="inlineStr">
        <is>
          <t>TekBond</t>
        </is>
      </c>
      <c r="D52" s="404" t="inlineStr">
        <is>
          <t>Silicone Incolor Acético Construção Multi Uso Vedação 10un</t>
        </is>
      </c>
      <c r="E52" s="359" t="n"/>
      <c r="F52" s="499" t="n">
        <v>173.63</v>
      </c>
      <c r="G52" s="321">
        <f>F52*11.5%</f>
        <v/>
      </c>
      <c r="H52" s="322" t="n"/>
      <c r="I52" s="538" t="n">
        <v>26.25</v>
      </c>
      <c r="J52" s="321">
        <f>F52*18%</f>
        <v/>
      </c>
      <c r="K52" s="321">
        <f>(F52-J52)*1.65%</f>
        <v/>
      </c>
      <c r="L52" s="321">
        <f>(F52-J52)*7.6%</f>
        <v/>
      </c>
      <c r="M52" s="1120">
        <f>2.75*10</f>
        <v/>
      </c>
      <c r="N52" s="1120">
        <f>(G52+I52) * (9.25%)</f>
        <v/>
      </c>
      <c r="O52" s="121">
        <f>10.74*10</f>
        <v/>
      </c>
      <c r="P52" s="447">
        <f>(F52 - (G52+I52+O52+(J52+K52+L52))) - (H52-M52-N52)</f>
        <v/>
      </c>
      <c r="Q52" s="1328">
        <f>P52/F52</f>
        <v/>
      </c>
      <c r="R52" s="363" t="n"/>
      <c r="S52" s="33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</row>
    <row r="53" ht="18.75" customHeight="1" s="1349">
      <c r="A53" s="310" t="n"/>
      <c r="B53" s="402" t="n"/>
      <c r="C53" s="331" t="n"/>
      <c r="D53" s="367" t="inlineStr">
        <is>
          <t>KIT 5 CHUMBADOR PARABOLT CBA 5/16 X 2.1/4 AÇO FIXAÇÃO</t>
        </is>
      </c>
      <c r="E53" s="359" t="n"/>
      <c r="F53" s="359" t="n">
        <v>19.1</v>
      </c>
      <c r="G53" s="321">
        <f>F53*17%</f>
        <v/>
      </c>
      <c r="H53" s="296" t="n"/>
      <c r="I53" s="331" t="n">
        <v>7</v>
      </c>
      <c r="J53" s="321">
        <f>F53*18%</f>
        <v/>
      </c>
      <c r="K53" s="321">
        <f>(F53-J53)*1.65%</f>
        <v/>
      </c>
      <c r="L53" s="321">
        <f>(F53-J53)*7.6%</f>
        <v/>
      </c>
      <c r="M53" s="1120" t="n">
        <v>0.55</v>
      </c>
      <c r="N53" s="1120">
        <f>(G53+I53) * (9.25%)</f>
        <v/>
      </c>
      <c r="O53" s="515" t="n">
        <v>4.65</v>
      </c>
      <c r="P53" s="447">
        <f>(F53 - (G53+I53+O53+(J53+K53+L53))) - (H53-M53-N53)</f>
        <v/>
      </c>
      <c r="Q53" s="1328">
        <f>P53/F53</f>
        <v/>
      </c>
      <c r="R53" s="363" t="n"/>
      <c r="S53" s="330" t="n">
        <v>36</v>
      </c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 ht="18.75" customHeight="1" s="1349">
      <c r="A54" s="310" t="inlineStr">
        <is>
          <t>4329667583</t>
        </is>
      </c>
      <c r="B54" s="402" t="n">
        <v>912165</v>
      </c>
      <c r="C54" s="318" t="inlineStr">
        <is>
          <t>EPI</t>
        </is>
      </c>
      <c r="D54" s="404" t="inlineStr">
        <is>
          <t>Luva Nitrílica Forrada Reutilizável Limpeza Antiderrapante</t>
        </is>
      </c>
      <c r="E54" s="359" t="n"/>
      <c r="F54" s="359" t="n">
        <v>20.1</v>
      </c>
      <c r="G54" s="321">
        <f>F54*13%</f>
        <v/>
      </c>
      <c r="H54" s="322" t="n"/>
      <c r="I54" s="331" t="n">
        <v>6.65</v>
      </c>
      <c r="J54" s="321">
        <f>F54*18%</f>
        <v/>
      </c>
      <c r="K54" s="321">
        <f>(F54-J54)*1.65%</f>
        <v/>
      </c>
      <c r="L54" s="321">
        <f>(F54-J54)*7.6%</f>
        <v/>
      </c>
      <c r="M54" s="1120" t="n">
        <v>0.84</v>
      </c>
      <c r="N54" s="1120">
        <f>(G54+I54) * (9.25%)</f>
        <v/>
      </c>
      <c r="O54" s="121" t="n">
        <v>6.52</v>
      </c>
      <c r="P54" s="447">
        <f>(F54 - (G54+I54+O54+(J54+K54+L54))) - (H54-M54-N54)</f>
        <v/>
      </c>
      <c r="Q54" s="1328">
        <f>P54/F54</f>
        <v/>
      </c>
      <c r="R54" s="363" t="n"/>
      <c r="S54" s="330" t="n"/>
      <c r="T54" s="753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</row>
    <row r="55" ht="18.75" customHeight="1" s="1349">
      <c r="A55" s="310" t="inlineStr">
        <is>
          <t>5878928678</t>
        </is>
      </c>
      <c r="B55" s="402" t="n">
        <v>10034034167688</v>
      </c>
      <c r="C55" s="318" t="inlineStr">
        <is>
          <t>Danny</t>
        </is>
      </c>
      <c r="D55" s="1310" t="inlineStr">
        <is>
          <t>Kit Luva Látex Silver Grip Nitrílica Da360am Amarela 10pares</t>
        </is>
      </c>
      <c r="E55" s="359" t="n"/>
      <c r="F55" s="359" t="n">
        <v>73.88</v>
      </c>
      <c r="G55" s="321">
        <f>F55*17%</f>
        <v/>
      </c>
      <c r="H55" s="322" t="n">
        <v>-1.27</v>
      </c>
      <c r="I55" s="331" t="n">
        <v>7.95</v>
      </c>
      <c r="J55" s="321">
        <f>F55*18%</f>
        <v/>
      </c>
      <c r="K55" s="321">
        <f>(F55-J55)*1.65%</f>
        <v/>
      </c>
      <c r="L55" s="321">
        <f>(F55-J55)*7.6%</f>
        <v/>
      </c>
      <c r="M55" s="1120">
        <f>1.18*10</f>
        <v/>
      </c>
      <c r="N55" s="1120">
        <f>(G55+I55) * (9.25%)</f>
        <v/>
      </c>
      <c r="O55" s="121">
        <f>4.62*10</f>
        <v/>
      </c>
      <c r="P55" s="447">
        <f>(F55 - (G55+I55+O55+(J55+K55+L55))) - (H55-M55-N55)</f>
        <v/>
      </c>
      <c r="Q55" s="1328">
        <f>P55/F55</f>
        <v/>
      </c>
      <c r="R55" s="363" t="n"/>
      <c r="S55" s="33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 ht="18.75" customHeight="1" s="1349">
      <c r="A56" s="310" t="inlineStr">
        <is>
          <t>4286671627</t>
        </is>
      </c>
      <c r="B56" s="402" t="n">
        <v>10034034166489</v>
      </c>
      <c r="C56" s="318" t="inlineStr">
        <is>
          <t>Irwin</t>
        </is>
      </c>
      <c r="D56" s="404" t="inlineStr">
        <is>
          <t>Alicate Corte Eletricista Diagonal 1000v Isolado Resistente</t>
        </is>
      </c>
      <c r="E56" s="359" t="n"/>
      <c r="F56" s="359" t="n">
        <v>73.15000000000001</v>
      </c>
      <c r="G56" s="321">
        <f>F56*12%</f>
        <v/>
      </c>
      <c r="H56" s="322" t="n">
        <v>-2.58</v>
      </c>
      <c r="I56" s="331" t="n">
        <v>7.75</v>
      </c>
      <c r="J56" s="321">
        <f>F56*18%</f>
        <v/>
      </c>
      <c r="K56" s="321">
        <f>(F56-J56)*1.65%</f>
        <v/>
      </c>
      <c r="L56" s="321">
        <f>(F56-J56)*7.6%</f>
        <v/>
      </c>
      <c r="M56" s="1120" t="n">
        <v>3.95</v>
      </c>
      <c r="N56" s="1120">
        <f>(G56+I56) * (9.25%)</f>
        <v/>
      </c>
      <c r="O56" s="121" t="n">
        <v>42.71</v>
      </c>
      <c r="P56" s="447">
        <f>(F56 - (G56+I56+O56+(J56+K56+L56))) - (H56-M56-N56)</f>
        <v/>
      </c>
      <c r="Q56" s="1328">
        <f>P56/F56</f>
        <v/>
      </c>
      <c r="R56" s="394" t="n"/>
      <c r="S56" s="33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</row>
    <row r="57" ht="18.75" customHeight="1" s="1349">
      <c r="A57" s="310" t="inlineStr">
        <is>
          <t>6011595994</t>
        </is>
      </c>
      <c r="B57" s="402" t="n">
        <v>10034034168003</v>
      </c>
      <c r="C57" s="318" t="inlineStr">
        <is>
          <t>EPI</t>
        </is>
      </c>
      <c r="D57" s="404" t="inlineStr">
        <is>
          <t>Kit 5 Protetor Solar Fps 60 Repelente Alta Proteção Solar</t>
        </is>
      </c>
      <c r="E57" s="359" t="n"/>
      <c r="F57" s="499" t="n">
        <v>148.99</v>
      </c>
      <c r="G57" s="321">
        <f>F57*14%</f>
        <v/>
      </c>
      <c r="H57" s="322" t="n"/>
      <c r="I57" s="331" t="n">
        <v>17.96</v>
      </c>
      <c r="J57" s="321">
        <f>F57*18%</f>
        <v/>
      </c>
      <c r="K57" s="321">
        <f>(F57-J57)*1.65%</f>
        <v/>
      </c>
      <c r="L57" s="321">
        <f>(F57-J57)*7.6%</f>
        <v/>
      </c>
      <c r="M57" s="357" t="n"/>
      <c r="N57" s="357">
        <f>(G57+I57) * (9.25%)</f>
        <v/>
      </c>
      <c r="O57" s="515">
        <f>13.79*5</f>
        <v/>
      </c>
      <c r="P57" s="447">
        <f>(F57 - (G57+I57+O57+(J57+K57+L57))) - (H57-M57-N57)</f>
        <v/>
      </c>
      <c r="Q57" s="1328">
        <f>P57/F57</f>
        <v/>
      </c>
      <c r="R57" s="395" t="inlineStr">
        <is>
          <t>sem estoque</t>
        </is>
      </c>
      <c r="S57" s="33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 ht="18.75" customHeight="1" s="1349">
      <c r="A58" s="356" t="inlineStr">
        <is>
          <t>3946901491</t>
        </is>
      </c>
      <c r="B58" s="317" t="n">
        <v>10034034166495</v>
      </c>
      <c r="C58" s="318" t="inlineStr">
        <is>
          <t>EPI</t>
        </is>
      </c>
      <c r="D58" s="1310" t="inlineStr">
        <is>
          <t>Protetor Auditivo Auricular Acoplar P/ Capacete 17db C/ Ca</t>
        </is>
      </c>
      <c r="E58" s="320" t="n"/>
      <c r="F58" s="320" t="n">
        <v>75.04000000000001</v>
      </c>
      <c r="G58" s="321">
        <f>F58*12%</f>
        <v/>
      </c>
      <c r="H58" s="361" t="n"/>
      <c r="I58" s="331">
        <f>IFS(
  F58&lt;12.5, F58/2,
  F58&lt;29, 6.25,
  F58&lt;50, 6.5,
  F58&lt;=79, 6.75,
  TRUE, 25
)</f>
        <v/>
      </c>
      <c r="J58" s="321">
        <f>F58*18%</f>
        <v/>
      </c>
      <c r="K58" s="321">
        <f>(F58-J58)*1.65%</f>
        <v/>
      </c>
      <c r="L58" s="321">
        <f>(F58-J58)*7.6%</f>
        <v/>
      </c>
      <c r="M58" s="357" t="n"/>
      <c r="N58" s="357">
        <f>(G58+I58) * (9.25%)</f>
        <v/>
      </c>
      <c r="O58" s="1050" t="n">
        <v>38.12</v>
      </c>
      <c r="P58" s="447">
        <f>(F58 - (G58+I58+O58+(J58+K58+L58))) - (H58-M58-N58)</f>
        <v/>
      </c>
      <c r="Q58" s="328">
        <f>P58/F58</f>
        <v/>
      </c>
      <c r="R58" s="396" t="inlineStr">
        <is>
          <t>Ativo</t>
        </is>
      </c>
      <c r="S58" s="330" t="n">
        <v>0</v>
      </c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</row>
    <row r="59" ht="18.75" customHeight="1" s="1349">
      <c r="A59" s="316" t="inlineStr">
        <is>
          <t>5519731050</t>
        </is>
      </c>
      <c r="B59" s="317" t="n">
        <v>10034034166955</v>
      </c>
      <c r="C59" s="318" t="inlineStr">
        <is>
          <t>Koretech</t>
        </is>
      </c>
      <c r="D59" s="265" t="inlineStr">
        <is>
          <t>Fita Adesiva Transparente Dupla Face 12mm X 20m Extra Forte</t>
        </is>
      </c>
      <c r="E59" s="320" t="n"/>
      <c r="F59" s="320" t="n">
        <v>29</v>
      </c>
      <c r="G59" s="321">
        <f>F59*11.5%</f>
        <v/>
      </c>
      <c r="H59" s="322" t="n">
        <v>-1.2</v>
      </c>
      <c r="I59" s="331" t="n">
        <v>6.65</v>
      </c>
      <c r="J59" s="321">
        <f>F59*18%</f>
        <v/>
      </c>
      <c r="K59" s="321">
        <f>(F59-J59)*1.65%</f>
        <v/>
      </c>
      <c r="L59" s="321">
        <f>(F59-J59)*7.6%</f>
        <v/>
      </c>
      <c r="M59" s="1120" t="n">
        <v>4.26</v>
      </c>
      <c r="N59" s="1120">
        <f>(G59+I59) * (9.25%)</f>
        <v/>
      </c>
      <c r="O59" s="121" t="n">
        <v>16.65</v>
      </c>
      <c r="P59" s="447">
        <f>(F59 - (G59+I59+O59+(J59+K59+L59))) - (H59-M59-N59)</f>
        <v/>
      </c>
      <c r="Q59" s="328">
        <f>P59/F59</f>
        <v/>
      </c>
      <c r="R59" s="397" t="inlineStr">
        <is>
          <t>Ativo</t>
        </is>
      </c>
      <c r="S59" s="330" t="n">
        <v>46</v>
      </c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 ht="18.75" customHeight="1" s="1349">
      <c r="A60" s="310" t="inlineStr">
        <is>
          <t>4452095535</t>
        </is>
      </c>
      <c r="B60" s="368" t="n">
        <v>10034034168137</v>
      </c>
      <c r="C60" s="398" t="inlineStr">
        <is>
          <t>Toralf</t>
        </is>
      </c>
      <c r="D60" s="370" t="inlineStr">
        <is>
          <t>Kit 8 Parafuso Sanitário 90mm Bucha 12 Fixação Instalação</t>
        </is>
      </c>
      <c r="E60" s="359" t="n"/>
      <c r="F60" s="359" t="n">
        <v>41.61</v>
      </c>
      <c r="G60" s="321">
        <f>F60*17%</f>
        <v/>
      </c>
      <c r="H60" s="322" t="n">
        <v>-1.27</v>
      </c>
      <c r="I60" s="331" t="n">
        <v>7.95</v>
      </c>
      <c r="J60" s="321">
        <f>F60*18%</f>
        <v/>
      </c>
      <c r="K60" s="321">
        <f>(F60-J60)*1.65%</f>
        <v/>
      </c>
      <c r="L60" s="321">
        <f>(F60-J60)*7.6%</f>
        <v/>
      </c>
      <c r="M60" s="1120">
        <f>0.28*8</f>
        <v/>
      </c>
      <c r="N60" s="1120">
        <f>(G60+I60) * (9.25%)</f>
        <v/>
      </c>
      <c r="O60" s="121">
        <f>2.36*8</f>
        <v/>
      </c>
      <c r="P60" s="447">
        <f>(F60 - (G60+I60+O60+(J60+K60+L60))) - (H60-M60-N60)</f>
        <v/>
      </c>
      <c r="Q60" s="1328">
        <f>P60/F60</f>
        <v/>
      </c>
      <c r="R60" s="394" t="n"/>
      <c r="S60" s="330" t="n">
        <v>0</v>
      </c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</row>
    <row r="61" ht="18.75" customHeight="1" s="1349">
      <c r="A61" s="310" t="inlineStr">
        <is>
          <t>5902737844</t>
        </is>
      </c>
      <c r="B61" s="402" t="n">
        <v>10034034166199</v>
      </c>
      <c r="C61" s="318" t="inlineStr">
        <is>
          <t>Vinilseg</t>
        </is>
      </c>
      <c r="D61" s="404" t="inlineStr">
        <is>
          <t>Macacão Segurança Kp400 Pvc Química Impermeável C/ziper</t>
        </is>
      </c>
      <c r="E61" s="359" t="n"/>
      <c r="F61" s="359" t="n">
        <v>115.23</v>
      </c>
      <c r="G61" s="321">
        <f>F61*19%</f>
        <v/>
      </c>
      <c r="H61" s="322" t="n">
        <v>-3.56</v>
      </c>
      <c r="I61" s="331" t="n">
        <v>18.85</v>
      </c>
      <c r="J61" s="321">
        <f>F61*18%</f>
        <v/>
      </c>
      <c r="K61" s="321">
        <f>(F61-J61)*1.65%</f>
        <v/>
      </c>
      <c r="L61" s="321">
        <f>(F61-J61)*7.6%</f>
        <v/>
      </c>
      <c r="M61" s="1120" t="n">
        <v>16.12</v>
      </c>
      <c r="N61" s="1120">
        <f>(G61+I61) * (9.25%)</f>
        <v/>
      </c>
      <c r="O61" s="121" t="n">
        <v>63</v>
      </c>
      <c r="P61" s="447">
        <f>(F61 - (G61+I61+O61+(J61+K61+L61))) - (H61-M61-N61)</f>
        <v/>
      </c>
      <c r="Q61" s="1328">
        <f>P61/F61</f>
        <v/>
      </c>
      <c r="R61" s="399" t="n"/>
      <c r="S61" s="330" t="n"/>
      <c r="T61" s="579" t="n"/>
      <c r="U61" s="579" t="n"/>
      <c r="V61" s="579" t="n"/>
      <c r="W61" s="579" t="n"/>
      <c r="X61" s="579" t="n"/>
      <c r="Y61" s="579" t="n"/>
      <c r="Z61" s="579" t="n"/>
      <c r="AA61" s="579" t="n"/>
      <c r="AB61" s="579" t="n"/>
      <c r="AC61" s="579" t="n"/>
      <c r="AD61" s="579" t="n"/>
      <c r="AE61" s="579" t="n"/>
      <c r="AF61" s="579" t="n"/>
      <c r="AG61" s="579" t="n"/>
    </row>
    <row r="62" ht="18.75" customHeight="1" s="1349">
      <c r="A62" s="310" t="inlineStr">
        <is>
          <t>4291633869</t>
        </is>
      </c>
      <c r="B62" s="402" t="n">
        <v>10034034167739</v>
      </c>
      <c r="C62" s="318" t="inlineStr">
        <is>
          <t>Plastcor</t>
        </is>
      </c>
      <c r="D62" s="404" t="inlineStr">
        <is>
          <t>Fita Zebrada Demarcação Sinalização 7cm X 200m 2un</t>
        </is>
      </c>
      <c r="E62" s="359" t="n"/>
      <c r="F62" s="359" t="n">
        <v>29.9</v>
      </c>
      <c r="G62" s="321">
        <f>F62*11.5%</f>
        <v/>
      </c>
      <c r="H62" s="322" t="n"/>
      <c r="I62" s="331" t="n">
        <v>6.75</v>
      </c>
      <c r="J62" s="321">
        <f>F62*18%</f>
        <v/>
      </c>
      <c r="K62" s="321">
        <f>(F62-J62)*1.65%</f>
        <v/>
      </c>
      <c r="L62" s="321">
        <f>(F62-J62)*7.6%</f>
        <v/>
      </c>
      <c r="M62" s="1120">
        <f>1.91*2</f>
        <v/>
      </c>
      <c r="N62" s="1120">
        <f>(G62+I62) * (9.25%)</f>
        <v/>
      </c>
      <c r="O62" s="121">
        <f>7.7*2</f>
        <v/>
      </c>
      <c r="P62" s="447">
        <f>(F62 - (G62+I62+O62+(J62+K62+L62))) - (H62-M62-N62)</f>
        <v/>
      </c>
      <c r="Q62" s="1328">
        <f>P62/F62</f>
        <v/>
      </c>
      <c r="R62" s="394" t="n"/>
      <c r="S62" s="33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 ht="18.75" customHeight="1" s="1349">
      <c r="A63" s="316" t="inlineStr">
        <is>
          <t>4510783193</t>
        </is>
      </c>
      <c r="B63" s="317" t="n">
        <v>10034034167091</v>
      </c>
      <c r="C63" s="318" t="inlineStr">
        <is>
          <t>TekBond</t>
        </is>
      </c>
      <c r="D63" s="265" t="inlineStr">
        <is>
          <t>Fita Adesiva Antiderrapante Transparente 50mmx5m Tekbond</t>
        </is>
      </c>
      <c r="E63" s="320" t="n"/>
      <c r="F63" s="320" t="n">
        <v>54.9</v>
      </c>
      <c r="G63" s="321">
        <f>F63*16.5%</f>
        <v/>
      </c>
      <c r="H63" s="322" t="n"/>
      <c r="I63" s="331" t="n">
        <v>7.95</v>
      </c>
      <c r="J63" s="321">
        <f>F63*18%</f>
        <v/>
      </c>
      <c r="K63" s="321">
        <f>(F63-J63)*1.65%</f>
        <v/>
      </c>
      <c r="L63" s="321">
        <f>(F63-J63)*7.6%</f>
        <v/>
      </c>
      <c r="M63" s="1120" t="n">
        <v>7.83</v>
      </c>
      <c r="N63" s="1120">
        <f>(G63+I63) * (9.25%)</f>
        <v/>
      </c>
      <c r="O63" s="197" t="n">
        <v>30.62</v>
      </c>
      <c r="P63" s="447">
        <f>(F63 - (G63+I63+O63+(J63+K63+L63))) - (H63-M63-N63)</f>
        <v/>
      </c>
      <c r="Q63" s="328">
        <f>P63/F63</f>
        <v/>
      </c>
      <c r="R63" s="400" t="inlineStr">
        <is>
          <t>Ativo</t>
        </is>
      </c>
      <c r="S63" s="33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4" ht="18.75" customHeight="1" s="1349">
      <c r="A64" s="310" t="inlineStr">
        <is>
          <t>4291327141</t>
        </is>
      </c>
      <c r="B64" s="402" t="n">
        <v>10034034167736</v>
      </c>
      <c r="C64" s="318" t="inlineStr">
        <is>
          <t>Plastcor</t>
        </is>
      </c>
      <c r="D64" s="404" t="inlineStr">
        <is>
          <t>Fita Zebrada Demarcação Segurança Isolamento 7cm X 200m 20un</t>
        </is>
      </c>
      <c r="E64" s="359" t="n"/>
      <c r="F64" s="359" t="n">
        <v>259</v>
      </c>
      <c r="G64" s="321">
        <f>F64*16.5%</f>
        <v/>
      </c>
      <c r="H64" s="322" t="n"/>
      <c r="I64" s="331" t="n">
        <v>28.35</v>
      </c>
      <c r="J64" s="321">
        <f>F64*18%</f>
        <v/>
      </c>
      <c r="K64" s="321">
        <f>(F64-J64)*1.65%</f>
        <v/>
      </c>
      <c r="L64" s="321">
        <f>(F64-J64)*7.6%</f>
        <v/>
      </c>
      <c r="M64" s="1120">
        <f>1.91*20</f>
        <v/>
      </c>
      <c r="N64" s="1120">
        <f>(G64+I64) * (9.25%)</f>
        <v/>
      </c>
      <c r="O64" s="121">
        <f>7.7*20</f>
        <v/>
      </c>
      <c r="P64" s="447">
        <f>(F64 - (G64+I64+O64+(J64+K64+L64))) - (H64-M64-N64)</f>
        <v/>
      </c>
      <c r="Q64" s="1328">
        <f>P64/F64</f>
        <v/>
      </c>
      <c r="R64" s="394" t="n"/>
      <c r="S64" s="33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</row>
    <row r="65" ht="18.75" customHeight="1" s="1349">
      <c r="A65" s="356" t="inlineStr">
        <is>
          <t>5249338012</t>
        </is>
      </c>
      <c r="B65" s="264" t="n">
        <v>10034034167321</v>
      </c>
      <c r="C65" s="318" t="inlineStr">
        <is>
          <t>Camper</t>
        </is>
      </c>
      <c r="D65" s="1310" t="inlineStr">
        <is>
          <t>Kit 8 Protetor Auditivo Auricular Acoplar Capacete 17db C/ca</t>
        </is>
      </c>
      <c r="E65" s="320" t="n"/>
      <c r="F65" s="320" t="n">
        <v>533.5</v>
      </c>
      <c r="G65" s="321">
        <f>F65*12%</f>
        <v/>
      </c>
      <c r="H65" s="831" t="n">
        <v>-16.5</v>
      </c>
      <c r="I65" s="1310" t="n">
        <v>26.95</v>
      </c>
      <c r="J65" s="321">
        <f>F65*18%</f>
        <v/>
      </c>
      <c r="K65" s="321">
        <f>(F65-J65)*1.65%</f>
        <v/>
      </c>
      <c r="L65" s="321">
        <f>(F65-J65)*7.6%</f>
        <v/>
      </c>
      <c r="M65" s="357" t="n"/>
      <c r="N65" s="357">
        <f>(G65+I65) * (9.25%)</f>
        <v/>
      </c>
      <c r="O65" s="492" t="n">
        <v>304.96</v>
      </c>
      <c r="P65" s="447">
        <f>(F65 - (G65+I65+O65+(J65+K65+L65))) - (H65-M65-N65)</f>
        <v/>
      </c>
      <c r="Q65" s="328">
        <f>P65/F65</f>
        <v/>
      </c>
      <c r="R65" s="400" t="inlineStr">
        <is>
          <t>Ativo</t>
        </is>
      </c>
      <c r="S65" s="330" t="n">
        <v>474</v>
      </c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</row>
    <row r="66" ht="18.75" customHeight="1" s="1349">
      <c r="A66" s="310" t="n"/>
      <c r="B66" s="402" t="n"/>
      <c r="C66" s="331" t="n"/>
      <c r="D66" s="381" t="inlineStr">
        <is>
          <t>KIT 50 CHUMBADOR PARABOLT CBA 3/8 X 80 AÇO FIXAÇÃO</t>
        </is>
      </c>
      <c r="E66" s="359" t="n"/>
      <c r="F66" s="359" t="n">
        <v>118</v>
      </c>
      <c r="G66" s="321">
        <f>F66*17%</f>
        <v/>
      </c>
      <c r="H66" s="296" t="n"/>
      <c r="I66" s="331" t="n">
        <v>7</v>
      </c>
      <c r="J66" s="321">
        <f>F66*18%</f>
        <v/>
      </c>
      <c r="K66" s="321">
        <f>(F66-J66)*1.65%</f>
        <v/>
      </c>
      <c r="L66" s="321">
        <f>(F66-J66)*7.6%</f>
        <v/>
      </c>
      <c r="M66" s="1120" t="n">
        <v>8</v>
      </c>
      <c r="N66" s="1120">
        <f>(G66+I66) * (9.25%)</f>
        <v/>
      </c>
      <c r="O66" s="515" t="n">
        <v>65.5</v>
      </c>
      <c r="P66" s="447">
        <f>(F66 - (G66+I66+O66+(J66+K66+L66))) - (H66-M66-N66)</f>
        <v/>
      </c>
      <c r="Q66" s="1328">
        <f>P66/F66</f>
        <v/>
      </c>
      <c r="R66" s="394" t="n"/>
      <c r="S66" s="33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</row>
    <row r="67" ht="18.75" customHeight="1" s="1349">
      <c r="A67" s="534" t="inlineStr">
        <is>
          <t>4735132157</t>
        </is>
      </c>
      <c r="B67" s="402" t="inlineStr">
        <is>
          <t>METALMAXIRWN115MM</t>
        </is>
      </c>
      <c r="C67" s="538" t="inlineStr">
        <is>
          <t>Irwin</t>
        </is>
      </c>
      <c r="D67" s="404" t="inlineStr">
        <is>
          <t>Kit 4 Disco Metalmax Diamante 115mm Mil Corte Premium Azul-marinho</t>
        </is>
      </c>
      <c r="E67" s="499" t="n"/>
      <c r="F67" s="499" t="n">
        <v>339</v>
      </c>
      <c r="G67" s="321">
        <f>F67*12%</f>
        <v/>
      </c>
      <c r="H67" s="124" t="n"/>
      <c r="I67" s="538" t="n">
        <v>22.55</v>
      </c>
      <c r="J67" s="366" t="n">
        <v>0</v>
      </c>
      <c r="K67" s="321">
        <f>(F67-J67)*1.65%</f>
        <v/>
      </c>
      <c r="L67" s="321">
        <f>(F67-J67)*7.6%</f>
        <v/>
      </c>
      <c r="M67" s="405">
        <f>5.33*4</f>
        <v/>
      </c>
      <c r="N67" s="405">
        <f>(G67+I67) * (9.25%)</f>
        <v/>
      </c>
      <c r="O67" s="274">
        <f>63.76*4</f>
        <v/>
      </c>
      <c r="P67" s="447">
        <f>(F67 - (G67+I67+O67+(J67+K67+L67))) - (H67-M67-N67)</f>
        <v/>
      </c>
      <c r="Q67" s="1328">
        <f>P67/F67</f>
        <v/>
      </c>
      <c r="R67" s="395" t="inlineStr">
        <is>
          <t>Ativo</t>
        </is>
      </c>
      <c r="S67" s="33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 ht="18.75" customHeight="1" s="1349">
      <c r="A68" s="310" t="inlineStr">
        <is>
          <t>6154859106</t>
        </is>
      </c>
      <c r="B68" s="402" t="n">
        <v>152</v>
      </c>
      <c r="C68" s="331" t="inlineStr">
        <is>
          <t>MARLUVAS</t>
        </is>
      </c>
      <c r="D68" s="404" t="inlineStr">
        <is>
          <t>Tenis Elástico Ocupacional Bidensidade Confortável Bico Pvc</t>
        </is>
      </c>
      <c r="E68" s="359" t="n"/>
      <c r="F68" s="359" t="n">
        <v>108.11</v>
      </c>
      <c r="G68" s="321">
        <f>F68*17%</f>
        <v/>
      </c>
      <c r="H68" s="322" t="n">
        <v>-2.57</v>
      </c>
      <c r="I68" s="331" t="n">
        <v>16.45</v>
      </c>
      <c r="J68" s="321">
        <f>F68*18%</f>
        <v/>
      </c>
      <c r="K68" s="321">
        <f>(F68-J68)*1.65%</f>
        <v/>
      </c>
      <c r="L68" s="321">
        <f>(F68-J68)*7.6%</f>
        <v/>
      </c>
      <c r="M68" s="1120" t="n">
        <v>11.62</v>
      </c>
      <c r="N68" s="1120">
        <f>(G68+I68) * (9.25%)</f>
        <v/>
      </c>
      <c r="O68" s="121" t="n">
        <v>57.7</v>
      </c>
      <c r="P68" s="447">
        <f>(F68 - (G68+I68+O68+(J68+K68+L68))) - (H68-M68-N68)</f>
        <v/>
      </c>
      <c r="Q68" s="1328">
        <f>P68/F68</f>
        <v/>
      </c>
      <c r="R68" s="394" t="n"/>
      <c r="S68" s="33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 ht="18.75" customHeight="1" s="1349">
      <c r="A69" s="406" t="inlineStr">
        <is>
          <t>5598500272</t>
        </is>
      </c>
      <c r="B69" s="1100" t="n">
        <v>10034034168221</v>
      </c>
      <c r="C69" s="318" t="inlineStr">
        <is>
          <t>MARLUVAS</t>
        </is>
      </c>
      <c r="D69" s="290" t="inlineStr">
        <is>
          <t>Botina Couro Premier Marluvas Antitorção Biqueira Plástico</t>
        </is>
      </c>
      <c r="E69" s="359" t="n"/>
      <c r="F69" s="499" t="n">
        <v>275.29</v>
      </c>
      <c r="G69" s="321">
        <f>F69*12%</f>
        <v/>
      </c>
      <c r="H69" s="124" t="n">
        <v>-7.47</v>
      </c>
      <c r="I69" s="331" t="n">
        <v>28.35</v>
      </c>
      <c r="J69" s="321">
        <f>F69*18%</f>
        <v/>
      </c>
      <c r="K69" s="321">
        <f>(F69-J69)*1.65%</f>
        <v/>
      </c>
      <c r="L69" s="321">
        <f>(F69-J69)*7.6%</f>
        <v/>
      </c>
      <c r="M69" s="1120" t="n">
        <v>36.03</v>
      </c>
      <c r="N69" s="1120">
        <f>(G69+I69) * (9.25%)</f>
        <v/>
      </c>
      <c r="O69" s="121" t="n">
        <v>178.91</v>
      </c>
      <c r="P69" s="447">
        <f>(F69 - (G69+I69+O69+(J69+K69+L69))) - (H69-M69-N69)</f>
        <v/>
      </c>
      <c r="Q69" s="328">
        <f>P69/F69</f>
        <v/>
      </c>
      <c r="R69" s="408" t="inlineStr">
        <is>
          <t>Ativo</t>
        </is>
      </c>
      <c r="S69" s="330" t="n">
        <v>0</v>
      </c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 ht="18.75" customHeight="1" s="1349">
      <c r="A70" s="310" t="inlineStr">
        <is>
          <t>6654250342</t>
        </is>
      </c>
      <c r="B70" s="402" t="n">
        <v>10034034168407</v>
      </c>
      <c r="C70" s="331" t="inlineStr">
        <is>
          <t>Atlas</t>
        </is>
      </c>
      <c r="D70" s="331" t="inlineStr">
        <is>
          <t>Kit 5 Broxa Retangular Atlas 800 18x8cm Escova Pintura Forte</t>
        </is>
      </c>
      <c r="E70" s="359" t="n"/>
      <c r="F70" s="359" t="n">
        <v>58.75</v>
      </c>
      <c r="G70" s="321">
        <f>F70*17%</f>
        <v/>
      </c>
      <c r="H70" s="296" t="n"/>
      <c r="I70" s="331" t="n">
        <v>7.95</v>
      </c>
      <c r="J70" s="321">
        <f>F70*18%</f>
        <v/>
      </c>
      <c r="K70" s="321">
        <f>(F70-J70)*1.65%</f>
        <v/>
      </c>
      <c r="L70" s="321">
        <f>(F70-J70)*7.6%</f>
        <v/>
      </c>
      <c r="M70" s="1120" t="n">
        <v>6.2</v>
      </c>
      <c r="N70" s="1120">
        <f>(G70+I70) * (9.25%)</f>
        <v/>
      </c>
      <c r="O70" s="515" t="n">
        <v>30.7</v>
      </c>
      <c r="P70" s="447">
        <f>(F70 - (G70+I70+O70+(J70+K70+L70))) - (H70-M70-N70)</f>
        <v/>
      </c>
      <c r="Q70" s="1328">
        <f>P70/F70</f>
        <v/>
      </c>
      <c r="R70" s="579" t="n"/>
      <c r="S70" s="33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 ht="18.75" customHeight="1" s="1349">
      <c r="A71" s="356" t="inlineStr">
        <is>
          <t>5367567226</t>
        </is>
      </c>
      <c r="B71" s="264" t="n">
        <v>10034034167376</v>
      </c>
      <c r="C71" s="318" t="inlineStr">
        <is>
          <t>New Lacre</t>
        </is>
      </c>
      <c r="D71" s="265" t="inlineStr">
        <is>
          <t>Kit 500 Abraçadeira Nylon Cintas Plásticas Reforçada 4,8x300</t>
        </is>
      </c>
      <c r="E71" s="320" t="n"/>
      <c r="F71" s="320" t="n">
        <v>78.98999999999999</v>
      </c>
      <c r="G71" s="321">
        <f>F71*12%</f>
        <v/>
      </c>
      <c r="H71" s="831" t="n">
        <v>-4.71</v>
      </c>
      <c r="I71" s="1310" t="n">
        <v>13.85</v>
      </c>
      <c r="J71" s="321">
        <f>F71*18%</f>
        <v/>
      </c>
      <c r="K71" s="321">
        <f>(F71-J71)*1.65%</f>
        <v/>
      </c>
      <c r="L71" s="321">
        <f>(F71-J71)*7.6%</f>
        <v/>
      </c>
      <c r="M71" s="1120" t="n">
        <v>9.65</v>
      </c>
      <c r="N71" s="1120">
        <f>(G71+I71) * (9.25%)</f>
        <v/>
      </c>
      <c r="O71" s="260">
        <f>9.6*5</f>
        <v/>
      </c>
      <c r="P71" s="447">
        <f>(F71 - (G71+I71+O71+(J71+K71+L71))) - (H71-M71-N71)</f>
        <v/>
      </c>
      <c r="Q71" s="328">
        <f>P71/F71</f>
        <v/>
      </c>
      <c r="R71" s="410" t="inlineStr">
        <is>
          <t>Ativo</t>
        </is>
      </c>
      <c r="S71" s="330" t="n">
        <v>177</v>
      </c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 ht="18.75" customHeight="1" s="1349">
      <c r="A72" s="310" t="inlineStr">
        <is>
          <t>4290895879</t>
        </is>
      </c>
      <c r="B72" s="402" t="n">
        <v>10034034167735</v>
      </c>
      <c r="C72" s="318" t="inlineStr">
        <is>
          <t>Plastcor</t>
        </is>
      </c>
      <c r="D72" s="404" t="inlineStr">
        <is>
          <t>Fita Zebrada Perímetro Sinalização Área Obra 70 X 200m 10un</t>
        </is>
      </c>
      <c r="E72" s="359" t="n"/>
      <c r="F72" s="359" t="n">
        <v>141.54</v>
      </c>
      <c r="G72" s="321">
        <f>F72*16.5%</f>
        <v/>
      </c>
      <c r="H72" s="322" t="n"/>
      <c r="I72" s="331" t="n">
        <v>21.05</v>
      </c>
      <c r="J72" s="321">
        <f>F72*18%</f>
        <v/>
      </c>
      <c r="K72" s="321">
        <f>(F72-J72)*1.65%</f>
        <v/>
      </c>
      <c r="L72" s="321">
        <f>(F72-J72)*7.6%</f>
        <v/>
      </c>
      <c r="M72" s="1120">
        <f>1.91*10</f>
        <v/>
      </c>
      <c r="N72" s="1120">
        <f>(G72+I72) * (9.25%)</f>
        <v/>
      </c>
      <c r="O72" s="121">
        <f>7.7*10</f>
        <v/>
      </c>
      <c r="P72" s="447">
        <f>(F72 - (G72+I72+O72+(J72+K72+L72))) - (H72-M72-N72)</f>
        <v/>
      </c>
      <c r="Q72" s="1328">
        <f>P72/F72</f>
        <v/>
      </c>
      <c r="R72" s="579" t="n"/>
      <c r="S72" s="330" t="n">
        <v>58</v>
      </c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 ht="18.75" customHeight="1" s="1349">
      <c r="A73" s="310" t="n"/>
      <c r="B73" s="402" t="n">
        <v>10034034168453</v>
      </c>
      <c r="C73" s="331" t="inlineStr">
        <is>
          <t>Delta plus</t>
        </is>
      </c>
      <c r="D73" s="331" t="inlineStr">
        <is>
          <t>Kit 3 Protetor Facial 8 Ajustável Incolor EPI CA 47620 JABRE</t>
        </is>
      </c>
      <c r="E73" s="359" t="n"/>
      <c r="F73" s="359" t="n">
        <v>106.5</v>
      </c>
      <c r="G73" s="321">
        <f>F73*17%</f>
        <v/>
      </c>
      <c r="H73" s="296" t="n"/>
      <c r="I73" s="331" t="n">
        <v>6.85</v>
      </c>
      <c r="J73" s="321">
        <f>F73*18%</f>
        <v/>
      </c>
      <c r="K73" s="321">
        <f>(F73-J73)*1.65%</f>
        <v/>
      </c>
      <c r="L73" s="321">
        <f>(F73-J73)*7.6%</f>
        <v/>
      </c>
      <c r="M73" s="378" t="n">
        <v>17.61</v>
      </c>
      <c r="N73" s="378">
        <f>(G73+I73) * (9.25%)</f>
        <v/>
      </c>
      <c r="O73" s="515" t="n">
        <v>68.84999999999999</v>
      </c>
      <c r="P73" s="447">
        <f>(F73 - (G73+I73+O73+(J73+K73+L73))) - (H73-M73-N73)</f>
        <v/>
      </c>
      <c r="Q73" s="1328">
        <f>P73/F73</f>
        <v/>
      </c>
      <c r="R73" s="579" t="n"/>
      <c r="S73" s="33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 ht="18.75" customHeight="1" s="1349">
      <c r="A74" s="310" t="n"/>
      <c r="B74" s="402" t="n">
        <v>10034034167364</v>
      </c>
      <c r="C74" s="331" t="inlineStr">
        <is>
          <t>EPI</t>
        </is>
      </c>
      <c r="D74" s="331" t="inlineStr">
        <is>
          <t>Perneira Raspa Valcan CA 25388 com Velcro EPI</t>
        </is>
      </c>
      <c r="E74" s="359" t="n"/>
      <c r="F74" s="359" t="n">
        <v>42.99</v>
      </c>
      <c r="G74" s="321">
        <f>F74*17%</f>
        <v/>
      </c>
      <c r="H74" s="296" t="n"/>
      <c r="I74" s="331" t="n">
        <v>7.95</v>
      </c>
      <c r="J74" s="321">
        <f>F74*18%</f>
        <v/>
      </c>
      <c r="K74" s="321">
        <f>(F74-J74)*1.65%</f>
        <v/>
      </c>
      <c r="L74" s="321">
        <f>(F74-J74)*7.6%</f>
        <v/>
      </c>
      <c r="M74" s="1120" t="n">
        <v>4.03</v>
      </c>
      <c r="N74" s="1120">
        <f>(G74+I74) * (9.25%)</f>
        <v/>
      </c>
      <c r="O74" s="121" t="n">
        <v>20</v>
      </c>
      <c r="P74" s="447">
        <f>(F74 - (G74+I74+O74+(J74+K74+L74))) - (H74-M74-N74)</f>
        <v/>
      </c>
      <c r="Q74" s="1328">
        <f>P74/F74</f>
        <v/>
      </c>
      <c r="R74" s="579" t="n"/>
      <c r="S74" s="330" t="n">
        <v>106</v>
      </c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 ht="18.75" customHeight="1" s="1349">
      <c r="A75" s="310" t="inlineStr">
        <is>
          <t>6207217500</t>
        </is>
      </c>
      <c r="B75" s="402" t="n">
        <v>10034034168129</v>
      </c>
      <c r="C75" s="331" t="inlineStr">
        <is>
          <t>ÂNCORA</t>
        </is>
      </c>
      <c r="D75" s="404" t="inlineStr">
        <is>
          <t>Kit 2 Ponteira Soquete Magnético 5/16 Bit Canhão Sextavado</t>
        </is>
      </c>
      <c r="E75" s="359" t="n"/>
      <c r="F75" s="359" t="n">
        <v>34.6</v>
      </c>
      <c r="G75" s="321">
        <f>F75*17%</f>
        <v/>
      </c>
      <c r="H75" s="322" t="n"/>
      <c r="I75" s="331" t="n">
        <v>6.65</v>
      </c>
      <c r="J75" s="321">
        <f>F75*18%</f>
        <v/>
      </c>
      <c r="K75" s="321">
        <f>(F75-J75)*1.65%</f>
        <v/>
      </c>
      <c r="L75" s="321">
        <f>(F75-J75)*7.6%</f>
        <v/>
      </c>
      <c r="M75" s="1120">
        <f>0.88*2</f>
        <v/>
      </c>
      <c r="N75" s="1120">
        <f>(G75+I75) * (9.25%)</f>
        <v/>
      </c>
      <c r="O75" s="121">
        <f>7.19*2</f>
        <v/>
      </c>
      <c r="P75" s="447">
        <f>(F75 - (G75+I75+O75+(J75+K75+L75))) - (H75-M75-N75)</f>
        <v/>
      </c>
      <c r="Q75" s="1328">
        <f>P75/F75</f>
        <v/>
      </c>
      <c r="R75" s="579" t="n"/>
      <c r="S75" s="33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 ht="18.75" customHeight="1" s="1349">
      <c r="A76" s="310" t="n"/>
      <c r="B76" s="402" t="n">
        <v>10034034168373</v>
      </c>
      <c r="C76" s="331" t="inlineStr">
        <is>
          <t>ÂNCORA</t>
        </is>
      </c>
      <c r="D76" s="398" t="inlineStr">
        <is>
          <t>KIT 10 CHUMBADOR PARABOLT CBA 1/4X2 AÇO FIXAÇÃO</t>
        </is>
      </c>
      <c r="E76" s="359" t="n"/>
      <c r="F76" s="359" t="n">
        <v>21.99</v>
      </c>
      <c r="G76" s="321">
        <f>F76*17%</f>
        <v/>
      </c>
      <c r="H76" s="296" t="n"/>
      <c r="I76" s="331" t="n">
        <v>7</v>
      </c>
      <c r="J76" s="321">
        <f>F76*18%</f>
        <v/>
      </c>
      <c r="K76" s="321">
        <f>(F76-J76)*1.65%</f>
        <v/>
      </c>
      <c r="L76" s="321">
        <f>(F76-J76)*7.6%</f>
        <v/>
      </c>
      <c r="M76" s="1120" t="n">
        <v>0.7</v>
      </c>
      <c r="N76" s="1120">
        <f>(G76+I76) * (9.25%)</f>
        <v/>
      </c>
      <c r="O76" s="515" t="n">
        <v>6.2</v>
      </c>
      <c r="P76" s="447">
        <f>(F76 - (G76+I76+O76+(J76+K76+L76))) - (H76-M76-N76)</f>
        <v/>
      </c>
      <c r="Q76" s="1328">
        <f>P76/F76</f>
        <v/>
      </c>
      <c r="R76" s="579" t="n"/>
      <c r="S76" s="33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 ht="18.75" customHeight="1" s="1349">
      <c r="A77" s="310" t="n"/>
      <c r="B77" s="402" t="n"/>
      <c r="C77" s="331" t="n"/>
      <c r="D77" s="411" t="inlineStr">
        <is>
          <t xml:space="preserve">KIT 50 CHUMBADOR PARABOLT CBA 1/2 X 3 AÇO FIXAÇÃO </t>
        </is>
      </c>
      <c r="E77" s="359" t="n"/>
      <c r="F77" s="359" t="n">
        <v>259</v>
      </c>
      <c r="G77" s="321">
        <f>F77*17%</f>
        <v/>
      </c>
      <c r="H77" s="296" t="n"/>
      <c r="I77" s="331" t="n">
        <v>7</v>
      </c>
      <c r="J77" s="321">
        <f>F77*18%</f>
        <v/>
      </c>
      <c r="K77" s="321">
        <f>(F77-J77)*1.65%</f>
        <v/>
      </c>
      <c r="L77" s="321">
        <f>(F77-J77)*7.6%</f>
        <v/>
      </c>
      <c r="M77" s="1120" t="n">
        <v>18.5</v>
      </c>
      <c r="N77" s="1120">
        <f>(G77+I77) * (9.25%)</f>
        <v/>
      </c>
      <c r="O77" s="515" t="n">
        <v>151.5</v>
      </c>
      <c r="P77" s="447">
        <f>(F77 - (G77+I77+O77+(J77+K77+L77))) - (H77-M77-N77)</f>
        <v/>
      </c>
      <c r="Q77" s="1328">
        <f>P77/F77</f>
        <v/>
      </c>
      <c r="R77" s="579" t="n"/>
      <c r="S77" s="33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 ht="18.75" customHeight="1" s="1349">
      <c r="A78" s="310" t="n"/>
      <c r="B78" s="402" t="n">
        <v>10034034166403</v>
      </c>
      <c r="C78" s="331" t="inlineStr">
        <is>
          <t>Delta plus</t>
        </is>
      </c>
      <c r="D78" s="331" t="inlineStr">
        <is>
          <t>Protetor Facial Máscara Lente Incolor 8" EPI CA 47620 JABRE</t>
        </is>
      </c>
      <c r="E78" s="359" t="n"/>
      <c r="F78" s="359" t="n">
        <v>43.3</v>
      </c>
      <c r="G78" s="321">
        <f>F78*17%</f>
        <v/>
      </c>
      <c r="H78" s="296" t="n"/>
      <c r="I78" s="331" t="n">
        <v>6.85</v>
      </c>
      <c r="J78" s="321">
        <f>F78*18%</f>
        <v/>
      </c>
      <c r="K78" s="321">
        <f>(F78-J78)*1.65%</f>
        <v/>
      </c>
      <c r="L78" s="321">
        <f>(F78-J78)*7.6%</f>
        <v/>
      </c>
      <c r="M78" s="378" t="n">
        <v>5.87</v>
      </c>
      <c r="N78" s="378">
        <f>(G78+I78) * (9.25%)</f>
        <v/>
      </c>
      <c r="O78" s="515" t="n">
        <v>22.95</v>
      </c>
      <c r="P78" s="447">
        <f>(F78 - (G78+I78+O78+(J78+K78+L78))) - (H78-M78-N78)</f>
        <v/>
      </c>
      <c r="Q78" s="1328">
        <f>P78/F78</f>
        <v/>
      </c>
      <c r="R78" s="579" t="n"/>
      <c r="S78" s="33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</row>
    <row r="79" ht="18.75" customHeight="1" s="1349">
      <c r="A79" s="412" t="n"/>
      <c r="B79" s="413" t="inlineStr">
        <is>
          <t>TRENAIRWIN5MKIT3</t>
        </is>
      </c>
      <c r="C79" s="414" t="inlineStr">
        <is>
          <t>Irwin</t>
        </is>
      </c>
      <c r="D79" s="425" t="inlineStr">
        <is>
          <t>Kit 5 Trena 5m Standard Premium Profissional Com Trava</t>
        </is>
      </c>
      <c r="E79" s="417" t="n"/>
      <c r="F79" s="417" t="n">
        <v>151.22</v>
      </c>
      <c r="G79" s="374">
        <f>F79*17%</f>
        <v/>
      </c>
      <c r="H79" s="783" t="n">
        <v>-4.77</v>
      </c>
      <c r="I79" s="418" t="n">
        <v>18.45</v>
      </c>
      <c r="J79" s="419" t="n">
        <v>0</v>
      </c>
      <c r="K79" s="420">
        <f>(F79-J79)*1.65%</f>
        <v/>
      </c>
      <c r="L79" s="420">
        <f>(F79-J79)*7.6%</f>
        <v/>
      </c>
      <c r="M79" s="1120">
        <f>1.66*5</f>
        <v/>
      </c>
      <c r="N79" s="1120">
        <f>(G79+I79) * (9.25%)</f>
        <v/>
      </c>
      <c r="O79" s="786">
        <f>20.47*5</f>
        <v/>
      </c>
      <c r="P79" s="134">
        <f>(F79 - (G79+I79+O79+(J79+K79+L79))) - (H79-M79-N79)</f>
        <v/>
      </c>
      <c r="Q79" s="137">
        <f>P79/F79</f>
        <v/>
      </c>
      <c r="R79" s="579" t="n"/>
      <c r="S79" s="33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</row>
    <row r="80" ht="18.75" customHeight="1" s="1349">
      <c r="A80" s="310" t="inlineStr">
        <is>
          <t>4371209595</t>
        </is>
      </c>
      <c r="B80" s="402" t="n">
        <v>10034034168051</v>
      </c>
      <c r="C80" s="318" t="inlineStr">
        <is>
          <t>TekBond</t>
        </is>
      </c>
      <c r="D80" s="404" t="inlineStr">
        <is>
          <t>Silicone Acético Transparente Construção Selante Blister 3un</t>
        </is>
      </c>
      <c r="E80" s="359" t="n"/>
      <c r="F80" s="359" t="n">
        <v>25.5</v>
      </c>
      <c r="G80" s="321">
        <f>F80*11.5%</f>
        <v/>
      </c>
      <c r="H80" s="322" t="n"/>
      <c r="I80" s="331" t="n">
        <v>6.75</v>
      </c>
      <c r="J80" s="321">
        <f>F80*18%</f>
        <v/>
      </c>
      <c r="K80" s="321">
        <f>(F80-J80)*1.65%</f>
        <v/>
      </c>
      <c r="L80" s="321">
        <f>(F80-J80)*7.6%</f>
        <v/>
      </c>
      <c r="M80" s="1120">
        <f>1.02*3</f>
        <v/>
      </c>
      <c r="N80" s="1120">
        <f>(G80+I80) * (9.25%)</f>
        <v/>
      </c>
      <c r="O80" s="121">
        <f>3.97*3</f>
        <v/>
      </c>
      <c r="P80" s="447">
        <f>(F80 - (G80+I80+O80+(J80+K80+L80))) - (H80-M80-N80)</f>
        <v/>
      </c>
      <c r="Q80" s="1328">
        <f>P80/F80</f>
        <v/>
      </c>
      <c r="R80" s="579" t="n"/>
      <c r="S80" s="33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</row>
    <row r="81" ht="18.75" customHeight="1" s="1349">
      <c r="A81" s="310" t="inlineStr">
        <is>
          <t>4300351237</t>
        </is>
      </c>
      <c r="B81" s="402" t="n">
        <v>10034034168298</v>
      </c>
      <c r="C81" s="318" t="inlineStr">
        <is>
          <t>ÂNCORA</t>
        </is>
      </c>
      <c r="D81" s="404" t="inlineStr">
        <is>
          <t>Kit 50 Chumbador Parabolt Pba 3/8 X 2.1/4 C/ Porca E Arruela</t>
        </is>
      </c>
      <c r="E81" s="359" t="n"/>
      <c r="F81" s="359" t="n">
        <v>105.89</v>
      </c>
      <c r="G81" s="321">
        <f>F81*12%</f>
        <v/>
      </c>
      <c r="H81" s="322" t="n"/>
      <c r="I81" s="331" t="n">
        <v>28.55</v>
      </c>
      <c r="J81" s="321">
        <f>F81*18%</f>
        <v/>
      </c>
      <c r="K81" s="321">
        <f>(F81-J81)*1.65%</f>
        <v/>
      </c>
      <c r="L81" s="321">
        <f>(F81-J81)*7.6%</f>
        <v/>
      </c>
      <c r="M81" s="1120" t="n">
        <v>5.28</v>
      </c>
      <c r="N81" s="1120">
        <f>(G81+I81) * (9.25%)</f>
        <v/>
      </c>
      <c r="O81" s="260" t="n">
        <v>41</v>
      </c>
      <c r="P81" s="447">
        <f>(F81 - (G81+I81+O81+(J81+K81+L81))) - (H81-M81-N81)</f>
        <v/>
      </c>
      <c r="Q81" s="1328">
        <f>P81/F81</f>
        <v/>
      </c>
      <c r="R81" s="579" t="n"/>
      <c r="S81" s="330" t="n">
        <v>982</v>
      </c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</row>
    <row r="82" ht="18.75" customHeight="1" s="1349">
      <c r="A82" s="310" t="n"/>
      <c r="B82" s="402" t="n">
        <v>10034034168375</v>
      </c>
      <c r="C82" s="331" t="inlineStr">
        <is>
          <t>ÂNCORA</t>
        </is>
      </c>
      <c r="D82" s="398" t="inlineStr">
        <is>
          <t>KIT 50 CHUMBADOR PARABOLT CBA 1/4X2 AÇO FIXAÇÃO</t>
        </is>
      </c>
      <c r="E82" s="359" t="n"/>
      <c r="F82" s="359" t="n">
        <v>63.1</v>
      </c>
      <c r="G82" s="321">
        <f>F82*17%</f>
        <v/>
      </c>
      <c r="H82" s="296" t="n"/>
      <c r="I82" s="331" t="n">
        <v>7</v>
      </c>
      <c r="J82" s="321">
        <f>F82*18%</f>
        <v/>
      </c>
      <c r="K82" s="321">
        <f>(F82-J82)*1.65%</f>
        <v/>
      </c>
      <c r="L82" s="321">
        <f>(F82-J82)*7.6%</f>
        <v/>
      </c>
      <c r="M82" s="1120" t="n">
        <v>3.5</v>
      </c>
      <c r="N82" s="1120">
        <f>(G82+I82) * (9.25%)</f>
        <v/>
      </c>
      <c r="O82" s="515" t="n">
        <v>31</v>
      </c>
      <c r="P82" s="447">
        <f>(F82 - (G82+I82+O82+(J82+K82+L82))) - (H82-M82-N82)</f>
        <v/>
      </c>
      <c r="Q82" s="1328">
        <f>P82/F82</f>
        <v/>
      </c>
      <c r="R82" s="579" t="n"/>
      <c r="S82" s="330" t="n">
        <v>76</v>
      </c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</row>
    <row r="83" ht="18.75" customHeight="1" s="1349">
      <c r="A83" s="316" t="inlineStr">
        <is>
          <t>5299327176</t>
        </is>
      </c>
      <c r="B83" s="317" t="n">
        <v>10034034167449</v>
      </c>
      <c r="C83" s="318" t="inlineStr">
        <is>
          <t>Delta plus</t>
        </is>
      </c>
      <c r="D83" s="265" t="inlineStr">
        <is>
          <t>Kit 20 Óculos Segurança Proteção Uv Sky Fume Incolor Ca39878</t>
        </is>
      </c>
      <c r="E83" s="320" t="n"/>
      <c r="F83" s="320" t="n">
        <v>73.5</v>
      </c>
      <c r="G83" s="321">
        <f>F83*12%</f>
        <v/>
      </c>
      <c r="H83" s="322" t="n">
        <v>-0.87</v>
      </c>
      <c r="I83" s="331" t="n">
        <v>8.85</v>
      </c>
      <c r="J83" s="321">
        <f>F83*18%</f>
        <v/>
      </c>
      <c r="K83" s="321">
        <f>(F83-J83)*1.65%</f>
        <v/>
      </c>
      <c r="L83" s="321">
        <f>(F83-J83)*7.6%</f>
        <v/>
      </c>
      <c r="M83" s="1120">
        <f>0.25*20</f>
        <v/>
      </c>
      <c r="N83" s="1120">
        <f>(G83+I83) * (9.25%)</f>
        <v/>
      </c>
      <c r="O83" s="197">
        <f>2.03*20</f>
        <v/>
      </c>
      <c r="P83" s="447">
        <f>(F83 - (G83+I83+O83+(J83+K83+L83))) - (H83-M83-N83)</f>
        <v/>
      </c>
      <c r="Q83" s="328">
        <f>P83/F83</f>
        <v/>
      </c>
      <c r="R83" s="421" t="inlineStr">
        <is>
          <t>Ativo</t>
        </is>
      </c>
      <c r="S83" s="330" t="n">
        <v>93</v>
      </c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</row>
    <row r="84" ht="18.75" customHeight="1" s="1349">
      <c r="A84" s="467" t="inlineStr">
        <is>
          <t>5532087762</t>
        </is>
      </c>
      <c r="B84" s="432" t="n">
        <v>10034034166653</v>
      </c>
      <c r="C84" s="318" t="inlineStr">
        <is>
          <t>Delta plus</t>
        </is>
      </c>
      <c r="D84" s="538" t="inlineStr">
        <is>
          <t>Abafador Concha Interlagos2 Antirruído Profissional 29 Db</t>
        </is>
      </c>
      <c r="E84" s="359" t="n"/>
      <c r="F84" s="359" t="n">
        <v>131.21</v>
      </c>
      <c r="G84" s="321">
        <f>F84*17%</f>
        <v/>
      </c>
      <c r="H84" s="296" t="n">
        <v>-5.87</v>
      </c>
      <c r="I84" s="331" t="n">
        <v>21.1</v>
      </c>
      <c r="J84" s="321">
        <f>F84*18%</f>
        <v/>
      </c>
      <c r="K84" s="321">
        <f>(F84-J84)*1.65%</f>
        <v/>
      </c>
      <c r="L84" s="321">
        <f>(F84-J84)*7.6%</f>
        <v/>
      </c>
      <c r="M84" s="1120" t="n">
        <v>17.34</v>
      </c>
      <c r="N84" s="1120">
        <f>(G84+I84) * (9.25%)</f>
        <v/>
      </c>
      <c r="O84" s="121" t="n">
        <v>74.39</v>
      </c>
      <c r="P84" s="447">
        <f>(F84 - (G84+I84+O84+(J84+K84+L84))) - (H84-M84-N84)</f>
        <v/>
      </c>
      <c r="Q84" s="328">
        <f>P84/F84</f>
        <v/>
      </c>
      <c r="R84" s="421" t="inlineStr">
        <is>
          <t>Ativo</t>
        </is>
      </c>
      <c r="S84" s="33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</row>
    <row r="85" ht="18.75" customHeight="1" s="1349">
      <c r="A85" s="356" t="inlineStr">
        <is>
          <t>5261257678</t>
        </is>
      </c>
      <c r="B85" s="317" t="n">
        <v>10034034166490</v>
      </c>
      <c r="C85" s="318" t="inlineStr">
        <is>
          <t>Irwin</t>
        </is>
      </c>
      <c r="D85" s="1310" t="inlineStr">
        <is>
          <t>Alicate Meia Cana 6 Pol Irwin Profissional Vise Grip 1000v</t>
        </is>
      </c>
      <c r="E85" s="320" t="n"/>
      <c r="F85" s="320" t="n">
        <v>77.91</v>
      </c>
      <c r="G85" s="321">
        <f>F85*12%</f>
        <v/>
      </c>
      <c r="H85" s="831" t="n"/>
      <c r="I85" s="331" t="n">
        <v>7.75</v>
      </c>
      <c r="J85" s="321">
        <f>F85*18%</f>
        <v/>
      </c>
      <c r="K85" s="321">
        <f>(F85-J85)*1.65%</f>
        <v/>
      </c>
      <c r="L85" s="321">
        <f>(F85-J85)*7.6%</f>
        <v/>
      </c>
      <c r="M85" s="1120" t="n">
        <v>3.33</v>
      </c>
      <c r="N85" s="1120">
        <f>(G85+I85) * (9.25%)</f>
        <v/>
      </c>
      <c r="O85" s="121" t="n">
        <v>41.57</v>
      </c>
      <c r="P85" s="447">
        <f>(F85 - (G85+I85+O85+(J85+K85+L85))) - (H85-M85-N85)</f>
        <v/>
      </c>
      <c r="Q85" s="328">
        <f>P85/F85</f>
        <v/>
      </c>
      <c r="R85" s="421" t="inlineStr">
        <is>
          <t>Ativo</t>
        </is>
      </c>
      <c r="S85" s="33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</row>
    <row r="86" ht="18.75" customHeight="1" s="1349">
      <c r="A86" s="310" t="inlineStr">
        <is>
          <t>6590073210 4645639763</t>
        </is>
      </c>
      <c r="B86" s="402" t="n">
        <v>10034034168369</v>
      </c>
      <c r="C86" s="331" t="inlineStr">
        <is>
          <t>Irwin</t>
        </is>
      </c>
      <c r="D86" s="404" t="inlineStr">
        <is>
          <t>Kit 5 Broca Aço Rápido Hss Serralheria 3/8 Alumínio Metal</t>
        </is>
      </c>
      <c r="E86" s="359" t="n"/>
      <c r="F86" s="359" t="n">
        <v>137.74</v>
      </c>
      <c r="G86" s="321">
        <f>F86*17%</f>
        <v/>
      </c>
      <c r="H86" s="296" t="n">
        <v>-6.12</v>
      </c>
      <c r="I86" s="331" t="n">
        <v>18.45</v>
      </c>
      <c r="J86" s="366" t="n">
        <v>0</v>
      </c>
      <c r="K86" s="321">
        <f>(F86-J86)*1.65%</f>
        <v/>
      </c>
      <c r="L86" s="321">
        <f>(F86-J86)*7.6%</f>
        <v/>
      </c>
      <c r="M86" s="1120">
        <f>1.45*5</f>
        <v/>
      </c>
      <c r="N86" s="1120">
        <f>(G86+I86) * (9.25%)</f>
        <v/>
      </c>
      <c r="O86" s="121">
        <f>18.58*5</f>
        <v/>
      </c>
      <c r="P86" s="447">
        <f>(F86 - (G86+I86+O86+(J86+K86+L86))) - (H86-M86-N86)</f>
        <v/>
      </c>
      <c r="Q86" s="1328">
        <f>P86/F86</f>
        <v/>
      </c>
      <c r="R86" s="579" t="n"/>
      <c r="S86" s="330" t="n">
        <v>1</v>
      </c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</row>
    <row r="87" ht="18.75" customHeight="1" s="1349">
      <c r="A87" s="406" t="n"/>
      <c r="B87" s="1100" t="n"/>
      <c r="C87" s="331" t="n"/>
      <c r="D87" s="424" t="inlineStr">
        <is>
          <t>Premier Premium</t>
        </is>
      </c>
      <c r="E87" s="359" t="n"/>
      <c r="F87" s="499" t="n">
        <v>315</v>
      </c>
      <c r="G87" s="321">
        <f>F87*17%</f>
        <v/>
      </c>
      <c r="H87" s="124" t="n"/>
      <c r="I87" s="538" t="n">
        <v>28.35</v>
      </c>
      <c r="J87" s="321">
        <f>F87*18%</f>
        <v/>
      </c>
      <c r="K87" s="321">
        <f>(F87-J87)*1.65%</f>
        <v/>
      </c>
      <c r="L87" s="321">
        <f>(F87-J87)*7.6%</f>
        <v/>
      </c>
      <c r="M87" s="1120" t="n">
        <v>36.03</v>
      </c>
      <c r="N87" s="1120">
        <f>(G87+I87) * (9.25%)</f>
        <v/>
      </c>
      <c r="O87" s="121" t="n">
        <v>178.91</v>
      </c>
      <c r="P87" s="447">
        <f>(F87 - (G87+I87+O87+(J87+K87+L87))) - (H87-M87-N87)</f>
        <v/>
      </c>
      <c r="Q87" s="328">
        <f>P87/F87</f>
        <v/>
      </c>
      <c r="R87" s="298" t="inlineStr">
        <is>
          <t>Ativo</t>
        </is>
      </c>
      <c r="S87" s="33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</row>
    <row r="88" ht="18.75" customHeight="1" s="1349">
      <c r="A88" s="310" t="inlineStr">
        <is>
          <t>4352995045</t>
        </is>
      </c>
      <c r="B88" s="402" t="n">
        <v>10034034168014</v>
      </c>
      <c r="C88" s="318" t="inlineStr">
        <is>
          <t>Nutriex</t>
        </is>
      </c>
      <c r="D88" s="404" t="inlineStr">
        <is>
          <t>Kit Repelente Expert Total Família Extrato Babosa Suave 10un</t>
        </is>
      </c>
      <c r="E88" s="359" t="n"/>
      <c r="F88" s="359" t="n">
        <v>174.99</v>
      </c>
      <c r="G88" s="321">
        <f>F88*17.5%</f>
        <v/>
      </c>
      <c r="H88" s="322" t="n"/>
      <c r="I88" s="331" t="n">
        <v>21.1</v>
      </c>
      <c r="J88" s="321">
        <f>F88*18%</f>
        <v/>
      </c>
      <c r="K88" s="321">
        <f>(F88-J88)*1.65%</f>
        <v/>
      </c>
      <c r="L88" s="321">
        <f>(F88-J88)*7.6%</f>
        <v/>
      </c>
      <c r="M88" s="1120">
        <f>1.81*9</f>
        <v/>
      </c>
      <c r="N88" s="1120">
        <f>(G88+I88) * (9.25%)</f>
        <v/>
      </c>
      <c r="O88" s="121">
        <f>9*10</f>
        <v/>
      </c>
      <c r="P88" s="447">
        <f>(F88 - (G88+I88+O88+(J88+K88+L88))) - (H88-M88-N88)</f>
        <v/>
      </c>
      <c r="Q88" s="1328">
        <f>P88/F88</f>
        <v/>
      </c>
      <c r="R88" s="579" t="n"/>
      <c r="S88" s="330" t="n">
        <v>32</v>
      </c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</row>
    <row r="89" ht="18.75" customHeight="1" s="1349">
      <c r="A89" s="310" t="inlineStr">
        <is>
          <t>4576846505</t>
        </is>
      </c>
      <c r="B89" s="402" t="inlineStr">
        <is>
          <t>MANGUITO-DELTA2</t>
        </is>
      </c>
      <c r="C89" s="331" t="inlineStr">
        <is>
          <t>Delta plus</t>
        </is>
      </c>
      <c r="D89" s="331" t="inlineStr">
        <is>
          <t>Manguito Anticorte Para Braço Ajustável Proteção EPI</t>
        </is>
      </c>
      <c r="E89" s="359" t="n"/>
      <c r="F89" s="359" t="n">
        <v>134.93</v>
      </c>
      <c r="G89" s="321">
        <f>F89*17%</f>
        <v/>
      </c>
      <c r="H89" s="296" t="n">
        <v>-1.35</v>
      </c>
      <c r="I89" s="331" t="n">
        <v>22.65</v>
      </c>
      <c r="J89" s="321">
        <f>F89*18%</f>
        <v/>
      </c>
      <c r="K89" s="321">
        <f>(F89-J89)*1.65%</f>
        <v/>
      </c>
      <c r="L89" s="321">
        <f>(F89-J89)*7.6%</f>
        <v/>
      </c>
      <c r="M89" s="1120" t="n">
        <v>18.21</v>
      </c>
      <c r="N89" s="1120">
        <f>(G89+I89) * (9.25%)</f>
        <v/>
      </c>
      <c r="O89" s="121" t="n">
        <v>71.19</v>
      </c>
      <c r="P89" s="447">
        <f>(F89 - (G89+I89+O89+(J89+K89+L89))) - (H89-M89-N89)</f>
        <v/>
      </c>
      <c r="Q89" s="1328">
        <f>P89/F89</f>
        <v/>
      </c>
      <c r="R89" s="579" t="n"/>
      <c r="S89" s="33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</row>
    <row r="90" ht="18.75" customHeight="1" s="1349">
      <c r="A90" s="310" t="inlineStr">
        <is>
          <t>5869281552</t>
        </is>
      </c>
      <c r="B90" s="402" t="n">
        <v>10034034167680</v>
      </c>
      <c r="C90" s="318" t="inlineStr">
        <is>
          <t>Norton</t>
        </is>
      </c>
      <c r="D90" s="1310" t="inlineStr">
        <is>
          <t>Kit Disco De Corte Bna12 15x1x2.23mm Corte Rápido Norton 8un</t>
        </is>
      </c>
      <c r="E90" s="359" t="n"/>
      <c r="F90" s="359" t="n">
        <v>74.03</v>
      </c>
      <c r="G90" s="374">
        <f>F90*17%</f>
        <v/>
      </c>
      <c r="H90" s="296" t="n"/>
      <c r="I90" s="331">
        <f>IFS(
  F90&lt;12.5, F90/2,
  F90&lt;29, 6.25,
  F90&lt;50, 6.5,
  F90&lt;=79, 6.75,
  TRUE, 25
)</f>
        <v/>
      </c>
      <c r="J90" s="321">
        <f>F90*18%</f>
        <v/>
      </c>
      <c r="K90" s="321">
        <f>(F90-J90)*1.65%</f>
        <v/>
      </c>
      <c r="L90" s="321">
        <f>(F90-J90)*7.6%</f>
        <v/>
      </c>
      <c r="M90" s="1120">
        <f>1.27*8</f>
        <v/>
      </c>
      <c r="N90" s="1120">
        <f>(G90+I90) * (9.25%)</f>
        <v/>
      </c>
      <c r="O90" s="121">
        <f>5.45*8</f>
        <v/>
      </c>
      <c r="P90" s="447">
        <f>(F90 - (G90+I90+O90+(J90+K90+L90))) - (H90-M90-N90)</f>
        <v/>
      </c>
      <c r="Q90" s="1328">
        <f>P90/F90</f>
        <v/>
      </c>
      <c r="R90" s="579" t="n"/>
      <c r="S90" s="33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</row>
    <row r="91" ht="18.75" customHeight="1" s="1349">
      <c r="A91" s="310" t="n"/>
      <c r="B91" s="402" t="n"/>
      <c r="C91" s="331" t="n"/>
      <c r="D91" s="381" t="inlineStr">
        <is>
          <t xml:space="preserve">KIT 50 CHUMBADOR PARABOLT CBA 1/2 X 4.1/2 AÇO FIXAÇÃO </t>
        </is>
      </c>
      <c r="E91" s="359" t="n"/>
      <c r="F91" s="359" t="n">
        <v>389.9</v>
      </c>
      <c r="G91" s="321">
        <f>F91*17%</f>
        <v/>
      </c>
      <c r="H91" s="296" t="n"/>
      <c r="I91" s="331" t="n">
        <v>7</v>
      </c>
      <c r="J91" s="321">
        <f>F91*18%</f>
        <v/>
      </c>
      <c r="K91" s="321">
        <f>(F91-J91)*1.65%</f>
        <v/>
      </c>
      <c r="L91" s="321">
        <f>(F91-J91)*7.6%</f>
        <v/>
      </c>
      <c r="M91" s="1120" t="n">
        <v>27.5</v>
      </c>
      <c r="N91" s="1120">
        <f>(G91+I91) * (9.25%)</f>
        <v/>
      </c>
      <c r="O91" s="515" t="n">
        <v>229.5</v>
      </c>
      <c r="P91" s="447">
        <f>(F91 - (G91+I91+O91+(J91+K91+L91))) - (H91-M91-N91)</f>
        <v/>
      </c>
      <c r="Q91" s="1328">
        <f>P91/F91</f>
        <v/>
      </c>
      <c r="R91" s="579" t="n"/>
      <c r="S91" s="33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</row>
    <row r="92" ht="18.75" customHeight="1" s="1349">
      <c r="A92" s="711" t="inlineStr">
        <is>
          <t>5661006466</t>
        </is>
      </c>
      <c r="B92" s="470" t="inlineStr">
        <is>
          <t>WELD_MASTER_DIR</t>
        </is>
      </c>
      <c r="C92" s="292" t="inlineStr">
        <is>
          <t>VOLK</t>
        </is>
      </c>
      <c r="D92" s="156" t="inlineStr">
        <is>
          <t>Luva Solda Weld Master Esquerda / Direita Unidade Punho 41cm</t>
        </is>
      </c>
      <c r="E92" s="515" t="n"/>
      <c r="F92" s="705" t="n">
        <v>49.4</v>
      </c>
      <c r="G92" s="447">
        <f>F92*17%</f>
        <v/>
      </c>
      <c r="H92" s="124" t="n">
        <v>-1.56</v>
      </c>
      <c r="I92" s="515">
        <f>IFS(
  F92&lt;12.5, F92/2,
  F92&lt;29, 6.25,
  F92&lt;50, 6.5,
  F92&lt;=79, 6.75,
  TRUE, 25
)</f>
        <v/>
      </c>
      <c r="J92" s="340">
        <f>F92*18%</f>
        <v/>
      </c>
      <c r="K92" s="340">
        <f>(F92-J92)*1.65%</f>
        <v/>
      </c>
      <c r="L92" s="340">
        <f>(F92-J92)*7.6%</f>
        <v/>
      </c>
      <c r="M92" s="1120">
        <f>6.52/2</f>
        <v/>
      </c>
      <c r="N92" s="1120">
        <f>(G92+I92) * (9.25%)</f>
        <v/>
      </c>
      <c r="O92" s="708">
        <f>50.62/2</f>
        <v/>
      </c>
      <c r="P92" s="447">
        <f>(F92 - (G92+I92+O92+(J92+K92+L92))) - (H92-M92-N92)</f>
        <v/>
      </c>
      <c r="Q92" s="328">
        <f>P92/F92</f>
        <v/>
      </c>
      <c r="R92" s="514" t="inlineStr">
        <is>
          <t>Ativo</t>
        </is>
      </c>
      <c r="S92" s="33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</row>
    <row r="93" ht="18.75" customHeight="1" s="1349">
      <c r="A93" s="310" t="inlineStr">
        <is>
          <t>4677521941</t>
        </is>
      </c>
      <c r="B93" s="402" t="n"/>
      <c r="C93" s="331" t="n"/>
      <c r="D93" s="331" t="inlineStr">
        <is>
          <t>Lixeira Grande 100l Retangular Pedal Preto Cesto Haste Metál</t>
        </is>
      </c>
      <c r="E93" s="359" t="n"/>
      <c r="F93" s="359" t="n">
        <v>439</v>
      </c>
      <c r="G93" s="321">
        <f>F93*17%</f>
        <v/>
      </c>
      <c r="H93" s="296" t="n"/>
      <c r="I93" s="331" t="n">
        <v>110.75</v>
      </c>
      <c r="J93" s="321">
        <f>F93*18%</f>
        <v/>
      </c>
      <c r="K93" s="321">
        <f>(F93-J93)*1.65%</f>
        <v/>
      </c>
      <c r="L93" s="321">
        <f>(F93-J93)*7.6%</f>
        <v/>
      </c>
      <c r="M93" s="378" t="n">
        <v>46.05</v>
      </c>
      <c r="N93" s="378">
        <f>(G93+I93) * (9.25%)</f>
        <v/>
      </c>
      <c r="O93" s="121" t="n">
        <v>180</v>
      </c>
      <c r="P93" s="447">
        <f>(F93 - (G93+I93+O93+(J93+K93+L93))) - (H93-M93-N93)</f>
        <v/>
      </c>
      <c r="Q93" s="1328">
        <f>P93/F93</f>
        <v/>
      </c>
      <c r="R93" s="579" t="n"/>
      <c r="S93" s="33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</row>
    <row r="94" ht="18.75" customHeight="1" s="1349">
      <c r="A94" s="310" t="inlineStr">
        <is>
          <t>5929240268</t>
        </is>
      </c>
      <c r="B94" s="402" t="n">
        <v>10034034167814</v>
      </c>
      <c r="C94" s="318" t="inlineStr">
        <is>
          <t>ÂNCORA</t>
        </is>
      </c>
      <c r="D94" s="404" t="inlineStr">
        <is>
          <t>Kit Fita Perfurada Aço Rígido Fixar Tubos 19mm X 30m 4un</t>
        </is>
      </c>
      <c r="E94" s="359" t="n"/>
      <c r="F94" s="359" t="n">
        <v>166.13</v>
      </c>
      <c r="G94" s="321">
        <f>F94*17%</f>
        <v/>
      </c>
      <c r="H94" s="322" t="n">
        <v>-5.14</v>
      </c>
      <c r="I94" s="331" t="n">
        <v>21.1</v>
      </c>
      <c r="J94" s="321">
        <f>F94*18%</f>
        <v/>
      </c>
      <c r="K94" s="321">
        <f>(F94-J94)*1.65%</f>
        <v/>
      </c>
      <c r="L94" s="321">
        <f>(F94-J94)*7.6%</f>
        <v/>
      </c>
      <c r="M94" s="1120">
        <f>2.66*4</f>
        <v/>
      </c>
      <c r="N94" s="1120">
        <f>(G94+I94) * (9.25%)</f>
        <v/>
      </c>
      <c r="O94" s="121">
        <f>21.32*4</f>
        <v/>
      </c>
      <c r="P94" s="447">
        <f>(F94 - (G94+I94+O94+(J94+K94+L94))) - (H94-M94-N94)</f>
        <v/>
      </c>
      <c r="Q94" s="1328">
        <f>P94/F94</f>
        <v/>
      </c>
      <c r="R94" s="579" t="n"/>
      <c r="S94" s="33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</row>
    <row r="95" ht="18.75" customHeight="1" s="1349">
      <c r="A95" s="310" t="inlineStr">
        <is>
          <t>6012194354</t>
        </is>
      </c>
      <c r="B95" s="402" t="n">
        <v>10034034167834</v>
      </c>
      <c r="C95" s="318" t="inlineStr">
        <is>
          <t>Nutriex</t>
        </is>
      </c>
      <c r="D95" s="404" t="inlineStr">
        <is>
          <t>Protetor Solar Fps 99 Profissional Proteção Extrema Raio Uva</t>
        </is>
      </c>
      <c r="E95" s="359" t="n"/>
      <c r="F95" s="359" t="n">
        <v>60.9</v>
      </c>
      <c r="G95" s="321">
        <f>F95*19%</f>
        <v/>
      </c>
      <c r="H95" s="322" t="n">
        <v>-2.55</v>
      </c>
      <c r="I95" s="331">
        <f>IFS(
  F95&lt;12.5, F95/2,
  F95&lt;29, 6.25,
  F95&lt;50, 6.5,
  F95&lt;=79, 6.75,
  TRUE, 25
)</f>
        <v/>
      </c>
      <c r="J95" s="321">
        <f>F95*18%</f>
        <v/>
      </c>
      <c r="K95" s="366" t="n">
        <v>0</v>
      </c>
      <c r="L95" s="366" t="n">
        <v>0</v>
      </c>
      <c r="M95" s="1120" t="n">
        <v>4.42</v>
      </c>
      <c r="N95" s="1120">
        <f>(G95+I95) * (9.25%)</f>
        <v/>
      </c>
      <c r="O95" s="121" t="n">
        <v>36.83</v>
      </c>
      <c r="P95" s="447">
        <f>(F95 - (G95+I95+O95+(J95+K95+L95))) - (H95-M95-N95)</f>
        <v/>
      </c>
      <c r="Q95" s="1328">
        <f>P95/F95</f>
        <v/>
      </c>
      <c r="R95" s="579" t="n"/>
      <c r="S95" s="33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</row>
    <row r="96" ht="18.75" customHeight="1" s="1349">
      <c r="A96" s="310" t="inlineStr">
        <is>
          <t>4291318083</t>
        </is>
      </c>
      <c r="B96" s="402" t="n">
        <v>10034034167737</v>
      </c>
      <c r="C96" s="318" t="inlineStr">
        <is>
          <t>Plastcor</t>
        </is>
      </c>
      <c r="D96" s="404" t="inlineStr">
        <is>
          <t>Fita Zebrada Isolamento Sinalização Rolo 70mm X 200m Kit 5un</t>
        </is>
      </c>
      <c r="E96" s="359" t="n"/>
      <c r="F96" s="359" t="n">
        <v>62.9</v>
      </c>
      <c r="G96" s="321">
        <f>F96*12%</f>
        <v/>
      </c>
      <c r="H96" s="322" t="n"/>
      <c r="I96" s="331" t="n">
        <v>8.15</v>
      </c>
      <c r="J96" s="321">
        <f>F96*18%</f>
        <v/>
      </c>
      <c r="K96" s="321">
        <f>(F96-J96)*1.65%</f>
        <v/>
      </c>
      <c r="L96" s="321">
        <f>(F96-J96)*7.6%</f>
        <v/>
      </c>
      <c r="M96" s="1120">
        <f>1.91*5</f>
        <v/>
      </c>
      <c r="N96" s="1120">
        <f>(G96+I96) * (9.25%)</f>
        <v/>
      </c>
      <c r="O96" s="121">
        <f>7.7*5</f>
        <v/>
      </c>
      <c r="P96" s="447">
        <f>(F96 - (G96+I96+O96+(J96+K96+L96))) - (H96-M96-N96)</f>
        <v/>
      </c>
      <c r="Q96" s="1328">
        <f>P96/F96</f>
        <v/>
      </c>
      <c r="R96" s="579" t="n"/>
      <c r="S96" s="33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</row>
    <row r="97" ht="18.75" customHeight="1" s="1349">
      <c r="A97" s="412" t="inlineStr">
        <is>
          <t>3110651542034387</t>
        </is>
      </c>
      <c r="B97" s="413" t="n">
        <v>10034034168472</v>
      </c>
      <c r="C97" s="425" t="inlineStr">
        <is>
          <t>Kalipso</t>
        </is>
      </c>
      <c r="D97" s="425" t="inlineStr">
        <is>
          <t>Kit 12 Óculos Segurança Ca11268 Leopardo Proteção Premium</t>
        </is>
      </c>
      <c r="E97" s="417" t="n"/>
      <c r="F97" s="417" t="n">
        <v>63.5</v>
      </c>
      <c r="G97" s="426">
        <f>F97*17%</f>
        <v/>
      </c>
      <c r="H97" s="427" t="n"/>
      <c r="I97" s="418" t="n">
        <v>7.95</v>
      </c>
      <c r="J97" s="420">
        <f>F97*18%</f>
        <v/>
      </c>
      <c r="K97" s="420">
        <f>(F97-J97)*1.65%</f>
        <v/>
      </c>
      <c r="L97" s="420">
        <f>(F97-J97)*7.6%</f>
        <v/>
      </c>
      <c r="M97" s="1120">
        <f>0.32*12</f>
        <v/>
      </c>
      <c r="N97" s="1120">
        <f>(G97+I97) * (9.25%)</f>
        <v/>
      </c>
      <c r="O97" s="786">
        <f>2.53*12</f>
        <v/>
      </c>
      <c r="P97" s="134">
        <f>(F97 - (G97+I97+O97+(J97+K97+L97))) - (H97-M97-N97)</f>
        <v/>
      </c>
      <c r="Q97" s="137">
        <f>P97/F97</f>
        <v/>
      </c>
      <c r="R97" s="579" t="n"/>
      <c r="S97" s="330" t="n">
        <v>26</v>
      </c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</row>
    <row r="98" ht="18.75" customHeight="1" s="1349">
      <c r="A98" s="310" t="inlineStr">
        <is>
          <t>4757247869720204</t>
        </is>
      </c>
      <c r="B98" s="402" t="n">
        <v>10034034168255</v>
      </c>
      <c r="C98" s="331" t="inlineStr">
        <is>
          <t>Handex</t>
        </is>
      </c>
      <c r="D98" s="404" t="inlineStr">
        <is>
          <t>Luva Segurança Cut Oil Anti Impacto Antiderrapante Revestida</t>
        </is>
      </c>
      <c r="E98" s="320" t="n"/>
      <c r="F98" s="320" t="n">
        <v>46.56</v>
      </c>
      <c r="G98" s="321">
        <f>F98*17%</f>
        <v/>
      </c>
      <c r="H98" s="831" t="n">
        <v>-2.79</v>
      </c>
      <c r="I98" s="1165" t="n">
        <v>7.85</v>
      </c>
      <c r="J98" s="321">
        <f>F98*18%</f>
        <v/>
      </c>
      <c r="K98" s="321">
        <f>(F98-J98)*1.65%</f>
        <v/>
      </c>
      <c r="L98" s="321">
        <f>(F98-J98)*7.6%</f>
        <v/>
      </c>
      <c r="M98" s="1120" t="n">
        <v>3.01</v>
      </c>
      <c r="N98" s="1120">
        <f>(G98+I98) * (9.25%)</f>
        <v/>
      </c>
      <c r="O98" s="786" t="n">
        <v>23.39</v>
      </c>
      <c r="P98" s="447">
        <f>(F98 - (G98+I98+O98+(J98+K98+L98))) - (H98-M98-N98)</f>
        <v/>
      </c>
      <c r="Q98" s="1328">
        <f>P98/F98</f>
        <v/>
      </c>
      <c r="R98" s="579" t="n"/>
      <c r="S98" s="330" t="n">
        <v>26</v>
      </c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</row>
    <row r="99" ht="18.75" customHeight="1" s="1349">
      <c r="A99" s="310" t="inlineStr">
        <is>
          <t>6154902818</t>
        </is>
      </c>
      <c r="B99" s="402" t="n">
        <v>10034034166512</v>
      </c>
      <c r="C99" s="331" t="inlineStr">
        <is>
          <t>Atlas</t>
        </is>
      </c>
      <c r="D99" s="404" t="inlineStr">
        <is>
          <t>Garfo De Pintura Estilo Gaiola Sem Rosca 23cm Pintura Obra</t>
        </is>
      </c>
      <c r="E99" s="359" t="n"/>
      <c r="F99" s="359" t="n">
        <v>19.4</v>
      </c>
      <c r="G99" s="321">
        <f>F99*16.5%</f>
        <v/>
      </c>
      <c r="H99" s="322" t="n">
        <v>-0.1</v>
      </c>
      <c r="I99" s="331" t="n">
        <v>6.65</v>
      </c>
      <c r="J99" s="321">
        <f>F99*18%</f>
        <v/>
      </c>
      <c r="K99" s="321">
        <f>(F99-J99)*1.65%</f>
        <v/>
      </c>
      <c r="L99" s="321">
        <f>(F99-J99)*7.6%</f>
        <v/>
      </c>
      <c r="M99" s="1120">
        <f>1.43*1</f>
        <v/>
      </c>
      <c r="N99" s="1120">
        <f>(G99+I99) * (9.25%)</f>
        <v/>
      </c>
      <c r="O99" s="121">
        <f>5.88*1</f>
        <v/>
      </c>
      <c r="P99" s="447">
        <f>(F99 - (G99+I99+O99+(J99+K99+L99))) - (H99-M99-N99)</f>
        <v/>
      </c>
      <c r="Q99" s="1328">
        <f>P99/F99</f>
        <v/>
      </c>
      <c r="R99" s="579" t="n"/>
      <c r="S99" s="330" t="n">
        <v>11</v>
      </c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</row>
    <row r="100" ht="18.75" customHeight="1" s="1349">
      <c r="A100" s="310" t="inlineStr">
        <is>
          <t>4095774975</t>
        </is>
      </c>
      <c r="B100" s="402" t="inlineStr">
        <is>
          <t>1014-R-T9</t>
        </is>
      </c>
      <c r="C100" s="331" t="inlineStr">
        <is>
          <t>Super Safety</t>
        </is>
      </c>
      <c r="D100" s="404" t="inlineStr">
        <is>
          <t>Luva Nitrílica Ss1014 Ca 38.646 Super Safety Antiderrapante</t>
        </is>
      </c>
      <c r="E100" s="359" t="n"/>
      <c r="F100" s="359" t="n">
        <v>46.89</v>
      </c>
      <c r="G100" s="321">
        <f>F100*12%</f>
        <v/>
      </c>
      <c r="H100" s="296" t="n"/>
      <c r="I100" s="331" t="n">
        <v>7.75</v>
      </c>
      <c r="J100" s="321">
        <f>F100*18%</f>
        <v/>
      </c>
      <c r="K100" s="321">
        <f>(F100-J100)*1.65%</f>
        <v/>
      </c>
      <c r="L100" s="321">
        <f>(F100-J100)*7.6%</f>
        <v/>
      </c>
      <c r="M100" s="1120" t="n">
        <v>2.95</v>
      </c>
      <c r="N100" s="1120">
        <f>(G100+I100) * (9.25%)</f>
        <v/>
      </c>
      <c r="O100" s="121" t="n">
        <v>22.9</v>
      </c>
      <c r="P100" s="447">
        <f>(F100 - (G100+I100+O100+(J100+K100+L100))) - (H100-M100-N100)</f>
        <v/>
      </c>
      <c r="Q100" s="1328">
        <f>P100/F100</f>
        <v/>
      </c>
      <c r="R100" s="579" t="n"/>
      <c r="S100" s="33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</row>
    <row r="101" ht="18.75" customHeight="1" s="1349">
      <c r="A101" s="429" t="inlineStr">
        <is>
          <t>4276205701 4276257313</t>
        </is>
      </c>
      <c r="B101" s="430" t="n">
        <v>912310</v>
      </c>
      <c r="C101" s="318" t="inlineStr">
        <is>
          <t>Nutriex</t>
        </is>
      </c>
      <c r="D101" s="1310" t="inlineStr">
        <is>
          <t>Protetor Solar Nutriex Profissional C/ Repelente Fator 60 4l</t>
        </is>
      </c>
      <c r="E101" s="320" t="n"/>
      <c r="F101" s="320" t="n">
        <v>628.2</v>
      </c>
      <c r="G101" s="374">
        <f>F101*14%</f>
        <v/>
      </c>
      <c r="H101" s="375" t="n"/>
      <c r="I101" s="431" t="n">
        <v>30.75</v>
      </c>
      <c r="J101" s="321">
        <f>F101*18%</f>
        <v/>
      </c>
      <c r="K101" s="366" t="n">
        <v>0</v>
      </c>
      <c r="L101" s="366" t="n">
        <v>0</v>
      </c>
      <c r="M101" s="1120" t="n">
        <v>50.4</v>
      </c>
      <c r="N101" s="1120">
        <f>(G101+I101) * (9.25%)</f>
        <v/>
      </c>
      <c r="O101" s="121" t="n">
        <v>419.99</v>
      </c>
      <c r="P101" s="447">
        <f>(F101 - (G101+I101+O101+(J101+K101+L101))) - (H101-M101-N101)</f>
        <v/>
      </c>
      <c r="Q101" s="1328">
        <f>P101/F101</f>
        <v/>
      </c>
      <c r="R101" s="579" t="n"/>
      <c r="S101" s="33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</row>
    <row r="102" ht="18.75" customHeight="1" s="1349">
      <c r="A102" s="310" t="n"/>
      <c r="B102" s="402" t="n"/>
      <c r="C102" s="331" t="n"/>
      <c r="D102" s="381" t="inlineStr">
        <is>
          <t xml:space="preserve">KIT 5 CHUMBADOR PARABOLT CBA 5/16 X 75 AÇO FIXAÇÃO </t>
        </is>
      </c>
      <c r="E102" s="359" t="n"/>
      <c r="F102" s="359" t="n">
        <v>20.89</v>
      </c>
      <c r="G102" s="321">
        <f>F102*17%</f>
        <v/>
      </c>
      <c r="H102" s="296" t="n"/>
      <c r="I102" s="331" t="n">
        <v>7</v>
      </c>
      <c r="J102" s="321">
        <f>F102*18%</f>
        <v/>
      </c>
      <c r="K102" s="321">
        <f>(F102-J102)*1.65%</f>
        <v/>
      </c>
      <c r="L102" s="321">
        <f>(F102-J102)*7.6%</f>
        <v/>
      </c>
      <c r="M102" s="1120" t="n">
        <v>0.65</v>
      </c>
      <c r="N102" s="1120">
        <f>(G102+I102) * (9.25%)</f>
        <v/>
      </c>
      <c r="O102" s="515" t="n">
        <v>5.35</v>
      </c>
      <c r="P102" s="447">
        <f>(F102 - (G102+I102+O102+(J102+K102+L102))) - (H102-M102-N102)</f>
        <v/>
      </c>
      <c r="Q102" s="1328">
        <f>P102/F102</f>
        <v/>
      </c>
      <c r="R102" s="579" t="n"/>
      <c r="S102" s="330" t="n">
        <v>0</v>
      </c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</row>
    <row r="103" ht="18.75" customHeight="1" s="1349">
      <c r="A103" s="310" t="n"/>
      <c r="B103" s="402" t="n"/>
      <c r="C103" s="331" t="n"/>
      <c r="D103" s="411" t="inlineStr">
        <is>
          <t xml:space="preserve">KIT 10 CHUMBADOR PARABOLT CBA 1/2 X 3 AÇO FIXAÇÃO </t>
        </is>
      </c>
      <c r="E103" s="359" t="n"/>
      <c r="F103" s="359" t="n">
        <v>62.3</v>
      </c>
      <c r="G103" s="321">
        <f>F103*17%</f>
        <v/>
      </c>
      <c r="H103" s="296" t="n"/>
      <c r="I103" s="331" t="n">
        <v>7</v>
      </c>
      <c r="J103" s="321">
        <f>F103*18%</f>
        <v/>
      </c>
      <c r="K103" s="321">
        <f>(F103-J103)*1.65%</f>
        <v/>
      </c>
      <c r="L103" s="321">
        <f>(F103-J103)*7.6%</f>
        <v/>
      </c>
      <c r="M103" s="1120" t="n">
        <v>3.7</v>
      </c>
      <c r="N103" s="1120">
        <f>(G103+I103) * (9.25%)</f>
        <v/>
      </c>
      <c r="O103" s="515" t="n">
        <v>30.3</v>
      </c>
      <c r="P103" s="447">
        <f>(F103 - (G103+I103+O103+(J103+K103+L103))) - (H103-M103-N103)</f>
        <v/>
      </c>
      <c r="Q103" s="1328">
        <f>P103/F103</f>
        <v/>
      </c>
      <c r="R103" s="579" t="n"/>
      <c r="S103" s="330" t="n">
        <v>1</v>
      </c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</row>
    <row r="104" ht="18.75" customHeight="1" s="1349">
      <c r="A104" s="316" t="inlineStr">
        <is>
          <t>4254559151</t>
        </is>
      </c>
      <c r="B104" s="317" t="n">
        <v>10034034167501</v>
      </c>
      <c r="C104" s="318" t="inlineStr">
        <is>
          <t>Bracol</t>
        </is>
      </c>
      <c r="D104" s="1310" t="inlineStr">
        <is>
          <t>Bota Galocha Acqualev Cano Longo Bico Aço Forração Interna</t>
        </is>
      </c>
      <c r="E104" s="320" t="n"/>
      <c r="F104" s="320" t="n">
        <v>105.73</v>
      </c>
      <c r="G104" s="321">
        <f>F104*12%</f>
        <v/>
      </c>
      <c r="H104" s="322" t="n">
        <v>-4.32</v>
      </c>
      <c r="I104" s="1310" t="n">
        <v>22.65</v>
      </c>
      <c r="J104" s="321">
        <f>F104*18%</f>
        <v/>
      </c>
      <c r="K104" s="321">
        <f>(F104-J104)*1.65%</f>
        <v/>
      </c>
      <c r="L104" s="321">
        <f>(F104-J104)*7.6%</f>
        <v/>
      </c>
      <c r="M104" s="1120" t="n">
        <v>11.2</v>
      </c>
      <c r="N104" s="1120">
        <f>(G104+I104) * (9.25%)</f>
        <v/>
      </c>
      <c r="O104" s="708" t="n">
        <v>55.61</v>
      </c>
      <c r="P104" s="447">
        <f>(F104 - (G104+I104+O104+(J104+K104+L104))) - (H104-M104-N104)</f>
        <v/>
      </c>
      <c r="Q104" s="328">
        <f>P104/F104</f>
        <v/>
      </c>
      <c r="R104" s="579" t="n"/>
      <c r="S104" s="33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</row>
    <row r="105" ht="18.75" customHeight="1" s="1349">
      <c r="A105" s="310" t="inlineStr">
        <is>
          <t>4319930445</t>
        </is>
      </c>
      <c r="B105" s="402" t="n">
        <v>10034034166787</v>
      </c>
      <c r="C105" s="318" t="inlineStr">
        <is>
          <t>ÂNCORA</t>
        </is>
      </c>
      <c r="D105" s="404" t="inlineStr">
        <is>
          <t>Arruela Lisa Zincada 1/2 M12 Barra Roscada Porca 1kg 100un</t>
        </is>
      </c>
      <c r="E105" s="359" t="n"/>
      <c r="F105" s="359" t="n">
        <v>40.65</v>
      </c>
      <c r="G105" s="321">
        <f>F105*17%</f>
        <v/>
      </c>
      <c r="H105" s="322" t="n">
        <v>-0.63</v>
      </c>
      <c r="I105" s="331" t="n">
        <v>6.75</v>
      </c>
      <c r="J105" s="321">
        <f>F105*18%</f>
        <v/>
      </c>
      <c r="K105" s="321">
        <f>(F105-J105)*1.65%</f>
        <v/>
      </c>
      <c r="L105" s="321">
        <f>(F105-J105)*7.6%</f>
        <v/>
      </c>
      <c r="M105" s="1120" t="n">
        <v>2.2</v>
      </c>
      <c r="N105" s="1120">
        <f>(G105+I105) * (9.25%)</f>
        <v/>
      </c>
      <c r="O105" s="121" t="n">
        <v>18.17</v>
      </c>
      <c r="P105" s="447">
        <f>(F105 - (G105+I105+O105+(J105+K105+L105))) - (H105-M105-N105)</f>
        <v/>
      </c>
      <c r="Q105" s="1328">
        <f>P105/F105</f>
        <v/>
      </c>
      <c r="R105" s="579" t="n"/>
      <c r="S105" s="33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</row>
    <row r="106" ht="18.75" customHeight="1" s="1349">
      <c r="A106" s="310" t="inlineStr">
        <is>
          <t>4642844935</t>
        </is>
      </c>
      <c r="B106" s="402" t="n">
        <v>10034034168427</v>
      </c>
      <c r="C106" s="331" t="inlineStr">
        <is>
          <t>Irwin</t>
        </is>
      </c>
      <c r="D106" s="404" t="inlineStr">
        <is>
          <t>Kit 10 Jogo Broca Aço Rápido 4mm Hss Alumínio Metal Premium</t>
        </is>
      </c>
      <c r="E106" s="359" t="n"/>
      <c r="F106" s="359" t="n">
        <v>66.5</v>
      </c>
      <c r="G106" s="321">
        <f>F106*17%</f>
        <v/>
      </c>
      <c r="H106" s="296" t="n"/>
      <c r="I106" s="331" t="n">
        <v>7.75</v>
      </c>
      <c r="J106" s="366" t="n">
        <v>0</v>
      </c>
      <c r="K106" s="321">
        <f>(F106-J106)*1.65%</f>
        <v/>
      </c>
      <c r="L106" s="321">
        <f>(F106-J106)*7.6%</f>
        <v/>
      </c>
      <c r="M106" s="378">
        <f>0.35*10</f>
        <v/>
      </c>
      <c r="N106" s="378">
        <f>(G106+I106) * (9.25%)</f>
        <v/>
      </c>
      <c r="O106" s="121">
        <f>4.24*10</f>
        <v/>
      </c>
      <c r="P106" s="447">
        <f>(F106 - (G106+I106+O106+(J106+K106+L106))) - (H106-M106-N106)</f>
        <v/>
      </c>
      <c r="Q106" s="1328">
        <f>P106/F106</f>
        <v/>
      </c>
      <c r="R106" s="579" t="n"/>
      <c r="S106" s="33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</row>
    <row r="107" ht="18.75" customHeight="1" s="1349">
      <c r="A107" s="310" t="n"/>
      <c r="B107" s="402" t="n"/>
      <c r="C107" s="331" t="n"/>
      <c r="D107" s="367" t="inlineStr">
        <is>
          <t>KIT 50 CHUMBADOR PARABOLT CBA 5/16 X 2.1/4 AÇO FIXAÇÃO</t>
        </is>
      </c>
      <c r="E107" s="359" t="n"/>
      <c r="F107" s="359" t="n">
        <v>89.8</v>
      </c>
      <c r="G107" s="321">
        <f>F107*17%</f>
        <v/>
      </c>
      <c r="H107" s="296" t="n"/>
      <c r="I107" s="331" t="n">
        <v>7</v>
      </c>
      <c r="J107" s="321">
        <f>F107*18%</f>
        <v/>
      </c>
      <c r="K107" s="321">
        <f>(F107-J107)*1.65%</f>
        <v/>
      </c>
      <c r="L107" s="321">
        <f>(F107-J107)*7.6%</f>
        <v/>
      </c>
      <c r="M107" s="1120" t="n">
        <v>5.5</v>
      </c>
      <c r="N107" s="1120">
        <f>(G107+I107) * (9.25%)</f>
        <v/>
      </c>
      <c r="O107" s="515" t="n">
        <v>46.5</v>
      </c>
      <c r="P107" s="447">
        <f>(F107 - (G107+I107+O107+(J107+K107+L107))) - (H107-M107-N107)</f>
        <v/>
      </c>
      <c r="Q107" s="1328">
        <f>P107/F107</f>
        <v/>
      </c>
      <c r="R107" s="579" t="n"/>
      <c r="S107" s="33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</row>
    <row r="108" ht="18.75" customHeight="1" s="1349">
      <c r="A108" s="310" t="inlineStr">
        <is>
          <t>4300117583</t>
        </is>
      </c>
      <c r="B108" s="402" t="n">
        <v>10034034167802</v>
      </c>
      <c r="C108" s="318" t="inlineStr">
        <is>
          <t>VOLK</t>
        </is>
      </c>
      <c r="D108" s="404" t="inlineStr">
        <is>
          <t>Kit 10 Luva Látex Natural Silver Antialérgica Limpeza Pesada</t>
        </is>
      </c>
      <c r="E108" s="359" t="n"/>
      <c r="F108" s="359" t="n">
        <v>71.34999999999999</v>
      </c>
      <c r="G108" s="321">
        <f>F108*14%</f>
        <v/>
      </c>
      <c r="H108" s="322" t="n">
        <v>-0.76</v>
      </c>
      <c r="I108" s="331">
        <f>IFS(
  F108&lt;12.5, F108/2,
  F108&lt;29, 6.25,
  F108&lt;50, 6.5,
  F108&lt;=79, 6.75,
  TRUE, 25
)</f>
        <v/>
      </c>
      <c r="J108" s="321">
        <f>F108*18%</f>
        <v/>
      </c>
      <c r="K108" s="321">
        <f>(F108-J108)*1.65%</f>
        <v/>
      </c>
      <c r="L108" s="321">
        <f>(F108-J108)*7.6%</f>
        <v/>
      </c>
      <c r="M108" s="1120">
        <f>0.5*10</f>
        <v/>
      </c>
      <c r="N108" s="1120">
        <f>(G108+I108) * (9.25%)</f>
        <v/>
      </c>
      <c r="O108" s="121">
        <f>3.92*10</f>
        <v/>
      </c>
      <c r="P108" s="447">
        <f>(F108 - (G108+I108+O108+(J108+K108+L108))) - (H108-M108-N108)</f>
        <v/>
      </c>
      <c r="Q108" s="1328">
        <f>P108/F108</f>
        <v/>
      </c>
      <c r="R108" s="579" t="n"/>
      <c r="S108" s="33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</row>
    <row r="109" ht="18.75" customHeight="1" s="1349">
      <c r="A109" s="310" t="inlineStr">
        <is>
          <t>6027548656</t>
        </is>
      </c>
      <c r="B109" s="402" t="n">
        <v>912302</v>
      </c>
      <c r="C109" s="331" t="inlineStr">
        <is>
          <t>Nutriex</t>
        </is>
      </c>
      <c r="D109" s="404" t="inlineStr">
        <is>
          <t>Protetor Solar Nutriex Profissional Com Repelente Fps30 Creme 2l Corpo</t>
        </is>
      </c>
      <c r="E109" s="359" t="n"/>
      <c r="F109" s="359" t="n">
        <v>190.1</v>
      </c>
      <c r="G109" s="321">
        <f>F109*14%</f>
        <v/>
      </c>
      <c r="H109" s="322" t="n">
        <v>-10.9</v>
      </c>
      <c r="I109" s="331" t="n">
        <v>24.95</v>
      </c>
      <c r="J109" s="321">
        <f>F109*18%</f>
        <v/>
      </c>
      <c r="K109" s="366" t="n">
        <v>0</v>
      </c>
      <c r="L109" s="366" t="n">
        <v>0</v>
      </c>
      <c r="M109" s="1120" t="n">
        <v>14.72</v>
      </c>
      <c r="N109" s="1120">
        <f>(G109+I109) * (9.25%)</f>
        <v/>
      </c>
      <c r="O109" s="260" t="n">
        <v>122.69</v>
      </c>
      <c r="P109" s="447">
        <f>(F109 - (G109+I109+O109+(J109+K109+L109))) - (H109-M109-N109)</f>
        <v/>
      </c>
      <c r="Q109" s="1328">
        <f>P109/F109</f>
        <v/>
      </c>
      <c r="R109" s="579" t="n"/>
      <c r="S109" s="33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</row>
    <row r="110" ht="18.75" customHeight="1" s="1349">
      <c r="A110" s="310" t="inlineStr">
        <is>
          <t>446059798663888</t>
        </is>
      </c>
      <c r="B110" s="432" t="n">
        <v>10034034168422</v>
      </c>
      <c r="C110" s="331" t="inlineStr">
        <is>
          <t>Kalipso</t>
        </is>
      </c>
      <c r="D110" s="331" t="inlineStr">
        <is>
          <t>Kit 10 Óculos Segurança Incolor/Cinza CA11268 Kalipso EPI</t>
        </is>
      </c>
      <c r="E110" s="359" t="n"/>
      <c r="F110" s="359" t="n">
        <v>48.49</v>
      </c>
      <c r="G110" s="321">
        <f>F110*12%</f>
        <v/>
      </c>
      <c r="H110" s="296" t="n">
        <v>-1.5</v>
      </c>
      <c r="I110" s="331" t="n">
        <v>7.85</v>
      </c>
      <c r="J110" s="321">
        <f>F110*18%</f>
        <v/>
      </c>
      <c r="K110" s="321">
        <f>(F110-J110)*1.65%</f>
        <v/>
      </c>
      <c r="L110" s="321">
        <f>(F110-J110)*7.6%</f>
        <v/>
      </c>
      <c r="M110" s="1120">
        <f>0.32*10</f>
        <v/>
      </c>
      <c r="N110" s="1120">
        <f>(G110+I110) * (9.25%)</f>
        <v/>
      </c>
      <c r="O110" s="121">
        <f>2.53*10</f>
        <v/>
      </c>
      <c r="P110" s="447">
        <f>(F110 - (G110+I110+O110+(J110+K110+L110))) - (H110-M110-N110)</f>
        <v/>
      </c>
      <c r="Q110" s="1328">
        <f>P110/F110</f>
        <v/>
      </c>
      <c r="R110" s="579" t="n"/>
      <c r="S110" s="330" t="n">
        <v>4</v>
      </c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</row>
    <row r="111" ht="18.75" customHeight="1" s="1349">
      <c r="A111" s="310" t="inlineStr">
        <is>
          <t>MLB6526561756</t>
        </is>
      </c>
      <c r="B111" s="402" t="n">
        <v>10034034166657</v>
      </c>
      <c r="C111" s="331" t="inlineStr">
        <is>
          <t>Irwin</t>
        </is>
      </c>
      <c r="D111" s="404" t="inlineStr">
        <is>
          <t>Kit Jogo Conjunto Broca Aço Rápido Hss 7pcs 2 A 6mm Premium</t>
        </is>
      </c>
      <c r="E111" s="359" t="n"/>
      <c r="F111" s="359" t="n">
        <v>75.66</v>
      </c>
      <c r="G111" s="321">
        <f>F111*17%</f>
        <v/>
      </c>
      <c r="H111" s="296" t="n">
        <v>-2.33</v>
      </c>
      <c r="I111" s="331" t="n">
        <v>7.75</v>
      </c>
      <c r="J111" s="366" t="n">
        <v>0</v>
      </c>
      <c r="K111" s="321">
        <f>(F111-J111)*1.65%</f>
        <v/>
      </c>
      <c r="L111" s="321">
        <f>(F111-J111)*7.6%</f>
        <v/>
      </c>
      <c r="M111" s="1120" t="n">
        <v>4.33</v>
      </c>
      <c r="N111" s="1120">
        <f>(G111+I111) * (9.25%)</f>
        <v/>
      </c>
      <c r="O111" s="121" t="n">
        <v>51.81</v>
      </c>
      <c r="P111" s="447">
        <f>(F111 - (G111+I111+O111+(J111+K111+L111))) - (H111-M111-N111)</f>
        <v/>
      </c>
      <c r="Q111" s="1328">
        <f>P111/F111</f>
        <v/>
      </c>
      <c r="R111" s="579" t="n"/>
      <c r="S111" s="33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</row>
    <row r="112" ht="18.75" customHeight="1" s="1349">
      <c r="A112" s="310" t="inlineStr">
        <is>
          <t>5929319224</t>
        </is>
      </c>
      <c r="B112" s="402" t="n">
        <v>10034034167823</v>
      </c>
      <c r="C112" s="318" t="inlineStr">
        <is>
          <t>ÂNCORA</t>
        </is>
      </c>
      <c r="D112" s="404" t="inlineStr">
        <is>
          <t>Kit Fita Perfurada Zincado Galvanizado 17mm X 30 Metros 4un</t>
        </is>
      </c>
      <c r="E112" s="359" t="n"/>
      <c r="F112" s="359" t="n">
        <v>190.12</v>
      </c>
      <c r="G112" s="321">
        <f>F112*17%</f>
        <v/>
      </c>
      <c r="H112" s="322" t="n">
        <v>-6.98</v>
      </c>
      <c r="I112" s="331" t="n">
        <v>21.1</v>
      </c>
      <c r="J112" s="321">
        <f>F112*18%</f>
        <v/>
      </c>
      <c r="K112" s="321">
        <f>(F112-J112)*1.65%</f>
        <v/>
      </c>
      <c r="L112" s="321">
        <f>(F112-J112)*7.6%</f>
        <v/>
      </c>
      <c r="M112" s="1120">
        <f>3.13*4</f>
        <v/>
      </c>
      <c r="N112" s="1120">
        <f>(G112+I112) * (9.25%)</f>
        <v/>
      </c>
      <c r="O112" s="121">
        <f>25.08*4</f>
        <v/>
      </c>
      <c r="P112" s="447">
        <f>(F112 - (G112+I112+O112+(J112+K112+L112))) - (H112-M112-N112)</f>
        <v/>
      </c>
      <c r="Q112" s="1328">
        <f>P112/F112</f>
        <v/>
      </c>
      <c r="R112" s="579" t="n"/>
      <c r="S112" s="33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</row>
    <row r="113" ht="18.75" customHeight="1" s="1349">
      <c r="A113" s="356" t="inlineStr">
        <is>
          <t>5742566404</t>
        </is>
      </c>
      <c r="B113" s="264" t="n">
        <v>10034034166874</v>
      </c>
      <c r="C113" s="318" t="inlineStr">
        <is>
          <t>Irwin</t>
        </is>
      </c>
      <c r="D113" s="1310" t="inlineStr">
        <is>
          <t>Mochila Ferramentas Profissional Irwin 14 Base Emborrachada</t>
        </is>
      </c>
      <c r="E113" s="320" t="n"/>
      <c r="F113" s="320" t="n">
        <v>517.97</v>
      </c>
      <c r="G113" s="321">
        <f>F113*17%</f>
        <v/>
      </c>
      <c r="H113" s="322" t="n">
        <v>-7.83</v>
      </c>
      <c r="I113" s="1310" t="n">
        <v>39.75</v>
      </c>
      <c r="J113" s="321">
        <f>F113*18%</f>
        <v/>
      </c>
      <c r="K113" s="321">
        <f>(F113-J113)*1.65%</f>
        <v/>
      </c>
      <c r="L113" s="321">
        <f>(F113-J113)*7.6%</f>
        <v/>
      </c>
      <c r="M113" s="1120" t="n">
        <v>83.87</v>
      </c>
      <c r="N113" s="1120">
        <f>(G113+I113) * (9.25%)</f>
        <v/>
      </c>
      <c r="O113" s="708" t="n">
        <v>327.81</v>
      </c>
      <c r="P113" s="447">
        <f>(F113 - (G113+I113+O113+(J113+K113+L113))) - (H113-M113-N113)</f>
        <v/>
      </c>
      <c r="Q113" s="328">
        <f>P113/F113</f>
        <v/>
      </c>
      <c r="R113" s="579" t="n"/>
      <c r="S113" s="33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</row>
    <row r="114" ht="18.75" customHeight="1" s="1349">
      <c r="A114" s="310" t="inlineStr">
        <is>
          <t>4424367879</t>
        </is>
      </c>
      <c r="B114" s="402" t="n">
        <v>10034034168113</v>
      </c>
      <c r="C114" s="331" t="inlineStr">
        <is>
          <t>ÂNCORA</t>
        </is>
      </c>
      <c r="D114" s="404" t="inlineStr">
        <is>
          <t>Kit 10 Bucha Nylon 8 Universal A8 Reforçada Sem Anel Fixação</t>
        </is>
      </c>
      <c r="E114" s="365" t="n"/>
      <c r="F114" s="365" t="n">
        <v>9.1</v>
      </c>
      <c r="G114" s="321">
        <f>F114*16.5%</f>
        <v/>
      </c>
      <c r="H114" s="322" t="n"/>
      <c r="I114" s="331">
        <f>IFS(
  F114&lt;12.5, F114/2,
  F114&lt;29, 6.25,
  F114&lt;50, 6.5,
  F114&lt;=79, 6.75,
  TRUE, 25
)</f>
        <v/>
      </c>
      <c r="J114" s="321">
        <f>F114*18%</f>
        <v/>
      </c>
      <c r="K114" s="321">
        <f>(F114-J114)*1.65%</f>
        <v/>
      </c>
      <c r="L114" s="321">
        <f>(F114-J114)*7.6%</f>
        <v/>
      </c>
      <c r="M114" s="357" t="n"/>
      <c r="N114" s="357">
        <f>(G114+I114) * (9.25%)</f>
        <v/>
      </c>
      <c r="O114" s="730">
        <f>6.91425/10</f>
        <v/>
      </c>
      <c r="P114" s="447">
        <f>(F114 - (G114+I114+O114+(J114+K114+L114))) - (H114-M114-N114)</f>
        <v/>
      </c>
      <c r="Q114" s="1328">
        <f>P114/F114</f>
        <v/>
      </c>
      <c r="R114" s="579" t="n"/>
      <c r="S114" s="33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</row>
    <row r="115" ht="18.75" customHeight="1" s="1349">
      <c r="A115" s="310" t="inlineStr">
        <is>
          <t>1193242778919970</t>
        </is>
      </c>
      <c r="B115" s="402" t="n">
        <v>10034034168201</v>
      </c>
      <c r="C115" s="331" t="inlineStr">
        <is>
          <t>Crival</t>
        </is>
      </c>
      <c r="D115" s="404" t="inlineStr">
        <is>
          <t>Bota Botina Taloneira Segurança Conforto Biqueira Pvc Epi Ca</t>
        </is>
      </c>
      <c r="E115" s="320" t="n"/>
      <c r="F115" s="320" t="n">
        <v>68.95999999999999</v>
      </c>
      <c r="G115" s="321">
        <f>F115*17%</f>
        <v/>
      </c>
      <c r="H115" s="322" t="n">
        <v>-2.13</v>
      </c>
      <c r="I115" s="1165" t="n">
        <v>8.15</v>
      </c>
      <c r="J115" s="321">
        <f>F115*18%</f>
        <v/>
      </c>
      <c r="K115" s="321">
        <f>(F115-J115)*1.65%</f>
        <v/>
      </c>
      <c r="L115" s="321">
        <f>(F115-J115)*7.6%</f>
        <v/>
      </c>
      <c r="M115" s="1120" t="n">
        <v>7.8</v>
      </c>
      <c r="N115" s="1120">
        <f>(G115+I115) * (9.25%)</f>
        <v/>
      </c>
      <c r="O115" s="786" t="n">
        <v>38.74</v>
      </c>
      <c r="P115" s="447">
        <f>(F115 - (G115+I115+O115+(J115+K115+L115))) - (H115-M115-N115)</f>
        <v/>
      </c>
      <c r="Q115" s="1328">
        <f>P115/F115</f>
        <v/>
      </c>
      <c r="R115" s="579" t="n"/>
      <c r="S115" s="33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</row>
    <row r="116" ht="18.75" customHeight="1" s="1349">
      <c r="A116" s="310" t="inlineStr">
        <is>
          <t>4325034181</t>
        </is>
      </c>
      <c r="B116" s="402" t="n">
        <v>10034034167660</v>
      </c>
      <c r="C116" s="318" t="inlineStr">
        <is>
          <t>Medix</t>
        </is>
      </c>
      <c r="D116" s="404" t="inlineStr">
        <is>
          <t>Luva Descartável de Látex com Pó Medix Cor Natural Tamanho M x 100 Unidades</t>
        </is>
      </c>
      <c r="E116" s="359" t="n"/>
      <c r="F116" s="359" t="n">
        <v>27.95</v>
      </c>
      <c r="G116" s="321">
        <f>F116*12%</f>
        <v/>
      </c>
      <c r="H116" s="322" t="n">
        <v>-1.67</v>
      </c>
      <c r="I116" s="331">
        <f>IFS(
  F116&lt;12.5, F116/2,
  F116&lt;29, 6.25,
  F116&lt;50, 6.5,
  F116&lt;=79, 6.75,
  TRUE, 25
)</f>
        <v/>
      </c>
      <c r="J116" s="321">
        <f>F116*18%</f>
        <v/>
      </c>
      <c r="K116" s="321">
        <f>(F116-J116)*1.65%</f>
        <v/>
      </c>
      <c r="L116" s="321">
        <f>(F116-J116)*7.6%</f>
        <v/>
      </c>
      <c r="M116" s="1120" t="n">
        <v>1.76</v>
      </c>
      <c r="N116" s="1120">
        <f>(G116+I116) * (9.25%)</f>
        <v/>
      </c>
      <c r="O116" s="121" t="n">
        <v>13.7</v>
      </c>
      <c r="P116" s="447">
        <f>(F116 - (G116+I116+O116+(J116+K116+L116))) - (H116-M116-N116)</f>
        <v/>
      </c>
      <c r="Q116" s="1328">
        <f>P116/F116</f>
        <v/>
      </c>
      <c r="R116" s="579" t="n"/>
      <c r="S116" s="33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</row>
    <row r="117" ht="18.75" customHeight="1" s="1349">
      <c r="A117" s="316" t="inlineStr">
        <is>
          <t>4134963641</t>
        </is>
      </c>
      <c r="B117" s="317" t="n">
        <v>912308</v>
      </c>
      <c r="C117" s="318" t="inlineStr">
        <is>
          <t>Nutriex</t>
        </is>
      </c>
      <c r="D117" s="1310" t="inlineStr">
        <is>
          <t>Creme Protetor Para Pele Luva Qúimica Grupo 3 Nutriex 1l</t>
        </is>
      </c>
      <c r="E117" s="320" t="n"/>
      <c r="F117" s="320" t="n">
        <v>43.31</v>
      </c>
      <c r="G117" s="321">
        <f>F117*12%</f>
        <v/>
      </c>
      <c r="H117" s="322" t="n">
        <v>-0.99</v>
      </c>
      <c r="I117" s="331">
        <f>IFS(
F117&lt;12.5, F117/2,
F117&lt;29, 6.25,
F117&lt;50, 6.5,
F117&lt;=79, 6.75,
TRUE, 
25)</f>
        <v/>
      </c>
      <c r="J117" s="321">
        <f>F117*18%</f>
        <v/>
      </c>
      <c r="K117" s="321">
        <f>(F117-J117)*1.65%</f>
        <v/>
      </c>
      <c r="L117" s="321">
        <f>(F117-J117)*7.6%</f>
        <v/>
      </c>
      <c r="M117" s="1120" t="n">
        <v>2.32</v>
      </c>
      <c r="N117" s="1120">
        <f>(G117+I117) * (9.25%)</f>
        <v/>
      </c>
      <c r="O117" s="121" t="n">
        <v>22.11</v>
      </c>
      <c r="P117" s="447">
        <f>(F117 - (G117+I117+O117+(J117+K117+L117))) - (H117-M117-N117)</f>
        <v/>
      </c>
      <c r="Q117" s="328">
        <f>P117/F117</f>
        <v/>
      </c>
      <c r="R117" s="421" t="inlineStr">
        <is>
          <t>Ativo</t>
        </is>
      </c>
      <c r="S117" s="33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</row>
    <row r="118" ht="18.75" customHeight="1" s="1349">
      <c r="A118" s="310" t="n"/>
      <c r="B118" s="402" t="n">
        <v>4598224673</v>
      </c>
      <c r="C118" s="331" t="inlineStr">
        <is>
          <t>ÂNCORA</t>
        </is>
      </c>
      <c r="D118" s="398" t="inlineStr">
        <is>
          <t>KIT 5 CHUMBADOR PARABOLT CBA 3/8 X 2.1/2 AÇO FIXAÇÃO</t>
        </is>
      </c>
      <c r="E118" s="359" t="n"/>
      <c r="F118" s="359" t="n">
        <v>22.2</v>
      </c>
      <c r="G118" s="321">
        <f>F118*17%</f>
        <v/>
      </c>
      <c r="H118" s="296" t="n"/>
      <c r="I118" s="331" t="n">
        <v>7</v>
      </c>
      <c r="J118" s="321">
        <f>F118*18%</f>
        <v/>
      </c>
      <c r="K118" s="321">
        <f>(F118-J118)*1.65%</f>
        <v/>
      </c>
      <c r="L118" s="321">
        <f>(F118-J118)*7.6%</f>
        <v/>
      </c>
      <c r="M118" s="1120" t="n">
        <v>0.75</v>
      </c>
      <c r="N118" s="1120">
        <f>(G118+I118) * (9.25%)</f>
        <v/>
      </c>
      <c r="O118" s="515" t="n">
        <v>6.05</v>
      </c>
      <c r="P118" s="447">
        <f>(F118 - (G118+I118+O118+(J118+K118+L118))) - (H118-M118-N118)</f>
        <v/>
      </c>
      <c r="Q118" s="1328">
        <f>P118/F118</f>
        <v/>
      </c>
      <c r="R118" s="579" t="n"/>
      <c r="S118" s="330" t="n">
        <v>275</v>
      </c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</row>
    <row r="119" ht="18.75" customHeight="1" s="1349">
      <c r="A119" s="310" t="inlineStr">
        <is>
          <t>6012881614</t>
        </is>
      </c>
      <c r="B119" s="402" t="n">
        <v>10034034168008</v>
      </c>
      <c r="C119" s="318" t="inlineStr">
        <is>
          <t>EPI</t>
        </is>
      </c>
      <c r="D119" s="404" t="inlineStr">
        <is>
          <t>Protetor Solar Fps 99 Facial Corporal Dupla Potencia 10un</t>
        </is>
      </c>
      <c r="E119" s="359" t="n"/>
      <c r="F119" s="359" t="n">
        <v>569.99</v>
      </c>
      <c r="G119" s="321">
        <f>F119*19%</f>
        <v/>
      </c>
      <c r="H119" s="322" t="n">
        <v>-18</v>
      </c>
      <c r="I119" s="331" t="n">
        <v>28.45</v>
      </c>
      <c r="J119" s="321">
        <f>F119*18%</f>
        <v/>
      </c>
      <c r="K119" s="366" t="n">
        <v>0</v>
      </c>
      <c r="L119" s="366" t="n">
        <v>0</v>
      </c>
      <c r="M119" s="357">
        <f>4.42*10</f>
        <v/>
      </c>
      <c r="N119" s="357">
        <f>(G119+I119) * (9.25%)</f>
        <v/>
      </c>
      <c r="O119" s="121">
        <f>36.83*10</f>
        <v/>
      </c>
      <c r="P119" s="447">
        <f>(F119 - (G119+I119+O119+(J119+K119+L119))) - (H119-M119-N119)</f>
        <v/>
      </c>
      <c r="Q119" s="1328">
        <f>P119/F119</f>
        <v/>
      </c>
      <c r="R119" s="579" t="n"/>
      <c r="S119" s="33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</row>
    <row r="120" ht="18.75" customHeight="1" s="1349">
      <c r="A120" s="310" t="inlineStr">
        <is>
          <t>4625283647</t>
        </is>
      </c>
      <c r="B120" s="402" t="n">
        <v>10034034168413</v>
      </c>
      <c r="C120" s="331" t="inlineStr">
        <is>
          <t>Camper</t>
        </is>
      </c>
      <c r="D120" s="331" t="inlineStr">
        <is>
          <t>Kit 10 Carneira Capacete EPI 6 Pontos Pino Ajuste Suspensão</t>
        </is>
      </c>
      <c r="E120" s="359" t="n"/>
      <c r="F120" s="359" t="n">
        <v>54.51</v>
      </c>
      <c r="G120" s="321">
        <f>F120*17%</f>
        <v/>
      </c>
      <c r="H120" s="296" t="n">
        <v>-2.43</v>
      </c>
      <c r="I120" s="331" t="n">
        <v>7.95</v>
      </c>
      <c r="J120" s="321">
        <f>F120*18%</f>
        <v/>
      </c>
      <c r="K120" s="321">
        <f>(F120-J120)*1.65%</f>
        <v/>
      </c>
      <c r="L120" s="321">
        <f>(F120-J120)*7.6%</f>
        <v/>
      </c>
      <c r="M120" s="1120" t="n">
        <v>6</v>
      </c>
      <c r="N120" s="1120">
        <f>(G120+I120) * (9.25%)</f>
        <v/>
      </c>
      <c r="O120" s="515" t="n">
        <v>29.8</v>
      </c>
      <c r="P120" s="447">
        <f>(F120 - (G120+I120+O120+(J120+K120+L120))) - (H120-M120-N120)</f>
        <v/>
      </c>
      <c r="Q120" s="1328">
        <f>P120/F120</f>
        <v/>
      </c>
      <c r="R120" s="579" t="n"/>
      <c r="S120" s="33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</row>
    <row r="121" ht="18.75" customHeight="1" s="1349">
      <c r="A121" s="429" t="inlineStr">
        <is>
          <t>5865999822</t>
        </is>
      </c>
      <c r="B121" s="386" t="n">
        <v>10034034168244</v>
      </c>
      <c r="C121" s="318" t="inlineStr">
        <is>
          <t>VOLK</t>
        </is>
      </c>
      <c r="D121" s="1310" t="inlineStr">
        <is>
          <t>Kit 6 Luva Verniz Silver Látex Proteção Química Impermeável</t>
        </is>
      </c>
      <c r="E121" s="359" t="n"/>
      <c r="F121" s="359" t="n">
        <v>53.54</v>
      </c>
      <c r="G121" s="374">
        <f>F121*18%</f>
        <v/>
      </c>
      <c r="H121" s="296" t="n">
        <v>-1.66</v>
      </c>
      <c r="I121" s="331" t="n">
        <v>8.15</v>
      </c>
      <c r="J121" s="321">
        <f>F121*18%</f>
        <v/>
      </c>
      <c r="K121" s="321">
        <f>(F121-J121)*1.65%</f>
        <v/>
      </c>
      <c r="L121" s="321">
        <f>(F121-J121)*7.6%</f>
        <v/>
      </c>
      <c r="M121" s="1120">
        <f>0.54*6</f>
        <v/>
      </c>
      <c r="N121" s="1120">
        <f>(G121+I121) * (9.25%)</f>
        <v/>
      </c>
      <c r="O121" s="121">
        <f>4.18*6</f>
        <v/>
      </c>
      <c r="P121" s="447">
        <f>(F121 - (G121+I121+O121+(J121+K121+L121))) - (H121-M121-N121)</f>
        <v/>
      </c>
      <c r="Q121" s="1328">
        <f>P121/F121</f>
        <v/>
      </c>
      <c r="R121" s="579" t="n"/>
      <c r="S121" s="33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</row>
    <row r="122" ht="18.75" customHeight="1" s="1349">
      <c r="A122" s="356" t="inlineStr">
        <is>
          <t>4133144131</t>
        </is>
      </c>
      <c r="B122" s="264" t="n">
        <v>82</v>
      </c>
      <c r="C122" s="318" t="inlineStr">
        <is>
          <t>Danny</t>
        </is>
      </c>
      <c r="D122" s="265" t="inlineStr">
        <is>
          <t>Luva Tricotada Poliamida Pigmentada Poliflex Resistente C/ca</t>
        </is>
      </c>
      <c r="E122" s="320" t="n"/>
      <c r="F122" s="320" t="n">
        <v>21.81</v>
      </c>
      <c r="G122" s="321">
        <f>F122*17%</f>
        <v/>
      </c>
      <c r="H122" s="831" t="n">
        <v>-0.62</v>
      </c>
      <c r="I122" s="331" t="n">
        <v>6.55</v>
      </c>
      <c r="J122" s="321">
        <f>F122*18%</f>
        <v/>
      </c>
      <c r="K122" s="321">
        <f>(F122-J122)*1.65%</f>
        <v/>
      </c>
      <c r="L122" s="321">
        <f>(F122-J122)*7.6%</f>
        <v/>
      </c>
      <c r="M122" s="1120" t="n">
        <v>0.9</v>
      </c>
      <c r="N122" s="1120">
        <f>(G122+I122) * (9.25%)</f>
        <v/>
      </c>
      <c r="O122" s="121" t="n">
        <v>6.99</v>
      </c>
      <c r="P122" s="447">
        <f>(F122 - (G122+I122+O122+(J122+K122+L122))) - (H122-M122-N122)</f>
        <v/>
      </c>
      <c r="Q122" s="328">
        <f>P122/F122</f>
        <v/>
      </c>
      <c r="R122" s="421" t="inlineStr">
        <is>
          <t>Ativo</t>
        </is>
      </c>
      <c r="S122" s="33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</row>
    <row r="123" ht="18.75" customHeight="1" s="1349">
      <c r="A123" s="310" t="inlineStr">
        <is>
          <t>5986048668</t>
        </is>
      </c>
      <c r="B123" s="402" t="n">
        <v>10034034167020</v>
      </c>
      <c r="C123" s="318" t="inlineStr">
        <is>
          <t>VOLK</t>
        </is>
      </c>
      <c r="D123" s="404" t="inlineStr">
        <is>
          <t>Luva Nitril Full Punho Liso Proteção Química Mecânica Epi</t>
        </is>
      </c>
      <c r="E123" s="359" t="n"/>
      <c r="F123" s="359" t="n">
        <v>19.99</v>
      </c>
      <c r="G123" s="321">
        <f>F123*17%</f>
        <v/>
      </c>
      <c r="H123" s="322" t="n">
        <v>-0.9</v>
      </c>
      <c r="I123" s="331" t="n">
        <v>6.55</v>
      </c>
      <c r="J123" s="321">
        <f>F123*18%</f>
        <v/>
      </c>
      <c r="K123" s="321">
        <f>(F123-J123)*1.65%</f>
        <v/>
      </c>
      <c r="L123" s="321">
        <f>(F123-J123)*7.6%</f>
        <v/>
      </c>
      <c r="M123" s="1120" t="n">
        <v>0.8</v>
      </c>
      <c r="N123" s="1120">
        <f>(G123+I123) * (9.25%)</f>
        <v/>
      </c>
      <c r="O123" s="121" t="n">
        <v>6.21</v>
      </c>
      <c r="P123" s="447">
        <f>(F123 - (G123+I123+O123+(J123+K123+L123))) - (H123-M123-N123)</f>
        <v/>
      </c>
      <c r="Q123" s="1328">
        <f>P123/F123</f>
        <v/>
      </c>
      <c r="R123" s="579" t="n"/>
      <c r="S123" s="33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</row>
    <row r="124" ht="18.75" customHeight="1" s="1349">
      <c r="A124" s="433" t="inlineStr">
        <is>
          <t>1865120469306001 4665089717</t>
        </is>
      </c>
      <c r="B124" s="434" t="n"/>
      <c r="C124" s="436" t="inlineStr">
        <is>
          <t>Kalipso</t>
        </is>
      </c>
      <c r="D124" s="436" t="inlineStr">
        <is>
          <t>Kit 24 Óculos Segurança Ca11268 Leopardo Proteção Premium</t>
        </is>
      </c>
      <c r="E124" s="417" t="n"/>
      <c r="F124" s="417" t="n">
        <v>126</v>
      </c>
      <c r="G124" s="426">
        <f>F124*17%</f>
        <v/>
      </c>
      <c r="H124" s="437" t="n">
        <v>-3.9</v>
      </c>
      <c r="I124" s="438" t="n">
        <v>18.45</v>
      </c>
      <c r="J124" s="439">
        <f>F124*18%</f>
        <v/>
      </c>
      <c r="K124" s="439">
        <f>(F124-J124)*1.65%</f>
        <v/>
      </c>
      <c r="L124" s="439">
        <f>(F124-J124)*7.6%</f>
        <v/>
      </c>
      <c r="M124" s="1120">
        <f>0.32*24</f>
        <v/>
      </c>
      <c r="N124" s="1120">
        <f>(G124+I124) * (9.25%)</f>
        <v/>
      </c>
      <c r="O124" s="786">
        <f>2.53*24</f>
        <v/>
      </c>
      <c r="P124" s="440">
        <f>(F124 - (G124+I124+O124+(J124+K124+L124))) - (H124-M124-N124)</f>
        <v/>
      </c>
      <c r="Q124" s="441">
        <f>P124/F124</f>
        <v/>
      </c>
      <c r="R124" s="579" t="n"/>
      <c r="S124" s="33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</row>
    <row r="125" ht="18.75" customHeight="1" s="1349">
      <c r="A125" s="310" t="inlineStr">
        <is>
          <t>4612423125</t>
        </is>
      </c>
      <c r="B125" s="402" t="n">
        <v>10034034168409</v>
      </c>
      <c r="C125" s="331" t="inlineStr">
        <is>
          <t>Irwin</t>
        </is>
      </c>
      <c r="D125" s="404" t="inlineStr">
        <is>
          <t>Kit 10 Broca Videa 5mm 3/16 Concreto Parede Alvenaria Tijolo</t>
        </is>
      </c>
      <c r="E125" s="359" t="n"/>
      <c r="F125" s="359" t="n">
        <v>69.37</v>
      </c>
      <c r="G125" s="321">
        <f>F125*12%</f>
        <v/>
      </c>
      <c r="H125" s="296" t="n">
        <v>-0.6899999999999999</v>
      </c>
      <c r="I125" s="331" t="n">
        <v>7.75</v>
      </c>
      <c r="J125" s="366" t="n">
        <v>0</v>
      </c>
      <c r="K125" s="321">
        <f>(F125-J125)*1.65%</f>
        <v/>
      </c>
      <c r="L125" s="321">
        <f>(F125-J125)*7.6%</f>
        <v/>
      </c>
      <c r="M125" s="378">
        <f>0.42*10</f>
        <v/>
      </c>
      <c r="N125" s="378">
        <f>(G125+I125) * (9.25%)</f>
        <v/>
      </c>
      <c r="O125" s="121">
        <f>4.86*10</f>
        <v/>
      </c>
      <c r="P125" s="447">
        <f>(F125 - (G125+I125+O125+(J125+K125+L125))) - (H125-M125-N125)</f>
        <v/>
      </c>
      <c r="Q125" s="1328">
        <f>P125/F125</f>
        <v/>
      </c>
      <c r="R125" s="579" t="n"/>
      <c r="S125" s="33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</row>
    <row r="126" ht="18.75" customHeight="1" s="1349">
      <c r="A126" s="310" t="inlineStr">
        <is>
          <t>4343694043</t>
        </is>
      </c>
      <c r="B126" s="402" t="n">
        <v>10034034166504</v>
      </c>
      <c r="C126" s="318" t="inlineStr">
        <is>
          <t>Irwin</t>
        </is>
      </c>
      <c r="D126" s="404" t="inlineStr">
        <is>
          <t>Trena De Medição 8m X 25mm Profissional Fita Aço Com Trava</t>
        </is>
      </c>
      <c r="E126" s="359" t="n"/>
      <c r="F126" s="359" t="n">
        <v>55.89</v>
      </c>
      <c r="G126" s="321">
        <f>F126*17%</f>
        <v/>
      </c>
      <c r="H126" s="322" t="n"/>
      <c r="I126" s="331">
        <f>IFS(
  F126&lt;12.5, F126/2,
  F126&lt;29, 6.25,
  F126&lt;50, 6.5,
  F126&lt;=79, 6.75,
  TRUE, 25
)</f>
        <v/>
      </c>
      <c r="J126" s="366" t="n">
        <v>0</v>
      </c>
      <c r="K126" s="321">
        <f>(F126-J126)*1.65%</f>
        <v/>
      </c>
      <c r="L126" s="321">
        <f>(F126-J126)*7.6%</f>
        <v/>
      </c>
      <c r="M126" s="1120" t="n">
        <v>2.8</v>
      </c>
      <c r="N126" s="1120">
        <f>(G126+I126) * (9.25%)</f>
        <v/>
      </c>
      <c r="O126" s="121" t="n">
        <v>34.98</v>
      </c>
      <c r="P126" s="447">
        <f>(F126 - (G126+I126+O126+(J126+K126+L126))) - (H126-M126-N126)</f>
        <v/>
      </c>
      <c r="Q126" s="1328">
        <f>P126/F126</f>
        <v/>
      </c>
      <c r="R126" s="579" t="n"/>
      <c r="S126" s="33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</row>
    <row r="127" ht="18.75" customHeight="1" s="1349">
      <c r="A127" s="310" t="inlineStr">
        <is>
          <t>6556395866</t>
        </is>
      </c>
      <c r="B127" s="402" t="n"/>
      <c r="C127" s="331" t="inlineStr">
        <is>
          <t>Thecom</t>
        </is>
      </c>
      <c r="D127" s="404" t="inlineStr">
        <is>
          <t>Avental Raspa Metalurgia Solda Sem Emenda Valcan 120x60cm</t>
        </is>
      </c>
      <c r="E127" s="359" t="n"/>
      <c r="F127" s="359" t="n">
        <v>47.53</v>
      </c>
      <c r="G127" s="321">
        <f>F127*17%</f>
        <v/>
      </c>
      <c r="H127" s="296" t="n">
        <v>-2.37</v>
      </c>
      <c r="I127" s="331" t="n">
        <v>7.95</v>
      </c>
      <c r="J127" s="321">
        <f>F127*18%</f>
        <v/>
      </c>
      <c r="K127" s="321">
        <f>(F127-J127)*1.65%</f>
        <v/>
      </c>
      <c r="L127" s="321">
        <f>(F127-J127)*7.6%</f>
        <v/>
      </c>
      <c r="M127" s="1120" t="n">
        <v>5.04</v>
      </c>
      <c r="N127" s="1120">
        <f>(G127+I127) * (9.25%)</f>
        <v/>
      </c>
      <c r="O127" s="121" t="n">
        <v>25</v>
      </c>
      <c r="P127" s="447">
        <f>(F127 - (G127+I127+O127+(J127+K127+L127))) - (H127-M127-N127)</f>
        <v/>
      </c>
      <c r="Q127" s="1328">
        <f>P127/F127</f>
        <v/>
      </c>
      <c r="R127" s="579" t="n"/>
      <c r="S127" s="33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 ht="18.75" customHeight="1" s="1349">
      <c r="A128" s="310" t="n"/>
      <c r="B128" s="402" t="n"/>
      <c r="C128" s="331" t="n"/>
      <c r="D128" s="381" t="inlineStr">
        <is>
          <t>KIT 5 CHUMBADOR PARABOLT CBA 3/8 X 80 AÇO FIXAÇÃO</t>
        </is>
      </c>
      <c r="E128" s="359" t="n"/>
      <c r="F128" s="359" t="n">
        <v>23.2</v>
      </c>
      <c r="G128" s="321">
        <f>F128*17%</f>
        <v/>
      </c>
      <c r="H128" s="296" t="n"/>
      <c r="I128" s="331" t="n">
        <v>7</v>
      </c>
      <c r="J128" s="321">
        <f>F128*18%</f>
        <v/>
      </c>
      <c r="K128" s="321">
        <f>(F128-J128)*1.65%</f>
        <v/>
      </c>
      <c r="L128" s="321">
        <f>(F128-J128)*7.6%</f>
        <v/>
      </c>
      <c r="M128" s="1120" t="n">
        <v>0.8</v>
      </c>
      <c r="N128" s="1120">
        <f>(G128+I128) * (9.25%)</f>
        <v/>
      </c>
      <c r="O128" s="515" t="n">
        <v>6.55</v>
      </c>
      <c r="P128" s="447">
        <f>(F128 - (G128+I128+O128+(J128+K128+L128))) - (H128-M128-N128)</f>
        <v/>
      </c>
      <c r="Q128" s="1328">
        <f>P128/F128</f>
        <v/>
      </c>
      <c r="R128" s="579" t="n"/>
      <c r="S128" s="33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</row>
    <row r="129" ht="18.75" customHeight="1" s="1349">
      <c r="A129" s="310" t="inlineStr">
        <is>
          <t>5957376040</t>
        </is>
      </c>
      <c r="B129" s="402" t="n">
        <v>10034034167864</v>
      </c>
      <c r="C129" s="318" t="inlineStr">
        <is>
          <t>ÂNCORA</t>
        </is>
      </c>
      <c r="D129" s="404" t="inlineStr">
        <is>
          <t>Arruela Lisa Zincada 1/2 Pol M12 Chumbador Porca 2kg 200un</t>
        </is>
      </c>
      <c r="E129" s="359" t="n"/>
      <c r="F129" s="359" t="n">
        <v>72.79000000000001</v>
      </c>
      <c r="G129" s="321">
        <f>F129*16.5%</f>
        <v/>
      </c>
      <c r="H129" s="322" t="n">
        <v>-1.97</v>
      </c>
      <c r="I129" s="331">
        <f>IFS(
  F129&lt;12.5, F129/2,
  F129&lt;29, 6.25,
  F129&lt;50, 6.5,
  F129&lt;=79, 6.75,
  TRUE, 25
)</f>
        <v/>
      </c>
      <c r="J129" s="321">
        <f>F129*18%</f>
        <v/>
      </c>
      <c r="K129" s="321">
        <f>(F129-J129)*1.65%</f>
        <v/>
      </c>
      <c r="L129" s="321">
        <f>(F129-J129)*7.6%</f>
        <v/>
      </c>
      <c r="M129" s="1120" t="n">
        <v>2.2</v>
      </c>
      <c r="N129" s="1120">
        <f>(G129+I129) * (9.25%)</f>
        <v/>
      </c>
      <c r="O129" s="121">
        <f>18.17*2</f>
        <v/>
      </c>
      <c r="P129" s="447">
        <f>(F129 - (G129+I129+O129+(J129+K129+L129))) - (H129-M129-N129)</f>
        <v/>
      </c>
      <c r="Q129" s="1328">
        <f>P129/F129</f>
        <v/>
      </c>
      <c r="R129" s="579" t="n"/>
      <c r="S129" s="33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</row>
    <row r="130" ht="18.75" customHeight="1" s="1349">
      <c r="A130" s="310" t="inlineStr">
        <is>
          <t>6687726672</t>
        </is>
      </c>
      <c r="B130" s="402" t="n">
        <v>10034034168406</v>
      </c>
      <c r="C130" s="331" t="inlineStr">
        <is>
          <t>Irwin</t>
        </is>
      </c>
      <c r="D130" s="404" t="inlineStr">
        <is>
          <t>Kit 10 Jogo Broca Aço Rápido 1/8 Hss Fura Alumínio Metal Pro</t>
        </is>
      </c>
      <c r="E130" s="359" t="n"/>
      <c r="F130" s="359" t="n">
        <v>57.23</v>
      </c>
      <c r="G130" s="321">
        <f>F130*17%</f>
        <v/>
      </c>
      <c r="H130" s="296" t="n">
        <v>-2.17</v>
      </c>
      <c r="I130" s="331" t="n">
        <v>7.75</v>
      </c>
      <c r="J130" s="366" t="n">
        <v>0</v>
      </c>
      <c r="K130" s="321">
        <f>(F130-J130)*1.65%</f>
        <v/>
      </c>
      <c r="L130" s="321">
        <f>(F130-J130)*7.6%</f>
        <v/>
      </c>
      <c r="M130" s="378">
        <f>0.32*10</f>
        <v/>
      </c>
      <c r="N130" s="378">
        <f>(G130+I130) * (9.25%)</f>
        <v/>
      </c>
      <c r="O130" s="121">
        <f>3.75*10</f>
        <v/>
      </c>
      <c r="P130" s="447">
        <f>(F130 - (G130+I130+O130+(J130+K130+L130))) - (H130-M130-N130)</f>
        <v/>
      </c>
      <c r="Q130" s="1328">
        <f>P130/F130</f>
        <v/>
      </c>
      <c r="R130" s="579" t="n"/>
      <c r="S130" s="33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</row>
    <row r="131" ht="18.75" customHeight="1" s="1349">
      <c r="A131" s="711" t="inlineStr">
        <is>
          <t>4198324181</t>
        </is>
      </c>
      <c r="B131" s="470" t="n">
        <v>10034034167560</v>
      </c>
      <c r="C131" s="1292" t="inlineStr">
        <is>
          <t>Nutriex</t>
        </is>
      </c>
      <c r="D131" s="444">
        <f>hyperlink("https://produto.mercadolivre.com.br/MLB-4198324181-kit-shampoo-condicionador-moranguinho-kids-nutriex-suave-_JM","Kit Shampoo + Condicionador Moranguinho Kids Nutriex Suave")</f>
        <v/>
      </c>
      <c r="E131" s="685" t="n"/>
      <c r="F131" s="705" t="n">
        <v>34.59</v>
      </c>
      <c r="G131" s="447">
        <f>F131*14%</f>
        <v/>
      </c>
      <c r="H131" s="833" t="n">
        <v>-2.07</v>
      </c>
      <c r="I131" s="866" t="n">
        <v>6.75</v>
      </c>
      <c r="J131" s="340">
        <f>F131*18%</f>
        <v/>
      </c>
      <c r="K131" s="450" t="n">
        <v>0</v>
      </c>
      <c r="L131" s="450" t="n">
        <v>0</v>
      </c>
      <c r="M131" s="1120" t="n">
        <v>2.39</v>
      </c>
      <c r="N131" s="1120">
        <f>(G131+I131) * (9.25%)</f>
        <v/>
      </c>
      <c r="O131" s="451" t="n">
        <v>19.9</v>
      </c>
      <c r="P131" s="1016">
        <f>(F131 - (G131+I131+O131+(J131+K131+L131))) - (H131-M131-N131)</f>
        <v/>
      </c>
      <c r="Q131" s="328">
        <f>P131/F131</f>
        <v/>
      </c>
      <c r="R131" s="1206" t="n"/>
      <c r="S131" s="33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</row>
    <row r="132" ht="18.75" customHeight="1" s="1349">
      <c r="A132" s="310" t="n"/>
      <c r="B132" s="402" t="n">
        <v>10034034168398</v>
      </c>
      <c r="C132" s="331" t="inlineStr">
        <is>
          <t>ÂNCORA</t>
        </is>
      </c>
      <c r="D132" s="398" t="inlineStr">
        <is>
          <t xml:space="preserve">KIT 5 CHUMBADOR PARABOLT CBA 3/8 X 3.1/2 AÇO FIXAÇÃO </t>
        </is>
      </c>
      <c r="E132" s="359" t="n"/>
      <c r="F132" s="359" t="n">
        <v>27.1</v>
      </c>
      <c r="G132" s="321">
        <f>F132*17%</f>
        <v/>
      </c>
      <c r="H132" s="296" t="n"/>
      <c r="I132" s="331" t="n">
        <v>7</v>
      </c>
      <c r="J132" s="321">
        <f>F132*18%</f>
        <v/>
      </c>
      <c r="K132" s="321">
        <f>(F132-J132)*1.65%</f>
        <v/>
      </c>
      <c r="L132" s="321">
        <f>(F132-J132)*7.6%</f>
        <v/>
      </c>
      <c r="M132" s="1120" t="n">
        <v>1.05</v>
      </c>
      <c r="N132" s="1120">
        <f>(G132+I132) * (9.25%)</f>
        <v/>
      </c>
      <c r="O132" s="515" t="n">
        <v>8.800000000000001</v>
      </c>
      <c r="P132" s="447">
        <f>(F132 - (G132+I132+O132+(J132+K132+L132))) - (H132-M132-N132)</f>
        <v/>
      </c>
      <c r="Q132" s="1328">
        <f>P132/F132</f>
        <v/>
      </c>
      <c r="R132" s="579" t="n"/>
      <c r="S132" s="330" t="n">
        <v>3</v>
      </c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</row>
    <row r="133" ht="18.75" customHeight="1" s="1349">
      <c r="A133" s="310" t="inlineStr">
        <is>
          <t>4342777621</t>
        </is>
      </c>
      <c r="B133" s="402" t="n">
        <v>10034034167595</v>
      </c>
      <c r="C133" s="318" t="inlineStr">
        <is>
          <t>Plastcor</t>
        </is>
      </c>
      <c r="D133" s="404" t="inlineStr">
        <is>
          <t>Fita Adesiva Cuidado Frágil 48mm X 100m Mudança Kit 10un</t>
        </is>
      </c>
      <c r="E133" s="359" t="n"/>
      <c r="F133" s="359" t="n">
        <v>116.3</v>
      </c>
      <c r="G133" s="321">
        <f>F133*16.5%</f>
        <v/>
      </c>
      <c r="H133" s="322" t="n">
        <v>-3.6</v>
      </c>
      <c r="I133" s="331" t="n">
        <v>18.86</v>
      </c>
      <c r="J133" s="321">
        <f>F133*18%</f>
        <v/>
      </c>
      <c r="K133" s="321">
        <f>(F133-J133)*1.65%</f>
        <v/>
      </c>
      <c r="L133" s="321">
        <f>(F133-J133)*7.6%</f>
        <v/>
      </c>
      <c r="M133" s="1120">
        <f>1.63*10</f>
        <v/>
      </c>
      <c r="N133" s="1120">
        <f>(G133+I133) * (9.25%)</f>
        <v/>
      </c>
      <c r="O133" s="121">
        <f>6.38*10</f>
        <v/>
      </c>
      <c r="P133" s="447">
        <f>(F133 - (G133+I133+O133+(J133+K133+L133))) - (H133-M133-N133)</f>
        <v/>
      </c>
      <c r="Q133" s="1328">
        <f>P133/F133</f>
        <v/>
      </c>
      <c r="R133" s="579" t="n"/>
      <c r="S133" s="330" t="n">
        <v>9</v>
      </c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</row>
    <row r="134" ht="18.75" customHeight="1" s="1349">
      <c r="A134" s="310" t="inlineStr">
        <is>
          <t>4294577981</t>
        </is>
      </c>
      <c r="B134" s="402" t="n">
        <v>10034034167763</v>
      </c>
      <c r="C134" s="318" t="inlineStr">
        <is>
          <t>VOLK</t>
        </is>
      </c>
      <c r="D134" s="404" t="inlineStr">
        <is>
          <t>Kit Luva Grip Tricotada Reforçada Volk Tamanho G 12 Pares</t>
        </is>
      </c>
      <c r="E134" s="359" t="n"/>
      <c r="F134" s="359" t="n">
        <v>134.95</v>
      </c>
      <c r="G134" s="321">
        <f>F134*17%</f>
        <v/>
      </c>
      <c r="H134" s="322" t="n">
        <v>-1.3</v>
      </c>
      <c r="I134" s="331" t="n">
        <v>19.25</v>
      </c>
      <c r="J134" s="321">
        <f>F134*18%</f>
        <v/>
      </c>
      <c r="K134" s="321">
        <f>(F134-J134)*1.65%</f>
        <v/>
      </c>
      <c r="L134" s="321">
        <f>(F134-J134)*7.6%</f>
        <v/>
      </c>
      <c r="M134" s="1120">
        <f>1.14*12</f>
        <v/>
      </c>
      <c r="N134" s="1120">
        <f>(G134+I134) * (9.25%)</f>
        <v/>
      </c>
      <c r="O134" s="453">
        <f>5.64*12</f>
        <v/>
      </c>
      <c r="P134" s="447">
        <f>(F134 - (G134+I134+O134+(J134+K134+L134))) - (H134-M134-N134)</f>
        <v/>
      </c>
      <c r="Q134" s="1328">
        <f>P134/F134</f>
        <v/>
      </c>
      <c r="R134" s="579" t="n"/>
      <c r="S134" s="33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</row>
    <row r="135" ht="18.75" customHeight="1" s="1349">
      <c r="A135" s="388" t="inlineStr">
        <is>
          <t>4270360673</t>
        </is>
      </c>
      <c r="B135" s="389" t="n">
        <v>10034034167635</v>
      </c>
      <c r="C135" s="369" t="inlineStr">
        <is>
          <t>EPI</t>
        </is>
      </c>
      <c r="D135" s="390" t="inlineStr">
        <is>
          <t>Bota Pvc All Work Forro Impermeável Antiderrapante Marluvas</t>
        </is>
      </c>
      <c r="E135" s="320" t="n"/>
      <c r="F135" s="320" t="n">
        <v>53.9</v>
      </c>
      <c r="G135" s="321">
        <f>F135*12%</f>
        <v/>
      </c>
      <c r="H135" s="322" t="n"/>
      <c r="I135" s="331" t="n">
        <v>8.949999999999999</v>
      </c>
      <c r="J135" s="321">
        <f>F135*18%</f>
        <v/>
      </c>
      <c r="K135" s="321">
        <f>(F135-J135)*1.65%</f>
        <v/>
      </c>
      <c r="L135" s="321">
        <f>(F135-J135)*7.6%</f>
        <v/>
      </c>
      <c r="M135" s="1120" t="n">
        <v>5.63</v>
      </c>
      <c r="N135" s="1120">
        <f>(G135+I135) * (9.25%)</f>
        <v/>
      </c>
      <c r="O135" s="703" t="n">
        <v>27.96</v>
      </c>
      <c r="P135" s="447">
        <f>(F135 - (G135+I135+O135+(J135+K135+L135))) - (H135-M135-N135)</f>
        <v/>
      </c>
      <c r="Q135" s="328">
        <f>P135/F135</f>
        <v/>
      </c>
      <c r="R135" s="579" t="n"/>
      <c r="S135" s="330" t="n">
        <v>2</v>
      </c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</row>
    <row r="136" ht="18.75" customHeight="1" s="1349">
      <c r="A136" s="310" t="inlineStr">
        <is>
          <t>4424331707</t>
        </is>
      </c>
      <c r="B136" s="402" t="n">
        <v>10034034168108</v>
      </c>
      <c r="C136" s="331" t="inlineStr">
        <is>
          <t>ÂNCORA</t>
        </is>
      </c>
      <c r="D136" s="404" t="inlineStr">
        <is>
          <t>Kit 50 Bucha Nylon 10mm Universal A10 Fixação Alvenaria Obra</t>
        </is>
      </c>
      <c r="E136" s="359" t="n"/>
      <c r="F136" s="359" t="n">
        <v>19.4</v>
      </c>
      <c r="G136" s="321">
        <f>F136*11.5%</f>
        <v/>
      </c>
      <c r="H136" s="322" t="n">
        <v>-0.6</v>
      </c>
      <c r="I136" s="331" t="n">
        <v>6.75</v>
      </c>
      <c r="J136" s="321">
        <f>F136*18%</f>
        <v/>
      </c>
      <c r="K136" s="321">
        <f>(F136-J136)*1.65%</f>
        <v/>
      </c>
      <c r="L136" s="321">
        <f>(F136-J136)*7.6%</f>
        <v/>
      </c>
      <c r="M136" s="357">
        <f>1.47/2</f>
        <v/>
      </c>
      <c r="N136" s="357">
        <f>(G136+I136) * (9.25%)</f>
        <v/>
      </c>
      <c r="O136" s="708">
        <f>12.51/2</f>
        <v/>
      </c>
      <c r="P136" s="447">
        <f>(F136 - (G136+I136+O136+(J136+K136+L136))) - (H136-M136-N136)</f>
        <v/>
      </c>
      <c r="Q136" s="1328">
        <f>P136/F136</f>
        <v/>
      </c>
      <c r="R136" s="579" t="n"/>
      <c r="S136" s="33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</row>
    <row r="137" ht="18.75" customHeight="1" s="1349">
      <c r="A137" s="356" t="inlineStr">
        <is>
          <t>5210591442717526</t>
        </is>
      </c>
      <c r="B137" s="264" t="n">
        <v>10034034166827</v>
      </c>
      <c r="C137" s="318" t="inlineStr">
        <is>
          <t>Outros</t>
        </is>
      </c>
      <c r="D137" s="265" t="inlineStr">
        <is>
          <t>Selante Fix All Turbo Super Cola Tudo Seca Rapida 20min 430g</t>
        </is>
      </c>
      <c r="E137" s="320" t="n"/>
      <c r="F137" s="320" t="n">
        <v>57.23</v>
      </c>
      <c r="G137" s="321">
        <f>F137*11.5%</f>
        <v/>
      </c>
      <c r="H137" s="322" t="n">
        <v>-2.17</v>
      </c>
      <c r="I137" s="331" t="n">
        <v>8.550000000000001</v>
      </c>
      <c r="J137" s="321">
        <f>F137*18%</f>
        <v/>
      </c>
      <c r="K137" s="321">
        <f>(F137-J137)*1.65%</f>
        <v/>
      </c>
      <c r="L137" s="321">
        <f>(F137-J137)*7.6%</f>
        <v/>
      </c>
      <c r="M137" s="1120" t="n">
        <v>9.27</v>
      </c>
      <c r="N137" s="1120">
        <f>(G137+I137) * (9.25%)</f>
        <v/>
      </c>
      <c r="O137" s="708" t="n">
        <v>36.24</v>
      </c>
      <c r="P137" s="447">
        <f>(F137 - (G137+I137+O137+(J137+K137+L137))) - (H137-M137-N137)</f>
        <v/>
      </c>
      <c r="Q137" s="328">
        <f>P137/F137</f>
        <v/>
      </c>
      <c r="R137" s="579" t="n"/>
      <c r="S137" s="33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</row>
    <row r="138" ht="18.75" customHeight="1" s="1349">
      <c r="A138" s="310" t="inlineStr">
        <is>
          <t>4597565719</t>
        </is>
      </c>
      <c r="B138" s="402" t="n">
        <v>10034034166654</v>
      </c>
      <c r="C138" s="331" t="inlineStr">
        <is>
          <t>Irwin</t>
        </is>
      </c>
      <c r="D138" s="404" t="inlineStr">
        <is>
          <t>Tesoura Extra Cut Aço Cromado Profissional Corte Metálico</t>
        </is>
      </c>
      <c r="E138" s="359" t="n"/>
      <c r="F138" s="359" t="n">
        <v>185</v>
      </c>
      <c r="G138" s="321">
        <f>F138*12%</f>
        <v/>
      </c>
      <c r="H138" s="296" t="n"/>
      <c r="I138" s="331" t="n">
        <v>22.45</v>
      </c>
      <c r="J138" s="366" t="n">
        <v>0</v>
      </c>
      <c r="K138" s="321">
        <f>(F138-J138)*1.65%</f>
        <v/>
      </c>
      <c r="L138" s="321">
        <f>(F138-J138)*7.6%</f>
        <v/>
      </c>
      <c r="M138" s="1120" t="n">
        <v>1.53</v>
      </c>
      <c r="N138" s="1120">
        <f>(G138+I138) * (9.25%)</f>
        <v/>
      </c>
      <c r="O138" s="121" t="n">
        <v>115.78</v>
      </c>
      <c r="P138" s="447">
        <f>(F138 - (G138+I138+O138+(J138+K138+L138))) - (H138-M138-N138)</f>
        <v/>
      </c>
      <c r="Q138" s="1328">
        <f>P138/F138</f>
        <v/>
      </c>
      <c r="R138" s="579" t="n"/>
      <c r="S138" s="33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 ht="18.75" customHeight="1" s="1349">
      <c r="A139" s="310" t="inlineStr">
        <is>
          <t>5950732312</t>
        </is>
      </c>
      <c r="B139" s="402" t="n">
        <v>10034034166785</v>
      </c>
      <c r="C139" s="318" t="inlineStr">
        <is>
          <t>ÂNCORA</t>
        </is>
      </c>
      <c r="D139" s="404" t="inlineStr">
        <is>
          <t>Arruela Lisa Zincada 3/8 Pol M8 P/ Porca Parafuso 1kg 200un</t>
        </is>
      </c>
      <c r="E139" s="359" t="n"/>
      <c r="F139" s="359" t="n">
        <v>41.47</v>
      </c>
      <c r="G139" s="321">
        <f>F139*17%</f>
        <v/>
      </c>
      <c r="H139" s="322" t="n">
        <v>-0.35</v>
      </c>
      <c r="I139" s="331">
        <f>IFS(
  F139&lt;12.5, F139/2,
  F139&lt;29, 6.25,
  F139&lt;50, 6.5,
  F139&lt;=79, 6.75,
  TRUE, 25
)</f>
        <v/>
      </c>
      <c r="J139" s="321">
        <f>F139*18%</f>
        <v/>
      </c>
      <c r="K139" s="321">
        <f>(F139-J139)*1.65%</f>
        <v/>
      </c>
      <c r="L139" s="321">
        <f>(F139-J139)*7.6%</f>
        <v/>
      </c>
      <c r="M139" s="1120" t="n">
        <v>2.2</v>
      </c>
      <c r="N139" s="1120">
        <f>(G139+I139) * (9.25%)</f>
        <v/>
      </c>
      <c r="O139" s="121" t="n">
        <v>18.17</v>
      </c>
      <c r="P139" s="447">
        <f>(F139 - (G139+I139+O139+(J139+K139+L139))) - (H139-M139-N139)</f>
        <v/>
      </c>
      <c r="Q139" s="1328">
        <f>P139/F139</f>
        <v/>
      </c>
      <c r="R139" s="579" t="n"/>
      <c r="S139" s="33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</row>
    <row r="140" ht="18.75" customHeight="1" s="1349">
      <c r="A140" s="356" t="inlineStr">
        <is>
          <t>5830643206</t>
        </is>
      </c>
      <c r="B140" s="264" t="n">
        <v>10034034167360</v>
      </c>
      <c r="C140" s="318" t="inlineStr">
        <is>
          <t>Valcan</t>
        </is>
      </c>
      <c r="D140" s="1310" t="inlineStr">
        <is>
          <t>Avental Raspa Metalurgia Solda Sem Emenda Valcan 120x60cm</t>
        </is>
      </c>
      <c r="E140" s="320" t="n"/>
      <c r="F140" s="320" t="n">
        <v>54.9</v>
      </c>
      <c r="G140" s="321">
        <f>F140*17%</f>
        <v/>
      </c>
      <c r="H140" s="322" t="n">
        <v>-2.4</v>
      </c>
      <c r="I140" s="331" t="n">
        <v>8.050000000000001</v>
      </c>
      <c r="J140" s="321">
        <f>F140*18%</f>
        <v/>
      </c>
      <c r="K140" s="321">
        <f>(F140-J140)*1.65%</f>
        <v/>
      </c>
      <c r="L140" s="321">
        <f>(F140-J140)*7.6%</f>
        <v/>
      </c>
      <c r="M140" s="1120" t="n">
        <v>5.94</v>
      </c>
      <c r="N140" s="1120">
        <f>(G140+I140) * (9.25%)</f>
        <v/>
      </c>
      <c r="O140" s="708" t="n">
        <v>29.5</v>
      </c>
      <c r="P140" s="447">
        <f>(F140 - (G140+I140+O140+(J140+K140+L140))) - (H140-M140-N140)</f>
        <v/>
      </c>
      <c r="Q140" s="328">
        <f>P140/F140</f>
        <v/>
      </c>
      <c r="R140" s="579" t="n"/>
      <c r="S140" s="33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</row>
    <row r="141" ht="18.75" customHeight="1" s="1349">
      <c r="A141" s="310" t="inlineStr">
        <is>
          <t>5607742423416345</t>
        </is>
      </c>
      <c r="B141" s="402" t="n">
        <v>10034034168182</v>
      </c>
      <c r="C141" s="331" t="inlineStr">
        <is>
          <t>Vinilseg</t>
        </is>
      </c>
      <c r="D141" s="404" t="inlineStr">
        <is>
          <t>Macacão Jardineira Impermeável Kp500 Saneamento Com Bota Ca</t>
        </is>
      </c>
      <c r="E141" s="359" t="n"/>
      <c r="F141" s="359" t="n">
        <v>193.03</v>
      </c>
      <c r="G141" s="321">
        <f>F141*19%</f>
        <v/>
      </c>
      <c r="H141" s="296" t="n">
        <v>-5.97</v>
      </c>
      <c r="I141" s="331" t="n">
        <v>30.75</v>
      </c>
      <c r="J141" s="321">
        <f>F141*18%</f>
        <v/>
      </c>
      <c r="K141" s="321">
        <f>(F141-J141)*1.65%</f>
        <v/>
      </c>
      <c r="L141" s="321">
        <f>(F141-J141)*7.6%</f>
        <v/>
      </c>
      <c r="M141" s="1120" t="n">
        <v>17.32</v>
      </c>
      <c r="N141" s="1120">
        <f>(G141+I141) * (9.25%)</f>
        <v/>
      </c>
      <c r="O141" s="121" t="n">
        <v>91.93000000000001</v>
      </c>
      <c r="P141" s="447">
        <f>(F141 - (G141+I141+O141+(J141+K141+L141))) - (H141-M141-N141)</f>
        <v/>
      </c>
      <c r="Q141" s="1328">
        <f>P141/F141</f>
        <v/>
      </c>
      <c r="R141" s="579" t="n"/>
      <c r="S141" s="330" t="n">
        <v>0</v>
      </c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</row>
    <row r="142" ht="18.75" customHeight="1" s="1349">
      <c r="A142" s="1292" t="inlineStr">
        <is>
          <t>4609349233 6623873336</t>
        </is>
      </c>
      <c r="B142" s="904" t="n">
        <v>10034034168370</v>
      </c>
      <c r="C142" s="904" t="inlineStr">
        <is>
          <t>Delta plus</t>
        </is>
      </c>
      <c r="D142" s="904" t="inlineStr">
        <is>
          <t>Abafador Tipo Concha Magny Cours 2 Anti Ruído EPI</t>
        </is>
      </c>
      <c r="E142" s="904" t="n">
        <v>190.8</v>
      </c>
      <c r="F142" s="856" t="n">
        <v>135.02</v>
      </c>
      <c r="G142" s="1016">
        <f>F142*17%</f>
        <v/>
      </c>
      <c r="H142" s="833" t="n">
        <v>-5.57</v>
      </c>
      <c r="I142" s="866" t="n">
        <v>18.45</v>
      </c>
      <c r="J142" s="340">
        <f>F142*18%</f>
        <v/>
      </c>
      <c r="K142" s="340">
        <f>(F142-J142)*1.65%</f>
        <v/>
      </c>
      <c r="L142" s="340">
        <f>(F142-J142)*7.6%</f>
        <v/>
      </c>
      <c r="M142" s="1120" t="n">
        <v>20.21</v>
      </c>
      <c r="N142" s="1120">
        <f>(G142+I142) * (9.25%)</f>
        <v/>
      </c>
      <c r="O142" s="451" t="n">
        <v>78.98999999999999</v>
      </c>
      <c r="P142" s="1016">
        <f>(F142 - (G142+I142+O142+(J142+K142+L142))) - (H142-M142-N142)</f>
        <v/>
      </c>
      <c r="Q142" s="462">
        <f>P142/F142</f>
        <v/>
      </c>
      <c r="R142" s="1206" t="n"/>
      <c r="S142" s="33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</row>
    <row r="143" ht="18.75" customHeight="1" s="1349">
      <c r="A143" s="310" t="inlineStr">
        <is>
          <t>4411192395</t>
        </is>
      </c>
      <c r="B143" s="402" t="n">
        <v>10034034167500</v>
      </c>
      <c r="C143" s="331" t="inlineStr">
        <is>
          <t>VOLK</t>
        </is>
      </c>
      <c r="D143" s="404" t="inlineStr">
        <is>
          <t>Luva Duo Nitri Sem Forro Tamanho G Limpeza Alta Resistência</t>
        </is>
      </c>
      <c r="E143" s="359" t="n"/>
      <c r="F143" s="359" t="n">
        <v>20.27</v>
      </c>
      <c r="G143" s="321">
        <f>F143*18%</f>
        <v/>
      </c>
      <c r="H143" s="322" t="n">
        <v>-0.47</v>
      </c>
      <c r="I143" s="331" t="n">
        <v>6.75</v>
      </c>
      <c r="J143" s="321">
        <f>F143*18%</f>
        <v/>
      </c>
      <c r="K143" s="321">
        <f>(F143-J143)*1.65%</f>
        <v/>
      </c>
      <c r="L143" s="321">
        <f>(F143-J143)*7.6%</f>
        <v/>
      </c>
      <c r="M143" s="1120" t="n">
        <v>0.6899999999999999</v>
      </c>
      <c r="N143" s="1120">
        <f>(G143+I143) * (9.25%)</f>
        <v/>
      </c>
      <c r="O143" s="121" t="n">
        <v>5.35</v>
      </c>
      <c r="P143" s="447">
        <f>(F143 - (G143+I143+O143+(J143+K143+L143))) - (H143-M143-N143)</f>
        <v/>
      </c>
      <c r="Q143" s="1328">
        <f>P143/F143</f>
        <v/>
      </c>
      <c r="R143" s="579" t="n"/>
      <c r="S143" s="33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</row>
    <row r="144" ht="18.75" customHeight="1" s="1349">
      <c r="A144" s="310" t="inlineStr">
        <is>
          <t>4430347215</t>
        </is>
      </c>
      <c r="B144" s="402" t="n">
        <v>10034034166264</v>
      </c>
      <c r="C144" s="331" t="inlineStr">
        <is>
          <t>ÂNCORA</t>
        </is>
      </c>
      <c r="D144" s="404" t="inlineStr">
        <is>
          <t>Kit 1000 Parafuso Trombeta Drywall Dta 3,5 X 57 Ponta Agulha</t>
        </is>
      </c>
      <c r="E144" s="359" t="n"/>
      <c r="F144" s="359" t="n">
        <v>97.97</v>
      </c>
      <c r="G144" s="321">
        <f>F144*16.5%</f>
        <v/>
      </c>
      <c r="H144" s="322" t="n">
        <v>-2.1</v>
      </c>
      <c r="I144" s="331" t="n">
        <v>16.85</v>
      </c>
      <c r="J144" s="321">
        <f>F144*18%</f>
        <v/>
      </c>
      <c r="K144" s="321">
        <f>(F144-J144)*1.65%</f>
        <v/>
      </c>
      <c r="L144" s="321">
        <f>(F144-J144)*7.6%</f>
        <v/>
      </c>
      <c r="M144" s="1120" t="n">
        <v>5.23</v>
      </c>
      <c r="N144" s="1120">
        <f>(G144+I144) * (9.25%)</f>
        <v/>
      </c>
      <c r="O144" s="708" t="n">
        <v>43.23</v>
      </c>
      <c r="P144" s="447">
        <f>(F144 - (G144+I144+O144+(J144+K144+L144))) - (H144-M144-N144)</f>
        <v/>
      </c>
      <c r="Q144" s="1328">
        <f>P144/F144</f>
        <v/>
      </c>
      <c r="R144" s="579" t="n"/>
      <c r="S144" s="330" t="n">
        <v>0</v>
      </c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</row>
    <row r="145" ht="18.75" customHeight="1" s="1349">
      <c r="A145" s="310" t="inlineStr">
        <is>
          <t>4625445361</t>
        </is>
      </c>
      <c r="B145" s="402" t="n">
        <v>10034034168415</v>
      </c>
      <c r="C145" s="331" t="inlineStr">
        <is>
          <t>Atlas</t>
        </is>
      </c>
      <c r="D145" s="331" t="inlineStr">
        <is>
          <t>Broxa Retangular Atlas 800 18x8cm Escova Pintura Forte</t>
        </is>
      </c>
      <c r="E145" s="359" t="n"/>
      <c r="F145" s="359" t="n">
        <v>20.65</v>
      </c>
      <c r="G145" s="321">
        <f>F145*17%</f>
        <v/>
      </c>
      <c r="H145" s="296" t="n"/>
      <c r="I145" s="331" t="n">
        <v>6.75</v>
      </c>
      <c r="J145" s="321">
        <f>F145*18%</f>
        <v/>
      </c>
      <c r="K145" s="321">
        <f>(F145-J145)*1.65%</f>
        <v/>
      </c>
      <c r="L145" s="321">
        <f>(F145-J145)*7.6%</f>
        <v/>
      </c>
      <c r="M145" s="1120" t="n">
        <v>1.57</v>
      </c>
      <c r="N145" s="1120">
        <f>(G145+I145) * (9.25%)</f>
        <v/>
      </c>
      <c r="O145" s="515" t="n">
        <v>6.14</v>
      </c>
      <c r="P145" s="447">
        <f>(F145 - (G145+I145+O145+(J145+K145+L145))) - (H145-M145-N145)</f>
        <v/>
      </c>
      <c r="Q145" s="1328">
        <f>P145/F145</f>
        <v/>
      </c>
      <c r="R145" s="579" t="n"/>
      <c r="S145" s="330" t="n">
        <v>0</v>
      </c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</row>
    <row r="146" ht="18.75" customHeight="1" s="1349">
      <c r="A146" s="429" t="inlineStr">
        <is>
          <t>5552395388474959</t>
        </is>
      </c>
      <c r="B146" s="430" t="n">
        <v>10034034167552</v>
      </c>
      <c r="C146" s="318" t="inlineStr">
        <is>
          <t>Bracol</t>
        </is>
      </c>
      <c r="D146" s="1310" t="inlineStr">
        <is>
          <t>Botina Premium Bracol Elástico Bel Plus Bico Pvc Acolchoada</t>
        </is>
      </c>
      <c r="E146" s="359" t="n"/>
      <c r="F146" s="359" t="n">
        <v>99.62</v>
      </c>
      <c r="G146" s="374">
        <f>F146*12%</f>
        <v/>
      </c>
      <c r="H146" s="124" t="n">
        <v>-5.03</v>
      </c>
      <c r="I146" s="538" t="n">
        <v>15.75</v>
      </c>
      <c r="J146" s="321">
        <f>F146*18%</f>
        <v/>
      </c>
      <c r="K146" s="321">
        <f>(F146-J146)*1.65%</f>
        <v/>
      </c>
      <c r="L146" s="321">
        <f>(F146-J146)*7.6%</f>
        <v/>
      </c>
      <c r="M146" s="1120" t="n">
        <v>11.81</v>
      </c>
      <c r="N146" s="1120">
        <f>(G146+I146) * (9.25%)</f>
        <v/>
      </c>
      <c r="O146" s="121" t="n">
        <v>58.62</v>
      </c>
      <c r="P146" s="447">
        <f>(F146 - (G146+I146+O146+(J146+K146+L146))) - (H146-M146-N146)</f>
        <v/>
      </c>
      <c r="Q146" s="1328">
        <f>P146/F146</f>
        <v/>
      </c>
      <c r="R146" s="579" t="n"/>
      <c r="S146" s="330" t="n">
        <v>0</v>
      </c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</row>
    <row r="147" ht="18.75" customHeight="1" s="1349">
      <c r="A147" s="310" t="inlineStr">
        <is>
          <t>6624124132</t>
        </is>
      </c>
      <c r="B147" s="402" t="n">
        <v>10034034168401</v>
      </c>
      <c r="C147" s="331" t="inlineStr">
        <is>
          <t>ÂNCORA</t>
        </is>
      </c>
      <c r="D147" s="404" t="inlineStr">
        <is>
          <t>Kit 10 Chumbador Parabolt 3/8 X 3.1/2 Aço Zincado</t>
        </is>
      </c>
      <c r="E147" s="359" t="n"/>
      <c r="F147" s="359" t="n">
        <v>43.9</v>
      </c>
      <c r="G147" s="321">
        <f>F147*17%</f>
        <v/>
      </c>
      <c r="H147" s="296" t="n"/>
      <c r="I147" s="331" t="n">
        <v>7.95</v>
      </c>
      <c r="J147" s="321">
        <f>F147*18%</f>
        <v/>
      </c>
      <c r="K147" s="321">
        <f>(F147-J147)*1.65%</f>
        <v/>
      </c>
      <c r="L147" s="321">
        <f>(F147-J147)*7.6%</f>
        <v/>
      </c>
      <c r="M147" s="1120" t="n">
        <v>2.1</v>
      </c>
      <c r="N147" s="1120">
        <f>(G147+I147) * (9.25%)</f>
        <v/>
      </c>
      <c r="O147" s="515" t="n">
        <v>17.6</v>
      </c>
      <c r="P147" s="447">
        <f>(F147 - (G147+I147+O147+(J147+K147+L147))) - (H147-M147-N147)</f>
        <v/>
      </c>
      <c r="Q147" s="1328">
        <f>P147/F147</f>
        <v/>
      </c>
      <c r="R147" s="579" t="n"/>
      <c r="S147" s="33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</row>
    <row r="148" ht="18.75" customHeight="1" s="1349">
      <c r="A148" s="316" t="inlineStr">
        <is>
          <t>4026109987</t>
        </is>
      </c>
      <c r="B148" s="317" t="n">
        <v>10034034166902</v>
      </c>
      <c r="C148" s="318" t="inlineStr">
        <is>
          <t>Avant</t>
        </is>
      </c>
      <c r="D148" s="1310" t="inlineStr">
        <is>
          <t>Painel Plafon 24w Avant Redondo Sobrepor Alta Durabilidade</t>
        </is>
      </c>
      <c r="E148" s="320" t="n"/>
      <c r="F148" s="320" t="n">
        <v>42</v>
      </c>
      <c r="G148" s="321">
        <f>F148*11.5%</f>
        <v/>
      </c>
      <c r="H148" s="322" t="n"/>
      <c r="I148" s="331" t="n">
        <v>8.050000000000001</v>
      </c>
      <c r="J148" s="321">
        <f>F148*18%</f>
        <v/>
      </c>
      <c r="K148" s="321">
        <f>(F148-J148)*1.65%</f>
        <v/>
      </c>
      <c r="L148" s="321">
        <f>(F148-J148)*7.6%</f>
        <v/>
      </c>
      <c r="M148" s="1120" t="n">
        <v>2.2</v>
      </c>
      <c r="N148" s="1120">
        <f>(G148+I148) * (9.25%)</f>
        <v/>
      </c>
      <c r="O148" s="121" t="n">
        <v>18.71</v>
      </c>
      <c r="P148" s="447">
        <f>(F148 - (G148+I148+O148+(J148+K148+L148))) - (H148-M148-N148)</f>
        <v/>
      </c>
      <c r="Q148" s="328">
        <f>P148/F148</f>
        <v/>
      </c>
      <c r="R148" s="463" t="inlineStr">
        <is>
          <t>Ativo</t>
        </is>
      </c>
      <c r="S148" s="33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</row>
    <row r="149" ht="18.75" customHeight="1" s="1349">
      <c r="A149" s="310" t="n"/>
      <c r="B149" s="402" t="n"/>
      <c r="C149" s="331" t="n"/>
      <c r="D149" s="367" t="inlineStr">
        <is>
          <t>KIT 5 CHUMBADOR PARABOLT CBA 5/16 X 3.1/4 AÇO FIXAÇÃO</t>
        </is>
      </c>
      <c r="E149" s="359" t="n"/>
      <c r="F149" s="359" t="n">
        <v>23.89</v>
      </c>
      <c r="G149" s="321">
        <f>F149*17%</f>
        <v/>
      </c>
      <c r="H149" s="296" t="n"/>
      <c r="I149" s="331" t="n">
        <v>7</v>
      </c>
      <c r="J149" s="321">
        <f>F149*18%</f>
        <v/>
      </c>
      <c r="K149" s="321">
        <f>(F149-J149)*1.65%</f>
        <v/>
      </c>
      <c r="L149" s="321">
        <f>(F149-J149)*7.6%</f>
        <v/>
      </c>
      <c r="M149" s="1120" t="n">
        <v>0.8</v>
      </c>
      <c r="N149" s="1120">
        <f>(G149+I149) * (9.25%)</f>
        <v/>
      </c>
      <c r="O149" s="515" t="n">
        <v>6.8</v>
      </c>
      <c r="P149" s="447">
        <f>(F149 - (G149+I149+O149+(J149+K149+L149))) - (H149-M149-N149)</f>
        <v/>
      </c>
      <c r="Q149" s="1328">
        <f>P149/F149</f>
        <v/>
      </c>
      <c r="R149" s="579" t="n"/>
      <c r="S149" s="33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 ht="18.75" customHeight="1" s="1349">
      <c r="A150" s="310" t="inlineStr">
        <is>
          <t>6185166948</t>
        </is>
      </c>
      <c r="B150" s="402" t="n">
        <v>10034034167766</v>
      </c>
      <c r="C150" s="331" t="inlineStr">
        <is>
          <t>ÂNCORA</t>
        </is>
      </c>
      <c r="D150" s="404" t="inlineStr">
        <is>
          <t>1000 Parafuso Drywall Dlb13 Zincado Auto Brocante 4,2 X 13</t>
        </is>
      </c>
      <c r="E150" s="359" t="n"/>
      <c r="F150" s="499" t="n">
        <v>69.73</v>
      </c>
      <c r="G150" s="321">
        <f>F150*17%</f>
        <v/>
      </c>
      <c r="H150" s="831" t="n">
        <v>-2.53</v>
      </c>
      <c r="I150" s="331" t="n">
        <v>8.050000000000001</v>
      </c>
      <c r="J150" s="321">
        <f>F150*18%</f>
        <v/>
      </c>
      <c r="K150" s="321">
        <f>(F150-J150)*1.65%</f>
        <v/>
      </c>
      <c r="L150" s="321">
        <f>(F150-J150)*7.6%</f>
        <v/>
      </c>
      <c r="M150" s="1120" t="n">
        <v>4.64</v>
      </c>
      <c r="N150" s="1120">
        <f>(G150+I150) * (9.25%)</f>
        <v/>
      </c>
      <c r="O150" s="814" t="n">
        <v>36</v>
      </c>
      <c r="P150" s="447">
        <f>(F150 - (G150+I150+O150+(J150+K150+L150))) - (H150-M150-N150)</f>
        <v/>
      </c>
      <c r="Q150" s="1328">
        <f>P150/F150</f>
        <v/>
      </c>
      <c r="R150" s="579" t="n"/>
      <c r="S150" s="330" t="n">
        <v>18</v>
      </c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</row>
    <row r="151" ht="18.75" customHeight="1" s="1349">
      <c r="A151" s="310" t="inlineStr">
        <is>
          <t>6019991838</t>
        </is>
      </c>
      <c r="B151" s="402" t="n">
        <v>912309</v>
      </c>
      <c r="C151" s="318" t="inlineStr">
        <is>
          <t>Nutriex</t>
        </is>
      </c>
      <c r="D151" s="404" t="inlineStr">
        <is>
          <t>Spray Repelente Expert Total 200ml Proteção Insetos 10hrs</t>
        </is>
      </c>
      <c r="E151" s="359" t="n"/>
      <c r="F151" s="359" t="n">
        <v>24.83</v>
      </c>
      <c r="G151" s="321">
        <f>F151*17.5%</f>
        <v/>
      </c>
      <c r="H151" s="322" t="n">
        <v>-0.51</v>
      </c>
      <c r="I151" s="331" t="n">
        <v>6.65</v>
      </c>
      <c r="J151" s="321">
        <f>F151*18%</f>
        <v/>
      </c>
      <c r="K151" s="321">
        <f>(F151-J151)*1.65%</f>
        <v/>
      </c>
      <c r="L151" s="321">
        <f>(F151-J151)*7.6%</f>
        <v/>
      </c>
      <c r="M151" s="1120" t="n">
        <v>1.81</v>
      </c>
      <c r="N151" s="1120">
        <f>(G151+I151) * (9.25%)</f>
        <v/>
      </c>
      <c r="O151" s="121" t="n">
        <v>9</v>
      </c>
      <c r="P151" s="447">
        <f>(F151 - (G151+I151+O151+(J151+K151+L151))) - (H151-M151-N151)</f>
        <v/>
      </c>
      <c r="Q151" s="1328">
        <f>P151/F151</f>
        <v/>
      </c>
      <c r="R151" s="579" t="n"/>
      <c r="S151" s="33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</row>
    <row r="152" ht="18.75" customHeight="1" s="1349">
      <c r="A152" s="310" t="n"/>
      <c r="B152" s="402" t="n"/>
      <c r="C152" s="331" t="n"/>
      <c r="D152" s="411" t="inlineStr">
        <is>
          <t xml:space="preserve">KIT 5 CHUMBADOR PARABOLT CBA 5/16 X 100 AÇO FIXAÇÃO </t>
        </is>
      </c>
      <c r="E152" s="359" t="n"/>
      <c r="F152" s="359" t="n">
        <v>25.2</v>
      </c>
      <c r="G152" s="321">
        <f>F152*17%</f>
        <v/>
      </c>
      <c r="H152" s="296" t="n"/>
      <c r="I152" s="331" t="n">
        <v>7</v>
      </c>
      <c r="J152" s="321">
        <f>F152*18%</f>
        <v/>
      </c>
      <c r="K152" s="321">
        <f>(F152-J152)*1.65%</f>
        <v/>
      </c>
      <c r="L152" s="321">
        <f>(F152-J152)*7.6%</f>
        <v/>
      </c>
      <c r="M152" s="1120" t="n">
        <v>0.85</v>
      </c>
      <c r="N152" s="1120">
        <f>(G152+I152) * (9.25%)</f>
        <v/>
      </c>
      <c r="O152" s="515" t="n">
        <v>7.5</v>
      </c>
      <c r="P152" s="447">
        <f>(F152 - (G152+I152+O152+(J152+K152+L152))) - (H152-M152-N152)</f>
        <v/>
      </c>
      <c r="Q152" s="1328">
        <f>P152/F152</f>
        <v/>
      </c>
      <c r="R152" s="579" t="n"/>
      <c r="S152" s="33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</row>
    <row r="153" ht="18.75" customHeight="1" s="1349">
      <c r="A153" s="310" t="n"/>
      <c r="B153" s="402" t="n"/>
      <c r="C153" s="331" t="n"/>
      <c r="D153" s="331" t="inlineStr">
        <is>
          <t>Kit 3 Cadeado 38mm Painel Elétrico Proteção Painel Elétrico</t>
        </is>
      </c>
      <c r="E153" s="359" t="n"/>
      <c r="F153" s="359" t="n">
        <v>168.78</v>
      </c>
      <c r="G153" s="321">
        <f>F153*17%</f>
        <v/>
      </c>
      <c r="H153" s="296" t="n">
        <v>-4.28</v>
      </c>
      <c r="I153" s="331" t="n">
        <v>18.45</v>
      </c>
      <c r="J153" s="321">
        <f>F153*18%</f>
        <v/>
      </c>
      <c r="K153" s="321">
        <f>(F153-J153)*1.65%</f>
        <v/>
      </c>
      <c r="L153" s="321">
        <f>(F153-J153)*7.6%</f>
        <v/>
      </c>
      <c r="M153" s="378" t="n">
        <v>25.65</v>
      </c>
      <c r="N153" s="378">
        <f>(G153+I153) * (9.25%)</f>
        <v/>
      </c>
      <c r="O153" s="515" t="n">
        <v>100.26</v>
      </c>
      <c r="P153" s="447">
        <f>(F153 - (G153+I153+O153+(J153+K153+L153))) - (H153-M153-N153)</f>
        <v/>
      </c>
      <c r="Q153" s="1328">
        <f>P153/F153</f>
        <v/>
      </c>
      <c r="R153" s="579" t="n"/>
      <c r="S153" s="33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</row>
    <row r="154" ht="18.75" customHeight="1" s="1349">
      <c r="A154" s="310" t="inlineStr">
        <is>
          <t>4290191887</t>
        </is>
      </c>
      <c r="B154" s="402" t="n">
        <v>10034034167433</v>
      </c>
      <c r="C154" s="318" t="inlineStr">
        <is>
          <t>Plastcor</t>
        </is>
      </c>
      <c r="D154" s="404" t="inlineStr">
        <is>
          <t>Fita Zebrada Isolamento Amarela Preta 7cm X 200m Demarcação</t>
        </is>
      </c>
      <c r="E154" s="359" t="n"/>
      <c r="F154" s="359" t="n">
        <v>22.9</v>
      </c>
      <c r="G154" s="321">
        <f>F154*16.5%</f>
        <v/>
      </c>
      <c r="H154" s="322" t="n"/>
      <c r="I154" s="331" t="n">
        <v>6.75</v>
      </c>
      <c r="J154" s="321">
        <f>F154*18%</f>
        <v/>
      </c>
      <c r="K154" s="321">
        <f>(F154-J154)*1.65%</f>
        <v/>
      </c>
      <c r="L154" s="321">
        <f>(F154-J154)*7.6%</f>
        <v/>
      </c>
      <c r="M154" s="1120">
        <f>1.91*1</f>
        <v/>
      </c>
      <c r="N154" s="1120">
        <f>(G154+I154) * (9.25%)</f>
        <v/>
      </c>
      <c r="O154" s="121">
        <f>7.7*1</f>
        <v/>
      </c>
      <c r="P154" s="447">
        <f>(F154 - (G154+I154+O154+(J154+K154+L154))) - (H154-M154-N154)</f>
        <v/>
      </c>
      <c r="Q154" s="1328">
        <f>P154/F154</f>
        <v/>
      </c>
      <c r="R154" s="579" t="n"/>
      <c r="S154" s="33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</row>
    <row r="155" ht="18.75" customHeight="1" s="1349">
      <c r="A155" s="310" t="inlineStr">
        <is>
          <t>6154864038</t>
        </is>
      </c>
      <c r="B155" s="402" t="n">
        <v>10034034168084</v>
      </c>
      <c r="C155" s="331" t="inlineStr">
        <is>
          <t>Atlas</t>
        </is>
      </c>
      <c r="D155" s="404" t="inlineStr">
        <is>
          <t>Kit 4 Suporte Garfo De Pintura Gaiola Sem Rosca P/ Rolo Aço</t>
        </is>
      </c>
      <c r="E155" s="359" t="n"/>
      <c r="F155" s="359" t="n">
        <v>53.82</v>
      </c>
      <c r="G155" s="321">
        <f>F155*16.5%</f>
        <v/>
      </c>
      <c r="H155" s="322" t="n">
        <v>-1.66</v>
      </c>
      <c r="I155" s="331">
        <f>IFS(
  F155&lt;12.5, F155/2,
  F155&lt;29, 6.25,
  F155&lt;50, 6.5,
  F155&lt;=79, 6.75,
  TRUE, 25
)</f>
        <v/>
      </c>
      <c r="J155" s="321">
        <f>F155*18%</f>
        <v/>
      </c>
      <c r="K155" s="321">
        <f>(F155-J155)*1.65%</f>
        <v/>
      </c>
      <c r="L155" s="321">
        <f>(F155-J155)*7.6%</f>
        <v/>
      </c>
      <c r="M155" s="357" t="n"/>
      <c r="N155" s="357">
        <f>(G155+I155) * (9.25%)</f>
        <v/>
      </c>
      <c r="O155" s="362">
        <f>5.88*4</f>
        <v/>
      </c>
      <c r="P155" s="447">
        <f>(F155 - (G155+I155+O155+(J155+K155+L155))) - (H155-M155-N155)</f>
        <v/>
      </c>
      <c r="Q155" s="1328">
        <f>P155/F155</f>
        <v/>
      </c>
      <c r="R155" s="579" t="n"/>
      <c r="S155" s="33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</row>
    <row r="156" ht="18.75" customHeight="1" s="1349">
      <c r="A156" s="310" t="inlineStr">
        <is>
          <t>6210448708</t>
        </is>
      </c>
      <c r="B156" s="402" t="n">
        <v>10034034168134</v>
      </c>
      <c r="C156" s="331" t="inlineStr">
        <is>
          <t>Toralf</t>
        </is>
      </c>
      <c r="D156" s="404" t="inlineStr">
        <is>
          <t>4 Parafuso Sanitário Latonado Bicromatizado 125mm Bucha 12</t>
        </is>
      </c>
      <c r="E156" s="359" t="n"/>
      <c r="F156" s="499" t="n">
        <v>30.65</v>
      </c>
      <c r="G156" s="321">
        <f>F156*12%</f>
        <v/>
      </c>
      <c r="H156" s="322" t="n"/>
      <c r="I156" s="331" t="n">
        <v>6.65</v>
      </c>
      <c r="J156" s="321">
        <f>F156*18%</f>
        <v/>
      </c>
      <c r="K156" s="321">
        <f>(F156-J156)*1.65%</f>
        <v/>
      </c>
      <c r="L156" s="321">
        <f>(F156-J156)*7.6%</f>
        <v/>
      </c>
      <c r="M156" s="1120">
        <f>0.35*4</f>
        <v/>
      </c>
      <c r="N156" s="1120">
        <f>(G156+I156) * (9.25%)</f>
        <v/>
      </c>
      <c r="O156" s="121">
        <f>2.93*4</f>
        <v/>
      </c>
      <c r="P156" s="447">
        <f>(F156 - (G156+I156+O156+(J156+K156+L156))) - (H156-M156-N156)</f>
        <v/>
      </c>
      <c r="Q156" s="1328">
        <f>P156/F156</f>
        <v/>
      </c>
      <c r="R156" s="579" t="n"/>
      <c r="S156" s="33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</row>
    <row r="157" ht="18.75" customHeight="1" s="1349">
      <c r="A157" s="310" t="inlineStr">
        <is>
          <t>4348211755</t>
        </is>
      </c>
      <c r="B157" s="402" t="n">
        <v>10034034168007</v>
      </c>
      <c r="C157" s="318" t="inlineStr">
        <is>
          <t>EPI</t>
        </is>
      </c>
      <c r="D157" s="404" t="inlineStr">
        <is>
          <t>Protetor Solar Fps 99 Proteção Garantida Bioactive 120ml 4un</t>
        </is>
      </c>
      <c r="E157" s="359" t="n"/>
      <c r="F157" s="359" t="n">
        <v>250.26</v>
      </c>
      <c r="G157" s="321">
        <f>F157*19%</f>
        <v/>
      </c>
      <c r="H157" s="322" t="n">
        <v>-7.74</v>
      </c>
      <c r="I157" s="331" t="n">
        <v>23.45</v>
      </c>
      <c r="J157" s="321">
        <f>F157*18%</f>
        <v/>
      </c>
      <c r="K157" s="366" t="n">
        <v>0</v>
      </c>
      <c r="L157" s="366" t="n">
        <v>0</v>
      </c>
      <c r="M157" s="1120">
        <f>4.42*4</f>
        <v/>
      </c>
      <c r="N157" s="1120">
        <f>(G157+I157) * (9.25%)</f>
        <v/>
      </c>
      <c r="O157" s="121">
        <f>36.83*4</f>
        <v/>
      </c>
      <c r="P157" s="447">
        <f>(F157 - (G157+I157+O157+(J157+K157+L157))) - (H157-M157-N157)</f>
        <v/>
      </c>
      <c r="Q157" s="1328">
        <f>P157/F157</f>
        <v/>
      </c>
      <c r="R157" s="579" t="n"/>
      <c r="S157" s="33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</row>
    <row r="158" ht="18.75" customHeight="1" s="1349">
      <c r="A158" s="310" t="inlineStr">
        <is>
          <t>6194778552</t>
        </is>
      </c>
      <c r="B158" s="368" t="n">
        <v>10034034167441</v>
      </c>
      <c r="C158" s="369" t="inlineStr">
        <is>
          <t>Jomarca</t>
        </is>
      </c>
      <c r="D158" s="370" t="inlineStr">
        <is>
          <t>200 Parafuso Chipboard Marcenaria 4,5 X 60 Aço Bicromatizado</t>
        </is>
      </c>
      <c r="E158" s="359" t="n"/>
      <c r="F158" s="499" t="n">
        <v>35.11</v>
      </c>
      <c r="G158" s="321">
        <f>F158*12%</f>
        <v/>
      </c>
      <c r="H158" s="831" t="n">
        <v>-1.09</v>
      </c>
      <c r="I158" s="331" t="n">
        <v>7.65</v>
      </c>
      <c r="J158" s="321">
        <f>F158*18%</f>
        <v/>
      </c>
      <c r="K158" s="321">
        <f>(F158-J158)*1.65%</f>
        <v/>
      </c>
      <c r="L158" s="321">
        <f>(F158-J158)*7.6%</f>
        <v/>
      </c>
      <c r="M158" s="1120" t="n">
        <v>1.91</v>
      </c>
      <c r="N158" s="1120">
        <f>(G158+I158) * (9.25%)</f>
        <v/>
      </c>
      <c r="O158" s="121">
        <f>7.96*2</f>
        <v/>
      </c>
      <c r="P158" s="447">
        <f>(F158 - (G158+I158+O158+(J158+K158+L158))) - (H158-M158-N158)</f>
        <v/>
      </c>
      <c r="Q158" s="1328">
        <f>P158/F158</f>
        <v/>
      </c>
      <c r="R158" s="579" t="n"/>
      <c r="S158" s="33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</row>
    <row r="159" ht="18.75" customHeight="1" s="1349">
      <c r="A159" s="310" t="inlineStr">
        <is>
          <t>4594804697</t>
        </is>
      </c>
      <c r="B159" s="402" t="n">
        <v>10034034168374</v>
      </c>
      <c r="C159" s="331" t="inlineStr">
        <is>
          <t>ÂNCORA</t>
        </is>
      </c>
      <c r="D159" s="465" t="inlineStr">
        <is>
          <t>KIT 5 CHUMBADOR PARABOLT CBA 1/4X2 AÇO FIXAÇÃO</t>
        </is>
      </c>
      <c r="E159" s="365" t="n"/>
      <c r="F159" s="365" t="n">
        <v>16.38</v>
      </c>
      <c r="G159" s="321">
        <f>F159*12%</f>
        <v/>
      </c>
      <c r="H159" s="296" t="n">
        <v>-0.98</v>
      </c>
      <c r="I159" s="331" t="n">
        <v>8.15</v>
      </c>
      <c r="J159" s="321">
        <f>F159*18%</f>
        <v/>
      </c>
      <c r="K159" s="321">
        <f>(F159-J159)*1.65%</f>
        <v/>
      </c>
      <c r="L159" s="321">
        <f>(F159-J159)*7.6%</f>
        <v/>
      </c>
      <c r="M159" s="1120" t="n">
        <v>0.35</v>
      </c>
      <c r="N159" s="1120">
        <f>(G159+I159) * (9.25%)</f>
        <v/>
      </c>
      <c r="O159" s="515" t="n">
        <v>3.1</v>
      </c>
      <c r="P159" s="447">
        <f>(F159 - (G159+I159+O159+(J159+K159+L159))) - (H159-M159-N159)</f>
        <v/>
      </c>
      <c r="Q159" s="1328">
        <f>P159/F159</f>
        <v/>
      </c>
      <c r="R159" s="579" t="n"/>
      <c r="S159" s="33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</row>
    <row r="160" ht="18.75" customHeight="1" s="1349">
      <c r="A160" s="310" t="inlineStr">
        <is>
          <t>4324677217</t>
        </is>
      </c>
      <c r="B160" s="402" t="n">
        <v>10034034167873</v>
      </c>
      <c r="C160" s="318" t="inlineStr">
        <is>
          <t>Danny</t>
        </is>
      </c>
      <c r="D160" s="404" t="inlineStr">
        <is>
          <t>Luva Gladiador Látex Azul Reforçada Segurança Obra 3 Pares</t>
        </is>
      </c>
      <c r="E160" s="359" t="n"/>
      <c r="F160" s="359" t="n">
        <v>40.64</v>
      </c>
      <c r="G160" s="321">
        <f>F160*17%</f>
        <v/>
      </c>
      <c r="H160" s="322" t="n">
        <v>-0.83</v>
      </c>
      <c r="I160" s="331" t="n">
        <v>6.85</v>
      </c>
      <c r="J160" s="321">
        <f>F160*18%</f>
        <v/>
      </c>
      <c r="K160" s="321">
        <f>(F160-J160)*1.65%</f>
        <v/>
      </c>
      <c r="L160" s="321">
        <f>(F160-J160)*7.6%</f>
        <v/>
      </c>
      <c r="M160" s="1120">
        <f>0.77*3</f>
        <v/>
      </c>
      <c r="N160" s="1120">
        <f>(G160+I160) * (9.25%)</f>
        <v/>
      </c>
      <c r="O160" s="121">
        <f>5.94*3</f>
        <v/>
      </c>
      <c r="P160" s="447">
        <f>(F160 - (G160+I160+O160+(J160+K160+L160))) - (H160-M160-N160)</f>
        <v/>
      </c>
      <c r="Q160" s="1328">
        <f>P160/F160</f>
        <v/>
      </c>
      <c r="R160" s="579" t="n"/>
      <c r="S160" s="33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</row>
    <row r="161" ht="18.75" customHeight="1" s="1349">
      <c r="A161" s="310" t="inlineStr">
        <is>
          <t>4424487639</t>
        </is>
      </c>
      <c r="B161" s="402" t="n">
        <v>10034034168109</v>
      </c>
      <c r="C161" s="331" t="inlineStr">
        <is>
          <t>ÂNCORA</t>
        </is>
      </c>
      <c r="D161" s="404" t="inlineStr">
        <is>
          <t>Kit 100 Bucha Nylon 10mm Universal A10 Fixação Sem Parafuso</t>
        </is>
      </c>
      <c r="E161" s="359" t="n"/>
      <c r="F161" s="359" t="n">
        <v>35.49</v>
      </c>
      <c r="G161" s="321">
        <f>F161*16.5%</f>
        <v/>
      </c>
      <c r="H161" s="322" t="n"/>
      <c r="I161" s="331">
        <f>IFS(
  F161&lt;12.5, F161/2,
  F161&lt;29, 6.25,
  F161&lt;50, 6.5,
  F161&lt;=79, 6.75,
  TRUE, 25
)</f>
        <v/>
      </c>
      <c r="J161" s="321">
        <f>F161*18%</f>
        <v/>
      </c>
      <c r="K161" s="321">
        <f>(F161-J161)*1.65%</f>
        <v/>
      </c>
      <c r="L161" s="321">
        <f>(F161-J161)*7.6%</f>
        <v/>
      </c>
      <c r="M161" s="357" t="n"/>
      <c r="N161" s="357">
        <f>(G161+I161) * (9.25%)</f>
        <v/>
      </c>
      <c r="O161" s="730">
        <f>12.51</f>
        <v/>
      </c>
      <c r="P161" s="447">
        <f>(F161 - (G161+I161+O161+(J161+K161+L161))) - (H161-M161-N161)</f>
        <v/>
      </c>
      <c r="Q161" s="1328">
        <f>P161/F161</f>
        <v/>
      </c>
      <c r="R161" s="579" t="n"/>
      <c r="S161" s="33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</row>
    <row r="162" ht="18.75" customHeight="1" s="1349">
      <c r="A162" s="310" t="inlineStr">
        <is>
          <t>5877428880</t>
        </is>
      </c>
      <c r="B162" s="402" t="n">
        <v>10034034167687</v>
      </c>
      <c r="C162" s="318" t="inlineStr">
        <is>
          <t>Danny</t>
        </is>
      </c>
      <c r="D162" s="1310" t="inlineStr">
        <is>
          <t>Kit Luva Látex Natural Silver Grip Nitrílica Reforçada 5un</t>
        </is>
      </c>
      <c r="E162" s="359" t="n"/>
      <c r="F162" s="359" t="n">
        <v>39.9</v>
      </c>
      <c r="G162" s="321">
        <f>F162*12%</f>
        <v/>
      </c>
      <c r="H162" s="322" t="n">
        <v>-1.01</v>
      </c>
      <c r="I162" s="331" t="n">
        <v>6.75</v>
      </c>
      <c r="J162" s="321">
        <f>F162*18%</f>
        <v/>
      </c>
      <c r="K162" s="321">
        <f>(F162-J162)*1.65%</f>
        <v/>
      </c>
      <c r="L162" s="321">
        <f>(F162-J162)*7.6%</f>
        <v/>
      </c>
      <c r="M162" s="1120">
        <f>1.18*5</f>
        <v/>
      </c>
      <c r="N162" s="1120">
        <f>(G162+I162) * (9.25%)</f>
        <v/>
      </c>
      <c r="O162" s="121">
        <f>4.62*5</f>
        <v/>
      </c>
      <c r="P162" s="447">
        <f>(F162 - (G162+I162+O162+(J162+K162+L162))) - (H162-M162-N162)</f>
        <v/>
      </c>
      <c r="Q162" s="1328">
        <f>P162/F162</f>
        <v/>
      </c>
      <c r="R162" s="579" t="n"/>
      <c r="S162" s="33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</row>
    <row r="163" ht="18.75" customHeight="1" s="1349">
      <c r="A163" s="310" t="inlineStr">
        <is>
          <t>4282824409</t>
        </is>
      </c>
      <c r="B163" s="402" t="n">
        <v>10034034167717</v>
      </c>
      <c r="C163" s="318" t="inlineStr">
        <is>
          <t>TekBond</t>
        </is>
      </c>
      <c r="D163" s="1310" t="inlineStr">
        <is>
          <t>Kit Fixador Pu40 Secagem Rápida Vedação Selante Branco 3un</t>
        </is>
      </c>
      <c r="E163" s="359" t="n"/>
      <c r="F163" s="359" t="n">
        <v>55.23</v>
      </c>
      <c r="G163" s="321">
        <f>F163*12.5%</f>
        <v/>
      </c>
      <c r="H163" s="322" t="n">
        <v>-2.37</v>
      </c>
      <c r="I163" s="331">
        <f>IFS(
  F163&lt;12.5, F163/2,
  F163&lt;29, 6.25,
  F163&lt;50, 6.5,
  F163&lt;=79, 6.75,
  TRUE, 25
)</f>
        <v/>
      </c>
      <c r="J163" s="321">
        <f>F163*18%</f>
        <v/>
      </c>
      <c r="K163" s="321">
        <f>(F163-J163)*1.65%</f>
        <v/>
      </c>
      <c r="L163" s="321">
        <f>(F163-J163)*7.6%</f>
        <v/>
      </c>
      <c r="M163" s="1120">
        <f>3.08*3</f>
        <v/>
      </c>
      <c r="N163" s="1120">
        <f>(G163+I163) * (9.25%)</f>
        <v/>
      </c>
      <c r="O163" s="121">
        <f>12.04*3</f>
        <v/>
      </c>
      <c r="P163" s="447">
        <f>(F163 - (G163+I163+O163+(J163+K163+L163))) - (H163-M163-N163)</f>
        <v/>
      </c>
      <c r="Q163" s="1328">
        <f>P163/F163</f>
        <v/>
      </c>
      <c r="R163" s="579" t="n"/>
      <c r="S163" s="33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</row>
    <row r="164" ht="18.75" customHeight="1" s="1349">
      <c r="A164" s="310" t="inlineStr">
        <is>
          <t>6604758386</t>
        </is>
      </c>
      <c r="B164" s="402" t="inlineStr">
        <is>
          <t>CELULAGAS1000PINO3X27</t>
        </is>
      </c>
      <c r="C164" s="331" t="inlineStr">
        <is>
          <t>ÂNCORA</t>
        </is>
      </c>
      <c r="D164" s="404" t="inlineStr">
        <is>
          <t>Kit Célula De Carga Gás + 1000 Pino Liso 3x27mm Aço Fga850n</t>
        </is>
      </c>
      <c r="E164" s="359" t="n"/>
      <c r="F164" s="359" t="n">
        <v>338.53</v>
      </c>
      <c r="G164" s="321">
        <f>F164*17%</f>
        <v/>
      </c>
      <c r="H164" s="296" t="n">
        <v>-11.14</v>
      </c>
      <c r="I164" s="331" t="n">
        <v>26.25</v>
      </c>
      <c r="J164" s="321">
        <f>F164*18%</f>
        <v/>
      </c>
      <c r="K164" s="321">
        <f>(F164-J164)*1.65%</f>
        <v/>
      </c>
      <c r="L164" s="321">
        <f>(F164-J164)*7.6%</f>
        <v/>
      </c>
      <c r="M164" s="1120">
        <f>16.01+7.27</f>
        <v/>
      </c>
      <c r="N164" s="1120">
        <f>(G164+I164) * (9.25%)</f>
        <v/>
      </c>
      <c r="O164" s="121">
        <f>124.34 + 60.1</f>
        <v/>
      </c>
      <c r="P164" s="447">
        <f>(F164 - (G164+I164+O164+(J164+K164+L164))) - (H164-M164-N164)</f>
        <v/>
      </c>
      <c r="Q164" s="1328">
        <f>P164/F164</f>
        <v/>
      </c>
      <c r="R164" s="579" t="n"/>
      <c r="S164" s="33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</row>
    <row r="165" ht="18.75" customHeight="1" s="1349">
      <c r="A165" s="429" t="inlineStr">
        <is>
          <t>4277469063</t>
        </is>
      </c>
      <c r="B165" s="430" t="n">
        <v>10034034167679</v>
      </c>
      <c r="C165" s="318" t="inlineStr">
        <is>
          <t>Norton</t>
        </is>
      </c>
      <c r="D165" s="1310" t="inlineStr">
        <is>
          <t>Kit Disco De Corte Bna12 15x1x2.23mm Corte Rápido Norton 5un</t>
        </is>
      </c>
      <c r="E165" s="359" t="n"/>
      <c r="F165" s="359" t="n">
        <v>52.01</v>
      </c>
      <c r="G165" s="374">
        <f>F165*18%</f>
        <v/>
      </c>
      <c r="H165" s="296" t="n">
        <v>-0.79</v>
      </c>
      <c r="I165" s="331">
        <f>IFS(
  F165&lt;12.5, F165/2,
  F165&lt;29, 6.25,
  F165&lt;50, 6.5,
  F165&lt;=79, 6.75,
  TRUE, 25
)</f>
        <v/>
      </c>
      <c r="J165" s="321">
        <f>F165*18%</f>
        <v/>
      </c>
      <c r="K165" s="321">
        <f>(F165-J165)*1.65%</f>
        <v/>
      </c>
      <c r="L165" s="321">
        <f>(F165-J165)*7.6%</f>
        <v/>
      </c>
      <c r="M165" s="1120">
        <f>1.27*5</f>
        <v/>
      </c>
      <c r="N165" s="1120">
        <f>(G165+I165) * (9.25%)</f>
        <v/>
      </c>
      <c r="O165" s="121">
        <f>5.45*5</f>
        <v/>
      </c>
      <c r="P165" s="447">
        <f>(F165 - (G165+I165+O165+(J165+K165+L165))) - (H165-M165-N165)</f>
        <v/>
      </c>
      <c r="Q165" s="1328">
        <f>P165/F165</f>
        <v/>
      </c>
      <c r="R165" s="579" t="n"/>
      <c r="S165" s="33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</row>
    <row r="166" ht="18.75" customHeight="1" s="1349">
      <c r="A166" s="534" t="inlineStr">
        <is>
          <t>4735145081</t>
        </is>
      </c>
      <c r="B166" s="402" t="inlineStr">
        <is>
          <t>METALMAXIRWN115MM_2UN</t>
        </is>
      </c>
      <c r="C166" s="538" t="inlineStr">
        <is>
          <t>Irwin</t>
        </is>
      </c>
      <c r="D166" s="404" t="inlineStr">
        <is>
          <t>Kit 2 Disco Corte Metalmax 115mm 1000 Cortes Eficiencia Pro</t>
        </is>
      </c>
      <c r="E166" s="499" t="n"/>
      <c r="F166" s="499" t="n">
        <v>185</v>
      </c>
      <c r="G166" s="321">
        <f>F166*12%</f>
        <v/>
      </c>
      <c r="H166" s="296" t="n"/>
      <c r="I166" s="538" t="n">
        <v>18.45</v>
      </c>
      <c r="J166" s="366" t="n">
        <v>0</v>
      </c>
      <c r="K166" s="321">
        <f>(F166-J166)*1.65%</f>
        <v/>
      </c>
      <c r="L166" s="321">
        <f>(F166-J166)*7.6%</f>
        <v/>
      </c>
      <c r="M166" s="405">
        <f>5.33*2</f>
        <v/>
      </c>
      <c r="N166" s="405">
        <f>(G166+I166) * (9.25%)</f>
        <v/>
      </c>
      <c r="O166" s="274">
        <f>63.76*2</f>
        <v/>
      </c>
      <c r="P166" s="447">
        <f>(F166 - (G166+I166+O166+(J166+K166+L166))) - (H166-M166-N166)</f>
        <v/>
      </c>
      <c r="Q166" s="1328">
        <f>P166/F166</f>
        <v/>
      </c>
      <c r="R166" s="466" t="inlineStr">
        <is>
          <t>Ativo</t>
        </is>
      </c>
      <c r="S166" s="33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</row>
    <row r="167" ht="18.75" customHeight="1" s="1349">
      <c r="A167" s="310" t="n"/>
      <c r="B167" s="167" t="n">
        <v>10034034168720</v>
      </c>
      <c r="C167" s="538" t="inlineStr">
        <is>
          <t>ÂNCORA</t>
        </is>
      </c>
      <c r="D167" s="404" t="inlineStr">
        <is>
          <t>Kit 10 Broca Aço Rápido 3/16 Hss Serralheria Metal Aluminio</t>
        </is>
      </c>
      <c r="E167" s="359" t="n"/>
      <c r="F167" s="499" t="n">
        <v>89</v>
      </c>
      <c r="G167" s="321">
        <f>F167*17%</f>
        <v/>
      </c>
      <c r="H167" s="296" t="n"/>
      <c r="I167" s="538" t="n">
        <v>12.35</v>
      </c>
      <c r="J167" s="321" t="n"/>
      <c r="K167" s="321">
        <f>(F167-J167)*1.65%</f>
        <v/>
      </c>
      <c r="L167" s="321">
        <f>(F167-J167)*7.6%</f>
        <v/>
      </c>
      <c r="M167" s="1120">
        <f>0.44*10</f>
        <v/>
      </c>
      <c r="N167" s="1120">
        <f>(G167+I167) * (9.25%)</f>
        <v/>
      </c>
      <c r="O167" s="274">
        <f>5.34*10</f>
        <v/>
      </c>
      <c r="P167" s="447">
        <f>(F167 - (G167+I167+O167+(J167+K167+L167))) - (H167-M167-N167)</f>
        <v/>
      </c>
      <c r="Q167" s="1328">
        <f>P167/F167</f>
        <v/>
      </c>
      <c r="R167" s="466" t="inlineStr">
        <is>
          <t>Ativo</t>
        </is>
      </c>
      <c r="S167" s="33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</row>
    <row r="168" ht="18.75" customHeight="1" s="1349">
      <c r="A168" s="467" t="inlineStr">
        <is>
          <t>4424343927</t>
        </is>
      </c>
      <c r="B168" s="402" t="n">
        <v>10034034168115</v>
      </c>
      <c r="C168" s="331" t="inlineStr">
        <is>
          <t>ÂNCORA</t>
        </is>
      </c>
      <c r="D168" s="404" t="inlineStr">
        <is>
          <t>100 Bucha Nylon 8 Universal A8 Nylon Profissional Sem Anel</t>
        </is>
      </c>
      <c r="E168" s="359" t="n"/>
      <c r="F168" s="499" t="n">
        <v>23.2</v>
      </c>
      <c r="G168" s="321">
        <f>F168*16.5%</f>
        <v/>
      </c>
      <c r="H168" s="831" t="n">
        <v>-0.58</v>
      </c>
      <c r="I168" s="331">
        <f>IFS(
  F168&lt;12.5, F168/2,
  F168&lt;29, 6.25,
  F168&lt;50, 6.5,
  F168&lt;=79, 6.75,
  TRUE, 25
)</f>
        <v/>
      </c>
      <c r="J168" s="321">
        <f>F168*18%</f>
        <v/>
      </c>
      <c r="K168" s="321">
        <f>(F168-J168)*1.65%</f>
        <v/>
      </c>
      <c r="L168" s="321">
        <f>(F168-J168)*7.6%</f>
        <v/>
      </c>
      <c r="M168" s="357" t="n"/>
      <c r="N168" s="357">
        <f>(G168+I168) * (9.25%)</f>
        <v/>
      </c>
      <c r="O168" s="730">
        <f>6.91425</f>
        <v/>
      </c>
      <c r="P168" s="447">
        <f>(F168 - (G168+I168+O168+(J168+K168+L168))) - (H168-M168-N168)</f>
        <v/>
      </c>
      <c r="Q168" s="1328">
        <f>P168/F168</f>
        <v/>
      </c>
      <c r="R168" s="579" t="n"/>
      <c r="S168" s="33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</row>
    <row r="169" ht="18.75" customHeight="1" s="1349">
      <c r="A169" s="310" t="n"/>
      <c r="B169" s="402" t="n"/>
      <c r="C169" s="331" t="n"/>
      <c r="D169" s="411" t="inlineStr">
        <is>
          <t>KIT 5 CHUMBADOR PARABOLT CBA 3/8 X 110 AÇO FIXAÇÃO</t>
        </is>
      </c>
      <c r="E169" s="359" t="n"/>
      <c r="F169" s="359" t="n">
        <v>28.3</v>
      </c>
      <c r="G169" s="321">
        <f>F169*17%</f>
        <v/>
      </c>
      <c r="H169" s="296" t="n"/>
      <c r="I169" s="331" t="n">
        <v>7</v>
      </c>
      <c r="J169" s="321">
        <f>F169*18%</f>
        <v/>
      </c>
      <c r="K169" s="321">
        <f>(F169-J169)*1.65%</f>
        <v/>
      </c>
      <c r="L169" s="321">
        <f>(F169-J169)*7.6%</f>
        <v/>
      </c>
      <c r="M169" s="1120" t="n">
        <v>1.1</v>
      </c>
      <c r="N169" s="1120">
        <f>(G169+I169) * (9.25%)</f>
        <v/>
      </c>
      <c r="O169" s="515" t="n">
        <v>9.25</v>
      </c>
      <c r="P169" s="447">
        <f>(F169 - (G169+I169+O169+(J169+K169+L169))) - (H169-M169-N169)</f>
        <v/>
      </c>
      <c r="Q169" s="1328">
        <f>P169/F169</f>
        <v/>
      </c>
      <c r="R169" s="579" t="n"/>
      <c r="S169" s="330" t="n"/>
      <c r="T169" s="579" t="n"/>
      <c r="U169" s="579" t="n"/>
      <c r="V169" s="579" t="n"/>
      <c r="W169" s="579" t="n"/>
      <c r="X169" s="579" t="n"/>
      <c r="Y169" s="579" t="n"/>
      <c r="Z169" s="579" t="n"/>
      <c r="AA169" s="579" t="n"/>
      <c r="AB169" s="579" t="n"/>
      <c r="AC169" s="579" t="n"/>
      <c r="AD169" s="579" t="n"/>
      <c r="AE169" s="579" t="n"/>
      <c r="AF169" s="579" t="n"/>
      <c r="AG169" s="579" t="n"/>
    </row>
    <row r="170" ht="18.75" customHeight="1" s="1349">
      <c r="A170" s="310" t="inlineStr">
        <is>
          <t>4451449133</t>
        </is>
      </c>
      <c r="B170" s="402" t="n">
        <v>10034034168132</v>
      </c>
      <c r="C170" s="331" t="inlineStr">
        <is>
          <t>Toralf</t>
        </is>
      </c>
      <c r="D170" s="404" t="inlineStr">
        <is>
          <t>8 Parafuso Sanitário Latonado Bicromatizado 10mm Fixação Pro</t>
        </is>
      </c>
      <c r="E170" s="359" t="n"/>
      <c r="F170" s="359" t="n">
        <v>39</v>
      </c>
      <c r="G170" s="321">
        <f>F170*17%</f>
        <v/>
      </c>
      <c r="H170" s="322" t="n">
        <v>-0.6</v>
      </c>
      <c r="I170" s="331" t="n">
        <v>6.55</v>
      </c>
      <c r="J170" s="321">
        <f>F170*18%</f>
        <v/>
      </c>
      <c r="K170" s="321">
        <f>(F170-J170)*1.65%</f>
        <v/>
      </c>
      <c r="L170" s="321">
        <f>(F170-J170)*7.6%</f>
        <v/>
      </c>
      <c r="M170" s="1120" t="n">
        <v>0.17</v>
      </c>
      <c r="N170" s="1120">
        <f>(G170+I170) * (9.25%)</f>
        <v/>
      </c>
      <c r="O170" s="260">
        <f>1.85*8</f>
        <v/>
      </c>
      <c r="P170" s="447">
        <f>(F170 - (G170+I170+O170+(J170+K170+L170))) - (H170-M170-N170)</f>
        <v/>
      </c>
      <c r="Q170" s="1328">
        <f>P170/F170</f>
        <v/>
      </c>
      <c r="R170" s="579" t="n"/>
      <c r="S170" s="33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</row>
    <row r="171" ht="18.75" customHeight="1" s="1349">
      <c r="A171" s="310" t="inlineStr">
        <is>
          <t>4294640887</t>
        </is>
      </c>
      <c r="B171" s="402" t="n">
        <v>10034034167760</v>
      </c>
      <c r="C171" s="318" t="inlineStr">
        <is>
          <t>VOLK</t>
        </is>
      </c>
      <c r="D171" s="404" t="inlineStr">
        <is>
          <t>Luva Grip Tricotada Reforçada Proteção Mecânica Tamanho G 5u</t>
        </is>
      </c>
      <c r="E171" s="359" t="n"/>
      <c r="F171" s="359" t="n">
        <v>55.9</v>
      </c>
      <c r="G171" s="321">
        <f>F171*17%</f>
        <v/>
      </c>
      <c r="H171" s="322" t="n"/>
      <c r="I171" s="331" t="n">
        <v>6.75</v>
      </c>
      <c r="J171" s="321">
        <f>F171*18%</f>
        <v/>
      </c>
      <c r="K171" s="321">
        <f>(F171-J171)*1.65%</f>
        <v/>
      </c>
      <c r="L171" s="321">
        <f>(F171-J171)*7.6%</f>
        <v/>
      </c>
      <c r="M171" s="1120">
        <f>1.14*5</f>
        <v/>
      </c>
      <c r="N171" s="1120">
        <f>(G171+I171) * (9.25%)</f>
        <v/>
      </c>
      <c r="O171" s="453">
        <f>5.64*5</f>
        <v/>
      </c>
      <c r="P171" s="447">
        <f>(F171 - (G171+I171+O171+(J171+K171+L171))) - (H171-M171-N171)</f>
        <v/>
      </c>
      <c r="Q171" s="1328">
        <f>P171/F171</f>
        <v/>
      </c>
      <c r="R171" s="579" t="n"/>
      <c r="S171" s="806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</row>
    <row r="172" ht="18.75" customHeight="1" s="1349">
      <c r="A172" s="1265" t="inlineStr">
        <is>
          <t>7711976237812623</t>
        </is>
      </c>
      <c r="B172" s="1263" t="n">
        <v>10034034168324</v>
      </c>
      <c r="C172" s="515" t="inlineStr">
        <is>
          <t>Camper</t>
        </is>
      </c>
      <c r="D172" s="112" t="inlineStr">
        <is>
          <t>Kit Capacete Camper Avant + Carneira + Jugular Epi Segurança</t>
        </is>
      </c>
      <c r="E172" s="492" t="n"/>
      <c r="F172" s="607" t="n">
        <v>25.31</v>
      </c>
      <c r="G172" s="447">
        <f>F172*12%</f>
        <v/>
      </c>
      <c r="H172" s="831" t="n">
        <v>-1.36</v>
      </c>
      <c r="I172" s="631" t="n">
        <v>7.95</v>
      </c>
      <c r="J172" s="340">
        <f>F172*18%</f>
        <v/>
      </c>
      <c r="K172" s="340">
        <f>(F172-J172)*1.65%</f>
        <v/>
      </c>
      <c r="L172" s="340">
        <f>(F172-J172)*7.6%</f>
        <v/>
      </c>
      <c r="M172" s="1120">
        <f>1.66+0.42</f>
        <v/>
      </c>
      <c r="N172" s="1120">
        <f>(G172+I172) * (9.25%)</f>
        <v/>
      </c>
      <c r="O172" s="708">
        <f>8.24+2.09</f>
        <v/>
      </c>
      <c r="P172" s="447">
        <f>(F172 - (G172+I172+O172+(J172+K172+L172))) - (H172-M172-N172)</f>
        <v/>
      </c>
      <c r="Q172" s="328">
        <f>P172/F172</f>
        <v/>
      </c>
      <c r="R172" s="514" t="inlineStr">
        <is>
          <t>Ativo</t>
        </is>
      </c>
      <c r="S172" s="33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</row>
    <row r="173" ht="18.75" customHeight="1" s="1349">
      <c r="A173" s="356" t="inlineStr">
        <is>
          <t>4230574503</t>
        </is>
      </c>
      <c r="B173" s="264" t="n"/>
      <c r="C173" s="318" t="inlineStr">
        <is>
          <t>Irwin</t>
        </is>
      </c>
      <c r="D173" s="1310" t="inlineStr">
        <is>
          <t>Caixa Mala De Ferramentas Contractor Irwin Iwst33027-l</t>
        </is>
      </c>
      <c r="E173" s="320" t="n"/>
      <c r="F173" s="320" t="n">
        <v>436.5</v>
      </c>
      <c r="G173" s="321">
        <f>F173*12%</f>
        <v/>
      </c>
      <c r="H173" s="322" t="n">
        <v>-11.84</v>
      </c>
      <c r="I173" s="1310" t="n">
        <v>91.15000000000001</v>
      </c>
      <c r="J173" s="321">
        <f>F173*18%</f>
        <v/>
      </c>
      <c r="K173" s="321">
        <f>(F173-J173)*1.65%</f>
        <v/>
      </c>
      <c r="L173" s="321">
        <f>(F173-J173)*7.6%</f>
        <v/>
      </c>
      <c r="M173" s="1120" t="n">
        <v>59.26</v>
      </c>
      <c r="N173" s="1120">
        <f>(G173+I173) * (9.25%)</f>
        <v/>
      </c>
      <c r="O173" s="708" t="n">
        <v>231.62</v>
      </c>
      <c r="P173" s="447">
        <f>(F173 - (G173+I173+O173+(J173+K173+L173))) - (H173-M173-N173)</f>
        <v/>
      </c>
      <c r="Q173" s="328">
        <f>P173/F173</f>
        <v/>
      </c>
      <c r="R173" s="579" t="n"/>
      <c r="S173" s="33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</row>
    <row r="174" ht="18.75" customHeight="1" s="1349">
      <c r="A174" s="310" t="n"/>
      <c r="B174" s="402" t="n">
        <v>6600548396</v>
      </c>
      <c r="C174" s="331" t="inlineStr">
        <is>
          <t>ÂNCORA</t>
        </is>
      </c>
      <c r="D174" s="398" t="inlineStr">
        <is>
          <t>KIT 50 CHUMBADOR PARABOLT CBA 1/4X3 AÇO FIXAÇÃO</t>
        </is>
      </c>
      <c r="E174" s="359" t="n"/>
      <c r="F174" s="359" t="n">
        <v>99.89</v>
      </c>
      <c r="G174" s="321">
        <f>F174*17%</f>
        <v/>
      </c>
      <c r="H174" s="296" t="n"/>
      <c r="I174" s="331" t="n">
        <v>13.85</v>
      </c>
      <c r="J174" s="321">
        <f>F174*18%</f>
        <v/>
      </c>
      <c r="K174" s="321">
        <f>(F174-J174)*1.65%</f>
        <v/>
      </c>
      <c r="L174" s="321">
        <f>(F174-J174)*7.6%</f>
        <v/>
      </c>
      <c r="M174" s="1120" t="n">
        <v>5</v>
      </c>
      <c r="N174" s="1120">
        <f>(G174+I174) * (9.25%)</f>
        <v/>
      </c>
      <c r="O174" s="515">
        <f>0.87*50</f>
        <v/>
      </c>
      <c r="P174" s="384">
        <f>(F174 - (G174+I174+O174+(J174+K174+L174))) - (H174-M174-N174)</f>
        <v/>
      </c>
      <c r="Q174" s="1328">
        <f>P174/F174</f>
        <v/>
      </c>
      <c r="R174" s="579" t="n"/>
      <c r="S174" s="33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</row>
    <row r="175" ht="18.75" customHeight="1" s="1349">
      <c r="A175" s="310" t="n"/>
      <c r="B175" s="402" t="n"/>
      <c r="C175" s="331" t="inlineStr">
        <is>
          <t>ÂNCORA</t>
        </is>
      </c>
      <c r="D175" s="404" t="inlineStr">
        <is>
          <t>Kit 5 Broca Aço Rápido 3/16 Hss Serralheria Metalurgia Pro</t>
        </is>
      </c>
      <c r="E175" s="359" t="n"/>
      <c r="F175" s="499" t="n">
        <v>46.9</v>
      </c>
      <c r="G175" s="321">
        <f>F175*17%</f>
        <v/>
      </c>
      <c r="H175" s="296" t="n"/>
      <c r="I175" s="538" t="n">
        <v>7.85</v>
      </c>
      <c r="J175" s="321" t="n"/>
      <c r="K175" s="321">
        <f>(F175-J175)*1.65%</f>
        <v/>
      </c>
      <c r="L175" s="321">
        <f>(F175-J175)*7.6%</f>
        <v/>
      </c>
      <c r="M175" s="1120">
        <f>0.44*5</f>
        <v/>
      </c>
      <c r="N175" s="1120">
        <f>(G175+I175) * (9.25%)</f>
        <v/>
      </c>
      <c r="O175" s="274">
        <f>5.34*5</f>
        <v/>
      </c>
      <c r="P175" s="447">
        <f>(F175 - (G175+I175+O175+(J175+K175+L175))) - (H175-M175-N175)</f>
        <v/>
      </c>
      <c r="Q175" s="1328">
        <f>P175/F175</f>
        <v/>
      </c>
      <c r="R175" s="466" t="inlineStr">
        <is>
          <t>Ativo</t>
        </is>
      </c>
      <c r="S175" s="33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</row>
    <row r="176" ht="18.75" customHeight="1" s="1349">
      <c r="A176" s="316" t="inlineStr">
        <is>
          <t>3817324862</t>
        </is>
      </c>
      <c r="B176" s="317" t="n">
        <v>1004004825877</v>
      </c>
      <c r="C176" s="318" t="inlineStr">
        <is>
          <t>Vinilseg</t>
        </is>
      </c>
      <c r="D176" s="1310" t="inlineStr">
        <is>
          <t>Capa De Chuva Amarela Refletiva Forrada Reforçada Com Capuz</t>
        </is>
      </c>
      <c r="E176" s="320" t="n"/>
      <c r="F176" s="320" t="n">
        <v>46.88</v>
      </c>
      <c r="G176" s="321">
        <f>F176*12%</f>
        <v/>
      </c>
      <c r="H176" s="322" t="n">
        <v>-0.8100000000000001</v>
      </c>
      <c r="I176" s="331" t="n">
        <v>6.75</v>
      </c>
      <c r="J176" s="321">
        <f>F176*18%</f>
        <v/>
      </c>
      <c r="K176" s="321">
        <f>(F176-J176)*1.65%</f>
        <v/>
      </c>
      <c r="L176" s="321">
        <f>(F176-J176)*7.6%</f>
        <v/>
      </c>
      <c r="M176" s="1120" t="n">
        <v>5.24</v>
      </c>
      <c r="N176" s="1120">
        <f>(G176+I176) * (9.25%)</f>
        <v/>
      </c>
      <c r="O176" s="708" t="n">
        <v>26</v>
      </c>
      <c r="P176" s="447">
        <f>(F176 - (G176+I176+O176+(J176+K176+L176))) - (H176-M176-N176)</f>
        <v/>
      </c>
      <c r="Q176" s="328">
        <f>P176/F176</f>
        <v/>
      </c>
      <c r="R176" s="463" t="inlineStr">
        <is>
          <t>Ativo</t>
        </is>
      </c>
      <c r="S176" s="33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</row>
    <row r="177" ht="18.75" customHeight="1" s="1349">
      <c r="A177" s="310" t="inlineStr">
        <is>
          <t>5924863266</t>
        </is>
      </c>
      <c r="B177" s="402" t="n">
        <v>10034034167793</v>
      </c>
      <c r="C177" s="318" t="inlineStr">
        <is>
          <t>VOLK</t>
        </is>
      </c>
      <c r="D177" s="404" t="inlineStr">
        <is>
          <t>Luva Látex Verniz Silver Impermeável Anatômica Cano Curto 6u</t>
        </is>
      </c>
      <c r="E177" s="359" t="n"/>
      <c r="F177" s="359" t="n">
        <v>54.37</v>
      </c>
      <c r="G177" s="321">
        <f>F177*18%</f>
        <v/>
      </c>
      <c r="H177" s="322" t="n">
        <v>-0.55</v>
      </c>
      <c r="I177" s="331" t="n">
        <v>8.050000000000001</v>
      </c>
      <c r="J177" s="321">
        <f>F177*18%</f>
        <v/>
      </c>
      <c r="K177" s="321">
        <f>(F177-J177)*1.65%</f>
        <v/>
      </c>
      <c r="L177" s="321">
        <f>(F177-J177)*7.6%</f>
        <v/>
      </c>
      <c r="M177" s="1120">
        <f>0.5*6</f>
        <v/>
      </c>
      <c r="N177" s="1120">
        <f>(G177+I177) * (9.25%)</f>
        <v/>
      </c>
      <c r="O177" s="121">
        <f>3.92*6</f>
        <v/>
      </c>
      <c r="P177" s="447">
        <f>(F177 - (G177+I177+O177+(J177+K177+L177))) - (H177-M177-N177)</f>
        <v/>
      </c>
      <c r="Q177" s="1328">
        <f>P177/F177</f>
        <v/>
      </c>
      <c r="R177" s="579" t="n"/>
      <c r="S177" s="33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</row>
    <row r="178" ht="18.75" customHeight="1" s="1349">
      <c r="A178" s="711" t="inlineStr">
        <is>
          <t>5961293905106576</t>
        </is>
      </c>
      <c r="B178" s="470" t="inlineStr">
        <is>
          <t>CCP501 SF .42</t>
        </is>
      </c>
      <c r="C178" s="1292" t="inlineStr">
        <is>
          <t>Calfor</t>
        </is>
      </c>
      <c r="D178" s="471">
        <f>hyperlink("https://produto.mercadolivre.com.br/MLB-3892497388-bota-galocha-impermeavel-cano-curto-conforto-duravel-leve-_JM","Bota Galocha Impermeável Cano Curto Conforto Durável Leve")</f>
        <v/>
      </c>
      <c r="E178" s="685" t="n"/>
      <c r="F178" s="856" t="n">
        <v>63.92</v>
      </c>
      <c r="G178" s="447">
        <f>F178*12%</f>
        <v/>
      </c>
      <c r="H178" s="833" t="n"/>
      <c r="I178" s="904" t="n">
        <v>8.550000000000001</v>
      </c>
      <c r="J178" s="340">
        <f>F178*18%</f>
        <v/>
      </c>
      <c r="K178" s="340">
        <f>(F178-J178)*1.65%</f>
        <v/>
      </c>
      <c r="L178" s="340">
        <f>(F178-J178)*7.6%</f>
        <v/>
      </c>
      <c r="M178" s="1120" t="n">
        <v>7</v>
      </c>
      <c r="N178" s="1120">
        <f>(G178+I178) * (9.25%)</f>
        <v/>
      </c>
      <c r="O178" s="701" t="n">
        <v>34.78</v>
      </c>
      <c r="P178" s="1016">
        <f>(F178 - (G178+I178+O178+(J178+K178+L178))) - (H178-M178-N178)</f>
        <v/>
      </c>
      <c r="Q178" s="328">
        <f>P178/F178</f>
        <v/>
      </c>
      <c r="R178" s="1206" t="inlineStr">
        <is>
          <t>Ativo</t>
        </is>
      </c>
      <c r="S178" s="33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</row>
    <row r="179" ht="18.75" customHeight="1" s="1349">
      <c r="A179" s="310" t="n"/>
      <c r="B179" s="402" t="n"/>
      <c r="C179" s="331" t="n"/>
      <c r="D179" s="381" t="inlineStr">
        <is>
          <t>KIT 10 CHUMBADOR PARABOLT CBA 3/8 X 80 AÇO FIXAÇÃO</t>
        </is>
      </c>
      <c r="E179" s="359" t="n"/>
      <c r="F179" s="359" t="n">
        <v>34.99</v>
      </c>
      <c r="G179" s="321">
        <f>F179*17%</f>
        <v/>
      </c>
      <c r="H179" s="296" t="n"/>
      <c r="I179" s="331" t="n">
        <v>7</v>
      </c>
      <c r="J179" s="321">
        <f>F179*18%</f>
        <v/>
      </c>
      <c r="K179" s="321">
        <f>(F179-J179)*1.65%</f>
        <v/>
      </c>
      <c r="L179" s="321">
        <f>(F179-J179)*7.6%</f>
        <v/>
      </c>
      <c r="M179" s="1120" t="n">
        <v>1.6</v>
      </c>
      <c r="N179" s="1120">
        <f>(G179+I179) * (9.25%)</f>
        <v/>
      </c>
      <c r="O179" s="515" t="n">
        <v>13.1</v>
      </c>
      <c r="P179" s="447">
        <f>(F179 - (G179+I179+O179+(J179+K179+L179))) - (H179-M179-N179)</f>
        <v/>
      </c>
      <c r="Q179" s="1328">
        <f>P179/F179</f>
        <v/>
      </c>
      <c r="R179" s="579" t="n"/>
      <c r="S179" s="33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</row>
    <row r="180" ht="18.75" customHeight="1" s="1349">
      <c r="A180" s="316" t="inlineStr">
        <is>
          <t>3814214414</t>
        </is>
      </c>
      <c r="B180" s="317" t="n">
        <v>119</v>
      </c>
      <c r="C180" s="318" t="inlineStr">
        <is>
          <t>EPI</t>
        </is>
      </c>
      <c r="D180" s="1310" t="inlineStr">
        <is>
          <t>Capa De Chuva Descartável Reforçada Transparente Com Capuz</t>
        </is>
      </c>
      <c r="E180" s="320" t="n"/>
      <c r="F180" s="320" t="n">
        <v>9.449999999999999</v>
      </c>
      <c r="G180" s="321">
        <f>F180*12%</f>
        <v/>
      </c>
      <c r="H180" s="322" t="n">
        <v>-0.29</v>
      </c>
      <c r="I180" s="331">
        <f>IFS(
  F180&lt;12.5, F180/2,
  F180&lt;29, 6.25,
  F180&lt;50, 6.5,
  F180&lt;=79, 6.75,
  TRUE, 25
)</f>
        <v/>
      </c>
      <c r="J180" s="321">
        <f>F180*18%</f>
        <v/>
      </c>
      <c r="K180" s="321">
        <f>(F180-J180)*1.65%</f>
        <v/>
      </c>
      <c r="L180" s="321">
        <f>(F180-J180)*7.6%</f>
        <v/>
      </c>
      <c r="M180" s="357" t="n"/>
      <c r="N180" s="357">
        <f>(G180+I180) * (9.25%)</f>
        <v/>
      </c>
      <c r="O180" s="578" t="n">
        <v>1.25</v>
      </c>
      <c r="P180" s="447">
        <f>(F180 - (G180+I180+O180+(J180+K180+L180))) - (H180-M180-N180)</f>
        <v/>
      </c>
      <c r="Q180" s="328">
        <f>P180/F180</f>
        <v/>
      </c>
      <c r="R180" s="298" t="inlineStr">
        <is>
          <t>sem estoque</t>
        </is>
      </c>
      <c r="S180" s="33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</row>
    <row r="181" ht="18.75" customHeight="1" s="1349">
      <c r="A181" s="429" t="inlineStr">
        <is>
          <t>8816175131519058</t>
        </is>
      </c>
      <c r="B181" s="430" t="inlineStr">
        <is>
          <t>3563288459232913</t>
        </is>
      </c>
      <c r="C181" s="318" t="inlineStr">
        <is>
          <t>Calfor</t>
        </is>
      </c>
      <c r="D181" s="1310" t="inlineStr">
        <is>
          <t>Bota Galocha Pvc Stivalleto Max Impermeável Cano Médio</t>
        </is>
      </c>
      <c r="E181" s="320" t="n"/>
      <c r="F181" s="320" t="n">
        <v>55.29</v>
      </c>
      <c r="G181" s="374">
        <f>F181*17%</f>
        <v/>
      </c>
      <c r="H181" s="375" t="n">
        <v>-2.37</v>
      </c>
      <c r="I181" s="331" t="n">
        <v>8.550000000000001</v>
      </c>
      <c r="J181" s="321">
        <f>F181*18%</f>
        <v/>
      </c>
      <c r="K181" s="321">
        <f>(F181-J181)*1.65%</f>
        <v/>
      </c>
      <c r="L181" s="321">
        <f>(F181-J181)*7.6%</f>
        <v/>
      </c>
      <c r="M181" s="1120" t="n">
        <v>5.75</v>
      </c>
      <c r="N181" s="1120">
        <f>(G181+I181) * (9.25%)</f>
        <v/>
      </c>
      <c r="O181" s="708" t="n">
        <v>28.53</v>
      </c>
      <c r="P181" s="447">
        <f>(F181 - (G181+I181+O181+(J181+K181+L181))) - (H181-M181-N181)</f>
        <v/>
      </c>
      <c r="Q181" s="1328">
        <f>P181/F181</f>
        <v/>
      </c>
      <c r="R181" s="579" t="n"/>
      <c r="S181" s="33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</row>
    <row r="182" ht="18.75" customHeight="1" s="1349">
      <c r="A182" s="316" t="inlineStr">
        <is>
          <t>5338840990 3990254681</t>
        </is>
      </c>
      <c r="B182" s="317" t="inlineStr">
        <is>
          <t>800100P</t>
        </is>
      </c>
      <c r="C182" s="318" t="inlineStr">
        <is>
          <t>Camper</t>
        </is>
      </c>
      <c r="D182" s="1310" t="inlineStr">
        <is>
          <t>Capacete Epi Segurança Camper Carneira E Jugular Cor Branco</t>
        </is>
      </c>
      <c r="E182" s="320" t="n"/>
      <c r="F182" s="320" t="n">
        <v>24.9</v>
      </c>
      <c r="G182" s="321">
        <f>F182*12%</f>
        <v/>
      </c>
      <c r="H182" s="322" t="n"/>
      <c r="I182" s="331" t="n">
        <v>7.95</v>
      </c>
      <c r="J182" s="321">
        <f>F182*18%</f>
        <v/>
      </c>
      <c r="K182" s="321">
        <f>(F182-J182)*1.65%</f>
        <v/>
      </c>
      <c r="L182" s="321">
        <f>(F182-J182)*7.6%</f>
        <v/>
      </c>
      <c r="M182" s="1120" t="n">
        <v>1.66</v>
      </c>
      <c r="N182" s="1120">
        <f>(G182+I182) * (9.25%)</f>
        <v/>
      </c>
      <c r="O182" s="708" t="n">
        <v>8.24</v>
      </c>
      <c r="P182" s="447">
        <f>(F182 - (G182+I182+O182+(J182+K182+L182))) - (H182-M182-N182)</f>
        <v/>
      </c>
      <c r="Q182" s="328">
        <f>P182/F182</f>
        <v/>
      </c>
      <c r="R182" s="421" t="inlineStr">
        <is>
          <t>Ativo</t>
        </is>
      </c>
      <c r="S182" s="33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</row>
    <row r="183" ht="18.75" customHeight="1" s="1349">
      <c r="A183" s="310" t="n"/>
      <c r="B183" s="402" t="n"/>
      <c r="C183" s="331" t="n"/>
      <c r="D183" s="411" t="inlineStr">
        <is>
          <t xml:space="preserve">KIT 10 CHUMBADOR PARABOLT CBA 1/4 X 65 AÇO FIXAÇÃO </t>
        </is>
      </c>
      <c r="E183" s="359" t="n"/>
      <c r="F183" s="359" t="n">
        <v>24.89</v>
      </c>
      <c r="G183" s="321">
        <f>F183*17%</f>
        <v/>
      </c>
      <c r="H183" s="296" t="n"/>
      <c r="I183" s="331" t="n">
        <v>7</v>
      </c>
      <c r="J183" s="321">
        <f>F183*18%</f>
        <v/>
      </c>
      <c r="K183" s="321">
        <f>(F183-J183)*1.65%</f>
        <v/>
      </c>
      <c r="L183" s="321">
        <f>(F183-J183)*7.6%</f>
        <v/>
      </c>
      <c r="M183" s="1120" t="n">
        <v>0.9</v>
      </c>
      <c r="N183" s="1120">
        <f>(G183+I183) * (9.25%)</f>
        <v/>
      </c>
      <c r="O183" s="515" t="n">
        <v>7.2</v>
      </c>
      <c r="P183" s="447">
        <f>(F183 - (G183+I183+O183+(J183+K183+L183))) - (H183-M183-N183)</f>
        <v/>
      </c>
      <c r="Q183" s="1328">
        <f>P183/F183</f>
        <v/>
      </c>
      <c r="R183" s="579" t="n"/>
      <c r="S183" s="33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</row>
    <row r="184" ht="18.75" customHeight="1" s="1349">
      <c r="A184" s="356" t="inlineStr">
        <is>
          <t>3945666897</t>
        </is>
      </c>
      <c r="B184" s="264" t="n">
        <v>10034034167485</v>
      </c>
      <c r="C184" s="318" t="inlineStr">
        <is>
          <t>Danny</t>
        </is>
      </c>
      <c r="D184" s="265" t="inlineStr">
        <is>
          <t>Kit 2 Luva Proteção Anti Corte Cut Oil Palma Impermeável Epi</t>
        </is>
      </c>
      <c r="E184" s="320" t="n"/>
      <c r="F184" s="320" t="n">
        <v>63.4</v>
      </c>
      <c r="G184" s="321">
        <f>F184*12%</f>
        <v/>
      </c>
      <c r="H184" s="322" t="n">
        <v>-0.66</v>
      </c>
      <c r="I184" s="331" t="n">
        <v>6.55</v>
      </c>
      <c r="J184" s="321">
        <f>F184*18%</f>
        <v/>
      </c>
      <c r="K184" s="321">
        <f>(F184-J184)*1.65%</f>
        <v/>
      </c>
      <c r="L184" s="321">
        <f>(F184-J184)*7.6%</f>
        <v/>
      </c>
      <c r="M184" s="1120">
        <f>2.2*2</f>
        <v/>
      </c>
      <c r="N184" s="1120">
        <f>(G184+I184) * (9.25%)</f>
        <v/>
      </c>
      <c r="O184" s="708">
        <f>17.11*2</f>
        <v/>
      </c>
      <c r="P184" s="447">
        <f>(F184 - (G184+I184+O184+(J184+K184+L184))) - (H184-M184-N184)</f>
        <v/>
      </c>
      <c r="Q184" s="328">
        <f>P184/F184</f>
        <v/>
      </c>
      <c r="R184" s="421" t="inlineStr">
        <is>
          <t>Ativo</t>
        </is>
      </c>
      <c r="S184" s="33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</row>
    <row r="185" ht="18.75" customHeight="1" s="1349">
      <c r="A185" s="316" t="inlineStr">
        <is>
          <t>147024469902673</t>
        </is>
      </c>
      <c r="B185" s="317" t="n">
        <v>10034034166596</v>
      </c>
      <c r="C185" s="318" t="inlineStr">
        <is>
          <t>MARLUVAS</t>
        </is>
      </c>
      <c r="D185" s="265" t="inlineStr">
        <is>
          <t>Sapato Botina Trabalho Epi Segurança Bico Pvc Ocupacional Ca</t>
        </is>
      </c>
      <c r="E185" s="320" t="n"/>
      <c r="F185" s="320" t="n">
        <v>86.31999999999999</v>
      </c>
      <c r="G185" s="321">
        <f>F185*12%</f>
        <v/>
      </c>
      <c r="H185" s="322" t="n">
        <v>-2.67</v>
      </c>
      <c r="I185" s="331" t="n">
        <v>14.45</v>
      </c>
      <c r="J185" s="321">
        <f>F185*18%</f>
        <v/>
      </c>
      <c r="K185" s="321">
        <f>(F185-J185)*1.65%</f>
        <v/>
      </c>
      <c r="L185" s="321">
        <f>(F185-J185)*7.6%</f>
        <v/>
      </c>
      <c r="M185" s="1120" t="n">
        <v>9.41</v>
      </c>
      <c r="N185" s="1120">
        <f>(G185+I185) * (9.25%)</f>
        <v/>
      </c>
      <c r="O185" s="708" t="n">
        <v>46.74</v>
      </c>
      <c r="P185" s="447">
        <f>(F185 - (G185+I185+O185+(J185+K185+L185))) - (H185-M185-N185)</f>
        <v/>
      </c>
      <c r="Q185" s="328">
        <f>P185/F185</f>
        <v/>
      </c>
      <c r="R185" s="579" t="n"/>
      <c r="S185" s="33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</row>
    <row r="186" ht="18.75" customHeight="1" s="1349">
      <c r="A186" s="310" t="n"/>
      <c r="B186" s="402" t="n"/>
      <c r="C186" s="331" t="n"/>
      <c r="D186" s="411" t="inlineStr">
        <is>
          <t xml:space="preserve">KIT 10 CHUMBADOR PARABOLT CBA 5/16 X 100 AÇO FIXAÇÃO </t>
        </is>
      </c>
      <c r="E186" s="359" t="n"/>
      <c r="F186" s="359" t="n">
        <v>37.5</v>
      </c>
      <c r="G186" s="321">
        <f>F186*17%</f>
        <v/>
      </c>
      <c r="H186" s="296" t="n"/>
      <c r="I186" s="331" t="n">
        <v>7</v>
      </c>
      <c r="J186" s="321">
        <f>F186*18%</f>
        <v/>
      </c>
      <c r="K186" s="321">
        <f>(F186-J186)*1.65%</f>
        <v/>
      </c>
      <c r="L186" s="321">
        <f>(F186-J186)*7.6%</f>
        <v/>
      </c>
      <c r="M186" s="1120" t="n">
        <v>1.7</v>
      </c>
      <c r="N186" s="1120">
        <f>(G186+I186) * (9.25%)</f>
        <v/>
      </c>
      <c r="O186" s="515" t="n">
        <v>14.4</v>
      </c>
      <c r="P186" s="447">
        <f>(F186 - (G186+I186+O186+(J186+K186+L186))) - (H186-M186-N186)</f>
        <v/>
      </c>
      <c r="Q186" s="1328">
        <f>P186/F186</f>
        <v/>
      </c>
      <c r="R186" s="579" t="n"/>
      <c r="S186" s="33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</row>
    <row r="187" ht="18.75" customHeight="1" s="1349">
      <c r="A187" s="310" t="inlineStr">
        <is>
          <t>6185013874</t>
        </is>
      </c>
      <c r="B187" s="402" t="n">
        <v>10034034166795</v>
      </c>
      <c r="C187" s="331" t="inlineStr">
        <is>
          <t>ÂNCORA</t>
        </is>
      </c>
      <c r="D187" s="404" t="inlineStr">
        <is>
          <t>1000 Parafuso Drywall Dla19 Zincado Autoperfurante 4,2 X 19</t>
        </is>
      </c>
      <c r="E187" s="359" t="n"/>
      <c r="F187" s="359" t="n">
        <v>72.79000000000001</v>
      </c>
      <c r="G187" s="321">
        <f>F187*17%</f>
        <v/>
      </c>
      <c r="H187" s="322" t="n">
        <v>-1.84</v>
      </c>
      <c r="I187" s="331">
        <f>IFS(
  F187&lt;12.5, F187/2,
  F187&lt;29, 6.25,
  F187&lt;50, 6.5,
  F187&lt;=79, 6.75,
  TRUE, 25
)</f>
        <v/>
      </c>
      <c r="J187" s="321">
        <f>F187*18%</f>
        <v/>
      </c>
      <c r="K187" s="321">
        <f>(F187-J187)*1.65%</f>
        <v/>
      </c>
      <c r="L187" s="321">
        <f>(F187-J187)*7.6%</f>
        <v/>
      </c>
      <c r="M187" s="1120" t="n">
        <v>4.49</v>
      </c>
      <c r="N187" s="1120">
        <f>(G187+I187) * (9.25%)</f>
        <v/>
      </c>
      <c r="O187" s="708" t="n">
        <v>37.16</v>
      </c>
      <c r="P187" s="447">
        <f>(F187 - (G187+I187+O187+(J187+K187+L187))) - (H187-M187-N187)</f>
        <v/>
      </c>
      <c r="Q187" s="1328">
        <f>P187/F187</f>
        <v/>
      </c>
      <c r="R187" s="579" t="n"/>
      <c r="S187" s="33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 ht="18.75" customHeight="1" s="1349">
      <c r="A188" s="310" t="inlineStr">
        <is>
          <t>4411013185</t>
        </is>
      </c>
      <c r="B188" s="402" t="n">
        <v>10034034168081</v>
      </c>
      <c r="C188" s="331" t="inlineStr">
        <is>
          <t>VOLK</t>
        </is>
      </c>
      <c r="D188" s="404" t="inlineStr">
        <is>
          <t>Luva Duo Nitri S/ Forro Nitrílica Proteção Química 2 Pares</t>
        </is>
      </c>
      <c r="E188" s="359" t="n"/>
      <c r="F188" s="359" t="n">
        <v>29.01</v>
      </c>
      <c r="G188" s="321">
        <f>F188*18%</f>
        <v/>
      </c>
      <c r="H188" s="322" t="n">
        <v>-0.99</v>
      </c>
      <c r="I188" s="331" t="n">
        <v>6.75</v>
      </c>
      <c r="J188" s="321">
        <f>F188*18%</f>
        <v/>
      </c>
      <c r="K188" s="321">
        <f>(F188-J188)*1.65%</f>
        <v/>
      </c>
      <c r="L188" s="321">
        <f>(F188-J188)*7.6%</f>
        <v/>
      </c>
      <c r="M188" s="1120">
        <f>0.69*2</f>
        <v/>
      </c>
      <c r="N188" s="1120">
        <f>(G188+I188) * (9.25%)</f>
        <v/>
      </c>
      <c r="O188" s="121">
        <f>5.35*2</f>
        <v/>
      </c>
      <c r="P188" s="447">
        <f>(F188 - (G188+I188+O188+(J188+K188+L188))) - (H188-M188-N188)</f>
        <v/>
      </c>
      <c r="Q188" s="1328">
        <f>P188/F188</f>
        <v/>
      </c>
      <c r="R188" s="579" t="n"/>
      <c r="S188" s="33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</row>
    <row r="189" ht="18.75" customHeight="1" s="1349">
      <c r="A189" s="310" t="n"/>
      <c r="B189" s="402" t="n"/>
      <c r="C189" s="331" t="inlineStr">
        <is>
          <t>Kalipso</t>
        </is>
      </c>
      <c r="D189" s="331" t="inlineStr">
        <is>
          <t>Kit 20 Óculos Segurança Incolor/Cinza CA11268 Kalipso EPI</t>
        </is>
      </c>
      <c r="E189" s="359" t="n"/>
      <c r="F189" s="359" t="n">
        <v>110.2</v>
      </c>
      <c r="G189" s="321">
        <f>F189*17%</f>
        <v/>
      </c>
      <c r="H189" s="296" t="n"/>
      <c r="I189" s="331" t="n">
        <v>12.85</v>
      </c>
      <c r="J189" s="321">
        <f>F189*18%</f>
        <v/>
      </c>
      <c r="K189" s="321">
        <f>(F189-J189)*1.65%</f>
        <v/>
      </c>
      <c r="L189" s="321">
        <f>(F189-J189)*7.6%</f>
        <v/>
      </c>
      <c r="M189" s="1120">
        <f>0.32*20</f>
        <v/>
      </c>
      <c r="N189" s="1120">
        <f>(G189+I189) * (9.25%)</f>
        <v/>
      </c>
      <c r="O189" s="121">
        <f>2.53*20</f>
        <v/>
      </c>
      <c r="P189" s="447">
        <f>(F189 - (G189+I189+O189+(J189+K189+L189))) - (H189-M189-N189)</f>
        <v/>
      </c>
      <c r="Q189" s="1328">
        <f>P189/F189</f>
        <v/>
      </c>
      <c r="R189" s="579" t="n"/>
      <c r="S189" s="33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</row>
    <row r="190" ht="18.75" customHeight="1" s="1349">
      <c r="A190" s="711" t="inlineStr">
        <is>
          <t>4190881417</t>
        </is>
      </c>
      <c r="B190" s="470" t="n">
        <v>10034034167563</v>
      </c>
      <c r="C190" s="1292" t="inlineStr">
        <is>
          <t>Nutriex</t>
        </is>
      </c>
      <c r="D190" s="471">
        <f>HYPERLINK("https://produto.mercadolivre.com.br/MLB-4190881417-kit-condicionador-shampoo-minions-kids-infantil-500ml-_JM","Kit Condicionador + Shampoo Minions Kids Infantil 500ml")</f>
        <v/>
      </c>
      <c r="E190" s="685" t="n"/>
      <c r="F190" s="856" t="n">
        <v>38.9</v>
      </c>
      <c r="G190" s="447">
        <f>F190*14%</f>
        <v/>
      </c>
      <c r="H190" s="833" t="n"/>
      <c r="I190" s="904" t="n">
        <v>6.85</v>
      </c>
      <c r="J190" s="340">
        <f>F190*18%</f>
        <v/>
      </c>
      <c r="K190" s="450" t="n">
        <v>0</v>
      </c>
      <c r="L190" s="450" t="n">
        <v>0</v>
      </c>
      <c r="M190" s="1120" t="n">
        <v>2.39</v>
      </c>
      <c r="N190" s="1120">
        <f>(G190+I190) * (9.25%)</f>
        <v/>
      </c>
      <c r="O190" s="701" t="n">
        <v>19.9</v>
      </c>
      <c r="P190" s="1016">
        <f>(F190 - (G190+I190+O190+(J190+K190+L190))) - (H190-M190-N190)</f>
        <v/>
      </c>
      <c r="Q190" s="328">
        <f>P190/F190</f>
        <v/>
      </c>
      <c r="R190" s="1206" t="inlineStr">
        <is>
          <t>sem estoque</t>
        </is>
      </c>
      <c r="S190" s="33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</row>
    <row r="191" ht="18.75" customHeight="1" s="1349">
      <c r="A191" s="316" t="inlineStr">
        <is>
          <t>5391831098</t>
        </is>
      </c>
      <c r="B191" s="264" t="n"/>
      <c r="C191" s="318" t="inlineStr">
        <is>
          <t>Danny</t>
        </is>
      </c>
      <c r="D191" s="265" t="inlineStr">
        <is>
          <t>Kit 4 Luva Proteção Química Max Orange Reforçada Látex C/ca</t>
        </is>
      </c>
      <c r="E191" s="320" t="n"/>
      <c r="F191" s="320" t="n">
        <v>48.84</v>
      </c>
      <c r="G191" s="321">
        <f>F191*12%</f>
        <v/>
      </c>
      <c r="H191" s="322" t="n">
        <v>-2.93</v>
      </c>
      <c r="I191" s="331" t="n">
        <v>8.949999999999999</v>
      </c>
      <c r="J191" s="321">
        <f>F191*18%</f>
        <v/>
      </c>
      <c r="K191" s="321">
        <f>(F191-J191)*1.65%</f>
        <v/>
      </c>
      <c r="L191" s="321">
        <f>(F191-J191)*7.6%</f>
        <v/>
      </c>
      <c r="M191" s="1120">
        <f>0.8*4</f>
        <v/>
      </c>
      <c r="N191" s="1120">
        <f>(G191+I191) * (9.25%)</f>
        <v/>
      </c>
      <c r="O191" s="121">
        <f>6.24*4</f>
        <v/>
      </c>
      <c r="P191" s="447">
        <f>(F191 - (G191+I191+O191+(J191+K191+L191))) - (H191-M191-N191)</f>
        <v/>
      </c>
      <c r="Q191" s="328">
        <f>P191/F191</f>
        <v/>
      </c>
      <c r="R191" s="463" t="inlineStr">
        <is>
          <t>Ativo</t>
        </is>
      </c>
      <c r="S191" s="33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</row>
    <row r="192" ht="18.75" customHeight="1" s="1349">
      <c r="A192" s="310" t="inlineStr">
        <is>
          <t>4282350711</t>
        </is>
      </c>
      <c r="B192" s="402" t="n">
        <v>10034034167693</v>
      </c>
      <c r="C192" s="318" t="inlineStr">
        <is>
          <t>Plastcor</t>
        </is>
      </c>
      <c r="D192" s="1310" t="inlineStr">
        <is>
          <t>Corrente Pead Plástico Cone Demarcar Acesso Preto Laranja 2m</t>
        </is>
      </c>
      <c r="E192" s="359" t="n"/>
      <c r="F192" s="499" t="n">
        <v>22.8</v>
      </c>
      <c r="G192" s="321">
        <f>F192*12%</f>
        <v/>
      </c>
      <c r="H192" s="322" t="n"/>
      <c r="I192" s="331" t="n">
        <v>6.65</v>
      </c>
      <c r="J192" s="321">
        <f>F192*18%</f>
        <v/>
      </c>
      <c r="K192" s="321">
        <f>(F192-J192)*1.65%</f>
        <v/>
      </c>
      <c r="L192" s="321">
        <f>(F192-J192)*7.6%</f>
        <v/>
      </c>
      <c r="M192" s="1120">
        <f>1*2</f>
        <v/>
      </c>
      <c r="N192" s="1120">
        <f>(G192+I192) * (9.25%)</f>
        <v/>
      </c>
      <c r="O192" s="121">
        <f>4.27*2</f>
        <v/>
      </c>
      <c r="P192" s="447">
        <f>(F192 - (G192+I192+O192+(J192+K192+L192))) - (H192-M192-N192)</f>
        <v/>
      </c>
      <c r="Q192" s="1328">
        <f>P192/F192</f>
        <v/>
      </c>
      <c r="R192" s="579" t="n"/>
      <c r="S192" s="33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</row>
    <row r="193" ht="18.75" customHeight="1" s="1349">
      <c r="A193" s="310" t="inlineStr">
        <is>
          <t>6154889986</t>
        </is>
      </c>
      <c r="B193" s="402" t="n">
        <v>10034034168083</v>
      </c>
      <c r="C193" s="331" t="inlineStr">
        <is>
          <t>Atlas</t>
        </is>
      </c>
      <c r="D193" s="404" t="inlineStr">
        <is>
          <t>Kit 2 Garfo De Pintura Gaiola Sem Rosca Cano Curto Pintura</t>
        </is>
      </c>
      <c r="E193" s="359" t="n"/>
      <c r="F193" s="359" t="n">
        <v>25.99</v>
      </c>
      <c r="G193" s="321">
        <f>F193*16.5%</f>
        <v/>
      </c>
      <c r="H193" s="322" t="n">
        <v>-1.3</v>
      </c>
      <c r="I193" s="331">
        <f>IFS(
  F193&lt;12.5, F193/2,
  F193&lt;29, 6.25,
  F193&lt;50, 6.5,
  F193&lt;=79, 6.75,
  TRUE, 25
)</f>
        <v/>
      </c>
      <c r="J193" s="321">
        <f>F193*18%</f>
        <v/>
      </c>
      <c r="K193" s="321">
        <f>(F193-J193)*1.65%</f>
        <v/>
      </c>
      <c r="L193" s="321">
        <f>(F193-J193)*7.6%</f>
        <v/>
      </c>
      <c r="M193" s="1120">
        <f>1.43*2</f>
        <v/>
      </c>
      <c r="N193" s="1120">
        <f>(G193+I193) * (9.25%)</f>
        <v/>
      </c>
      <c r="O193" s="121">
        <f>5.88*2</f>
        <v/>
      </c>
      <c r="P193" s="447">
        <f>(F193 - (G193+I193+O193+(J193+K193+L193))) - (H193-M193-N193)</f>
        <v/>
      </c>
      <c r="Q193" s="1328">
        <f>P193/F193</f>
        <v/>
      </c>
      <c r="R193" s="579" t="n"/>
      <c r="S193" s="33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</row>
    <row r="194" ht="18.75" customHeight="1" s="1349">
      <c r="A194" s="310" t="inlineStr">
        <is>
          <t>5978942570</t>
        </is>
      </c>
      <c r="B194" s="402" t="n">
        <v>10034034167927</v>
      </c>
      <c r="C194" s="331" t="inlineStr">
        <is>
          <t>VOLK</t>
        </is>
      </c>
      <c r="D194" s="404" t="inlineStr">
        <is>
          <t>Kit Luva Nitrílica Reforçada Limpeza Multi Uso 3 Pares</t>
        </is>
      </c>
      <c r="E194" s="359" t="n"/>
      <c r="F194" s="359" t="n">
        <v>34.2</v>
      </c>
      <c r="G194" s="321">
        <f>F194*12%</f>
        <v/>
      </c>
      <c r="H194" s="322" t="n">
        <v>-0.48</v>
      </c>
      <c r="I194" s="331">
        <f>IFS(
F194&lt;12.5, F194/2,
F194&lt;29, 6.25,
F194&lt;50, 6.5,
F194&lt;=79, 6.75,
TRUE, 
25)</f>
        <v/>
      </c>
      <c r="J194" s="321">
        <f>F194*18%</f>
        <v/>
      </c>
      <c r="K194" s="321">
        <f>(F194-J194)*1.65%</f>
        <v/>
      </c>
      <c r="L194" s="321">
        <f>(F194-J194)*7.6%</f>
        <v/>
      </c>
      <c r="M194" s="1120">
        <f>0.66*3</f>
        <v/>
      </c>
      <c r="N194" s="1120">
        <f>(G194+I194) * (9.25%)</f>
        <v/>
      </c>
      <c r="O194" s="121">
        <f>5.14*3</f>
        <v/>
      </c>
      <c r="P194" s="447">
        <f>(F194 - (G194+I194+O194+(J194+K194+L194))) - (H194-M194-N194)</f>
        <v/>
      </c>
      <c r="Q194" s="1328">
        <f>P194/F194</f>
        <v/>
      </c>
      <c r="R194" s="579" t="n"/>
      <c r="S194" s="330" t="n">
        <v>0</v>
      </c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</row>
    <row r="195" ht="18.75" customHeight="1" s="1349">
      <c r="A195" s="310" t="inlineStr">
        <is>
          <t>6001877418</t>
        </is>
      </c>
      <c r="B195" s="402" t="n">
        <v>10034034167306</v>
      </c>
      <c r="C195" s="318" t="inlineStr">
        <is>
          <t>Bracol</t>
        </is>
      </c>
      <c r="D195" s="476" t="inlineStr">
        <is>
          <t>Tênis Ocupacional Preto Bse Segurança Bico Pvc Bidensidade</t>
        </is>
      </c>
      <c r="E195" s="359" t="n"/>
      <c r="F195" s="359" t="n">
        <v>128.03</v>
      </c>
      <c r="G195" s="321">
        <f>F195*17%</f>
        <v/>
      </c>
      <c r="H195" s="322" t="n">
        <v>-2.69</v>
      </c>
      <c r="I195" s="331" t="n">
        <v>21.05</v>
      </c>
      <c r="J195" s="321">
        <f>F195*18%</f>
        <v/>
      </c>
      <c r="K195" s="321">
        <f>(F195-J195)*1.65%</f>
        <v/>
      </c>
      <c r="L195" s="321">
        <f>(F195-J195)*7.6%</f>
        <v/>
      </c>
      <c r="M195" s="1120" t="n">
        <v>12.2</v>
      </c>
      <c r="N195" s="1120">
        <f>(G195+I195) * (9.25%)</f>
        <v/>
      </c>
      <c r="O195" s="121" t="n">
        <v>60.57</v>
      </c>
      <c r="P195" s="447">
        <f>(F195 - (G195+I195+O195+(J195+K195+L195))) - (H195-M195-N195)</f>
        <v/>
      </c>
      <c r="Q195" s="1328">
        <f>P195/F195</f>
        <v/>
      </c>
      <c r="R195" s="579" t="n"/>
      <c r="S195" s="33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</row>
    <row r="196" ht="18.75" customHeight="1" s="1349">
      <c r="A196" s="310" t="n"/>
      <c r="B196" s="402" t="n">
        <v>10034034168505</v>
      </c>
      <c r="C196" s="331" t="n"/>
      <c r="D196" s="331" t="inlineStr">
        <is>
          <t>Kit 3 Broxa Retangular 18x7,6 Pintura Alvenaria Absorção</t>
        </is>
      </c>
      <c r="E196" s="359" t="n"/>
      <c r="F196" s="359" t="n">
        <v>28</v>
      </c>
      <c r="G196" s="321">
        <f>F196*12%</f>
        <v/>
      </c>
      <c r="H196" s="296" t="n"/>
      <c r="I196" s="331" t="n">
        <v>6.75</v>
      </c>
      <c r="J196" s="321">
        <f>F196*18%</f>
        <v/>
      </c>
      <c r="K196" s="321">
        <f>(F196-J196)*1.65%</f>
        <v/>
      </c>
      <c r="L196" s="321">
        <f>(F196-J196)*7.6%</f>
        <v/>
      </c>
      <c r="M196" s="1120">
        <f>1.07*3</f>
        <v/>
      </c>
      <c r="N196" s="1120">
        <f>(G196+I196) * (9.25%)</f>
        <v/>
      </c>
      <c r="O196" s="121">
        <f>4.17*3</f>
        <v/>
      </c>
      <c r="P196" s="447">
        <f>(F196 - (G196+I196+O196+(J196+K196+L196))) - (H196-M196-N196)</f>
        <v/>
      </c>
      <c r="Q196" s="1328">
        <f>P196/F196</f>
        <v/>
      </c>
      <c r="R196" s="579" t="n"/>
      <c r="S196" s="33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</row>
    <row r="197" ht="18.75" customHeight="1" s="1349">
      <c r="A197" s="310" t="inlineStr">
        <is>
          <t>4366738887</t>
        </is>
      </c>
      <c r="B197" s="402" t="n">
        <v>10034034168042</v>
      </c>
      <c r="C197" s="318" t="inlineStr">
        <is>
          <t>EPI</t>
        </is>
      </c>
      <c r="D197" s="404" t="inlineStr">
        <is>
          <t>Silicone Acético Branco 256g Alta Aderência Vidros Box 3un</t>
        </is>
      </c>
      <c r="E197" s="359" t="n"/>
      <c r="F197" s="359" t="n">
        <v>61.1</v>
      </c>
      <c r="G197" s="321">
        <f>F197*16.5%</f>
        <v/>
      </c>
      <c r="H197" s="322" t="n">
        <v>-1.89</v>
      </c>
      <c r="I197" s="331" t="n">
        <v>8.050000000000001</v>
      </c>
      <c r="J197" s="321">
        <f>F197*18%</f>
        <v/>
      </c>
      <c r="K197" s="321">
        <f>(F197-J197)*1.65%</f>
        <v/>
      </c>
      <c r="L197" s="321">
        <f>(F197-J197)*7.6%</f>
        <v/>
      </c>
      <c r="M197" s="1120">
        <f>2.82*3</f>
        <v/>
      </c>
      <c r="N197" s="1120">
        <f>(G197+I197) * (9.25%)</f>
        <v/>
      </c>
      <c r="O197" s="121">
        <f>11.4*3</f>
        <v/>
      </c>
      <c r="P197" s="447">
        <f>(F197 - (G197+I197+O197+(J197+K197+L197))) - (H197-M197-N197)</f>
        <v/>
      </c>
      <c r="Q197" s="1328">
        <f>P197/F197</f>
        <v/>
      </c>
      <c r="R197" s="579" t="n"/>
      <c r="S197" s="33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</row>
    <row r="198" ht="18.75" customHeight="1" s="1349">
      <c r="A198" s="310" t="inlineStr">
        <is>
          <t>4342763163</t>
        </is>
      </c>
      <c r="B198" s="402" t="n">
        <v>10034034167595</v>
      </c>
      <c r="C198" s="318" t="inlineStr">
        <is>
          <t>Plastcor</t>
        </is>
      </c>
      <c r="D198" s="404" t="inlineStr">
        <is>
          <t>Kit Fita Adesiva Cuidado Frágil 48mm X 100m Empacotar 5un</t>
        </is>
      </c>
      <c r="E198" s="359" t="n"/>
      <c r="F198" s="359" t="n">
        <v>53.63</v>
      </c>
      <c r="G198" s="321">
        <f>F198*16.5%</f>
        <v/>
      </c>
      <c r="H198" s="322" t="n">
        <v>-2.53</v>
      </c>
      <c r="I198" s="331">
        <f>IFS(
  F198&lt;12.5, F198/2,
  F198&lt;29, 6.25,
  F198&lt;50, 6.5,
  F198&lt;=79, 6.75,
  TRUE, 25
)</f>
        <v/>
      </c>
      <c r="J198" s="321">
        <f>F198*18%</f>
        <v/>
      </c>
      <c r="K198" s="321">
        <f>(F198-J198)*1.65%</f>
        <v/>
      </c>
      <c r="L198" s="321">
        <f>(F198-J198)*7.6%</f>
        <v/>
      </c>
      <c r="M198" s="1120">
        <f>1.63*5</f>
        <v/>
      </c>
      <c r="N198" s="1120">
        <f>(G198+I198) * (9.25%)</f>
        <v/>
      </c>
      <c r="O198" s="121">
        <f>6.38*5</f>
        <v/>
      </c>
      <c r="P198" s="447">
        <f>(F198 - (G198+I198+O198+(J198+K198+L198))) - (H198-M198-N198)</f>
        <v/>
      </c>
      <c r="Q198" s="1328">
        <f>P198/F198</f>
        <v/>
      </c>
      <c r="R198" s="579" t="n"/>
      <c r="S198" s="33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</row>
    <row r="199" ht="18.75" customHeight="1" s="1349">
      <c r="A199" s="377" t="inlineStr">
        <is>
          <t>4658046901</t>
        </is>
      </c>
      <c r="B199" s="402" t="n">
        <v>10034034167201</v>
      </c>
      <c r="C199" s="331" t="inlineStr">
        <is>
          <t>Irwin</t>
        </is>
      </c>
      <c r="D199" s="404" t="inlineStr">
        <is>
          <t>Broca Hss 9/16 Pol Aço Rápido Alumínio Metal Profissional</t>
        </is>
      </c>
      <c r="E199" s="359" t="n"/>
      <c r="F199" s="359" t="n">
        <v>199</v>
      </c>
      <c r="G199" s="321">
        <f>F199*17%</f>
        <v/>
      </c>
      <c r="H199" s="296" t="n"/>
      <c r="I199" s="331" t="n">
        <v>20.95</v>
      </c>
      <c r="J199" s="366" t="n">
        <v>0</v>
      </c>
      <c r="K199" s="321">
        <f>(F199-J199)*1.65%</f>
        <v/>
      </c>
      <c r="L199" s="321">
        <f>(F199-J199)*7.6%</f>
        <v/>
      </c>
      <c r="M199" s="378" t="n">
        <v>11.2</v>
      </c>
      <c r="N199" s="378">
        <f>(G199+I199) * (9.25%)</f>
        <v/>
      </c>
      <c r="O199" s="121" t="n">
        <v>125.09</v>
      </c>
      <c r="P199" s="447">
        <f>(F199 - (G199+I199+O199+(J199+K199+L199))) - (H199-M199-N199)</f>
        <v/>
      </c>
      <c r="Q199" s="1328">
        <f>P199/F199</f>
        <v/>
      </c>
      <c r="R199" s="579" t="n"/>
      <c r="S199" s="33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 ht="18.75" customHeight="1" s="1349">
      <c r="A200" s="316" t="inlineStr">
        <is>
          <t>5725072862</t>
        </is>
      </c>
      <c r="B200" s="317" t="n">
        <v>10034034166470</v>
      </c>
      <c r="C200" s="318" t="inlineStr">
        <is>
          <t>Irwin</t>
        </is>
      </c>
      <c r="D200" s="1310" t="inlineStr">
        <is>
          <t>Mala Bolsa Ferramentas 16 Irwin Base Emborrachada Standard</t>
        </is>
      </c>
      <c r="E200" s="320" t="n"/>
      <c r="F200" s="320" t="n">
        <v>289</v>
      </c>
      <c r="G200" s="321">
        <f>F200*12%</f>
        <v/>
      </c>
      <c r="H200" s="322" t="n">
        <v>-11.1</v>
      </c>
      <c r="I200" s="1310" t="n">
        <v>24.95</v>
      </c>
      <c r="J200" s="321">
        <f>F200*18%</f>
        <v/>
      </c>
      <c r="K200" s="321">
        <f>(F200-J200)*1.65%</f>
        <v/>
      </c>
      <c r="L200" s="321">
        <f>(F200-J200)*7.6%</f>
        <v/>
      </c>
      <c r="M200" s="1120" t="n">
        <v>37.13</v>
      </c>
      <c r="N200" s="1120">
        <f>(G200+I200) * (9.25%)</f>
        <v/>
      </c>
      <c r="O200" s="708" t="n">
        <v>184.36</v>
      </c>
      <c r="P200" s="447">
        <f>(F200 - (G200+I200+O200+(J200+K200+L200))) - (H200-M200-N200)</f>
        <v/>
      </c>
      <c r="Q200" s="328">
        <f>P200/F200</f>
        <v/>
      </c>
      <c r="R200" s="463" t="inlineStr">
        <is>
          <t>Ativo</t>
        </is>
      </c>
      <c r="S200" s="33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</row>
    <row r="201" ht="18.75" customHeight="1" s="1349">
      <c r="A201" s="356" t="inlineStr">
        <is>
          <t>5299456820</t>
        </is>
      </c>
      <c r="B201" s="264" t="n">
        <v>10034034167400</v>
      </c>
      <c r="C201" s="318" t="inlineStr">
        <is>
          <t>Delta plus</t>
        </is>
      </c>
      <c r="D201" s="265" t="inlineStr">
        <is>
          <t>Kit 50 Óculos Sky Proteção Segurança Fume Ou Incolor Ca39878</t>
        </is>
      </c>
      <c r="E201" s="320" t="n"/>
      <c r="F201" s="320" t="n">
        <v>169</v>
      </c>
      <c r="G201" s="321">
        <f>F201*12%</f>
        <v/>
      </c>
      <c r="H201" s="322" t="n">
        <v>-6.1</v>
      </c>
      <c r="I201" s="1310" t="n">
        <v>24.65</v>
      </c>
      <c r="J201" s="321">
        <f>F201*18%</f>
        <v/>
      </c>
      <c r="K201" s="321">
        <f>(F201-J201)*1.65%</f>
        <v/>
      </c>
      <c r="L201" s="321">
        <f>(F201-J201)*7.6%</f>
        <v/>
      </c>
      <c r="M201" s="1120">
        <f>0.51*50</f>
        <v/>
      </c>
      <c r="N201" s="1120">
        <f>(G201+I201) * (9.25%)</f>
        <v/>
      </c>
      <c r="O201" s="121">
        <f>2.04*50</f>
        <v/>
      </c>
      <c r="P201" s="447">
        <f>(F201 - (G201+I201+O201+(J201+K201+L201))) - (H201-M201-N201)</f>
        <v/>
      </c>
      <c r="Q201" s="328">
        <f>P201/F201</f>
        <v/>
      </c>
      <c r="R201" s="477" t="inlineStr">
        <is>
          <t>Ativo</t>
        </is>
      </c>
      <c r="S201" s="33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</row>
    <row r="202" ht="18.75" customHeight="1" s="1349">
      <c r="A202" s="310" t="inlineStr">
        <is>
          <t>5947817988</t>
        </is>
      </c>
      <c r="B202" s="402" t="n">
        <v>10034034167849</v>
      </c>
      <c r="C202" s="318" t="inlineStr">
        <is>
          <t>ÂNCORA</t>
        </is>
      </c>
      <c r="D202" s="404" t="inlineStr">
        <is>
          <t>Arruela Lisa P/ Chumbadores Parafusos 5/16 Pol 7mm 2kg 800un</t>
        </is>
      </c>
      <c r="E202" s="359" t="n"/>
      <c r="F202" s="359" t="n">
        <v>75.04000000000001</v>
      </c>
      <c r="G202" s="321">
        <f>F202*16.5%</f>
        <v/>
      </c>
      <c r="H202" s="322" t="n"/>
      <c r="I202" s="331">
        <f>IFS(
  F202&lt;12.5, F202/2,
  F202&lt;29, 6.25,
  F202&lt;50, 6.5,
  F202&lt;=79, 6.75,
  TRUE, 25
)</f>
        <v/>
      </c>
      <c r="J202" s="321">
        <f>F202*18%</f>
        <v/>
      </c>
      <c r="K202" s="321">
        <f>(F202-J202)*1.65%</f>
        <v/>
      </c>
      <c r="L202" s="321">
        <f>(F202-J202)*7.6%</f>
        <v/>
      </c>
      <c r="M202" s="1120">
        <f>2.17*2</f>
        <v/>
      </c>
      <c r="N202" s="1120">
        <f>(G202+I202) * (9.25%)</f>
        <v/>
      </c>
      <c r="O202" s="121">
        <f>18.17*2</f>
        <v/>
      </c>
      <c r="P202" s="447">
        <f>(F202 - (G202+I202+O202+(J202+K202+L202))) - (H202-M202-N202)</f>
        <v/>
      </c>
      <c r="Q202" s="1328">
        <f>P202/F202</f>
        <v/>
      </c>
      <c r="R202" s="579" t="n"/>
      <c r="S202" s="33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</row>
    <row r="203" ht="18.75" customHeight="1" s="1349">
      <c r="A203" s="310" t="inlineStr">
        <is>
          <t>5925150202</t>
        </is>
      </c>
      <c r="B203" s="402" t="n">
        <v>10034034167768</v>
      </c>
      <c r="C203" s="318" t="inlineStr">
        <is>
          <t>VOLK</t>
        </is>
      </c>
      <c r="D203" s="404" t="inlineStr">
        <is>
          <t>Kit 2 Luva Látex Natural Silver Confortável Alta Aderência</t>
        </is>
      </c>
      <c r="E203" s="359" t="n"/>
      <c r="F203" s="359" t="n">
        <v>24.41</v>
      </c>
      <c r="G203" s="321">
        <f>F203*18%</f>
        <v/>
      </c>
      <c r="H203" s="322" t="n">
        <v>-0.45</v>
      </c>
      <c r="I203" s="331">
        <f>IFS(
F203&lt;12.5, F203/2,
F203&lt;29, 6.25,
F203&lt;50, 6.5,
F203&lt;=79, 6.75,
TRUE, 
25)</f>
        <v/>
      </c>
      <c r="J203" s="321">
        <f>F203*18%</f>
        <v/>
      </c>
      <c r="K203" s="321">
        <f>(F203-J203)*1.65%</f>
        <v/>
      </c>
      <c r="L203" s="321">
        <f>(F203-J203)*7.6%</f>
        <v/>
      </c>
      <c r="M203" s="1120">
        <f>0.5*2</f>
        <v/>
      </c>
      <c r="N203" s="1120">
        <f>(G203+I203) * (9.25%)</f>
        <v/>
      </c>
      <c r="O203" s="121">
        <f>3.92*2</f>
        <v/>
      </c>
      <c r="P203" s="447">
        <f>(F203 - (G203+I203+O203+(J203+K203+L203))) - (H203-M203-N203)</f>
        <v/>
      </c>
      <c r="Q203" s="1328">
        <f>P203/F203</f>
        <v/>
      </c>
      <c r="R203" s="579" t="n"/>
      <c r="S203" s="33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</row>
    <row r="204" ht="18.75" customHeight="1" s="1349">
      <c r="A204" s="310" t="inlineStr">
        <is>
          <t>4671421211</t>
        </is>
      </c>
      <c r="B204" s="402" t="n"/>
      <c r="C204" s="331" t="n"/>
      <c r="D204" s="331" t="inlineStr">
        <is>
          <t>Perneira Couro Raspa Epi Soldador Ajustável Velcro Ca 49214 Cinza</t>
        </is>
      </c>
      <c r="E204" s="359" t="n"/>
      <c r="F204" s="359" t="n">
        <v>41.32</v>
      </c>
      <c r="G204" s="321">
        <f>F204*17%</f>
        <v/>
      </c>
      <c r="H204" s="296" t="n">
        <v>-2.06</v>
      </c>
      <c r="I204" s="331" t="n">
        <v>6.85</v>
      </c>
      <c r="J204" s="321">
        <f>F204*18%</f>
        <v/>
      </c>
      <c r="K204" s="321">
        <f>(F204-J204)*1.65%</f>
        <v/>
      </c>
      <c r="L204" s="321">
        <f>(F204-J204)*7.6%</f>
        <v/>
      </c>
      <c r="M204" s="378" t="n">
        <v>4.03</v>
      </c>
      <c r="N204" s="378">
        <f>(G204+I204) * (9.25%)</f>
        <v/>
      </c>
      <c r="O204" s="515" t="n">
        <v>20.65</v>
      </c>
      <c r="P204" s="447">
        <f>(F204 - (G204+I204+O204+(J204+K204+L204))) - (H204-M204-N204)</f>
        <v/>
      </c>
      <c r="Q204" s="1328">
        <f>P204/F204</f>
        <v/>
      </c>
      <c r="R204" s="579" t="n"/>
      <c r="S204" s="33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</row>
    <row r="205" ht="18.75" customHeight="1" s="1349">
      <c r="A205" s="310" t="inlineStr">
        <is>
          <t>1326896251493137</t>
        </is>
      </c>
      <c r="B205" s="402" t="n"/>
      <c r="C205" s="331" t="n"/>
      <c r="D205" s="331" t="inlineStr">
        <is>
          <t>Bota Impermeável Trabalho Pesca Pvc Cano Longo Ca 40400</t>
        </is>
      </c>
      <c r="E205" s="359" t="n"/>
      <c r="F205" s="359" t="n">
        <v>103.55</v>
      </c>
      <c r="G205" s="321">
        <f>F205*17%</f>
        <v/>
      </c>
      <c r="H205" s="296" t="n"/>
      <c r="I205" s="331" t="n">
        <v>16</v>
      </c>
      <c r="J205" s="321">
        <f>F205*18%</f>
        <v/>
      </c>
      <c r="K205" s="321">
        <f>(F205-J205)*1.65%</f>
        <v/>
      </c>
      <c r="L205" s="321">
        <f>(F205-J205)*7.6%</f>
        <v/>
      </c>
      <c r="M205" s="378" t="n">
        <v>9.470000000000001</v>
      </c>
      <c r="N205" s="378">
        <f>(G205+I205) * (9.25%)</f>
        <v/>
      </c>
      <c r="O205" s="478" t="n">
        <v>47.01</v>
      </c>
      <c r="P205" s="447">
        <f>(F205 - (G205+I205+O205+(J205+K205+L205))) - (H205-M205-N205)</f>
        <v/>
      </c>
      <c r="Q205" s="1328">
        <f>P205/F205</f>
        <v/>
      </c>
      <c r="R205" s="579" t="n"/>
      <c r="S205" s="33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</row>
    <row r="206" ht="18.75" customHeight="1" s="1349">
      <c r="A206" s="316" t="inlineStr">
        <is>
          <t>3634089801</t>
        </is>
      </c>
      <c r="B206" s="317" t="n">
        <v>10034034166246</v>
      </c>
      <c r="C206" s="318" t="inlineStr">
        <is>
          <t>FRESAL</t>
        </is>
      </c>
      <c r="D206" s="265" t="inlineStr">
        <is>
          <t>Tela De Sinalização Guarda Corpo Laranja E Branca 1,20x50m</t>
        </is>
      </c>
      <c r="E206" s="320" t="n"/>
      <c r="F206" s="320" t="n">
        <v>128</v>
      </c>
      <c r="G206" s="321">
        <f>F206*12%</f>
        <v/>
      </c>
      <c r="H206" s="322" t="n">
        <v>-8.210000000000001</v>
      </c>
      <c r="I206" s="1310" t="n">
        <v>20.75</v>
      </c>
      <c r="J206" s="321">
        <f>F206*18%</f>
        <v/>
      </c>
      <c r="K206" s="321">
        <f>(F206-J206)*1.65%</f>
        <v/>
      </c>
      <c r="L206" s="321">
        <f>(F206-J206)*7.6%</f>
        <v/>
      </c>
      <c r="M206" s="1120">
        <f>0.3*50</f>
        <v/>
      </c>
      <c r="N206" s="1120">
        <f>(G206+I206) * (9.25%)</f>
        <v/>
      </c>
      <c r="O206" s="197">
        <f>1.49*50</f>
        <v/>
      </c>
      <c r="P206" s="447">
        <f>(F206 - (G206+I206+O206+(J206+K206+L206))) - (H206-M206-N206)</f>
        <v/>
      </c>
      <c r="Q206" s="328">
        <f>P206/F206</f>
        <v/>
      </c>
      <c r="R206" s="579" t="n"/>
      <c r="S206" s="33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</row>
    <row r="207" ht="18.75" customHeight="1" s="1349">
      <c r="A207" s="310" t="inlineStr">
        <is>
          <t>4452094635</t>
        </is>
      </c>
      <c r="B207" s="479" t="n">
        <v>10034034168136</v>
      </c>
      <c r="C207" s="398" t="inlineStr">
        <is>
          <t>Toralf</t>
        </is>
      </c>
      <c r="D207" s="370" t="inlineStr">
        <is>
          <t>4 Parafuso Sanitário Latonado Resistente 90mm Com Arruela</t>
        </is>
      </c>
      <c r="E207" s="359" t="n"/>
      <c r="F207" s="499" t="n">
        <v>26.8</v>
      </c>
      <c r="G207" s="321">
        <f>F207*17%</f>
        <v/>
      </c>
      <c r="H207" s="831" t="n">
        <v>-0.83</v>
      </c>
      <c r="I207" s="331">
        <f>IFS(
  F207&lt;12.5, F207/2,
  F207&lt;29, 6.25,
  F207&lt;50, 6.5,
  F207&lt;=79, 6.75,
  TRUE, 25
)</f>
        <v/>
      </c>
      <c r="J207" s="321">
        <f>F207*18%</f>
        <v/>
      </c>
      <c r="K207" s="321">
        <f>(F207-J207)*1.65%</f>
        <v/>
      </c>
      <c r="L207" s="321">
        <f>(F207-J207)*7.6%</f>
        <v/>
      </c>
      <c r="M207" s="1120">
        <f>0.28*4</f>
        <v/>
      </c>
      <c r="N207" s="1120">
        <f>(G207+I207) * (9.25%)</f>
        <v/>
      </c>
      <c r="O207" s="121">
        <f>2.36*4</f>
        <v/>
      </c>
      <c r="P207" s="447">
        <f>(F207 - (G207+I207+O207+(J207+K207+L207))) - (H207-M207-N207)</f>
        <v/>
      </c>
      <c r="Q207" s="1328">
        <f>P207/F207</f>
        <v/>
      </c>
      <c r="R207" s="579" t="n"/>
      <c r="S207" s="33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</row>
    <row r="208" ht="18.75" customHeight="1" s="1349">
      <c r="A208" s="310" t="n"/>
      <c r="B208" s="402" t="n"/>
      <c r="C208" s="331" t="n"/>
      <c r="D208" s="411" t="inlineStr">
        <is>
          <t xml:space="preserve">KIT 5 CHUMBADOR PARABOLT CBA 1/2 X 3 AÇO FIXAÇÃO </t>
        </is>
      </c>
      <c r="E208" s="359" t="n"/>
      <c r="F208" s="359" t="n">
        <v>39.2</v>
      </c>
      <c r="G208" s="321">
        <f>F208*17%</f>
        <v/>
      </c>
      <c r="H208" s="296" t="n"/>
      <c r="I208" s="331" t="n">
        <v>7</v>
      </c>
      <c r="J208" s="321">
        <f>F208*18%</f>
        <v/>
      </c>
      <c r="K208" s="321">
        <f>(F208-J208)*1.65%</f>
        <v/>
      </c>
      <c r="L208" s="321">
        <f>(F208-J208)*7.6%</f>
        <v/>
      </c>
      <c r="M208" s="1120" t="n">
        <v>1.85</v>
      </c>
      <c r="N208" s="1120">
        <f>(G208+I208) * (9.25%)</f>
        <v/>
      </c>
      <c r="O208" s="515" t="n">
        <v>15.15</v>
      </c>
      <c r="P208" s="447">
        <f>(F208 - (G208+I208+O208+(J208+K208+L208))) - (H208-M208-N208)</f>
        <v/>
      </c>
      <c r="Q208" s="1328">
        <f>P208/F208</f>
        <v/>
      </c>
      <c r="R208" s="579" t="n"/>
      <c r="S208" s="33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</row>
    <row r="209" ht="18.75" customHeight="1" s="1349">
      <c r="A209" s="1292" t="inlineStr">
        <is>
          <t>540439184019985</t>
        </is>
      </c>
      <c r="B209" s="904" t="n"/>
      <c r="C209" s="904" t="inlineStr">
        <is>
          <t>Vinilseg</t>
        </is>
      </c>
      <c r="D209" s="481" t="inlineStr">
        <is>
          <t>Conjunto Nr10 Camisa Calça Reforçada Eletricista Anti Chamas</t>
        </is>
      </c>
      <c r="E209" s="904" t="n">
        <v>499</v>
      </c>
      <c r="F209" s="856" t="n">
        <v>369</v>
      </c>
      <c r="G209" s="1016">
        <f>F209*17%</f>
        <v/>
      </c>
      <c r="H209" s="831" t="n"/>
      <c r="I209" s="904" t="n">
        <v>23.25</v>
      </c>
      <c r="J209" s="340">
        <f>F209*18%</f>
        <v/>
      </c>
      <c r="K209" s="340">
        <f>(F209-J209)*1.65%</f>
        <v/>
      </c>
      <c r="L209" s="340">
        <f>(F209-J209)*7.6%</f>
        <v/>
      </c>
      <c r="M209" s="483" t="n">
        <v>56.29</v>
      </c>
      <c r="N209" s="483">
        <f>(G209+I209) * (9.25%)</f>
        <v/>
      </c>
      <c r="O209" s="701" t="n">
        <v>220</v>
      </c>
      <c r="P209" s="447">
        <f>(F209 - (G209+I209+O209+(J209+K209+L209))) - (H209-M209-N209)</f>
        <v/>
      </c>
      <c r="Q209" s="328">
        <f>P209/F209</f>
        <v/>
      </c>
      <c r="R209" s="514" t="n"/>
      <c r="S209" s="33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</row>
    <row r="210" ht="18.75" customHeight="1" s="1349">
      <c r="A210" s="310" t="n"/>
      <c r="B210" s="402" t="n"/>
      <c r="C210" s="331" t="n"/>
      <c r="D210" s="411" t="inlineStr">
        <is>
          <t xml:space="preserve">KIT 5 CHUMBADOR PARABOLT CBA 1/4 X 65 AÇO FIXAÇÃO </t>
        </is>
      </c>
      <c r="E210" s="359" t="n"/>
      <c r="F210" s="359" t="n">
        <v>19</v>
      </c>
      <c r="G210" s="321">
        <f>F210*17%</f>
        <v/>
      </c>
      <c r="H210" s="296" t="n"/>
      <c r="I210" s="331" t="n">
        <v>7</v>
      </c>
      <c r="J210" s="321">
        <f>F210*18%</f>
        <v/>
      </c>
      <c r="K210" s="321">
        <f>(F210-J210)*1.65%</f>
        <v/>
      </c>
      <c r="L210" s="321">
        <f>(F210-J210)*7.6%</f>
        <v/>
      </c>
      <c r="M210" s="1120" t="n">
        <v>0.45</v>
      </c>
      <c r="N210" s="1120">
        <f>(G210+I210) * (9.25%)</f>
        <v/>
      </c>
      <c r="O210" s="515" t="n">
        <v>3.6</v>
      </c>
      <c r="P210" s="447">
        <f>(F210 - (G210+I210+O210+(J210+K210+L210))) - (H210-M210-N210)</f>
        <v/>
      </c>
      <c r="Q210" s="1328">
        <f>P210/F210</f>
        <v/>
      </c>
      <c r="R210" s="579" t="n"/>
      <c r="S210" s="33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</row>
    <row r="211" ht="18.75" customHeight="1" s="1349">
      <c r="A211" s="429" t="inlineStr">
        <is>
          <t>5865932756</t>
        </is>
      </c>
      <c r="B211" s="430" t="n">
        <v>10034034167552</v>
      </c>
      <c r="C211" s="318" t="inlineStr">
        <is>
          <t>VOLK</t>
        </is>
      </c>
      <c r="D211" s="1310" t="inlineStr">
        <is>
          <t>Kit 2 Luva Verniz Silver Látex Proteção Química Impermeável</t>
        </is>
      </c>
      <c r="E211" s="359" t="n"/>
      <c r="F211" s="359" t="n">
        <v>26.39</v>
      </c>
      <c r="G211" s="374">
        <f>F211*18%</f>
        <v/>
      </c>
      <c r="H211" s="296" t="n">
        <v>-0.36</v>
      </c>
      <c r="I211" s="331" t="n">
        <v>6.65</v>
      </c>
      <c r="J211" s="321">
        <f>F211*18%</f>
        <v/>
      </c>
      <c r="K211" s="321">
        <f>(F211-J211)*1.65%</f>
        <v/>
      </c>
      <c r="L211" s="321">
        <f>(F211-J211)*7.6%</f>
        <v/>
      </c>
      <c r="M211" s="1120">
        <f>0.54*2</f>
        <v/>
      </c>
      <c r="N211" s="1120">
        <f>(G211+I211) * (9.25%)</f>
        <v/>
      </c>
      <c r="O211" s="121">
        <f>4.18*2</f>
        <v/>
      </c>
      <c r="P211" s="447">
        <f>(F211 - (G211+I211+O211+(J211+K211+L211))) - (H211-M211-N211)</f>
        <v/>
      </c>
      <c r="Q211" s="1328">
        <f>P211/F211</f>
        <v/>
      </c>
      <c r="R211" s="579" t="n"/>
      <c r="S211" s="33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</row>
    <row r="212" ht="18.75" customHeight="1" s="1349">
      <c r="A212" s="356" t="inlineStr">
        <is>
          <t>5385908714</t>
        </is>
      </c>
      <c r="B212" s="264" t="n">
        <v>10034034166516</v>
      </c>
      <c r="C212" s="318" t="inlineStr">
        <is>
          <t>Atlas</t>
        </is>
      </c>
      <c r="D212" s="265" t="inlineStr">
        <is>
          <t>Kit Completo Pintura Decoração Pintor Atlas At 1016 7 Peças</t>
        </is>
      </c>
      <c r="E212" s="320" t="n"/>
      <c r="F212" s="320" t="n">
        <v>55.11</v>
      </c>
      <c r="G212" s="321">
        <f>F212*16.5%</f>
        <v/>
      </c>
      <c r="H212" s="322" t="n">
        <v>-1.01</v>
      </c>
      <c r="I212" s="331" t="n">
        <v>8.550000000000001</v>
      </c>
      <c r="J212" s="321">
        <f>F212*18%</f>
        <v/>
      </c>
      <c r="K212" s="321">
        <f>(F212-J212)*1.65%</f>
        <v/>
      </c>
      <c r="L212" s="321">
        <f>(F212-J212)*7.6%</f>
        <v/>
      </c>
      <c r="M212" s="1120" t="n">
        <v>7.24</v>
      </c>
      <c r="N212" s="1120">
        <f>(G212+I212) * (9.25%)</f>
        <v/>
      </c>
      <c r="O212" s="197" t="n">
        <v>28.29</v>
      </c>
      <c r="P212" s="447">
        <f>(F212 - (G212+I212+O212+(J212+K212+L212))) - (H212-M212-N212)</f>
        <v/>
      </c>
      <c r="Q212" s="328">
        <f>P212/F212</f>
        <v/>
      </c>
      <c r="R212" s="484" t="inlineStr">
        <is>
          <t>Ativo</t>
        </is>
      </c>
      <c r="S212" s="33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</row>
    <row r="213" ht="18.75" customHeight="1" s="1349">
      <c r="A213" s="316" t="inlineStr">
        <is>
          <t>2914359248</t>
        </is>
      </c>
      <c r="B213" s="317" t="n">
        <v>100700703135</v>
      </c>
      <c r="C213" s="331" t="inlineStr">
        <is>
          <t>Trevira</t>
        </is>
      </c>
      <c r="D213" s="1310" t="inlineStr">
        <is>
          <t>Capa De Chuva Forrada Trevira Amarela Resistente Impermeável</t>
        </is>
      </c>
      <c r="E213" s="320" t="n"/>
      <c r="F213" s="320" t="n">
        <v>38.97</v>
      </c>
      <c r="G213" s="321">
        <f>F213*12%</f>
        <v/>
      </c>
      <c r="H213" s="322" t="n">
        <v>-0.5</v>
      </c>
      <c r="I213" s="331" t="n">
        <v>6.75</v>
      </c>
      <c r="J213" s="321">
        <f>F213*18%</f>
        <v/>
      </c>
      <c r="K213" s="321">
        <f>(F213-J213)*1.65%</f>
        <v/>
      </c>
      <c r="L213" s="321">
        <f>(F213-J213)*7.6%</f>
        <v/>
      </c>
      <c r="M213" s="1120" t="n">
        <v>3.94</v>
      </c>
      <c r="N213" s="1120">
        <f>(G213+I213) * (9.25%)</f>
        <v/>
      </c>
      <c r="O213" s="708" t="n">
        <v>19.55</v>
      </c>
      <c r="P213" s="447">
        <f>(F213 - (G213+I213+O213+(J213+K213+L213))) - (H213-M213-N213)</f>
        <v/>
      </c>
      <c r="Q213" s="328">
        <f>P213/F213</f>
        <v/>
      </c>
      <c r="R213" s="463" t="inlineStr">
        <is>
          <t>Ativo</t>
        </is>
      </c>
      <c r="S213" s="33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</row>
    <row r="214" ht="18.75" customHeight="1" s="1349">
      <c r="A214" s="310" t="n"/>
      <c r="B214" s="402" t="n"/>
      <c r="C214" s="331" t="n"/>
      <c r="D214" s="381" t="inlineStr">
        <is>
          <t xml:space="preserve">KIT 5 CHUMBADOR PARABOLT CBA 1/2 X 4.1/2 AÇO FIXAÇÃO </t>
        </is>
      </c>
      <c r="E214" s="359" t="n"/>
      <c r="F214" s="359" t="n">
        <v>53.2</v>
      </c>
      <c r="G214" s="321">
        <f>F214*17%</f>
        <v/>
      </c>
      <c r="H214" s="296" t="n"/>
      <c r="I214" s="331" t="n">
        <v>7</v>
      </c>
      <c r="J214" s="321">
        <f>F214*18%</f>
        <v/>
      </c>
      <c r="K214" s="321">
        <f>(F214-J214)*1.65%</f>
        <v/>
      </c>
      <c r="L214" s="321">
        <f>(F214-J214)*7.6%</f>
        <v/>
      </c>
      <c r="M214" s="1120" t="n">
        <v>2.75</v>
      </c>
      <c r="N214" s="1120">
        <f>(G214+I214) * (9.25%)</f>
        <v/>
      </c>
      <c r="O214" s="515" t="n">
        <v>22.95</v>
      </c>
      <c r="P214" s="447">
        <f>(F214 - (G214+I214+O214+(J214+K214+L214))) - (H214-M214-N214)</f>
        <v/>
      </c>
      <c r="Q214" s="1328">
        <f>P214/F214</f>
        <v/>
      </c>
      <c r="R214" s="579" t="n"/>
      <c r="S214" s="33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</row>
    <row r="215" ht="18.75" customHeight="1" s="1349">
      <c r="A215" s="372" t="inlineStr">
        <is>
          <t>4276217327</t>
        </is>
      </c>
      <c r="B215" s="373" t="n">
        <v>10034034166361</v>
      </c>
      <c r="C215" s="318" t="inlineStr">
        <is>
          <t>Camper</t>
        </is>
      </c>
      <c r="D215" s="1310" t="inlineStr">
        <is>
          <t>Kit 50 Mascara N95 Proteção Respiratória C/ Válvula Pff2 Ca</t>
        </is>
      </c>
      <c r="E215" s="320" t="n"/>
      <c r="F215" s="320" t="n">
        <v>76.62</v>
      </c>
      <c r="G215" s="374">
        <f>F215*12%</f>
        <v/>
      </c>
      <c r="H215" s="437" t="n">
        <v>-1.06</v>
      </c>
      <c r="I215" s="331" t="n">
        <v>8.550000000000001</v>
      </c>
      <c r="J215" s="321">
        <f>F215*18%</f>
        <v/>
      </c>
      <c r="K215" s="321">
        <f>(F215-J215)*1.65%</f>
        <v/>
      </c>
      <c r="L215" s="321">
        <f>(F215-J215)*7.6%</f>
        <v/>
      </c>
      <c r="M215" s="1120">
        <f>0.18*50</f>
        <v/>
      </c>
      <c r="N215" s="1120">
        <f>(G215+I215) * (9.25%)</f>
        <v/>
      </c>
      <c r="O215" s="708">
        <f>0.88*50</f>
        <v/>
      </c>
      <c r="P215" s="447">
        <f>(F215 - (G215+I215+O215+(J215+K215+L215))) - (H215-M215-N215)</f>
        <v/>
      </c>
      <c r="Q215" s="1328">
        <f>P215/F215</f>
        <v/>
      </c>
      <c r="R215" s="579" t="n"/>
      <c r="S215" s="33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</row>
    <row r="216" ht="18.75" customHeight="1" s="1349">
      <c r="A216" s="356" t="inlineStr">
        <is>
          <t>5249766570</t>
        </is>
      </c>
      <c r="B216" s="264" t="n">
        <v>10034034167380</v>
      </c>
      <c r="C216" s="318" t="inlineStr">
        <is>
          <t>EPI</t>
        </is>
      </c>
      <c r="D216" s="265" t="inlineStr">
        <is>
          <t>Kit 2 Fitas Automotiva Amarela 18mm X 40m Estetica Polimento</t>
        </is>
      </c>
      <c r="E216" s="320" t="n"/>
      <c r="F216" s="320" t="n">
        <v>22.79</v>
      </c>
      <c r="G216" s="321">
        <f>F216*11.5%</f>
        <v/>
      </c>
      <c r="H216" s="322" t="n">
        <v>-0.72</v>
      </c>
      <c r="I216" s="331">
        <f>IFS(
  F216&lt;12.5, F216/2,
  F216&lt;29, 6.25,
  F216&lt;50, 6.5,
  F216&lt;=79, 6.75,
  TRUE, 25
)</f>
        <v/>
      </c>
      <c r="J216" s="321">
        <f>F216*18%</f>
        <v/>
      </c>
      <c r="K216" s="321">
        <f>(F216-J216)*1.65%</f>
        <v/>
      </c>
      <c r="L216" s="321">
        <f>(F216-J216)*7.6%</f>
        <v/>
      </c>
      <c r="M216" s="357" t="n"/>
      <c r="N216" s="357">
        <f>(G216+I216) * (9.25%)</f>
        <v/>
      </c>
      <c r="O216" s="1050">
        <f>3.77*2</f>
        <v/>
      </c>
      <c r="P216" s="447">
        <f>(F216 - (G216+I216+O216+(J216+K216+L216))) - (H216-M216-N216)</f>
        <v/>
      </c>
      <c r="Q216" s="328">
        <f>P216/F216</f>
        <v/>
      </c>
      <c r="R216" s="485" t="inlineStr">
        <is>
          <t>TRAVADO</t>
        </is>
      </c>
      <c r="S216" s="33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</row>
    <row r="217" ht="18.75" customHeight="1" s="1349">
      <c r="A217" s="310" t="n"/>
      <c r="B217" s="402" t="n"/>
      <c r="C217" s="331" t="n"/>
      <c r="D217" s="367" t="inlineStr">
        <is>
          <t>KIT 10 CHUMBADOR PARABOLT CBA 5/16 X 3.1/4 AÇO FIXAÇÃO</t>
        </is>
      </c>
      <c r="E217" s="359" t="n"/>
      <c r="F217" s="359" t="n">
        <v>36.89</v>
      </c>
      <c r="G217" s="321">
        <f>F217*17%</f>
        <v/>
      </c>
      <c r="H217" s="296" t="n"/>
      <c r="I217" s="331" t="n">
        <v>7</v>
      </c>
      <c r="J217" s="321">
        <f>F217*18%</f>
        <v/>
      </c>
      <c r="K217" s="321">
        <f>(F217-J217)*1.65%</f>
        <v/>
      </c>
      <c r="L217" s="321">
        <f>(F217-J217)*7.6%</f>
        <v/>
      </c>
      <c r="M217" s="1120" t="n">
        <v>1.6</v>
      </c>
      <c r="N217" s="1120">
        <f>(G217+I217) * (9.25%)</f>
        <v/>
      </c>
      <c r="O217" s="515" t="n">
        <v>13.6</v>
      </c>
      <c r="P217" s="447">
        <f>(F217 - (G217+I217+O217+(J217+K217+L217))) - (H217-M217-N217)</f>
        <v/>
      </c>
      <c r="Q217" s="1328">
        <f>P217/F217</f>
        <v/>
      </c>
      <c r="R217" s="579" t="n"/>
      <c r="S217" s="33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</row>
    <row r="218" ht="18.75" customHeight="1" s="1349">
      <c r="A218" s="310" t="inlineStr">
        <is>
          <t>6011208964</t>
        </is>
      </c>
      <c r="B218" s="402" t="n">
        <v>10034034167996</v>
      </c>
      <c r="C218" s="318" t="inlineStr">
        <is>
          <t>Nutriex</t>
        </is>
      </c>
      <c r="D218" s="404" t="inlineStr">
        <is>
          <t xml:space="preserve"> Kit Protetor Solar Fps 60 Filtro Proteção UV UVB 120ml 10un</t>
        </is>
      </c>
      <c r="E218" s="359" t="n"/>
      <c r="F218" s="359" t="n">
        <v>239</v>
      </c>
      <c r="G218" s="321">
        <f>F218*19%</f>
        <v/>
      </c>
      <c r="H218" s="322" t="n">
        <v>-4.1</v>
      </c>
      <c r="I218" s="331" t="n">
        <v>24.65</v>
      </c>
      <c r="J218" s="321">
        <f>F218*18%</f>
        <v/>
      </c>
      <c r="K218" s="366" t="n">
        <v>0</v>
      </c>
      <c r="L218" s="366" t="n">
        <v>0</v>
      </c>
      <c r="M218" s="1120">
        <f>1.56*10</f>
        <v/>
      </c>
      <c r="N218" s="1120">
        <f>(G218+I218) * (9.25%)</f>
        <v/>
      </c>
      <c r="O218" s="121">
        <f>13*10</f>
        <v/>
      </c>
      <c r="P218" s="447">
        <f>(F218 - (G218+I218+O218+(J218+K218+L218))) - (H218-M218-N218)</f>
        <v/>
      </c>
      <c r="Q218" s="1328">
        <f>P218/F218</f>
        <v/>
      </c>
      <c r="R218" s="579" t="n"/>
      <c r="S218" s="33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</row>
    <row r="219" ht="18.75" customHeight="1" s="1349">
      <c r="A219" s="371" t="inlineStr">
        <is>
          <t>4315090407</t>
        </is>
      </c>
      <c r="B219" s="479" t="n">
        <v>10034034166784</v>
      </c>
      <c r="C219" s="369" t="inlineStr">
        <is>
          <t>ÂNCORA</t>
        </is>
      </c>
      <c r="D219" s="370" t="inlineStr">
        <is>
          <t>Arruela Lisa Zincada Brilhante 1/4 Pol Chumbador 1kg 500un</t>
        </is>
      </c>
      <c r="E219" s="359" t="n"/>
      <c r="F219" s="359" t="n">
        <v>37.94</v>
      </c>
      <c r="G219" s="321">
        <f>F219*17%</f>
        <v/>
      </c>
      <c r="H219" s="322" t="n">
        <v>-1.17</v>
      </c>
      <c r="I219" s="331">
        <f>IFS(
  F219&lt;12.5, F219/2,
  F219&lt;29, 6.25,
  F219&lt;50, 6.5,
  F219&lt;=79, 6.75,
  TRUE, 25
)</f>
        <v/>
      </c>
      <c r="J219" s="321">
        <f>F219*18%</f>
        <v/>
      </c>
      <c r="K219" s="321">
        <f>(F219-J219)*1.65%</f>
        <v/>
      </c>
      <c r="L219" s="321">
        <f>(F219-J219)*7.6%</f>
        <v/>
      </c>
      <c r="M219" s="1120" t="n">
        <v>1.95</v>
      </c>
      <c r="N219" s="1120">
        <f>(G219+I219) * (9.25%)</f>
        <v/>
      </c>
      <c r="O219" s="121" t="n">
        <v>16.09</v>
      </c>
      <c r="P219" s="447">
        <f>(F219 - (G219+I219+O219+(J219+K219+L219))) - (H219-M219-N219)</f>
        <v/>
      </c>
      <c r="Q219" s="1328">
        <f>P219/F219</f>
        <v/>
      </c>
      <c r="R219" s="579" t="n"/>
      <c r="S219" s="33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</row>
    <row r="220" ht="18.75" customHeight="1" s="1349">
      <c r="A220" s="310" t="inlineStr">
        <is>
          <t>5885635422</t>
        </is>
      </c>
      <c r="B220" s="402" t="n">
        <v>10034034167692</v>
      </c>
      <c r="C220" s="318" t="inlineStr">
        <is>
          <t>Plastcor</t>
        </is>
      </c>
      <c r="D220" s="1310" t="inlineStr">
        <is>
          <t>Corrente De Segurança Demarcar Área Para Obras Plastcor 5m</t>
        </is>
      </c>
      <c r="E220" s="359" t="n"/>
      <c r="F220" s="359" t="n">
        <v>38.79</v>
      </c>
      <c r="G220" s="321">
        <f>F220*12%</f>
        <v/>
      </c>
      <c r="H220" s="322" t="n">
        <v>-1.2</v>
      </c>
      <c r="I220" s="331">
        <f>IFS(
F220&lt;12.5, F220/2,
F220&lt;29, 6.25,
F220&lt;50, 6.5,
F220&lt;=79, 6.75,
TRUE, 
25)</f>
        <v/>
      </c>
      <c r="J220" s="321">
        <f>F220*18%</f>
        <v/>
      </c>
      <c r="K220" s="321">
        <f>(F220-J220)*1.65%</f>
        <v/>
      </c>
      <c r="L220" s="321">
        <f>(F220-J220)*7.6%</f>
        <v/>
      </c>
      <c r="M220" s="1120">
        <f>1*5</f>
        <v/>
      </c>
      <c r="N220" s="1120">
        <f>(G220+I220) * (9.25%)</f>
        <v/>
      </c>
      <c r="O220" s="121">
        <f>4.27*5</f>
        <v/>
      </c>
      <c r="P220" s="447">
        <f>(F220 - (G220+I220+O220+(J220+K220+L220))) - (H220-M220-N220)</f>
        <v/>
      </c>
      <c r="Q220" s="1328">
        <f>P220/F220</f>
        <v/>
      </c>
      <c r="R220" s="579" t="n"/>
      <c r="S220" s="33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</row>
    <row r="221" ht="18.75" customHeight="1" s="1349">
      <c r="A221" s="402" t="n">
        <v>6625176732</v>
      </c>
      <c r="B221" s="402" t="n">
        <v>10034034168402</v>
      </c>
      <c r="C221" s="331" t="inlineStr">
        <is>
          <t>Irwin</t>
        </is>
      </c>
      <c r="D221" s="539" t="inlineStr">
        <is>
          <t>Kit 10 Broca Aço Rápido Hss 9/64 Resistente P/ Furadeira</t>
        </is>
      </c>
      <c r="E221" s="359" t="n"/>
      <c r="F221" s="359" t="n">
        <v>62.95</v>
      </c>
      <c r="G221" s="321">
        <f>F221*12%</f>
        <v/>
      </c>
      <c r="H221" s="296" t="n"/>
      <c r="I221" s="331" t="n">
        <v>7.75</v>
      </c>
      <c r="J221" s="366" t="n">
        <v>0</v>
      </c>
      <c r="K221" s="321">
        <f>(F221-J221)*1.65%</f>
        <v/>
      </c>
      <c r="L221" s="321">
        <f>(F221-J221)*7.6%</f>
        <v/>
      </c>
      <c r="M221" s="1120">
        <f>0.34*10</f>
        <v/>
      </c>
      <c r="N221" s="1120">
        <f>(G221+I221) * (9.25%)</f>
        <v/>
      </c>
      <c r="O221" s="121">
        <f>4.08*10</f>
        <v/>
      </c>
      <c r="P221" s="447">
        <f>(F221 - (G221+I221+O221+(J221+K221+L221))) - (H221-M221-N221)</f>
        <v/>
      </c>
      <c r="Q221" s="1328">
        <f>P221/F221</f>
        <v/>
      </c>
      <c r="R221" s="579" t="n"/>
      <c r="S221" s="33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</row>
    <row r="222" ht="18.75" customHeight="1" s="1349">
      <c r="A222" s="711" t="inlineStr">
        <is>
          <t>4190810953</t>
        </is>
      </c>
      <c r="B222" s="470" t="n">
        <v>10034034167561</v>
      </c>
      <c r="C222" s="1292" t="inlineStr">
        <is>
          <t>Nutriex</t>
        </is>
      </c>
      <c r="D222" s="471">
        <f>HYPERLINK("https://produto.mercadolivre.com.br/MLB-4190810953-condicionador-infantil-minions-500ml-nutriex-fragrncia-leve-_JM","Condicionador Infantil Minions 500ml Kids Banho Divertido")</f>
        <v/>
      </c>
      <c r="E222" s="685" t="n"/>
      <c r="F222" s="856" t="n">
        <v>24.5</v>
      </c>
      <c r="G222" s="447">
        <f>F222*13%</f>
        <v/>
      </c>
      <c r="H222" s="833" t="n"/>
      <c r="I222" s="904" t="n">
        <v>6.75</v>
      </c>
      <c r="J222" s="340">
        <f>F222*18%</f>
        <v/>
      </c>
      <c r="K222" s="450" t="n">
        <v>0</v>
      </c>
      <c r="L222" s="450" t="n">
        <v>0</v>
      </c>
      <c r="M222" s="1120" t="n">
        <v>1.2</v>
      </c>
      <c r="N222" s="1120">
        <f>(G222+I222) * (9.25%)</f>
        <v/>
      </c>
      <c r="O222" s="701" t="n">
        <v>9.99</v>
      </c>
      <c r="P222" s="1016">
        <f>(F222 - (G222+I222+O222+(J222+K222+L222))) - (H222-M222-N222)</f>
        <v/>
      </c>
      <c r="Q222" s="328">
        <f>P222/F222</f>
        <v/>
      </c>
      <c r="R222" s="1206" t="inlineStr">
        <is>
          <t>Ativo</t>
        </is>
      </c>
      <c r="S222" s="33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</row>
    <row r="223" ht="18.75" customHeight="1" s="1349">
      <c r="A223" s="316" t="inlineStr">
        <is>
          <t>4056339485</t>
        </is>
      </c>
      <c r="B223" s="317" t="n">
        <v>10034034167139</v>
      </c>
      <c r="C223" s="318" t="inlineStr">
        <is>
          <t>Irwin</t>
        </is>
      </c>
      <c r="D223" s="1310" t="inlineStr">
        <is>
          <t>Jogo Giz De Linha Marcação Strait-line Irwin Speedline 30m</t>
        </is>
      </c>
      <c r="E223" s="320" t="n"/>
      <c r="F223" s="320" t="n">
        <v>86.52</v>
      </c>
      <c r="G223" s="321">
        <f>F223*12%</f>
        <v/>
      </c>
      <c r="H223" s="124" t="n">
        <v>-5.19</v>
      </c>
      <c r="I223" s="331" t="n">
        <v>13.25</v>
      </c>
      <c r="J223" s="321">
        <f>F223*18%</f>
        <v/>
      </c>
      <c r="K223" s="321">
        <f>(F223-J223)*1.65%</f>
        <v/>
      </c>
      <c r="L223" s="321">
        <f>(F223-J223)*7.6%</f>
        <v/>
      </c>
      <c r="M223" s="1120" t="n">
        <v>4.08</v>
      </c>
      <c r="N223" s="1120">
        <f>(G223+I223) * (9.25%)</f>
        <v/>
      </c>
      <c r="O223" s="121" t="n">
        <v>44.12</v>
      </c>
      <c r="P223" s="447">
        <f>(F223 - (G223+I223+O223+(J223+K223+L223))) - (H223-M223-N223)</f>
        <v/>
      </c>
      <c r="Q223" s="328">
        <f>P223/F223</f>
        <v/>
      </c>
      <c r="R223" s="421" t="inlineStr">
        <is>
          <t>Ativo</t>
        </is>
      </c>
      <c r="S223" s="33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</row>
    <row r="224" ht="18.75" customHeight="1" s="1349">
      <c r="A224" s="356" t="inlineStr">
        <is>
          <t>5518926176</t>
        </is>
      </c>
      <c r="B224" s="264" t="n">
        <v>10034034166943</v>
      </c>
      <c r="C224" s="318" t="inlineStr">
        <is>
          <t>Nutriex</t>
        </is>
      </c>
      <c r="D224" s="265" t="inlineStr">
        <is>
          <t>Protetor Solar Nutriex Fps 60 C/ Repelente Hipoalergênico 1l</t>
        </is>
      </c>
      <c r="E224" s="320" t="n"/>
      <c r="F224" s="320" t="n">
        <v>209.48</v>
      </c>
      <c r="G224" s="321">
        <f>F224*14%</f>
        <v/>
      </c>
      <c r="H224" s="322" t="n">
        <v>-6.48</v>
      </c>
      <c r="I224" s="1310" t="n">
        <v>23.45</v>
      </c>
      <c r="J224" s="321">
        <f>F224*18%</f>
        <v/>
      </c>
      <c r="K224" s="366" t="n">
        <v>0</v>
      </c>
      <c r="L224" s="366" t="n">
        <v>0</v>
      </c>
      <c r="M224" s="1120" t="n">
        <v>15.08</v>
      </c>
      <c r="N224" s="1120">
        <f>(G224+I224) * (9.25%)</f>
        <v/>
      </c>
      <c r="O224" s="121" t="n">
        <v>125.7</v>
      </c>
      <c r="P224" s="447">
        <f>(F224 - (G224+I224+O224+(J224+K224+L224))) - (H224-M224-N224)</f>
        <v/>
      </c>
      <c r="Q224" s="328">
        <f>P224/F224</f>
        <v/>
      </c>
      <c r="R224" s="595" t="n"/>
      <c r="S224" s="33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</row>
    <row r="225" ht="18.75" customHeight="1" s="1349">
      <c r="A225" s="316" t="inlineStr">
        <is>
          <t>4238378183</t>
        </is>
      </c>
      <c r="B225" s="317" t="n">
        <v>10034034167007</v>
      </c>
      <c r="C225" s="318" t="inlineStr">
        <is>
          <t>Vinilseg</t>
        </is>
      </c>
      <c r="D225" s="1310" t="inlineStr">
        <is>
          <t>Capa De Chuva Pvc Forrada Impermeável Costura Reforçada Leve</t>
        </is>
      </c>
      <c r="E225" s="320" t="n"/>
      <c r="F225" s="320" t="n">
        <v>35.74</v>
      </c>
      <c r="G225" s="321">
        <f>F225*12%</f>
        <v/>
      </c>
      <c r="H225" s="322" t="n">
        <v>-1.92</v>
      </c>
      <c r="I225" s="331" t="n">
        <v>6.75</v>
      </c>
      <c r="J225" s="321">
        <f>F225*18%</f>
        <v/>
      </c>
      <c r="K225" s="321">
        <f>(F225-J225)*1.65%</f>
        <v/>
      </c>
      <c r="L225" s="321">
        <f>(F225-J225)*7.6%</f>
        <v/>
      </c>
      <c r="M225" s="1120" t="n">
        <v>3.82</v>
      </c>
      <c r="N225" s="1120">
        <f>(G225+I225) * (9.25%)</f>
        <v/>
      </c>
      <c r="O225" s="708" t="n">
        <v>18.95</v>
      </c>
      <c r="P225" s="447">
        <f>(F225 - (G225+I225+O225+(J225+K225+L225))) - (H225-M225-N225)</f>
        <v/>
      </c>
      <c r="Q225" s="328">
        <f>P225/F225</f>
        <v/>
      </c>
      <c r="R225" s="579" t="n"/>
      <c r="S225" s="33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</row>
    <row r="226" ht="18.75" customHeight="1" s="1349">
      <c r="A226" s="310" t="inlineStr">
        <is>
          <t>6010951346</t>
        </is>
      </c>
      <c r="B226" s="402" t="n">
        <v>10034034167833</v>
      </c>
      <c r="C226" s="318" t="inlineStr">
        <is>
          <t>Nutriex</t>
        </is>
      </c>
      <c r="D226" s="404" t="inlineStr">
        <is>
          <t>Protetor Solar Fps 60 Corporal Profissional Praia Sol 120ml</t>
        </is>
      </c>
      <c r="E226" s="359" t="n"/>
      <c r="F226" s="359" t="n">
        <v>28.26</v>
      </c>
      <c r="G226" s="321">
        <f>F226*19%</f>
        <v/>
      </c>
      <c r="H226" s="322" t="n">
        <v>-1.84</v>
      </c>
      <c r="I226" s="331" t="n">
        <v>6.65</v>
      </c>
      <c r="J226" s="321">
        <f>F226*18%</f>
        <v/>
      </c>
      <c r="K226" s="366" t="n">
        <v>0</v>
      </c>
      <c r="L226" s="366" t="n">
        <v>0</v>
      </c>
      <c r="M226" s="1120" t="n">
        <v>1.56</v>
      </c>
      <c r="N226" s="1120">
        <f>(G226+I226) * (9.25%)</f>
        <v/>
      </c>
      <c r="O226" s="121">
        <f>13*1</f>
        <v/>
      </c>
      <c r="P226" s="447">
        <f>(F226 - (G226+I226+O226+(J226+K226+L226))) - (H226-M226-N226)</f>
        <v/>
      </c>
      <c r="Q226" s="1328">
        <f>P226/F226</f>
        <v/>
      </c>
      <c r="R226" s="579" t="n"/>
      <c r="S226" s="33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</row>
    <row r="227" ht="18.75" customHeight="1" s="1349">
      <c r="A227" s="310" t="inlineStr">
        <is>
          <t>6589529368</t>
        </is>
      </c>
      <c r="B227" s="402" t="n">
        <v>10034034168366</v>
      </c>
      <c r="C227" s="331" t="inlineStr">
        <is>
          <t>Irwin</t>
        </is>
      </c>
      <c r="D227" s="404" t="inlineStr">
        <is>
          <t>Kit 10 Broca Aço Rápido Hss Profissional 3mm Metal Alumínio</t>
        </is>
      </c>
      <c r="E227" s="359" t="n"/>
      <c r="F227" s="359" t="n">
        <v>58.19</v>
      </c>
      <c r="G227" s="321">
        <f>F227*12%</f>
        <v/>
      </c>
      <c r="H227" s="296" t="n">
        <v>-2.08</v>
      </c>
      <c r="I227" s="331" t="n">
        <v>7.75</v>
      </c>
      <c r="J227" s="366" t="n">
        <v>0</v>
      </c>
      <c r="K227" s="321">
        <f>(F227-J227)*1.65%</f>
        <v/>
      </c>
      <c r="L227" s="321">
        <f>(F227-J227)*7.6%</f>
        <v/>
      </c>
      <c r="M227" s="1120">
        <f>0.35*10</f>
        <v/>
      </c>
      <c r="N227" s="1120">
        <f>(G227+I227) * (9.25%)</f>
        <v/>
      </c>
      <c r="O227" s="121">
        <f>3.95*10</f>
        <v/>
      </c>
      <c r="P227" s="447">
        <f>(F227 - (G227+I227+O227+(J227+K227+L227))) - (H227-M227-N227)</f>
        <v/>
      </c>
      <c r="Q227" s="1328">
        <f>P227/F227</f>
        <v/>
      </c>
      <c r="R227" s="579" t="n"/>
      <c r="S227" s="33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</row>
    <row r="228" ht="18.75" customHeight="1" s="1349">
      <c r="A228" s="356" t="inlineStr">
        <is>
          <t>4076061275</t>
        </is>
      </c>
      <c r="B228" s="264" t="n">
        <v>10034034167374</v>
      </c>
      <c r="C228" s="318" t="inlineStr">
        <is>
          <t>ÂNCORA</t>
        </is>
      </c>
      <c r="D228" s="265" t="inlineStr">
        <is>
          <t>Kit 20 Tela Amarração Alvenaria Blocos Tel120 12cm X 50cm</t>
        </is>
      </c>
      <c r="E228" s="320" t="n"/>
      <c r="F228" s="320" t="n">
        <v>45.9</v>
      </c>
      <c r="G228" s="321">
        <f>F228*17%</f>
        <v/>
      </c>
      <c r="H228" s="322" t="n"/>
      <c r="I228" s="331" t="n">
        <v>7.75</v>
      </c>
      <c r="J228" s="321">
        <f>F228*18%</f>
        <v/>
      </c>
      <c r="K228" s="321">
        <f>(F228-J228)*1.65%</f>
        <v/>
      </c>
      <c r="L228" s="321">
        <f>(F228-J228)*7.6%</f>
        <v/>
      </c>
      <c r="M228" s="1120">
        <f>11.59/5</f>
        <v/>
      </c>
      <c r="N228" s="1120">
        <f>(G228+I228) * (9.25%)</f>
        <v/>
      </c>
      <c r="O228" s="708">
        <f>89.96/5</f>
        <v/>
      </c>
      <c r="P228" s="447">
        <f>(F228 - (G228+I228+O228+(J228+K228+L228))) - (H228-M228-N228)</f>
        <v/>
      </c>
      <c r="Q228" s="328">
        <f>P228/F228</f>
        <v/>
      </c>
      <c r="R228" s="488" t="inlineStr">
        <is>
          <t>Temporário</t>
        </is>
      </c>
      <c r="S228" s="33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</row>
    <row r="229" ht="18.75" customHeight="1" s="1349">
      <c r="A229" s="534" t="inlineStr">
        <is>
          <t>4735144523</t>
        </is>
      </c>
      <c r="B229" s="402" t="inlineStr">
        <is>
          <t>METALMAXIRWN115MM_2UN</t>
        </is>
      </c>
      <c r="C229" s="538" t="inlineStr">
        <is>
          <t>Irwin</t>
        </is>
      </c>
      <c r="D229" s="404" t="inlineStr">
        <is>
          <t>Disco Corte Metalmax Irwin 115mm Diamante Aço 30x Vida Útil Azul-marinho</t>
        </is>
      </c>
      <c r="E229" s="499" t="n"/>
      <c r="F229" s="499" t="n">
        <v>99</v>
      </c>
      <c r="G229" s="321">
        <f>F229*12%</f>
        <v/>
      </c>
      <c r="H229" s="296" t="n"/>
      <c r="I229" s="538" t="n">
        <v>12.35</v>
      </c>
      <c r="J229" s="366" t="n">
        <v>0</v>
      </c>
      <c r="K229" s="321">
        <f>(F229-J229)*1.65%</f>
        <v/>
      </c>
      <c r="L229" s="321">
        <f>(F229-J229)*7.6%</f>
        <v/>
      </c>
      <c r="M229" s="405" t="n">
        <v>5.33</v>
      </c>
      <c r="N229" s="405">
        <f>(G229+I229) * (9.25%)</f>
        <v/>
      </c>
      <c r="O229" s="274" t="n">
        <v>63.76</v>
      </c>
      <c r="P229" s="447">
        <f>(F229 - (G229+I229+O229+(J229+K229+L229))) - (H229-M229-N229)</f>
        <v/>
      </c>
      <c r="Q229" s="1328">
        <f>P229/F229</f>
        <v/>
      </c>
      <c r="R229" s="466" t="inlineStr">
        <is>
          <t>Ativo</t>
        </is>
      </c>
      <c r="S229" s="33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</row>
    <row r="230" ht="18.75" customHeight="1" s="1349">
      <c r="A230" s="310" t="inlineStr">
        <is>
          <t>4610024203</t>
        </is>
      </c>
      <c r="B230" s="402" t="n">
        <v>10034034168403</v>
      </c>
      <c r="C230" s="331" t="inlineStr">
        <is>
          <t>Irwin</t>
        </is>
      </c>
      <c r="D230" s="404" t="inlineStr">
        <is>
          <t>Kit 5 Broca Aço Rápido 9/64 Hss Serralheria Metalurgia Pro</t>
        </is>
      </c>
      <c r="E230" s="359" t="n"/>
      <c r="F230" s="359" t="n">
        <v>36.6</v>
      </c>
      <c r="G230" s="321">
        <f>F230*12%</f>
        <v/>
      </c>
      <c r="H230" s="296" t="n"/>
      <c r="I230" s="331" t="n">
        <v>7.75</v>
      </c>
      <c r="J230" s="366" t="n">
        <v>0</v>
      </c>
      <c r="K230" s="321">
        <f>(F230-J230)*1.65%</f>
        <v/>
      </c>
      <c r="L230" s="321">
        <f>(F230-J230)*7.6%</f>
        <v/>
      </c>
      <c r="M230" s="1120">
        <f>0.34*5</f>
        <v/>
      </c>
      <c r="N230" s="1120">
        <f>(G230+I230) * (9.25%)</f>
        <v/>
      </c>
      <c r="O230" s="121">
        <f>4.08*5</f>
        <v/>
      </c>
      <c r="P230" s="447">
        <f>(F230 - (G230+I230+O230+(J230+K230+L230))) - (H230-M230-N230)</f>
        <v/>
      </c>
      <c r="Q230" s="1328">
        <f>P230/F230</f>
        <v/>
      </c>
      <c r="R230" s="579" t="n"/>
      <c r="S230" s="33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</row>
    <row r="231" ht="18.75" customHeight="1" s="1349">
      <c r="A231" s="310" t="n"/>
      <c r="B231" s="402" t="n"/>
      <c r="C231" s="331" t="n"/>
      <c r="D231" s="381" t="inlineStr">
        <is>
          <t xml:space="preserve">KIT 10 CHUMBADOR PARABOLT CBA 5/16 X 75 AÇO FIXAÇÃO </t>
        </is>
      </c>
      <c r="E231" s="359" t="n"/>
      <c r="F231" s="359" t="n">
        <v>31.89</v>
      </c>
      <c r="G231" s="321">
        <f>F231*17%</f>
        <v/>
      </c>
      <c r="H231" s="296" t="n"/>
      <c r="I231" s="331" t="n">
        <v>7</v>
      </c>
      <c r="J231" s="321">
        <f>F231*18%</f>
        <v/>
      </c>
      <c r="K231" s="321">
        <f>(F231-J231)*1.65%</f>
        <v/>
      </c>
      <c r="L231" s="321">
        <f>(F231-J231)*7.6%</f>
        <v/>
      </c>
      <c r="M231" s="1120" t="n">
        <v>1.3</v>
      </c>
      <c r="N231" s="1120">
        <f>(G231+I231) * (9.25%)</f>
        <v/>
      </c>
      <c r="O231" s="515" t="n">
        <v>10.7</v>
      </c>
      <c r="P231" s="447">
        <f>(F231 - (G231+I231+O231+(J231+K231+L231))) - (H231-M231-N231)</f>
        <v/>
      </c>
      <c r="Q231" s="1328">
        <f>P231/F231</f>
        <v/>
      </c>
      <c r="R231" s="579" t="n"/>
      <c r="S231" s="33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</row>
    <row r="232" ht="18.75" customHeight="1" s="1349">
      <c r="A232" s="316" t="inlineStr">
        <is>
          <t>7175958003923921</t>
        </is>
      </c>
      <c r="B232" s="317" t="n">
        <v>10034034167358</v>
      </c>
      <c r="C232" s="318" t="inlineStr">
        <is>
          <t>Valcan</t>
        </is>
      </c>
      <c r="D232" s="1310" t="inlineStr">
        <is>
          <t>Luva Vaqueta Natural Petroleira Resistencia Mecânica EPI</t>
        </is>
      </c>
      <c r="E232" s="320" t="n"/>
      <c r="F232" s="320" t="n">
        <v>28.49</v>
      </c>
      <c r="G232" s="321">
        <f>F232*12%</f>
        <v/>
      </c>
      <c r="H232" s="322" t="n">
        <v>-0.65</v>
      </c>
      <c r="I232" s="331" t="n">
        <v>6.65</v>
      </c>
      <c r="J232" s="321">
        <f>F232*18%</f>
        <v/>
      </c>
      <c r="K232" s="321">
        <f>(F232-J232)*1.65%</f>
        <v/>
      </c>
      <c r="L232" s="321">
        <f>(F232-J232)*7.6%</f>
        <v/>
      </c>
      <c r="M232" s="1120" t="n">
        <v>2.52</v>
      </c>
      <c r="N232" s="1120">
        <f>(G232+I232) * (9.25%)</f>
        <v/>
      </c>
      <c r="O232" s="708" t="n">
        <v>12.5</v>
      </c>
      <c r="P232" s="447">
        <f>(F232 - (G232+I232+O232+(J232+K232+L232))) - (H232-M232-N232)</f>
        <v/>
      </c>
      <c r="Q232" s="328">
        <f>P232/F232</f>
        <v/>
      </c>
      <c r="R232" s="579" t="n"/>
      <c r="S232" s="33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</row>
    <row r="233" ht="18.75" customHeight="1" s="1349">
      <c r="A233" s="489" t="inlineStr">
        <is>
          <t>3959944569</t>
        </is>
      </c>
      <c r="B233" s="713" t="n">
        <v>912300</v>
      </c>
      <c r="C233" s="1292" t="inlineStr">
        <is>
          <t>Nutriex</t>
        </is>
      </c>
      <c r="D233" s="491" t="inlineStr">
        <is>
          <t>Protetor Bloqueador Solar Nutriex Fps 60 2 Litros</t>
        </is>
      </c>
      <c r="E233" s="492" t="n"/>
      <c r="F233" s="607" t="n">
        <v>302.63</v>
      </c>
      <c r="G233" s="447">
        <f>F233*14%</f>
        <v/>
      </c>
      <c r="H233" s="831" t="n">
        <v>-2.83</v>
      </c>
      <c r="I233" s="492" t="n">
        <v>26.25</v>
      </c>
      <c r="J233" s="340">
        <f>F233*18%</f>
        <v/>
      </c>
      <c r="K233" s="450" t="n">
        <v>0</v>
      </c>
      <c r="L233" s="450" t="n">
        <v>0</v>
      </c>
      <c r="M233" s="1120" t="n">
        <v>21.77</v>
      </c>
      <c r="N233" s="1120">
        <f>(G233+I233) * (9.25%)</f>
        <v/>
      </c>
      <c r="O233" s="701" t="n">
        <v>181.39</v>
      </c>
      <c r="P233" s="1016">
        <f>(F233 - (G233+I233+O233+(J233+K233+L233))) - (H233-M233-N233)</f>
        <v/>
      </c>
      <c r="Q233" s="462">
        <f>P233/F233</f>
        <v/>
      </c>
      <c r="R233" s="1206" t="n"/>
      <c r="S233" s="33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</row>
    <row r="234" ht="18.75" customHeight="1" s="1349">
      <c r="A234" s="406" t="inlineStr">
        <is>
          <t>4192425827</t>
        </is>
      </c>
      <c r="B234" s="1100" t="n">
        <v>10034034167557</v>
      </c>
      <c r="C234" s="318" t="inlineStr">
        <is>
          <t>Nutriex</t>
        </is>
      </c>
      <c r="D234" s="290" t="inlineStr">
        <is>
          <t>Kit Shampoo Condicionador Minnie Mouse Banho Feliz + Brinde</t>
        </is>
      </c>
      <c r="E234" s="359" t="n"/>
      <c r="F234" s="359" t="n">
        <v>29.09</v>
      </c>
      <c r="G234" s="321">
        <f>F234*14%</f>
        <v/>
      </c>
      <c r="H234" s="296" t="n">
        <v>-1.09</v>
      </c>
      <c r="I234" s="331" t="n">
        <v>6.75</v>
      </c>
      <c r="J234" s="321">
        <f>F234*18%</f>
        <v/>
      </c>
      <c r="K234" s="366" t="n">
        <v>0</v>
      </c>
      <c r="L234" s="366" t="n">
        <v>0</v>
      </c>
      <c r="M234" s="1120" t="n">
        <v>1.68</v>
      </c>
      <c r="N234" s="1120">
        <f>(G234+I234) * (9.25%)</f>
        <v/>
      </c>
      <c r="O234" s="121" t="n">
        <v>14</v>
      </c>
      <c r="P234" s="447">
        <f>(F234 - (G234+I234+O234+(J234+K234+L234))) - (H234-M234-N234)</f>
        <v/>
      </c>
      <c r="Q234" s="328">
        <f>P234/F234</f>
        <v/>
      </c>
      <c r="R234" s="421" t="inlineStr">
        <is>
          <t>Ativo</t>
        </is>
      </c>
      <c r="S234" s="33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</row>
    <row r="235" ht="18.75" customHeight="1" s="1349">
      <c r="A235" s="429" t="inlineStr">
        <is>
          <t>5862573908 5862560936</t>
        </is>
      </c>
      <c r="B235" s="430" t="n">
        <v>912299</v>
      </c>
      <c r="C235" s="318" t="inlineStr">
        <is>
          <t>Nutriex</t>
        </is>
      </c>
      <c r="D235" s="1310" t="inlineStr">
        <is>
          <t>Protetor Solar Fps 30 Bombona Com 4 Litros Nutriex</t>
        </is>
      </c>
      <c r="E235" s="320" t="n"/>
      <c r="F235" s="320" t="n">
        <v>357.93</v>
      </c>
      <c r="G235" s="374">
        <f>F235*14%</f>
        <v/>
      </c>
      <c r="H235" s="375" t="n">
        <v>-14.7</v>
      </c>
      <c r="I235" s="431" t="n">
        <v>28.45</v>
      </c>
      <c r="J235" s="321">
        <f>F235*18%</f>
        <v/>
      </c>
      <c r="K235" s="366" t="n">
        <v>0</v>
      </c>
      <c r="L235" s="366" t="n">
        <v>0</v>
      </c>
      <c r="M235" s="1120" t="n">
        <v>27.6</v>
      </c>
      <c r="N235" s="1120">
        <f>(G235+I235) * (9.25%)</f>
        <v/>
      </c>
      <c r="O235" s="708" t="n">
        <v>229.9</v>
      </c>
      <c r="P235" s="447">
        <f>(F235 - (G235+I235+O235+(J235+K235+L235))) - (H235-M235-N235)</f>
        <v/>
      </c>
      <c r="Q235" s="1328">
        <f>P235/F235</f>
        <v/>
      </c>
      <c r="R235" s="579" t="n"/>
      <c r="S235" s="33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</row>
    <row r="236" ht="18.75" customHeight="1" s="1349">
      <c r="A236" s="310" t="n"/>
      <c r="B236" s="402" t="n"/>
      <c r="C236" s="331" t="n"/>
      <c r="D236" s="381" t="inlineStr">
        <is>
          <t>KIT 10 CHUMBADOR PARABOLT CBA 1/2 X 95 AÇO FIXAÇÃO</t>
        </is>
      </c>
      <c r="E236" s="359" t="n"/>
      <c r="F236" s="359" t="n">
        <v>94.2</v>
      </c>
      <c r="G236" s="321">
        <f>F236*17%</f>
        <v/>
      </c>
      <c r="H236" s="296" t="n"/>
      <c r="I236" s="331" t="n">
        <v>7</v>
      </c>
      <c r="J236" s="321">
        <f>F236*18%</f>
        <v/>
      </c>
      <c r="K236" s="321">
        <f>(F236-J236)*1.65%</f>
        <v/>
      </c>
      <c r="L236" s="321">
        <f>(F236-J236)*7.6%</f>
        <v/>
      </c>
      <c r="M236" s="1120" t="n">
        <v>5.5</v>
      </c>
      <c r="N236" s="1120">
        <f>(G236+I236) * (9.25%)</f>
        <v/>
      </c>
      <c r="O236" s="515" t="n">
        <v>45.6</v>
      </c>
      <c r="P236" s="447">
        <f>(F236 - (G236+I236+O236+(J236+K236+L236))) - (H236-M236-N236)</f>
        <v/>
      </c>
      <c r="Q236" s="1328">
        <f>P236/F236</f>
        <v/>
      </c>
      <c r="R236" s="579" t="n"/>
      <c r="S236" s="33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</row>
    <row r="237" ht="18.75" customHeight="1" s="1349">
      <c r="A237" s="310" t="n"/>
      <c r="B237" s="402" t="n"/>
      <c r="C237" s="331" t="n"/>
      <c r="D237" s="381" t="inlineStr">
        <is>
          <t xml:space="preserve">KIT 50 CHUMBADOR PARABOLT CBA 5/16 X 75 AÇO FIXAÇÃO </t>
        </is>
      </c>
      <c r="E237" s="359" t="n"/>
      <c r="F237" s="359" t="n">
        <v>108.2</v>
      </c>
      <c r="G237" s="321">
        <f>F237*17%</f>
        <v/>
      </c>
      <c r="H237" s="296" t="n"/>
      <c r="I237" s="331" t="n">
        <v>7</v>
      </c>
      <c r="J237" s="321">
        <f>F237*18%</f>
        <v/>
      </c>
      <c r="K237" s="321">
        <f>(F237-J237)*1.65%</f>
        <v/>
      </c>
      <c r="L237" s="321">
        <f>(F237-J237)*7.6%</f>
        <v/>
      </c>
      <c r="M237" s="1120" t="n">
        <v>6.5</v>
      </c>
      <c r="N237" s="1120">
        <f>(G237+I237) * (9.25%)</f>
        <v/>
      </c>
      <c r="O237" s="515" t="n">
        <v>53.5</v>
      </c>
      <c r="P237" s="447">
        <f>(F237 - (G237+I237+O237+(J237+K237+L237))) - (H237-M237-N237)</f>
        <v/>
      </c>
      <c r="Q237" s="1328">
        <f>P237/F237</f>
        <v/>
      </c>
      <c r="R237" s="579" t="n"/>
      <c r="S237" s="33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</row>
    <row r="238" ht="18.75" customHeight="1" s="1349">
      <c r="A238" s="316" t="inlineStr">
        <is>
          <t>4230473400</t>
        </is>
      </c>
      <c r="B238" s="317" t="n">
        <v>59</v>
      </c>
      <c r="C238" s="318" t="inlineStr">
        <is>
          <t>Delta plus</t>
        </is>
      </c>
      <c r="D238" s="1310" t="inlineStr">
        <is>
          <t>Óculos De Segurança Incolor Summer Clear</t>
        </is>
      </c>
      <c r="E238" s="320" t="n"/>
      <c r="F238" s="320" t="n">
        <v>13.23</v>
      </c>
      <c r="G238" s="321">
        <f>F238*12%</f>
        <v/>
      </c>
      <c r="H238" s="322" t="n"/>
      <c r="I238" s="331">
        <f>IFS(
  F238&lt;12.5, F238/2,
  F238&lt;29, 6.25,
  F238&lt;50, 6.5,
  F238&lt;=79, 6.75,
  TRUE, 25
)</f>
        <v/>
      </c>
      <c r="J238" s="321">
        <f>F238*18%</f>
        <v/>
      </c>
      <c r="K238" s="321">
        <f>(F238-J238)*1.65%</f>
        <v/>
      </c>
      <c r="L238" s="321">
        <f>(F238-J238)*7.6%</f>
        <v/>
      </c>
      <c r="M238" s="1120" t="n">
        <v>0.48</v>
      </c>
      <c r="N238" s="1120">
        <f>(G238+I238) * (9.25%)</f>
        <v/>
      </c>
      <c r="O238" s="708" t="n">
        <v>1.93</v>
      </c>
      <c r="P238" s="447">
        <f>(F238 - (G238+I238+O238+(J238+K238+L238))) - (H238-M238-N238)</f>
        <v/>
      </c>
      <c r="Q238" s="328">
        <f>P238/F238</f>
        <v/>
      </c>
      <c r="R238" s="421" t="inlineStr">
        <is>
          <t>Ativo</t>
        </is>
      </c>
      <c r="S238" s="33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</row>
    <row r="239" ht="18.75" customHeight="1" s="1349">
      <c r="A239" s="356" t="inlineStr">
        <is>
          <t>3705831110</t>
        </is>
      </c>
      <c r="B239" s="493" t="n">
        <v>70031094</v>
      </c>
      <c r="C239" s="318" t="inlineStr">
        <is>
          <t>Carbografite</t>
        </is>
      </c>
      <c r="D239" s="265" t="inlineStr">
        <is>
          <t>Refil Filtro Químico Vo/ga P/ Respiradores Plastcor Classe 1</t>
        </is>
      </c>
      <c r="E239" s="320" t="n"/>
      <c r="F239" s="320" t="n">
        <v>23.76</v>
      </c>
      <c r="G239" s="321">
        <f>F239*12%</f>
        <v/>
      </c>
      <c r="H239" s="322" t="n">
        <v>-0.82</v>
      </c>
      <c r="I239" s="331" t="n">
        <v>6.55</v>
      </c>
      <c r="J239" s="321">
        <f>F239*18%</f>
        <v/>
      </c>
      <c r="K239" s="321">
        <f>(F239-J239)*1.65%</f>
        <v/>
      </c>
      <c r="L239" s="321">
        <f>(F239-J239)*7.6%</f>
        <v/>
      </c>
      <c r="M239" s="1120" t="n">
        <v>2.63</v>
      </c>
      <c r="N239" s="1120">
        <f>(G239+I239) * (9.25%)</f>
        <v/>
      </c>
      <c r="O239" s="197" t="n">
        <v>10.29</v>
      </c>
      <c r="P239" s="447">
        <f>(F239 - (G239+I239+O239+(J239+K239+L239))) - (H239-M239-N239)</f>
        <v/>
      </c>
      <c r="Q239" s="328">
        <f>P239/F239</f>
        <v/>
      </c>
      <c r="R239" s="579" t="n"/>
      <c r="S239" s="33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</row>
    <row r="240" ht="18.75" customHeight="1" s="1349">
      <c r="A240" s="494" t="inlineStr">
        <is>
          <t>5670002712</t>
        </is>
      </c>
      <c r="B240" s="495" t="n">
        <v>10034034167562</v>
      </c>
      <c r="C240" s="1292" t="inlineStr">
        <is>
          <t>Nutriex</t>
        </is>
      </c>
      <c r="D240" s="496">
        <f>hyperlink("https://produto.mercadolivre.com.br/MLB-5670002712-protetor-solar-fps-60-lilo-stitch-infantil-kid-100ml-nutriex-_JM","Protetor Solar Fps 60 Lilo Stitch Infantil Kid 100ml Nutriex")</f>
        <v/>
      </c>
      <c r="E240" s="778" t="n"/>
      <c r="F240" s="856" t="n">
        <v>35.79</v>
      </c>
      <c r="G240" s="447">
        <f>F240*14%</f>
        <v/>
      </c>
      <c r="H240" s="833" t="n">
        <v>-0.92</v>
      </c>
      <c r="I240" s="866" t="n">
        <v>6.55</v>
      </c>
      <c r="J240" s="340">
        <f>F240*18%</f>
        <v/>
      </c>
      <c r="K240" s="450" t="n">
        <v>0</v>
      </c>
      <c r="L240" s="450" t="n">
        <v>0</v>
      </c>
      <c r="M240" s="1120" t="n">
        <v>2.22</v>
      </c>
      <c r="N240" s="1120">
        <f>(G240+I240) * (9.25%)</f>
        <v/>
      </c>
      <c r="O240" s="451" t="n">
        <v>18.51</v>
      </c>
      <c r="P240" s="1016">
        <f>(F240 - (G240+I240+O240+(J240+K240+L240))) - (H240-M240-N240)</f>
        <v/>
      </c>
      <c r="Q240" s="328">
        <f>P240/F240</f>
        <v/>
      </c>
      <c r="R240" s="1206" t="n"/>
      <c r="S240" s="33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</row>
    <row r="241" ht="18.75" customHeight="1" s="1349">
      <c r="A241" s="310" t="n"/>
      <c r="B241" s="402" t="n"/>
      <c r="C241" s="331" t="n"/>
      <c r="D241" s="411" t="inlineStr">
        <is>
          <t>KIT 10 CHUMBADOR PARABOLT CBA 3/8 X 110 AÇO FIXAÇÃO</t>
        </is>
      </c>
      <c r="E241" s="359" t="n"/>
      <c r="F241" s="359" t="n">
        <v>46</v>
      </c>
      <c r="G241" s="321">
        <f>F241*17%</f>
        <v/>
      </c>
      <c r="H241" s="296" t="n"/>
      <c r="I241" s="331" t="n">
        <v>7</v>
      </c>
      <c r="J241" s="321">
        <f>F241*18%</f>
        <v/>
      </c>
      <c r="K241" s="321">
        <f>(F241-J241)*1.65%</f>
        <v/>
      </c>
      <c r="L241" s="321">
        <f>(F241-J241)*7.6%</f>
        <v/>
      </c>
      <c r="M241" s="1120" t="n">
        <v>2.2</v>
      </c>
      <c r="N241" s="1120">
        <f>(G241+I241) * (9.25%)</f>
        <v/>
      </c>
      <c r="O241" s="515" t="n">
        <v>18.5</v>
      </c>
      <c r="P241" s="447">
        <f>(F241 - (G241+I241+O241+(J241+K241+L241))) - (H241-M241-N241)</f>
        <v/>
      </c>
      <c r="Q241" s="1328">
        <f>P241/F241</f>
        <v/>
      </c>
      <c r="R241" s="579" t="n"/>
      <c r="S241" s="33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</row>
    <row r="242" ht="18.75" customHeight="1" s="1349">
      <c r="A242" s="310" t="inlineStr">
        <is>
          <t>5957051894</t>
        </is>
      </c>
      <c r="B242" s="402" t="n">
        <v>10034034167863</v>
      </c>
      <c r="C242" s="318" t="inlineStr">
        <is>
          <t>ÂNCORA</t>
        </is>
      </c>
      <c r="D242" s="404" t="inlineStr">
        <is>
          <t>Arruela Lisa Zincada 3/8 M8 P/ Chumbador Parafuso 2kg 400un</t>
        </is>
      </c>
      <c r="E242" s="359" t="n"/>
      <c r="F242" s="359" t="n">
        <v>59</v>
      </c>
      <c r="G242" s="321">
        <f>F242*17%</f>
        <v/>
      </c>
      <c r="H242" s="322" t="n">
        <v>-1.99</v>
      </c>
      <c r="I242" s="331" t="n">
        <v>8.15</v>
      </c>
      <c r="J242" s="321">
        <f>F242*18%</f>
        <v/>
      </c>
      <c r="K242" s="321">
        <f>(F242-J242)*1.65%</f>
        <v/>
      </c>
      <c r="L242" s="321">
        <f>(F242-J242)*7.6%</f>
        <v/>
      </c>
      <c r="M242" s="1120">
        <f>1.63*2</f>
        <v/>
      </c>
      <c r="N242" s="1120">
        <f>(G242+I242) * (9.25%)</f>
        <v/>
      </c>
      <c r="O242" s="121">
        <f>13.45*2</f>
        <v/>
      </c>
      <c r="P242" s="447">
        <f>(F242 - (G242+I242+O242+(J242+K242+L242))) - (H242-M242-N242)</f>
        <v/>
      </c>
      <c r="Q242" s="1328">
        <f>P242/F242</f>
        <v/>
      </c>
      <c r="R242" s="579" t="n"/>
      <c r="S242" s="33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</row>
    <row r="243" ht="18.75" customHeight="1" s="1349">
      <c r="A243" s="310" t="inlineStr">
        <is>
          <t>4372795909</t>
        </is>
      </c>
      <c r="B243" s="402" t="n">
        <v>10034034166460</v>
      </c>
      <c r="C243" s="318" t="inlineStr">
        <is>
          <t>VOLK</t>
        </is>
      </c>
      <c r="D243" s="404" t="inlineStr">
        <is>
          <t>Luva Orange Smart Vulcanizada Uso Geral Fibras Elásticas</t>
        </is>
      </c>
      <c r="E243" s="359" t="n"/>
      <c r="F243" s="359" t="n">
        <v>19.9</v>
      </c>
      <c r="G243" s="321">
        <f>F243*17%</f>
        <v/>
      </c>
      <c r="H243" s="322" t="n">
        <v>-0.5</v>
      </c>
      <c r="I243" s="331" t="n">
        <v>6.75</v>
      </c>
      <c r="J243" s="321">
        <f>F243*18%</f>
        <v/>
      </c>
      <c r="K243" s="321">
        <f>(F243-J243)*1.65%</f>
        <v/>
      </c>
      <c r="L243" s="321">
        <f>(F243-J243)*7.6%</f>
        <v/>
      </c>
      <c r="M243" s="1120" t="n">
        <v>0.62</v>
      </c>
      <c r="N243" s="1120">
        <f>(G243+I243) * (9.25%)</f>
        <v/>
      </c>
      <c r="O243" s="121" t="n">
        <v>4.78</v>
      </c>
      <c r="P243" s="447">
        <f>(F243 - (G243+I243+O243+(J243+K243+L243))) - (H243-M243-N243)</f>
        <v/>
      </c>
      <c r="Q243" s="1328">
        <f>P243/F243</f>
        <v/>
      </c>
      <c r="R243" s="579" t="n"/>
      <c r="S243" s="33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</row>
    <row r="244" ht="18.75" customHeight="1" s="1349">
      <c r="A244" s="310" t="inlineStr">
        <is>
          <t>4353437001</t>
        </is>
      </c>
      <c r="B244" s="402" t="n">
        <v>10034034168018</v>
      </c>
      <c r="C244" s="318" t="inlineStr">
        <is>
          <t>Nutriex</t>
        </is>
      </c>
      <c r="D244" s="404" t="inlineStr">
        <is>
          <t>Spray Repelente Dermatologicamente Testado 10hrs Kit 4un</t>
        </is>
      </c>
      <c r="E244" s="417" t="n"/>
      <c r="F244" s="417" t="n">
        <v>60.2</v>
      </c>
      <c r="G244" s="321">
        <f>F244*12.5%</f>
        <v/>
      </c>
      <c r="H244" s="322" t="n">
        <v>-2.86</v>
      </c>
      <c r="I244" s="331">
        <f>IFS(
  F244&lt;12.5, F244/2,
  F244&lt;29, 6.25,
  F244&lt;50, 6.5,
  F244&lt;=79, 6.75,
  TRUE, 25
)</f>
        <v/>
      </c>
      <c r="J244" s="321">
        <f>F244*18%</f>
        <v/>
      </c>
      <c r="K244" s="321">
        <f>(F244-J244)*1.65%</f>
        <v/>
      </c>
      <c r="L244" s="321">
        <f>(F244-J244)*7.6%</f>
        <v/>
      </c>
      <c r="M244" s="1120">
        <f>1.81*4</f>
        <v/>
      </c>
      <c r="N244" s="1120">
        <f>(G244+I244) * (9.25%)</f>
        <v/>
      </c>
      <c r="O244" s="786">
        <f>9*4</f>
        <v/>
      </c>
      <c r="P244" s="447">
        <f>(F244 - (G244+I244+O244+(J244+K244+L244))) - (H244-M244-N244)</f>
        <v/>
      </c>
      <c r="Q244" s="1328">
        <f>P244/F244</f>
        <v/>
      </c>
      <c r="R244" s="579" t="n"/>
      <c r="S244" s="33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</row>
    <row r="245" ht="18.75" customHeight="1" s="1349">
      <c r="A245" s="356" t="inlineStr">
        <is>
          <t>3820800495</t>
        </is>
      </c>
      <c r="B245" s="264" t="n">
        <v>10034034166279</v>
      </c>
      <c r="C245" s="318" t="inlineStr">
        <is>
          <t>Nutriex</t>
        </is>
      </c>
      <c r="D245" s="265" t="inlineStr">
        <is>
          <t>Repelente Nutriex Expert Total 200ml Proteção Até 10hr 4un</t>
        </is>
      </c>
      <c r="E245" s="320" t="n"/>
      <c r="F245" s="320" t="n">
        <v>64.64</v>
      </c>
      <c r="G245" s="321">
        <f>F245*12.5%</f>
        <v/>
      </c>
      <c r="H245" s="322" t="n">
        <v>-1.43</v>
      </c>
      <c r="I245" s="331" t="n">
        <v>7.75</v>
      </c>
      <c r="J245" s="321">
        <f>F245*18%</f>
        <v/>
      </c>
      <c r="K245" s="321">
        <f>(F245-J245)*1.65%</f>
        <v/>
      </c>
      <c r="L245" s="321">
        <f>(F245-J245)*7.6%</f>
        <v/>
      </c>
      <c r="M245" s="1120">
        <f>1.81*4</f>
        <v/>
      </c>
      <c r="N245" s="1120">
        <f>(G245+I245) * (9.25%)</f>
        <v/>
      </c>
      <c r="O245" s="197">
        <f>9*4</f>
        <v/>
      </c>
      <c r="P245" s="447">
        <f>(F245 - (G245+I245+O245+(J245+K245+L245))) - (H245-M245-N245)</f>
        <v/>
      </c>
      <c r="Q245" s="328">
        <f>P245/F245</f>
        <v/>
      </c>
      <c r="R245" s="579" t="n"/>
      <c r="S245" s="33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</row>
    <row r="246" ht="18.75" customHeight="1" s="1349">
      <c r="A246" s="356" t="inlineStr">
        <is>
          <t>5244097542</t>
        </is>
      </c>
      <c r="B246" s="264" t="n">
        <v>10034034167381</v>
      </c>
      <c r="C246" s="318" t="inlineStr">
        <is>
          <t>Koretech</t>
        </is>
      </c>
      <c r="D246" s="265" t="inlineStr">
        <is>
          <t>Fita Crepe Automotiva Polimento Amarela 18mm X 40m C/ 5un</t>
        </is>
      </c>
      <c r="E246" s="320" t="n"/>
      <c r="F246" s="320" t="n">
        <v>42.1</v>
      </c>
      <c r="G246" s="321">
        <f>F246*11.5%</f>
        <v/>
      </c>
      <c r="H246" s="322" t="n"/>
      <c r="I246" s="331">
        <f>IFS(
  F246&lt;12.5, F246/2,
  F246&lt;29, 6.25,
  F246&lt;50, 6.5,
  F246&lt;=79, 6.75,
  TRUE, 25
)</f>
        <v/>
      </c>
      <c r="J246" s="321">
        <f>F246*18%</f>
        <v/>
      </c>
      <c r="K246" s="321">
        <f>(F246-J246)*1.65%</f>
        <v/>
      </c>
      <c r="L246" s="321">
        <f>(F246-J246)*7.6%</f>
        <v/>
      </c>
      <c r="M246" s="1120">
        <f>1.16*5</f>
        <v/>
      </c>
      <c r="N246" s="1120">
        <f>(G246+I246) * (9.25%)</f>
        <v/>
      </c>
      <c r="O246" s="708">
        <f>4.53*5</f>
        <v/>
      </c>
      <c r="P246" s="447">
        <f>(F246 - (G246+I246+O246+(J246+K246+L246))) - (H246-M246-N246)</f>
        <v/>
      </c>
      <c r="Q246" s="328">
        <f>P246/F246</f>
        <v/>
      </c>
      <c r="R246" s="463" t="inlineStr">
        <is>
          <t>Ativo</t>
        </is>
      </c>
      <c r="S246" s="33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</row>
    <row r="247" ht="18.75" customHeight="1" s="1349">
      <c r="A247" s="356" t="inlineStr">
        <is>
          <t>5761318032</t>
        </is>
      </c>
      <c r="B247" s="264" t="n">
        <v>10034034166760</v>
      </c>
      <c r="C247" s="318" t="inlineStr">
        <is>
          <t>ÂNCORA</t>
        </is>
      </c>
      <c r="D247" s="1310" t="inlineStr">
        <is>
          <t>Fita Drywall Âncora Drypaper 150mm X 50m Tratamento Junta</t>
        </is>
      </c>
      <c r="E247" s="320" t="n"/>
      <c r="F247" s="320" t="n">
        <v>54.13</v>
      </c>
      <c r="G247" s="321">
        <f>F247*12%</f>
        <v/>
      </c>
      <c r="H247" s="322" t="n">
        <v>-2.48</v>
      </c>
      <c r="I247" s="331">
        <f>IFS(
F247&lt;12.5, F247/2,
F247&lt;29, 6.25,
F247&lt;50, 6.5,
F247&lt;=79, 6.75,
TRUE, 
25)</f>
        <v/>
      </c>
      <c r="J247" s="321">
        <f>F247*18%</f>
        <v/>
      </c>
      <c r="K247" s="321">
        <f>(F247-J247)*1.65%</f>
        <v/>
      </c>
      <c r="L247" s="321">
        <f>(F247-J247)*7.6%</f>
        <v/>
      </c>
      <c r="M247" s="1120" t="n">
        <v>3.61</v>
      </c>
      <c r="N247" s="1120">
        <f>(G247+I247) * (9.25%)</f>
        <v/>
      </c>
      <c r="O247" s="121" t="n">
        <v>28.96</v>
      </c>
      <c r="P247" s="447">
        <f>(F247 - (G247+I247+O247+(J247+K247+L247))) - (H247-M247-N247)</f>
        <v/>
      </c>
      <c r="Q247" s="328">
        <f>P247/F247</f>
        <v/>
      </c>
      <c r="R247" s="421" t="inlineStr">
        <is>
          <t>Ativo</t>
        </is>
      </c>
      <c r="S247" s="33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</row>
    <row r="248" ht="18.75" customHeight="1" s="1349">
      <c r="A248" s="316" t="inlineStr">
        <is>
          <t>3954889381</t>
        </is>
      </c>
      <c r="B248" s="317" t="n">
        <v>10034034167468</v>
      </c>
      <c r="C248" s="318" t="inlineStr">
        <is>
          <t>Danny</t>
        </is>
      </c>
      <c r="D248" s="265" t="inlineStr">
        <is>
          <t>Kit 6 Luva Reforçada Gladiador Antiderrapante Serviço Pesado</t>
        </is>
      </c>
      <c r="E248" s="320" t="n"/>
      <c r="F248" s="320" t="n">
        <v>67.8</v>
      </c>
      <c r="G248" s="321">
        <f>F248*12%</f>
        <v/>
      </c>
      <c r="H248" s="322" t="n">
        <v>-2.1</v>
      </c>
      <c r="I248" s="331" t="n">
        <v>8.15</v>
      </c>
      <c r="J248" s="321">
        <f>F248*18%</f>
        <v/>
      </c>
      <c r="K248" s="321">
        <f>(F248-J248)*1.65%</f>
        <v/>
      </c>
      <c r="L248" s="321">
        <f>(F248-J248)*7.6%</f>
        <v/>
      </c>
      <c r="M248" s="1120">
        <f>0.77*6</f>
        <v/>
      </c>
      <c r="N248" s="1120">
        <f>(G248+I248) * (9.25%)</f>
        <v/>
      </c>
      <c r="O248" s="121">
        <f>5.94*6</f>
        <v/>
      </c>
      <c r="P248" s="447">
        <f>(F248 - (G248+I248+O248+(J248+K248+L248))) - (H248-M248-N248)</f>
        <v/>
      </c>
      <c r="Q248" s="328">
        <f>P248/F248</f>
        <v/>
      </c>
      <c r="R248" s="579" t="n"/>
      <c r="S248" s="33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</row>
    <row r="249" ht="18.75" customHeight="1" s="1349">
      <c r="A249" s="310" t="n"/>
      <c r="B249" s="402" t="n"/>
      <c r="C249" s="331" t="n"/>
      <c r="D249" s="411" t="inlineStr">
        <is>
          <t xml:space="preserve">KIT 50 CHUMBADOR PARABOLT CBA 5/16 X 100 AÇO FIXAÇÃO </t>
        </is>
      </c>
      <c r="E249" s="359" t="n"/>
      <c r="F249" s="359" t="n">
        <v>142.6</v>
      </c>
      <c r="G249" s="321">
        <f>F249*17%</f>
        <v/>
      </c>
      <c r="H249" s="296" t="n"/>
      <c r="I249" s="331" t="n">
        <v>7</v>
      </c>
      <c r="J249" s="321">
        <f>F249*18%</f>
        <v/>
      </c>
      <c r="K249" s="321">
        <f>(F249-J249)*1.65%</f>
        <v/>
      </c>
      <c r="L249" s="321">
        <f>(F249-J249)*7.6%</f>
        <v/>
      </c>
      <c r="M249" s="1120" t="n">
        <v>8.5</v>
      </c>
      <c r="N249" s="1120">
        <f>(G249+I249) * (9.25%)</f>
        <v/>
      </c>
      <c r="O249" s="515" t="n">
        <v>72</v>
      </c>
      <c r="P249" s="447">
        <f>(F249 - (G249+I249+O249+(J249+K249+L249))) - (H249-M249-N249)</f>
        <v/>
      </c>
      <c r="Q249" s="1328">
        <f>P249/F249</f>
        <v/>
      </c>
      <c r="R249" s="579" t="n"/>
      <c r="S249" s="33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</row>
    <row r="250" ht="18.75" customHeight="1" s="1349">
      <c r="A250" s="711" t="inlineStr">
        <is>
          <t>4478335735942162</t>
        </is>
      </c>
      <c r="B250" s="470" t="inlineStr">
        <is>
          <t>4478335735942162</t>
        </is>
      </c>
      <c r="C250" s="1292" t="inlineStr">
        <is>
          <t>Calfor</t>
        </is>
      </c>
      <c r="D250" s="498" t="inlineStr">
        <is>
          <t>galocha</t>
        </is>
      </c>
      <c r="E250" s="685" t="n"/>
      <c r="F250" s="856" t="n">
        <v>199</v>
      </c>
      <c r="G250" s="447">
        <f>F250*12%</f>
        <v/>
      </c>
      <c r="H250" s="833" t="n"/>
      <c r="I250" s="904" t="n">
        <v>26.25</v>
      </c>
      <c r="J250" s="340">
        <f>F250*18%</f>
        <v/>
      </c>
      <c r="K250" s="340">
        <f>(F250-J250)*1.65%</f>
        <v/>
      </c>
      <c r="L250" s="340">
        <f>(F250-J250)*7.6%</f>
        <v/>
      </c>
      <c r="M250" s="1120" t="n">
        <v>20.81</v>
      </c>
      <c r="N250" s="1120">
        <f>(G250+I250) * (9.25%)</f>
        <v/>
      </c>
      <c r="O250" s="701" t="n">
        <v>103.34</v>
      </c>
      <c r="P250" s="1016">
        <f>(F250 - (G250+I250+O250+(J250+K250+L250))) - (H250-M250-N250)</f>
        <v/>
      </c>
      <c r="Q250" s="328">
        <f>P250/F250</f>
        <v/>
      </c>
      <c r="R250" s="1206" t="inlineStr">
        <is>
          <t>Ativo</t>
        </is>
      </c>
      <c r="S250" s="33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</row>
    <row r="251" ht="18.75" customHeight="1" s="1349">
      <c r="A251" s="406" t="inlineStr">
        <is>
          <t>4209728341</t>
        </is>
      </c>
      <c r="B251" s="1100" t="n">
        <v>10034034167072</v>
      </c>
      <c r="C251" s="318" t="inlineStr">
        <is>
          <t>TekBond</t>
        </is>
      </c>
      <c r="D251" s="290" t="inlineStr">
        <is>
          <t>Silicone Acético Selante Cinza Tekbond 280g Vedação Vidro</t>
        </is>
      </c>
      <c r="E251" s="499" t="n"/>
      <c r="F251" s="499" t="n">
        <v>29.6</v>
      </c>
      <c r="G251" s="321">
        <f>F251*16.5%</f>
        <v/>
      </c>
      <c r="H251" s="296" t="n"/>
      <c r="I251" s="331">
        <f>IFS(
  F251&lt;12.5, F251/2,
  F251&lt;29, 6.25,
  F251&lt;50, 6.5,
  F251&lt;=79, 6.75,
  TRUE, 25
)</f>
        <v/>
      </c>
      <c r="J251" s="321">
        <f>F251*18%</f>
        <v/>
      </c>
      <c r="K251" s="321">
        <f>(F251-J251)*1.65%</f>
        <v/>
      </c>
      <c r="L251" s="321">
        <f>(F251-J251)*7.6%</f>
        <v/>
      </c>
      <c r="M251" s="1120" t="n">
        <v>2.99</v>
      </c>
      <c r="N251" s="1120">
        <f>(G251+I251) * (9.25%)</f>
        <v/>
      </c>
      <c r="O251" s="121" t="n">
        <v>11.7</v>
      </c>
      <c r="P251" s="447">
        <f>(F251 - (G251+I251+O251+(J251+K251+L251))) - (H251-M251-N251)</f>
        <v/>
      </c>
      <c r="Q251" s="328">
        <f>P251/F251</f>
        <v/>
      </c>
      <c r="R251" s="579" t="n"/>
      <c r="S251" s="33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</row>
    <row r="252" ht="18.75" customHeight="1" s="1349">
      <c r="A252" s="310" t="inlineStr">
        <is>
          <t>7287318595899279</t>
        </is>
      </c>
      <c r="B252" s="402" t="n">
        <v>10034034168236</v>
      </c>
      <c r="C252" s="331" t="inlineStr">
        <is>
          <t>Bracol</t>
        </is>
      </c>
      <c r="D252" s="404" t="inlineStr">
        <is>
          <t>Botina Belf Preta Eletricista Biqueira Composite Trabalho</t>
        </is>
      </c>
      <c r="E252" s="359" t="n"/>
      <c r="F252" s="359" t="n">
        <v>115.43</v>
      </c>
      <c r="G252" s="321">
        <f>F252*12%</f>
        <v/>
      </c>
      <c r="H252" s="296" t="n">
        <v>-6.35</v>
      </c>
      <c r="I252" s="331" t="n">
        <v>21.65</v>
      </c>
      <c r="J252" s="321">
        <f>F252*18%</f>
        <v/>
      </c>
      <c r="K252" s="321">
        <f>(F252-J252)*1.65%</f>
        <v/>
      </c>
      <c r="L252" s="321">
        <f>(F252-J252)*7.6%</f>
        <v/>
      </c>
      <c r="M252" s="1120" t="n">
        <v>12.2</v>
      </c>
      <c r="N252" s="1120">
        <f>(G252+I252) * (9.25%)</f>
        <v/>
      </c>
      <c r="O252" s="121" t="n">
        <v>60.57</v>
      </c>
      <c r="P252" s="447">
        <f>(F252 - (G252+I252+O252+(J252+K252+L252))) - (H252-M252-N252)</f>
        <v/>
      </c>
      <c r="Q252" s="1328">
        <f>P252/F252</f>
        <v/>
      </c>
      <c r="R252" s="579" t="n"/>
      <c r="S252" s="33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</row>
    <row r="253" ht="18.75" customHeight="1" s="1349">
      <c r="A253" s="310" t="inlineStr">
        <is>
          <t>6207056664</t>
        </is>
      </c>
      <c r="B253" s="402" t="n">
        <v>10034034166788</v>
      </c>
      <c r="C253" s="331" t="inlineStr">
        <is>
          <t>ÂNCORA</t>
        </is>
      </c>
      <c r="D253" s="404" t="inlineStr">
        <is>
          <t>Soquete Magnético 3/8 Aço Para Parafusadeira Ponteira Bits</t>
        </is>
      </c>
      <c r="E253" s="359" t="n"/>
      <c r="F253" s="359" t="n">
        <v>25</v>
      </c>
      <c r="G253" s="321">
        <f>F253*12%</f>
        <v/>
      </c>
      <c r="H253" s="322" t="n"/>
      <c r="I253" s="331">
        <f>IFS(
  F253&lt;12.5, F253/2,
  F253&lt;29, 6.25,
  F253&lt;50, 6.5,
  F253&lt;=79, 6.75,
  TRUE, 25
)</f>
        <v/>
      </c>
      <c r="J253" s="321">
        <f>F253*18%</f>
        <v/>
      </c>
      <c r="K253" s="321">
        <f>(F253-J253)*1.65%</f>
        <v/>
      </c>
      <c r="L253" s="321">
        <f>(F253-J253)*7.6%</f>
        <v/>
      </c>
      <c r="M253" s="357" t="n"/>
      <c r="N253" s="357">
        <f>(G253+I253) * (9.25%)</f>
        <v/>
      </c>
      <c r="O253" s="362" t="n">
        <v>7.68</v>
      </c>
      <c r="P253" s="447">
        <f>(F253 - (G253+I253+O253+(J253+K253+L253))) - (H253-M253-N253)</f>
        <v/>
      </c>
      <c r="Q253" s="1328">
        <f>P253/F253</f>
        <v/>
      </c>
      <c r="R253" s="579" t="n"/>
      <c r="S253" s="33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</row>
    <row r="254" ht="18.75" customHeight="1" s="1349">
      <c r="A254" s="356" t="inlineStr">
        <is>
          <t>5357595970</t>
        </is>
      </c>
      <c r="B254" s="264" t="n">
        <v>206</v>
      </c>
      <c r="C254" s="318" t="inlineStr">
        <is>
          <t>New Lacre</t>
        </is>
      </c>
      <c r="D254" s="265" t="inlineStr">
        <is>
          <t>Kit 100 Abraçadeira Nylon Cintas Plásticas Reforçada 4,8x300</t>
        </is>
      </c>
      <c r="E254" s="320" t="n"/>
      <c r="F254" s="320" t="n">
        <v>32.3</v>
      </c>
      <c r="G254" s="321">
        <f>F254*12%</f>
        <v/>
      </c>
      <c r="H254" s="322" t="n"/>
      <c r="I254" s="331">
        <f>IFS(
F254&lt;12.5, F254/2,
F254&lt;29, 6.25,
F254&lt;50, 6.5,
F254&lt;=79, 6.75,
TRUE, 
25)</f>
        <v/>
      </c>
      <c r="J254" s="321">
        <f>F254*18%</f>
        <v/>
      </c>
      <c r="K254" s="321">
        <f>(F254-J254)*1.65%</f>
        <v/>
      </c>
      <c r="L254" s="321">
        <f>(F254-J254)*7.6%</f>
        <v/>
      </c>
      <c r="M254" s="1120" t="n">
        <v>1.16</v>
      </c>
      <c r="N254" s="1120">
        <f>(G254+I254) * (9.25%)</f>
        <v/>
      </c>
      <c r="O254" s="708" t="n">
        <v>12.5</v>
      </c>
      <c r="P254" s="447">
        <f>(F254 - (G254+I254+O254+(J254+K254+L254))) - (H254-M254-N254)</f>
        <v/>
      </c>
      <c r="Q254" s="328">
        <f>P254/F254</f>
        <v/>
      </c>
      <c r="R254" s="500" t="inlineStr">
        <is>
          <t>Desativado</t>
        </is>
      </c>
      <c r="S254" s="33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</row>
    <row r="255" ht="18.75" customHeight="1" s="1349">
      <c r="A255" s="310" t="n"/>
      <c r="B255" s="402" t="n"/>
      <c r="C255" s="331" t="n"/>
      <c r="D255" s="367" t="inlineStr">
        <is>
          <t>KIT 50 CHUMBADOR PARABOLT CBA 5/16 X 3.1/4 AÇO FIXAÇÃO</t>
        </is>
      </c>
      <c r="E255" s="359" t="n"/>
      <c r="F255" s="359" t="n">
        <v>135.89</v>
      </c>
      <c r="G255" s="321">
        <f>F255*17%</f>
        <v/>
      </c>
      <c r="H255" s="296" t="n"/>
      <c r="I255" s="331" t="n">
        <v>7</v>
      </c>
      <c r="J255" s="321">
        <f>F255*18%</f>
        <v/>
      </c>
      <c r="K255" s="321">
        <f>(F255-J255)*1.65%</f>
        <v/>
      </c>
      <c r="L255" s="321">
        <f>(F255-J255)*7.6%</f>
        <v/>
      </c>
      <c r="M255" s="1120" t="n">
        <v>8</v>
      </c>
      <c r="N255" s="1120">
        <f>(G255+I255) * (9.25%)</f>
        <v/>
      </c>
      <c r="O255" s="515" t="n">
        <v>68</v>
      </c>
      <c r="P255" s="447">
        <f>(F255 - (G255+I255+O255+(J255+K255+L255))) - (H255-M255-N255)</f>
        <v/>
      </c>
      <c r="Q255" s="1328">
        <f>P255/F255</f>
        <v/>
      </c>
      <c r="R255" s="579" t="n"/>
      <c r="S255" s="33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</row>
    <row r="256" ht="18.75" customHeight="1" s="1349">
      <c r="A256" s="356" t="inlineStr">
        <is>
          <t>5263571162</t>
        </is>
      </c>
      <c r="B256" s="264" t="n">
        <v>10034034167480</v>
      </c>
      <c r="C256" s="318" t="inlineStr">
        <is>
          <t>VOLK</t>
        </is>
      </c>
      <c r="D256" s="1310" t="inlineStr">
        <is>
          <t>Kit 2 Luva Proteção Anticorte Cut Oil Palma Impermeável C/ca</t>
        </is>
      </c>
      <c r="E256" s="320" t="n"/>
      <c r="F256" s="320" t="n">
        <v>66.93000000000001</v>
      </c>
      <c r="G256" s="321">
        <f>F256*12%</f>
        <v/>
      </c>
      <c r="H256" s="322" t="n">
        <v>-4.01</v>
      </c>
      <c r="I256" s="331">
        <f>IFS(
  F256&lt;12.5, F256/2,
  F256&lt;29, 6.25,
  F256&lt;50, 6.5,
  F256&lt;=79, 6.75,
  TRUE, 25
)</f>
        <v/>
      </c>
      <c r="J256" s="321">
        <f>F256*18%</f>
        <v/>
      </c>
      <c r="K256" s="321">
        <f>(F256-J256)*1.65%</f>
        <v/>
      </c>
      <c r="L256" s="321">
        <f>(F256-J256)*7.6%</f>
        <v/>
      </c>
      <c r="M256" s="357" t="n"/>
      <c r="N256" s="357">
        <f>(G256+I256) * (9.25%)</f>
        <v/>
      </c>
      <c r="O256" s="492" t="n">
        <v>33.6</v>
      </c>
      <c r="P256" s="447">
        <f>(F256 - (G256+I256+O256+(J256+K256+L256))) - (H256-M256-N256)</f>
        <v/>
      </c>
      <c r="Q256" s="328">
        <f>P256/F256</f>
        <v/>
      </c>
      <c r="R256" s="463" t="inlineStr">
        <is>
          <t>Ativo</t>
        </is>
      </c>
      <c r="S256" s="33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</row>
    <row r="257" ht="18.75" customHeight="1" s="1349">
      <c r="A257" s="310" t="n"/>
      <c r="B257" s="402" t="n"/>
      <c r="C257" s="331" t="n"/>
      <c r="D257" s="411" t="inlineStr">
        <is>
          <t>KIT 50 CHUMBADOR PARABOLT CBA 3/8 X 110 AÇO FIXAÇÃO</t>
        </is>
      </c>
      <c r="E257" s="359" t="n"/>
      <c r="F257" s="359" t="n">
        <v>180</v>
      </c>
      <c r="G257" s="321">
        <f>F257*17%</f>
        <v/>
      </c>
      <c r="H257" s="296" t="n"/>
      <c r="I257" s="331" t="n">
        <v>7</v>
      </c>
      <c r="J257" s="321">
        <f>F257*18%</f>
        <v/>
      </c>
      <c r="K257" s="321">
        <f>(F257-J257)*1.65%</f>
        <v/>
      </c>
      <c r="L257" s="321">
        <f>(F257-J257)*7.6%</f>
        <v/>
      </c>
      <c r="M257" s="1120" t="n">
        <v>11</v>
      </c>
      <c r="N257" s="1120">
        <f>(G257+I257) * (9.25%)</f>
        <v/>
      </c>
      <c r="O257" s="515" t="n">
        <v>92.5</v>
      </c>
      <c r="P257" s="447">
        <f>(F257 - (G257+I257+O257+(J257+K257+L257))) - (H257-M257-N257)</f>
        <v/>
      </c>
      <c r="Q257" s="1328">
        <f>P257/F257</f>
        <v/>
      </c>
      <c r="R257" s="579" t="n"/>
      <c r="S257" s="33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</row>
    <row r="258" ht="18.75" customHeight="1" s="1349">
      <c r="A258" s="310" t="inlineStr">
        <is>
          <t>4435404455</t>
        </is>
      </c>
      <c r="B258" s="402" t="n">
        <v>10034034167437</v>
      </c>
      <c r="C258" s="331" t="inlineStr">
        <is>
          <t>Jomarca</t>
        </is>
      </c>
      <c r="D258" s="404" t="inlineStr">
        <is>
          <t>Kit 500 Parafuso Chipboard Bicromatizado 3,5 X 22 Madeira</t>
        </is>
      </c>
      <c r="E258" s="359" t="n"/>
      <c r="F258" s="359" t="n">
        <v>33.9</v>
      </c>
      <c r="G258" s="321">
        <f>F258*17%</f>
        <v/>
      </c>
      <c r="H258" s="322" t="n"/>
      <c r="I258" s="331" t="n">
        <v>6.65</v>
      </c>
      <c r="J258" s="321">
        <f>F258*18%</f>
        <v/>
      </c>
      <c r="K258" s="321">
        <f>(F258-J258)*1.65%</f>
        <v/>
      </c>
      <c r="L258" s="321">
        <f>(F258-J258)*7.6%</f>
        <v/>
      </c>
      <c r="M258" s="1120">
        <f>0.66*5</f>
        <v/>
      </c>
      <c r="N258" s="1120">
        <f>(G258+I258) * (9.25%)</f>
        <v/>
      </c>
      <c r="O258" s="708">
        <f>2.76*5</f>
        <v/>
      </c>
      <c r="P258" s="447">
        <f>(F258 - (G258+I258+O258+(J258+K258+L258))) - (H258-M258-N258)</f>
        <v/>
      </c>
      <c r="Q258" s="1328">
        <f>P258/F258</f>
        <v/>
      </c>
      <c r="R258" s="579" t="n"/>
      <c r="S258" s="33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</row>
    <row r="259" ht="18.75" customHeight="1" s="1349">
      <c r="A259" s="310" t="inlineStr">
        <is>
          <t>4341490291</t>
        </is>
      </c>
      <c r="B259" s="402" t="n">
        <v>10034034167595</v>
      </c>
      <c r="C259" s="318" t="inlineStr">
        <is>
          <t>EPI</t>
        </is>
      </c>
      <c r="D259" s="404" t="inlineStr">
        <is>
          <t>Fita Adesiva Cuidado Frágil 48mm X 100m Lacre Sinalização</t>
        </is>
      </c>
      <c r="E259" s="359" t="n"/>
      <c r="F259" s="359" t="n">
        <v>23.04</v>
      </c>
      <c r="G259" s="321">
        <f>F259*16.5%</f>
        <v/>
      </c>
      <c r="H259" s="322" t="n">
        <v>-0.71</v>
      </c>
      <c r="I259" s="331">
        <f>IFS(
  F259&lt;12.5, F259/2,
  F259&lt;29, 6.25,
  F259&lt;50, 6.5,
  F259&lt;=79, 6.75,
  TRUE, 25
)</f>
        <v/>
      </c>
      <c r="J259" s="321">
        <f>F259*18%</f>
        <v/>
      </c>
      <c r="K259" s="321">
        <f>(F259-J259)*1.65%</f>
        <v/>
      </c>
      <c r="L259" s="321">
        <f>(F259-J259)*7.6%</f>
        <v/>
      </c>
      <c r="M259" s="357" t="n"/>
      <c r="N259" s="357">
        <f>(G259+I259) * (9.25%)</f>
        <v/>
      </c>
      <c r="O259" s="515">
        <f>6.38*1</f>
        <v/>
      </c>
      <c r="P259" s="447">
        <f>(F259 - (G259+I259+O259+(J259+K259+L259))) - (H259-M259-N259)</f>
        <v/>
      </c>
      <c r="Q259" s="1328">
        <f>P259/F259</f>
        <v/>
      </c>
      <c r="R259" s="579" t="n"/>
      <c r="S259" s="33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</row>
    <row r="260" ht="18.75" customHeight="1" s="1349">
      <c r="A260" s="310" t="n"/>
      <c r="B260" s="402" t="n"/>
      <c r="C260" s="331" t="n"/>
      <c r="D260" s="381" t="inlineStr">
        <is>
          <t>KIT 50 CHUMBADOR PARABOLT CBA 1/2 X 95 AÇO FIXAÇÃO</t>
        </is>
      </c>
      <c r="E260" s="359" t="n"/>
      <c r="F260" s="359" t="n">
        <v>425</v>
      </c>
      <c r="G260" s="321">
        <f>F260*17%</f>
        <v/>
      </c>
      <c r="H260" s="296" t="n"/>
      <c r="I260" s="331" t="n">
        <v>7</v>
      </c>
      <c r="J260" s="321">
        <f>F260*18%</f>
        <v/>
      </c>
      <c r="K260" s="321">
        <f>(F260-J260)*1.65%</f>
        <v/>
      </c>
      <c r="L260" s="321">
        <f>(F260-J260)*7.6%</f>
        <v/>
      </c>
      <c r="M260" s="1120" t="n">
        <v>27.5</v>
      </c>
      <c r="N260" s="1120">
        <f>(G260+I260) * (9.25%)</f>
        <v/>
      </c>
      <c r="O260" s="515" t="n">
        <v>228</v>
      </c>
      <c r="P260" s="447">
        <f>(F260 - (G260+I260+O260+(J260+K260+L260))) - (H260-M260-N260)</f>
        <v/>
      </c>
      <c r="Q260" s="1328">
        <f>P260/F260</f>
        <v/>
      </c>
      <c r="R260" s="579" t="n"/>
      <c r="S260" s="33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</row>
    <row r="261" ht="18.75" customHeight="1" s="1349">
      <c r="A261" s="310" t="inlineStr">
        <is>
          <t>5997264470</t>
        </is>
      </c>
      <c r="B261" s="402" t="n">
        <v>10034034167595</v>
      </c>
      <c r="C261" s="318" t="inlineStr">
        <is>
          <t>EPI</t>
        </is>
      </c>
      <c r="D261" s="404" t="inlineStr">
        <is>
          <t>Fita Adesiva Cuidado Frágil 48mm X 100m Embalagem 2 Rolos</t>
        </is>
      </c>
      <c r="E261" s="359" t="n"/>
      <c r="F261" s="359" t="n">
        <v>38</v>
      </c>
      <c r="G261" s="321">
        <f>F261*16.5%</f>
        <v/>
      </c>
      <c r="H261" s="322" t="n"/>
      <c r="I261" s="331">
        <f>IFS(
  F261&lt;12.5, F261/2,
  F261&lt;29, 6.25,
  F261&lt;50, 6.5,
  F261&lt;=79, 6.75,
  TRUE, 25
)</f>
        <v/>
      </c>
      <c r="J261" s="321">
        <f>F261*18%</f>
        <v/>
      </c>
      <c r="K261" s="321">
        <f>(F261-J261)*1.65%</f>
        <v/>
      </c>
      <c r="L261" s="321">
        <f>(F261-J261)*7.6%</f>
        <v/>
      </c>
      <c r="M261" s="357" t="n"/>
      <c r="N261" s="357">
        <f>(G261+I261) * (9.25%)</f>
        <v/>
      </c>
      <c r="O261" s="515">
        <f>6.38*2</f>
        <v/>
      </c>
      <c r="P261" s="447">
        <f>(F261 - (G261+I261+O261+(J261+K261+L261))) - (H261-M261-N261)</f>
        <v/>
      </c>
      <c r="Q261" s="1328">
        <f>P261/F261</f>
        <v/>
      </c>
      <c r="R261" s="579" t="n"/>
      <c r="S261" s="33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</row>
    <row r="262" ht="18.75" customHeight="1" s="1349">
      <c r="A262" s="310" t="n"/>
      <c r="B262" s="402" t="n">
        <v>4594955887</v>
      </c>
      <c r="C262" s="331" t="inlineStr">
        <is>
          <t>ÂNCORA</t>
        </is>
      </c>
      <c r="D262" s="398" t="inlineStr">
        <is>
          <t>KIT 5 CHUMBADOR PARABOLT CBA 1/4X3 AÇO FIXAÇÃO</t>
        </is>
      </c>
      <c r="E262" s="359" t="n"/>
      <c r="F262" s="359" t="n">
        <v>23.5</v>
      </c>
      <c r="G262" s="321">
        <f>F262*17%</f>
        <v/>
      </c>
      <c r="H262" s="296" t="n"/>
      <c r="I262" s="331" t="n">
        <v>8.35</v>
      </c>
      <c r="J262" s="321">
        <f>F262*18%</f>
        <v/>
      </c>
      <c r="K262" s="321">
        <f>(F262-J262)*1.65%</f>
        <v/>
      </c>
      <c r="L262" s="321">
        <f>(F262-J262)*7.6%</f>
        <v/>
      </c>
      <c r="M262" s="1120" t="n">
        <v>0.5</v>
      </c>
      <c r="N262" s="1120">
        <f>(G262+I262) * (9.25%)</f>
        <v/>
      </c>
      <c r="O262" s="515">
        <f>0.87*5</f>
        <v/>
      </c>
      <c r="P262" s="384">
        <f>(F262 - (G262+I262+O262+(J262+K262+L262))) - (H262-M262-N262)</f>
        <v/>
      </c>
      <c r="Q262" s="1328">
        <f>P262/F262</f>
        <v/>
      </c>
      <c r="R262" s="579" t="n"/>
      <c r="S262" s="33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</row>
    <row r="263" ht="18.75" customHeight="1" s="1349">
      <c r="A263" s="310" t="inlineStr">
        <is>
          <t>5885590292</t>
        </is>
      </c>
      <c r="B263" s="402" t="n">
        <v>10034034167691</v>
      </c>
      <c r="C263" s="318" t="inlineStr">
        <is>
          <t>Plastcor</t>
        </is>
      </c>
      <c r="D263" s="1310" t="inlineStr">
        <is>
          <t>Corrente Pead Plástico Delimitação Logística Segurança 10m</t>
        </is>
      </c>
      <c r="E263" s="359" t="n"/>
      <c r="F263" s="359" t="n">
        <v>67.8</v>
      </c>
      <c r="G263" s="321">
        <f>F263*12%</f>
        <v/>
      </c>
      <c r="H263" s="322" t="n">
        <v>-4.06</v>
      </c>
      <c r="I263" s="331" t="n">
        <v>8.15</v>
      </c>
      <c r="J263" s="321">
        <f>F263*18%</f>
        <v/>
      </c>
      <c r="K263" s="321">
        <f>(F263-J263)*1.65%</f>
        <v/>
      </c>
      <c r="L263" s="321">
        <f>(F263-J263)*7.6%</f>
        <v/>
      </c>
      <c r="M263" s="1120" t="n">
        <v>10</v>
      </c>
      <c r="N263" s="1120">
        <f>(G263+I263) * (9.25%)</f>
        <v/>
      </c>
      <c r="O263" s="121">
        <f>4.27*10</f>
        <v/>
      </c>
      <c r="P263" s="447">
        <f>(F263 - (G263+I263+O263+(J263+K263+L263))) - (H263-M263-N263)</f>
        <v/>
      </c>
      <c r="Q263" s="1328">
        <f>P263/F263</f>
        <v/>
      </c>
      <c r="R263" s="579" t="n"/>
      <c r="S263" s="33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</row>
    <row r="264" ht="18.75" customHeight="1" s="1349">
      <c r="A264" s="356" t="inlineStr">
        <is>
          <t>5514438820</t>
        </is>
      </c>
      <c r="B264" s="264" t="n">
        <v>10034034167588</v>
      </c>
      <c r="C264" s="318" t="inlineStr">
        <is>
          <t>EPI</t>
        </is>
      </c>
      <c r="D264" s="1310" t="inlineStr">
        <is>
          <t>Kit 4 Luva Tricotada Poliamida Pigmentada Poliflex Danny Ca</t>
        </is>
      </c>
      <c r="E264" s="320" t="n"/>
      <c r="F264" s="320" t="n">
        <v>62.95</v>
      </c>
      <c r="G264" s="321">
        <f>F264*17%</f>
        <v/>
      </c>
      <c r="H264" s="322" t="n">
        <v>-1.95</v>
      </c>
      <c r="I264" s="331" t="n">
        <v>8.949999999999999</v>
      </c>
      <c r="J264" s="321">
        <f>F264*18%</f>
        <v/>
      </c>
      <c r="K264" s="321">
        <f>(F264-J264)*1.65%</f>
        <v/>
      </c>
      <c r="L264" s="321">
        <f>(F264-J264)*7.6%</f>
        <v/>
      </c>
      <c r="M264" s="1120">
        <f>0.9*4</f>
        <v/>
      </c>
      <c r="N264" s="1120">
        <f>(G264+I264) * (9.25%)</f>
        <v/>
      </c>
      <c r="O264" s="121">
        <f>6.99*4</f>
        <v/>
      </c>
      <c r="P264" s="447">
        <f>(F264 - (G264+I264+O264+(J264+K264+L264))) - (H264-M264-N264)</f>
        <v/>
      </c>
      <c r="Q264" s="328">
        <f>P264/F264</f>
        <v/>
      </c>
      <c r="R264" s="421" t="inlineStr">
        <is>
          <t>Ativo</t>
        </is>
      </c>
      <c r="S264" s="33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</row>
    <row r="265" ht="18.75" customHeight="1" s="1349">
      <c r="A265" s="310" t="inlineStr">
        <is>
          <t>5949891932</t>
        </is>
      </c>
      <c r="B265" s="402" t="n">
        <v>10034034167860</v>
      </c>
      <c r="C265" s="318" t="inlineStr">
        <is>
          <t>ÂNCORA</t>
        </is>
      </c>
      <c r="D265" s="404" t="inlineStr">
        <is>
          <t>Arruela Lisa Zincada 1/4 Pol Parafuso Chumbador 2kg 1000un</t>
        </is>
      </c>
      <c r="E265" s="359" t="n"/>
      <c r="F265" s="359" t="n">
        <v>66.76000000000001</v>
      </c>
      <c r="G265" s="321">
        <f>F265*17%</f>
        <v/>
      </c>
      <c r="H265" s="322" t="n">
        <v>-2.06</v>
      </c>
      <c r="I265" s="331">
        <f>IFS(
  F265&lt;12.5, F265/2,
  F265&lt;29, 6.25,
  F265&lt;50, 6.5,
  F265&lt;=79, 6.75,
  TRUE, 25
)</f>
        <v/>
      </c>
      <c r="J265" s="321">
        <f>F265*18%</f>
        <v/>
      </c>
      <c r="K265" s="321">
        <f>(F265-J265)*1.65%</f>
        <v/>
      </c>
      <c r="L265" s="321">
        <f>(F265-J265)*7.6%</f>
        <v/>
      </c>
      <c r="M265" s="1120">
        <f>1.95*2</f>
        <v/>
      </c>
      <c r="N265" s="1120">
        <f>(G265+I265) * (9.25%)</f>
        <v/>
      </c>
      <c r="O265" s="121">
        <f>16.09*2</f>
        <v/>
      </c>
      <c r="P265" s="447">
        <f>(F265 - (G265+I265+O265+(J265+K265+L265))) - (H265-M265-N265)</f>
        <v/>
      </c>
      <c r="Q265" s="1328">
        <f>P265/F265</f>
        <v/>
      </c>
      <c r="R265" s="579" t="n"/>
      <c r="S265" s="33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</row>
    <row r="266" ht="18.75" customHeight="1" s="1349">
      <c r="A266" s="310" t="inlineStr">
        <is>
          <t>4433093605</t>
        </is>
      </c>
      <c r="B266" s="402" t="n">
        <v>10034034166796</v>
      </c>
      <c r="C266" s="331" t="inlineStr">
        <is>
          <t>ÂNCORA</t>
        </is>
      </c>
      <c r="D266" s="404" t="inlineStr">
        <is>
          <t>1000 Parafuso Drywall Dlb19 Auto Brocante Philips 4,2 X 19</t>
        </is>
      </c>
      <c r="E266" s="359" t="n"/>
      <c r="F266" s="499" t="n">
        <v>109.15</v>
      </c>
      <c r="G266" s="321">
        <f>F266*17%</f>
        <v/>
      </c>
      <c r="H266" s="831" t="n">
        <v>-1.75</v>
      </c>
      <c r="I266" s="331" t="n">
        <v>17.46</v>
      </c>
      <c r="J266" s="321">
        <f>F266*18%</f>
        <v/>
      </c>
      <c r="K266" s="321">
        <f>(F266-J266)*1.65%</f>
        <v/>
      </c>
      <c r="L266" s="321">
        <f>(F266-J266)*7.6%</f>
        <v/>
      </c>
      <c r="M266" s="1120" t="n">
        <v>5.52</v>
      </c>
      <c r="N266" s="1120">
        <f>(G266+I266) * (9.25%)</f>
        <v/>
      </c>
      <c r="O266" s="708" t="n">
        <v>45.67</v>
      </c>
      <c r="P266" s="447">
        <f>(F266 - (G266+I266+O266+(J266+K266+L266))) - (H266-M266-N266)</f>
        <v/>
      </c>
      <c r="Q266" s="1328">
        <f>P266/F266</f>
        <v/>
      </c>
      <c r="R266" s="579" t="n"/>
      <c r="S266" s="33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</row>
    <row r="267" ht="18.75" customHeight="1" s="1349">
      <c r="A267" s="310" t="n"/>
      <c r="B267" s="402" t="n"/>
      <c r="C267" s="331" t="n"/>
      <c r="D267" s="411" t="inlineStr">
        <is>
          <t xml:space="preserve">KIT 50 HUMBADOR PARABOLT CBA 1/4 X 65 AÇO FIXAÇÃO </t>
        </is>
      </c>
      <c r="E267" s="359" t="n"/>
      <c r="F267" s="359" t="n">
        <v>78.2</v>
      </c>
      <c r="G267" s="321">
        <f>F267*17%</f>
        <v/>
      </c>
      <c r="H267" s="296" t="n"/>
      <c r="I267" s="331" t="n">
        <v>7</v>
      </c>
      <c r="J267" s="321">
        <f>F267*18%</f>
        <v/>
      </c>
      <c r="K267" s="321">
        <f>(F267-J267)*1.65%</f>
        <v/>
      </c>
      <c r="L267" s="321">
        <f>(F267-J267)*7.6%</f>
        <v/>
      </c>
      <c r="M267" s="1120" t="n">
        <v>4.5</v>
      </c>
      <c r="N267" s="1120">
        <f>(G267+I267) * (9.25%)</f>
        <v/>
      </c>
      <c r="O267" s="515" t="n">
        <v>36</v>
      </c>
      <c r="P267" s="447">
        <f>(F267 - (G267+I267+O267+(J267+K267+L267))) - (H267-M267-N267)</f>
        <v/>
      </c>
      <c r="Q267" s="1328">
        <f>P267/F267</f>
        <v/>
      </c>
      <c r="R267" s="579" t="n"/>
      <c r="S267" s="33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</row>
    <row r="268" ht="18.75" customHeight="1" s="1349">
      <c r="A268" s="310" t="inlineStr">
        <is>
          <t>5947781016</t>
        </is>
      </c>
      <c r="B268" s="402" t="n">
        <v>10034034166786</v>
      </c>
      <c r="C268" s="318" t="inlineStr">
        <is>
          <t>EPI</t>
        </is>
      </c>
      <c r="D268" s="404" t="inlineStr">
        <is>
          <t>Arruela Lisa Plana Acabamento Zincada 5/16 Pol 7mm 1kg 400un</t>
        </is>
      </c>
      <c r="E268" s="359" t="n"/>
      <c r="F268" s="359" t="n">
        <v>38.79</v>
      </c>
      <c r="G268" s="321">
        <f>F268*11.5%</f>
        <v/>
      </c>
      <c r="H268" s="322" t="n">
        <v>-1.2</v>
      </c>
      <c r="I268" s="331">
        <f>IFS(
  F268&lt;12.5, F268/2,
  F268&lt;29, 6.25,
  F268&lt;50, 6.5,
  F268&lt;=79, 6.75,
  TRUE, 25
)</f>
        <v/>
      </c>
      <c r="J268" s="321">
        <f>F268*18%</f>
        <v/>
      </c>
      <c r="K268" s="321">
        <f>(F268-J268)*1.65%</f>
        <v/>
      </c>
      <c r="L268" s="321">
        <f>(F268-J268)*7.6%</f>
        <v/>
      </c>
      <c r="M268" s="1120" t="n">
        <v>2.17</v>
      </c>
      <c r="N268" s="1120">
        <f>(G268+I268) * (9.25%)</f>
        <v/>
      </c>
      <c r="O268" s="121" t="n">
        <v>18.17</v>
      </c>
      <c r="P268" s="447">
        <f>(F268 - (G268+I268+O268+(J268+K268+L268))) - (H268-M268-N268)</f>
        <v/>
      </c>
      <c r="Q268" s="1328">
        <f>P268/F268</f>
        <v/>
      </c>
      <c r="R268" s="579" t="n"/>
      <c r="S268" s="33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</row>
    <row r="269" ht="18.75" customHeight="1" s="1349">
      <c r="A269" s="371" t="inlineStr">
        <is>
          <t>4321967271</t>
        </is>
      </c>
      <c r="B269" s="479" t="n">
        <v>10034034167871</v>
      </c>
      <c r="C269" s="369" t="inlineStr">
        <is>
          <t>ÂNCORA</t>
        </is>
      </c>
      <c r="D269" s="370" t="inlineStr">
        <is>
          <t>Prego 15x15 Concreto Aço Galvanizado Bicromatizado 1000un</t>
        </is>
      </c>
      <c r="E269" s="359" t="n"/>
      <c r="F269" s="499" t="n">
        <v>58.84</v>
      </c>
      <c r="G269" s="321">
        <f>F269*11.5%</f>
        <v/>
      </c>
      <c r="H269" s="322" t="n">
        <v>-1.85</v>
      </c>
      <c r="I269" s="331" t="n">
        <v>7.75</v>
      </c>
      <c r="J269" s="321">
        <f>F269*18%</f>
        <v/>
      </c>
      <c r="K269" s="321">
        <f>(F269-J269)*1.65%</f>
        <v/>
      </c>
      <c r="L269" s="321">
        <f>(F269-J269)*7.6%</f>
        <v/>
      </c>
      <c r="M269" s="1120">
        <f>0.36*10</f>
        <v/>
      </c>
      <c r="N269" s="1120">
        <f>(G269+I269) * (9.25%)</f>
        <v/>
      </c>
      <c r="O269" s="121">
        <f>2.98*10</f>
        <v/>
      </c>
      <c r="P269" s="447">
        <f>(F269 - (G269+I269+O269+(J269+K269+L269))) - (H269-M269-N269)</f>
        <v/>
      </c>
      <c r="Q269" s="1328">
        <f>P269/F269</f>
        <v/>
      </c>
      <c r="R269" s="579" t="n"/>
      <c r="S269" s="33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</row>
    <row r="270" ht="18.75" customHeight="1" s="1349">
      <c r="A270" s="316" t="inlineStr">
        <is>
          <t>5413661492</t>
        </is>
      </c>
      <c r="B270" s="317" t="n">
        <v>10034034166409</v>
      </c>
      <c r="C270" s="318" t="inlineStr">
        <is>
          <t>GERDAU</t>
        </is>
      </c>
      <c r="D270" s="1310" t="inlineStr">
        <is>
          <t>Prego Polido Com Cabeça 18x27 De 1kg - Gerdau</t>
        </is>
      </c>
      <c r="E270" s="320" t="n"/>
      <c r="F270" s="320" t="n">
        <v>25.89</v>
      </c>
      <c r="G270" s="321">
        <f>F270*11.5%</f>
        <v/>
      </c>
      <c r="H270" s="322" t="n">
        <v>-0.58</v>
      </c>
      <c r="I270" s="331" t="n">
        <v>6.85</v>
      </c>
      <c r="J270" s="366" t="n">
        <v>0</v>
      </c>
      <c r="K270" s="321">
        <f>(F270-J270)*1.65%</f>
        <v/>
      </c>
      <c r="L270" s="321">
        <f>(F270-J270)*7.6%</f>
        <v/>
      </c>
      <c r="M270" s="1120" t="n">
        <v>1.17</v>
      </c>
      <c r="N270" s="1120">
        <f>(G270+I270) * (9.25%)</f>
        <v/>
      </c>
      <c r="O270" s="708" t="n">
        <v>13.5</v>
      </c>
      <c r="P270" s="447">
        <f>(F270 - (G270+I270+O270+(J270+K270+L270))) - (H270-M270-N270)</f>
        <v/>
      </c>
      <c r="Q270" s="328">
        <f>P270/F270</f>
        <v/>
      </c>
      <c r="R270" s="421" t="inlineStr">
        <is>
          <t>Ativo</t>
        </is>
      </c>
      <c r="S270" s="33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</row>
    <row r="271" ht="18.75" customHeight="1" s="1349">
      <c r="A271" s="356" t="inlineStr">
        <is>
          <t>5244549660</t>
        </is>
      </c>
      <c r="B271" s="264" t="n">
        <v>10034034167324</v>
      </c>
      <c r="C271" s="318" t="inlineStr">
        <is>
          <t>Nutriex</t>
        </is>
      </c>
      <c r="D271" s="1310" t="inlineStr">
        <is>
          <t>Kit 4 Creme Protetor De Mãos Luva Química Plus Grupo 3 200g</t>
        </is>
      </c>
      <c r="E271" s="320" t="n"/>
      <c r="F271" s="320" t="n">
        <v>38.25</v>
      </c>
      <c r="G271" s="321">
        <f>F271*12%</f>
        <v/>
      </c>
      <c r="H271" s="322" t="n"/>
      <c r="I271" s="331" t="n">
        <v>6.85</v>
      </c>
      <c r="J271" s="321">
        <f>F271*18%</f>
        <v/>
      </c>
      <c r="K271" s="366" t="n">
        <v>0</v>
      </c>
      <c r="L271" s="366" t="n">
        <v>0</v>
      </c>
      <c r="M271" s="1120">
        <f>0.9*4</f>
        <v/>
      </c>
      <c r="N271" s="1120">
        <f>(G271+I271) * (9.25%)</f>
        <v/>
      </c>
      <c r="O271" s="708">
        <f>5.1*4</f>
        <v/>
      </c>
      <c r="P271" s="447">
        <f>(F271 - (G271+I271+O271+(J271+K271+L271))) - (H271-M271-N271)</f>
        <v/>
      </c>
      <c r="Q271" s="328">
        <f>P271/F271</f>
        <v/>
      </c>
      <c r="R271" s="421" t="inlineStr">
        <is>
          <t>Ativo</t>
        </is>
      </c>
      <c r="S271" s="33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</row>
    <row r="272" ht="18.75" customHeight="1" s="1349">
      <c r="A272" s="356" t="inlineStr">
        <is>
          <t>2172485273004403</t>
        </is>
      </c>
      <c r="B272" s="317" t="n">
        <v>10034034166533</v>
      </c>
      <c r="C272" s="318" t="inlineStr">
        <is>
          <t>Innpro</t>
        </is>
      </c>
      <c r="D272" s="265" t="inlineStr">
        <is>
          <t>Bota Pvc Antiderrapante Impermeável Cano Longo Conforto Ca</t>
        </is>
      </c>
      <c r="E272" s="320" t="n"/>
      <c r="F272" s="320" t="n">
        <v>56.26</v>
      </c>
      <c r="G272" s="321">
        <f>F272*12%</f>
        <v/>
      </c>
      <c r="H272" s="322" t="n">
        <v>-2.27</v>
      </c>
      <c r="I272" s="331" t="n">
        <v>9.75</v>
      </c>
      <c r="J272" s="321">
        <f>F272*18%</f>
        <v/>
      </c>
      <c r="K272" s="321">
        <f>(F272-J272)*1.65%</f>
        <v/>
      </c>
      <c r="L272" s="321">
        <f>(F272-J272)*7.6%</f>
        <v/>
      </c>
      <c r="M272" s="1120" t="n">
        <v>5.79</v>
      </c>
      <c r="N272" s="1120">
        <f>(G272+I272) * (9.25%)</f>
        <v/>
      </c>
      <c r="O272" s="708" t="n">
        <v>28.76</v>
      </c>
      <c r="P272" s="447">
        <f>(F272 - (G272+I272+O272+(J272+K272+L272))) - (H272-M272-N272)</f>
        <v/>
      </c>
      <c r="Q272" s="328">
        <f>P272/F272</f>
        <v/>
      </c>
      <c r="R272" s="421" t="inlineStr">
        <is>
          <t>Ativo</t>
        </is>
      </c>
      <c r="S272" s="33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</row>
    <row r="273" ht="18.75" customHeight="1" s="1349">
      <c r="A273" s="310" t="inlineStr">
        <is>
          <t>4355664519</t>
        </is>
      </c>
      <c r="B273" s="402" t="n">
        <v>10034034168025</v>
      </c>
      <c r="C273" s="318" t="inlineStr">
        <is>
          <t>Nutriex</t>
        </is>
      </c>
      <c r="D273" s="404" t="inlineStr">
        <is>
          <t>Kit Protetor Bloqueador Solar Fps 60 Alta Proteção Uva 2un</t>
        </is>
      </c>
      <c r="E273" s="359" t="n"/>
      <c r="F273" s="359" t="n">
        <v>353.08</v>
      </c>
      <c r="G273" s="321">
        <f>F273*17.5%</f>
        <v/>
      </c>
      <c r="H273" s="322" t="n">
        <v>-21.18</v>
      </c>
      <c r="I273" s="331" t="n">
        <v>24.45</v>
      </c>
      <c r="J273" s="321">
        <f>F273*18%</f>
        <v/>
      </c>
      <c r="K273" s="366" t="n">
        <v>0</v>
      </c>
      <c r="L273" s="366" t="n">
        <v>0</v>
      </c>
      <c r="M273" s="1120">
        <f>13.2*2</f>
        <v/>
      </c>
      <c r="N273" s="1120">
        <f>(G273+I273) * (9.25%)</f>
        <v/>
      </c>
      <c r="O273" s="121">
        <f>109.99*2</f>
        <v/>
      </c>
      <c r="P273" s="447">
        <f>(F273 - (G273+I273+O273+(J273+K273+L273))) - (H273-M273-N273)</f>
        <v/>
      </c>
      <c r="Q273" s="1328">
        <f>P273/F273</f>
        <v/>
      </c>
      <c r="R273" s="579" t="n"/>
      <c r="S273" s="33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</row>
    <row r="274" ht="18.75" customHeight="1" s="1349">
      <c r="A274" s="371" t="inlineStr">
        <is>
          <t>4329853609</t>
        </is>
      </c>
      <c r="B274" s="479" t="n">
        <v>10034034167891</v>
      </c>
      <c r="C274" s="369" t="inlineStr">
        <is>
          <t>VOLK</t>
        </is>
      </c>
      <c r="D274" s="370" t="inlineStr">
        <is>
          <t>Luva Borracha Nitrílica S/ Forro Anatômica Reforçada Limpeza</t>
        </is>
      </c>
      <c r="E274" s="359" t="n"/>
      <c r="F274" s="359" t="n">
        <v>19.3</v>
      </c>
      <c r="G274" s="321">
        <f>F274*18%</f>
        <v/>
      </c>
      <c r="H274" s="322" t="n">
        <v>-1.07</v>
      </c>
      <c r="I274" s="331">
        <f>IFS(
  F274&lt;12.5, F274/2,
  F274&lt;29, 6.25,
  F274&lt;50, 6.5,
  F274&lt;=79, 6.75,
  TRUE, 25
)</f>
        <v/>
      </c>
      <c r="J274" s="321">
        <f>F274*18%</f>
        <v/>
      </c>
      <c r="K274" s="321">
        <f>(F274-J274)*1.65%</f>
        <v/>
      </c>
      <c r="L274" s="321">
        <f>(F274-J274)*7.6%</f>
        <v/>
      </c>
      <c r="M274" s="1120" t="n">
        <v>0.66</v>
      </c>
      <c r="N274" s="1120">
        <f>(G274+I274) * (9.25%)</f>
        <v/>
      </c>
      <c r="O274" s="121" t="n">
        <v>5.14</v>
      </c>
      <c r="P274" s="447">
        <f>(F274 - (G274+I274+O274+(J274+K274+L274))) - (H274-M274-N274)</f>
        <v/>
      </c>
      <c r="Q274" s="1328">
        <f>P274/F274</f>
        <v/>
      </c>
      <c r="R274" s="579" t="n"/>
      <c r="S274" s="33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</row>
    <row r="275" ht="18.75" customHeight="1" s="1349">
      <c r="A275" s="316" t="inlineStr">
        <is>
          <t>4095171015</t>
        </is>
      </c>
      <c r="B275" s="317" t="n">
        <v>10034034167422</v>
      </c>
      <c r="C275" s="318" t="inlineStr">
        <is>
          <t>VOLK</t>
        </is>
      </c>
      <c r="D275" s="265" t="inlineStr">
        <is>
          <t>Kit 4 Luva Poliamida Banho Pu Multitato Mecanico Oficina Ca</t>
        </is>
      </c>
      <c r="E275" s="320" t="n"/>
      <c r="F275" s="320" t="n">
        <v>23.17</v>
      </c>
      <c r="G275" s="321">
        <f>F275*12%</f>
        <v/>
      </c>
      <c r="H275" s="322" t="n">
        <v>-0.78</v>
      </c>
      <c r="I275" s="331" t="n">
        <v>6.85</v>
      </c>
      <c r="J275" s="321">
        <f>F275*18%</f>
        <v/>
      </c>
      <c r="K275" s="321">
        <f>(F275-J275)*1.65%</f>
        <v/>
      </c>
      <c r="L275" s="321">
        <f>(F275-J275)*7.6%</f>
        <v/>
      </c>
      <c r="M275" s="1120">
        <f>0.25*4</f>
        <v/>
      </c>
      <c r="N275" s="1120">
        <f>(G275+I275) * (9.25%)</f>
        <v/>
      </c>
      <c r="O275" s="121">
        <f>1.93*4</f>
        <v/>
      </c>
      <c r="P275" s="447">
        <f>(F275 - (G275+I275+O275+(J275+K275+L275))) - (H275-M275-N275)</f>
        <v/>
      </c>
      <c r="Q275" s="328">
        <f>P275/F275</f>
        <v/>
      </c>
      <c r="R275" s="484" t="inlineStr">
        <is>
          <t>Ativo</t>
        </is>
      </c>
      <c r="S275" s="33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</row>
    <row r="276" ht="18.75" customHeight="1" s="1349">
      <c r="A276" s="310" t="inlineStr">
        <is>
          <t>6222375740</t>
        </is>
      </c>
      <c r="B276" s="402" t="n">
        <v>10034034166501</v>
      </c>
      <c r="C276" s="331" t="inlineStr">
        <is>
          <t>Irwin</t>
        </is>
      </c>
      <c r="D276" s="404" t="inlineStr">
        <is>
          <t>Lápis Carpinteiro Marcação Madeira Grafite Preto Marcenaria</t>
        </is>
      </c>
      <c r="E276" s="365" t="n"/>
      <c r="F276" s="365" t="n">
        <v>12.12</v>
      </c>
      <c r="G276" s="321">
        <f>F276*17%</f>
        <v/>
      </c>
      <c r="H276" s="322" t="n">
        <v>-0.72</v>
      </c>
      <c r="I276" s="331">
        <f>IFS(
  F276&lt;12.5, F276/2,
  F276&lt;29, 6.25,
  F276&lt;50, 6.5,
  F276&lt;=79, 6.75,
  TRUE, 25
)</f>
        <v/>
      </c>
      <c r="J276" s="321">
        <f>F276*18%</f>
        <v/>
      </c>
      <c r="K276" s="321">
        <f>(F276-J276)*1.65%</f>
        <v/>
      </c>
      <c r="L276" s="321">
        <f>(F276-J276)*7.6%</f>
        <v/>
      </c>
      <c r="M276" s="1120" t="n">
        <v>0.35</v>
      </c>
      <c r="N276" s="1120">
        <f>(G276+I276) * (9.25%)</f>
        <v/>
      </c>
      <c r="O276" s="121" t="n">
        <v>1.37</v>
      </c>
      <c r="P276" s="447">
        <f>(F276 - (G276+I276+O276+(J276+K276+L276))) - (H276-M276-N276)</f>
        <v/>
      </c>
      <c r="Q276" s="1328">
        <f>P276/F276</f>
        <v/>
      </c>
      <c r="R276" s="579" t="n"/>
      <c r="S276" s="33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</row>
    <row r="277" ht="18.75" customHeight="1" s="1349">
      <c r="A277" s="310" t="inlineStr">
        <is>
          <t>4282769179</t>
        </is>
      </c>
      <c r="B277" s="402" t="n">
        <v>10034034167079</v>
      </c>
      <c r="C277" s="318" t="inlineStr">
        <is>
          <t>TekBond</t>
        </is>
      </c>
      <c r="D277" s="1310" t="inlineStr">
        <is>
          <t>Adesivo Selante Pu40 Alta Aderência Vedação Tekbond Branco</t>
        </is>
      </c>
      <c r="E277" s="359" t="n"/>
      <c r="F277" s="359" t="n">
        <v>25.5</v>
      </c>
      <c r="G277" s="321">
        <f>F277*11.5%</f>
        <v/>
      </c>
      <c r="H277" s="322" t="n">
        <v>-0.95</v>
      </c>
      <c r="I277" s="331" t="n">
        <v>6.75</v>
      </c>
      <c r="J277" s="321">
        <f>F277*18%</f>
        <v/>
      </c>
      <c r="K277" s="321">
        <f>(F277-J277)*1.65%</f>
        <v/>
      </c>
      <c r="L277" s="321">
        <f>(F277-J277)*7.6%</f>
        <v/>
      </c>
      <c r="M277" s="1120" t="n">
        <v>2.85</v>
      </c>
      <c r="N277" s="1120">
        <f>(G277+I277) * (9.25%)</f>
        <v/>
      </c>
      <c r="O277" s="121" t="n">
        <v>11.14</v>
      </c>
      <c r="P277" s="447">
        <f>(F277 - (G277+I277+O277+(J277+K277+L277))) - (H277-M277-N277)</f>
        <v/>
      </c>
      <c r="Q277" s="1328">
        <f>P277/F277</f>
        <v/>
      </c>
      <c r="R277" s="579" t="n"/>
      <c r="S277" s="33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</row>
    <row r="278" ht="18.75" customHeight="1" s="1349">
      <c r="A278" s="310" t="inlineStr">
        <is>
          <t>6014653278</t>
        </is>
      </c>
      <c r="B278" s="402" t="n">
        <v>10034034167815</v>
      </c>
      <c r="C278" s="318" t="inlineStr">
        <is>
          <t>Nutriex</t>
        </is>
      </c>
      <c r="D278" s="404" t="inlineStr">
        <is>
          <t>Sabonete Líquido Citric Power 200ml Esfoliante Biodegradável</t>
        </is>
      </c>
      <c r="E278" s="359" t="n"/>
      <c r="F278" s="359" t="n">
        <v>20.67</v>
      </c>
      <c r="G278" s="321">
        <f>F278*19%</f>
        <v/>
      </c>
      <c r="H278" s="322" t="n">
        <v>-0.43</v>
      </c>
      <c r="I278" s="331" t="n">
        <v>6.85</v>
      </c>
      <c r="J278" s="321">
        <f>F278*18%</f>
        <v/>
      </c>
      <c r="K278" s="366" t="n">
        <v>0</v>
      </c>
      <c r="L278" s="366" t="n">
        <v>0</v>
      </c>
      <c r="M278" s="1120" t="n">
        <v>0.72</v>
      </c>
      <c r="N278" s="1120">
        <f>(G278+I278) * (9.25%)</f>
        <v/>
      </c>
      <c r="O278" s="121">
        <f>5.99*1</f>
        <v/>
      </c>
      <c r="P278" s="447">
        <f>(F278 - (G278+I278+O278+(J278+K278+L278))) - (H278-M278-N278)</f>
        <v/>
      </c>
      <c r="Q278" s="1328">
        <f>P278/F278</f>
        <v/>
      </c>
      <c r="R278" s="579" t="n"/>
      <c r="S278" s="33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</row>
    <row r="279" ht="18.75" customHeight="1" s="1349">
      <c r="A279" s="310" t="inlineStr">
        <is>
          <t>4452178997</t>
        </is>
      </c>
      <c r="B279" s="368" t="n">
        <v>10034034168135</v>
      </c>
      <c r="C279" s="398" t="inlineStr">
        <is>
          <t>Toralf</t>
        </is>
      </c>
      <c r="D279" s="370" t="inlineStr">
        <is>
          <t>8 Parafuso Sanitário Bicromatizado 120mm Fixação Universal</t>
        </is>
      </c>
      <c r="E279" s="359" t="n"/>
      <c r="F279" s="359" t="n">
        <v>53.25</v>
      </c>
      <c r="G279" s="321">
        <f>F279*17%</f>
        <v/>
      </c>
      <c r="H279" s="322" t="n">
        <v>-1.36</v>
      </c>
      <c r="I279" s="331">
        <f>IFS(
  F279&lt;12.5, F279/2,
  F279&lt;29, 6.25,
  F279&lt;50, 6.5,
  F279&lt;=79, 6.75,
  TRUE, 25
)</f>
        <v/>
      </c>
      <c r="J279" s="321">
        <f>F279*18%</f>
        <v/>
      </c>
      <c r="K279" s="321">
        <f>(F279-J279)*1.65%</f>
        <v/>
      </c>
      <c r="L279" s="321">
        <f>(F279-J279)*7.6%</f>
        <v/>
      </c>
      <c r="M279" s="1120">
        <f>0.35*8</f>
        <v/>
      </c>
      <c r="N279" s="1120">
        <f>(G279+I279) * (9.25%)</f>
        <v/>
      </c>
      <c r="O279" s="121">
        <f>2.93*8</f>
        <v/>
      </c>
      <c r="P279" s="447">
        <f>(F279 - (G279+I279+O279+(J279+K279+L279))) - (H279-M279-N279)</f>
        <v/>
      </c>
      <c r="Q279" s="1328">
        <f>P279/F279</f>
        <v/>
      </c>
      <c r="R279" s="579" t="n"/>
      <c r="S279" s="33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</row>
    <row r="280" ht="18.75" customHeight="1" s="1349">
      <c r="A280" s="310" t="inlineStr">
        <is>
          <t>6001740376</t>
        </is>
      </c>
      <c r="B280" s="402" t="n">
        <v>10034034168057</v>
      </c>
      <c r="C280" s="318" t="inlineStr">
        <is>
          <t>ÂNCORA</t>
        </is>
      </c>
      <c r="D280" s="331" t="inlineStr">
        <is>
          <t>Kit 4 Bucha Tab 1/4 Bases Ocas Drywall Parafuso 1/4 X 2.1/2</t>
        </is>
      </c>
      <c r="E280" s="359" t="n"/>
      <c r="F280" s="359" t="n">
        <v>23.59</v>
      </c>
      <c r="G280" s="321">
        <f>F280*11.5%</f>
        <v/>
      </c>
      <c r="H280" s="322" t="n">
        <v>-0.45</v>
      </c>
      <c r="I280" s="331" t="n">
        <v>6.65</v>
      </c>
      <c r="J280" s="321">
        <f>F280*18%</f>
        <v/>
      </c>
      <c r="K280" s="321">
        <f>(F280-J280)*1.65%</f>
        <v/>
      </c>
      <c r="L280" s="321">
        <f>(F280-J280)*7.6%</f>
        <v/>
      </c>
      <c r="M280" s="1120">
        <f>0.23*4</f>
        <v/>
      </c>
      <c r="N280" s="1120">
        <f>(G280+I280) * (9.25%)</f>
        <v/>
      </c>
      <c r="O280" s="121">
        <f>1.94*4</f>
        <v/>
      </c>
      <c r="P280" s="447">
        <f>(F280 - (G280+I280+O280+(J280+K280+L280))) - (H280-M280-N280)</f>
        <v/>
      </c>
      <c r="Q280" s="1328">
        <f>P280/F280</f>
        <v/>
      </c>
      <c r="R280" s="579" t="n"/>
      <c r="S280" s="33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</row>
    <row r="281" ht="18.75" customHeight="1" s="1349">
      <c r="A281" s="356" t="inlineStr">
        <is>
          <t>4065038803</t>
        </is>
      </c>
      <c r="B281" s="264" t="n">
        <v>10034034166809</v>
      </c>
      <c r="C281" s="318" t="inlineStr">
        <is>
          <t>Delta plus</t>
        </is>
      </c>
      <c r="D281" s="265" t="inlineStr">
        <is>
          <t>Óculos Solda Maçariqueiro Wps0281 Lente Verde N5 Articulada</t>
        </is>
      </c>
      <c r="E281" s="320" t="n"/>
      <c r="F281" s="320" t="n">
        <v>27.64</v>
      </c>
      <c r="G281" s="321">
        <f>F281*12%</f>
        <v/>
      </c>
      <c r="H281" s="322" t="n">
        <v>-0.42</v>
      </c>
      <c r="I281" s="331" t="n">
        <v>6.85</v>
      </c>
      <c r="J281" s="321">
        <f>F281*18%</f>
        <v/>
      </c>
      <c r="K281" s="321">
        <f>(F281-J281)*1.65%</f>
        <v/>
      </c>
      <c r="L281" s="321">
        <f>(F281-J281)*7.6%</f>
        <v/>
      </c>
      <c r="M281" s="1120" t="n">
        <v>2.83</v>
      </c>
      <c r="N281" s="1120">
        <f>(G281+I281) * (9.25%)</f>
        <v/>
      </c>
      <c r="O281" s="121" t="n">
        <v>11.44</v>
      </c>
      <c r="P281" s="447">
        <f>(F281 - (G281+I281+O281+(J281+K281+L281))) - (H281-M281-N281)</f>
        <v/>
      </c>
      <c r="Q281" s="328">
        <f>P281/F281</f>
        <v/>
      </c>
      <c r="R281" s="463" t="inlineStr">
        <is>
          <t>Ativo</t>
        </is>
      </c>
      <c r="S281" s="33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</row>
    <row r="282" ht="18.75" customHeight="1" s="1349">
      <c r="A282" s="310" t="inlineStr">
        <is>
          <t>2914359248</t>
        </is>
      </c>
      <c r="B282" s="402" t="n">
        <v>100700703135</v>
      </c>
      <c r="C282" s="318" t="inlineStr">
        <is>
          <t>Vinilseg</t>
        </is>
      </c>
      <c r="D282" s="404" t="inlineStr">
        <is>
          <t>Capa De Chuva Forrada Trevira Amarela Resistente Impermeável</t>
        </is>
      </c>
      <c r="E282" s="359" t="n"/>
      <c r="F282" s="359" t="n">
        <v>38.35</v>
      </c>
      <c r="G282" s="321">
        <f>F282*12%</f>
        <v/>
      </c>
      <c r="H282" s="322" t="n">
        <v>-0.5600000000000001</v>
      </c>
      <c r="I282" s="331" t="n">
        <v>6.75</v>
      </c>
      <c r="J282" s="321">
        <f>F282*18%</f>
        <v/>
      </c>
      <c r="K282" s="321">
        <f>(F282-J282)*1.65%</f>
        <v/>
      </c>
      <c r="L282" s="321">
        <f>(F282-J282)*7.6%</f>
        <v/>
      </c>
      <c r="M282" s="1120" t="n">
        <v>3.64</v>
      </c>
      <c r="N282" s="1120">
        <f>(G282+I282) * (9.25%)</f>
        <v/>
      </c>
      <c r="O282" s="121" t="n">
        <v>18.05</v>
      </c>
      <c r="P282" s="447">
        <f>(F282 - (G282+I282+O282+(J282+K282+L282))) - (H282-M282-N282)</f>
        <v/>
      </c>
      <c r="Q282" s="1328">
        <f>P282/F282</f>
        <v/>
      </c>
      <c r="R282" s="579" t="n"/>
      <c r="S282" s="33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</row>
    <row r="283" ht="18.75" customHeight="1" s="1349">
      <c r="A283" s="310" t="inlineStr">
        <is>
          <t>4451511933</t>
        </is>
      </c>
      <c r="B283" s="402" t="n">
        <v>10034034168133</v>
      </c>
      <c r="C283" s="331" t="inlineStr">
        <is>
          <t>Toralf</t>
        </is>
      </c>
      <c r="D283" s="404" t="inlineStr">
        <is>
          <t>Kit 4 Parafuso Sanitário Aço Bicromatizado Fixação B10 95mm</t>
        </is>
      </c>
      <c r="E283" s="359" t="n"/>
      <c r="F283" s="359" t="n">
        <v>24.83</v>
      </c>
      <c r="G283" s="321">
        <f>F283*17%</f>
        <v/>
      </c>
      <c r="H283" s="322" t="n">
        <v>-0.41</v>
      </c>
      <c r="I283" s="331">
        <f>IFS(
  F283&lt;12.5, F283/2,
  F283&lt;29, 6.25,
  F283&lt;50, 6.5,
  F283&lt;=79, 6.75,
  TRUE, 25
)</f>
        <v/>
      </c>
      <c r="J283" s="321">
        <f>F283*18%</f>
        <v/>
      </c>
      <c r="K283" s="321">
        <f>(F283-J283)*1.65%</f>
        <v/>
      </c>
      <c r="L283" s="321">
        <f>(F283-J283)*7.6%</f>
        <v/>
      </c>
      <c r="M283" s="1120">
        <f>0.22*4</f>
        <v/>
      </c>
      <c r="N283" s="1120">
        <f>(G283+I283) * (9.25%)</f>
        <v/>
      </c>
      <c r="O283" s="121">
        <f>1.85*4</f>
        <v/>
      </c>
      <c r="P283" s="447">
        <f>(F283 - (G283+I283+O283+(J283+K283+L283))) - (H283-M283-N283)</f>
        <v/>
      </c>
      <c r="Q283" s="1328">
        <f>P283/F283</f>
        <v/>
      </c>
      <c r="R283" s="579" t="n"/>
      <c r="S283" s="33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</row>
    <row r="284" ht="18.75" customHeight="1" s="1349">
      <c r="A284" s="356" t="inlineStr">
        <is>
          <t>5385004104</t>
        </is>
      </c>
      <c r="B284" s="264" t="n">
        <v>10034034166517</v>
      </c>
      <c r="C284" s="318" t="inlineStr">
        <is>
          <t>Atlas</t>
        </is>
      </c>
      <c r="D284" s="265" t="inlineStr">
        <is>
          <t>Kit Completo Pintor Pintura Anti Gota Rolo E Pincel 6 Peças</t>
        </is>
      </c>
      <c r="E284" s="320" t="n"/>
      <c r="F284" s="320" t="n">
        <v>57.9</v>
      </c>
      <c r="G284" s="321">
        <f>F284*16.5%</f>
        <v/>
      </c>
      <c r="H284" s="322" t="n">
        <v>-3.22</v>
      </c>
      <c r="I284" s="331" t="n">
        <v>8.15</v>
      </c>
      <c r="J284" s="321">
        <f>F284*18%</f>
        <v/>
      </c>
      <c r="K284" s="321">
        <f>(F284-J284)*1.65%</f>
        <v/>
      </c>
      <c r="L284" s="321">
        <f>(F284-J284)*7.6%</f>
        <v/>
      </c>
      <c r="M284" s="1120" t="n">
        <v>8.06</v>
      </c>
      <c r="N284" s="1120">
        <f>(G284+I284) * (9.25%)</f>
        <v/>
      </c>
      <c r="O284" s="197" t="n">
        <v>31.5</v>
      </c>
      <c r="P284" s="447">
        <f>(F284 - (G284+I284+O284+(J284+K284+L284))) - (H284-M284-N284)</f>
        <v/>
      </c>
      <c r="Q284" s="328">
        <f>P284/F284</f>
        <v/>
      </c>
      <c r="R284" s="421" t="inlineStr">
        <is>
          <t>Ativo</t>
        </is>
      </c>
      <c r="S284" s="33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</row>
    <row r="285" ht="18.75" customHeight="1" s="1349">
      <c r="A285" s="310" t="inlineStr">
        <is>
          <t>6014487038</t>
        </is>
      </c>
      <c r="B285" s="402" t="n">
        <v>10034034168009</v>
      </c>
      <c r="C285" s="318" t="inlineStr">
        <is>
          <t>Nutriex</t>
        </is>
      </c>
      <c r="D285" s="404" t="inlineStr">
        <is>
          <t>Sabonete Líquido Citric Power 200ml Desengraxante Kit 2un</t>
        </is>
      </c>
      <c r="E285" s="359" t="n"/>
      <c r="F285" s="359" t="n">
        <v>29.9</v>
      </c>
      <c r="G285" s="321">
        <f>F285*19%</f>
        <v/>
      </c>
      <c r="H285" s="322" t="n">
        <v>-0.91</v>
      </c>
      <c r="I285" s="331" t="n">
        <v>6.85</v>
      </c>
      <c r="J285" s="321">
        <f>F285*18%</f>
        <v/>
      </c>
      <c r="K285" s="366" t="n">
        <v>0</v>
      </c>
      <c r="L285" s="366" t="n">
        <v>0</v>
      </c>
      <c r="M285" s="1120">
        <f>0.72*2</f>
        <v/>
      </c>
      <c r="N285" s="1120">
        <f>(G285+I285) * (9.25%)</f>
        <v/>
      </c>
      <c r="O285" s="121">
        <f>5.99*2</f>
        <v/>
      </c>
      <c r="P285" s="447">
        <f>(F285 - (G285+I285+O285+(J285+K285+L285))) - (H285-M285-N285)</f>
        <v/>
      </c>
      <c r="Q285" s="1328">
        <f>P285/F285</f>
        <v/>
      </c>
      <c r="R285" s="579" t="n"/>
      <c r="S285" s="33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</row>
    <row r="286" ht="18.75" customHeight="1" s="1349">
      <c r="A286" s="310" t="inlineStr">
        <is>
          <t>6210915110</t>
        </is>
      </c>
      <c r="B286" s="402" t="n">
        <v>10034034168140</v>
      </c>
      <c r="C286" s="331" t="inlineStr">
        <is>
          <t>Irwin</t>
        </is>
      </c>
      <c r="D286" s="404" t="inlineStr">
        <is>
          <t>Kit 6 Lápis De Carpinteiro Marcação Profissional Marceneiro</t>
        </is>
      </c>
      <c r="E286" s="359" t="n"/>
      <c r="F286" s="359" t="n">
        <v>22.21</v>
      </c>
      <c r="G286" s="321">
        <f>F286*12%</f>
        <v/>
      </c>
      <c r="H286" s="322" t="n">
        <v>-0.6899999999999999</v>
      </c>
      <c r="I286" s="331" t="n">
        <v>6.65</v>
      </c>
      <c r="J286" s="321">
        <f>F286*18%</f>
        <v/>
      </c>
      <c r="K286" s="321">
        <f>(F286-J286)*1.65%</f>
        <v/>
      </c>
      <c r="L286" s="321">
        <f>(F286-J286)*7.6%</f>
        <v/>
      </c>
      <c r="M286" s="1120">
        <f>0.35*6</f>
        <v/>
      </c>
      <c r="N286" s="1120">
        <f>(G286+I286) * (9.25%)</f>
        <v/>
      </c>
      <c r="O286" s="121">
        <f>1.37*6</f>
        <v/>
      </c>
      <c r="P286" s="447">
        <f>(F286 - (G286+I286+O286+(J286+K286+L286))) - (H286-M286-N286)</f>
        <v/>
      </c>
      <c r="Q286" s="1328">
        <f>P286/F286</f>
        <v/>
      </c>
      <c r="R286" s="579" t="n"/>
      <c r="S286" s="33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</row>
    <row r="287" ht="18.75" customHeight="1" s="1349">
      <c r="A287" s="356" t="inlineStr">
        <is>
          <t>7594600672547830</t>
        </is>
      </c>
      <c r="B287" s="317" t="n">
        <v>10034034167487</v>
      </c>
      <c r="C287" s="331" t="inlineStr">
        <is>
          <t>ÂNCORA</t>
        </is>
      </c>
      <c r="D287" s="1310" t="inlineStr">
        <is>
          <t>Kit Tela De Alvenaria + Pino Liso 1/4x28 + Fincapino Am27 TEL120</t>
        </is>
      </c>
      <c r="E287" s="320" t="n"/>
      <c r="F287" s="320" t="n">
        <v>320</v>
      </c>
      <c r="G287" s="321">
        <f>F287*12%</f>
        <v/>
      </c>
      <c r="H287" s="322" t="n"/>
      <c r="I287" s="1310" t="n">
        <v>49.35</v>
      </c>
      <c r="J287" s="321">
        <f>F287*18%</f>
        <v/>
      </c>
      <c r="K287" s="321">
        <f>(F287-J287)*1.65%</f>
        <v/>
      </c>
      <c r="L287" s="321">
        <f>(F287-J287)*7.6%</f>
        <v/>
      </c>
      <c r="M287" s="1120">
        <f>11.59 + (1.37 + 3.86)</f>
        <v/>
      </c>
      <c r="N287" s="1120">
        <f>(G287+I287) * (9.25%)</f>
        <v/>
      </c>
      <c r="O287" s="708">
        <f>90.88 + (14.27 + 31.95)</f>
        <v/>
      </c>
      <c r="P287" s="447">
        <f>(F287 - (G287+I287+O287+(J287+K287+L287))) - (H287-M287-N287)</f>
        <v/>
      </c>
      <c r="Q287" s="328">
        <f>P287/F287</f>
        <v/>
      </c>
      <c r="R287" s="421" t="inlineStr">
        <is>
          <t>Ativo</t>
        </is>
      </c>
      <c r="S287" s="33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</row>
    <row r="288" ht="18.75" customHeight="1" s="1349">
      <c r="A288" s="310" t="inlineStr">
        <is>
          <t>4320494223</t>
        </is>
      </c>
      <c r="B288" s="402" t="n">
        <v>10034034167850</v>
      </c>
      <c r="C288" s="318" t="inlineStr">
        <is>
          <t>Danny</t>
        </is>
      </c>
      <c r="D288" s="404" t="inlineStr">
        <is>
          <t>Luva Algodão Látex Térmica Gladiador Vulcanizada Reforçada</t>
        </is>
      </c>
      <c r="E288" s="359" t="n"/>
      <c r="F288" s="359" t="n">
        <v>21.44</v>
      </c>
      <c r="G288" s="321">
        <f>F288*12%</f>
        <v/>
      </c>
      <c r="H288" s="322" t="n">
        <v>-0.35</v>
      </c>
      <c r="I288" s="331" t="n">
        <v>6.65</v>
      </c>
      <c r="J288" s="321">
        <f>F288*18%</f>
        <v/>
      </c>
      <c r="K288" s="321">
        <f>(F288-J288)*1.65%</f>
        <v/>
      </c>
      <c r="L288" s="321">
        <f>(F288-J288)*7.6%</f>
        <v/>
      </c>
      <c r="M288" s="1120" t="n">
        <v>0.67</v>
      </c>
      <c r="N288" s="1120">
        <f>(G288+I288) * (9.25%)</f>
        <v/>
      </c>
      <c r="O288" s="121" t="n">
        <v>6.04</v>
      </c>
      <c r="P288" s="447">
        <f>(F288 - (G288+I288+O288+(J288+K288+L288))) - (H288-M288-N288)</f>
        <v/>
      </c>
      <c r="Q288" s="1328">
        <f>P288/F288</f>
        <v/>
      </c>
      <c r="R288" s="579" t="n"/>
      <c r="S288" s="33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</row>
    <row r="289" ht="18.75" customHeight="1" s="1349">
      <c r="A289" s="310" t="inlineStr">
        <is>
          <t>4341280901</t>
        </is>
      </c>
      <c r="B289" s="402" t="n">
        <v>10034034167971</v>
      </c>
      <c r="C289" s="318" t="inlineStr">
        <is>
          <t>Koretech</t>
        </is>
      </c>
      <c r="D289" s="404" t="inlineStr">
        <is>
          <t>Kit 10 Rolo Fita Adesiva Transparente 45mm X 100m Reforçada</t>
        </is>
      </c>
      <c r="E289" s="359" t="n"/>
      <c r="F289" s="359" t="n">
        <v>63.91</v>
      </c>
      <c r="G289" s="321">
        <f>F289*11.5%</f>
        <v/>
      </c>
      <c r="H289" s="322" t="n">
        <v>-3.83</v>
      </c>
      <c r="I289" s="331" t="n">
        <v>8.550000000000001</v>
      </c>
      <c r="J289" s="321">
        <f>F289*18%</f>
        <v/>
      </c>
      <c r="K289" s="321">
        <f>(F289-J289)*1.65%</f>
        <v/>
      </c>
      <c r="L289" s="321">
        <f>(F289-J289)*7.6%</f>
        <v/>
      </c>
      <c r="M289" s="1120">
        <f>1.01*10</f>
        <v/>
      </c>
      <c r="N289" s="1120">
        <f>(G289+I289) * (9.25%)</f>
        <v/>
      </c>
      <c r="O289" s="121">
        <f>3.94*10</f>
        <v/>
      </c>
      <c r="P289" s="447">
        <f>(F289 - (G289+I289+O289+(J289+K289+L289))) - (H289-M289-N289)</f>
        <v/>
      </c>
      <c r="Q289" s="1328">
        <f>P289/F289</f>
        <v/>
      </c>
      <c r="R289" s="579" t="n"/>
      <c r="S289" s="33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</row>
    <row r="290" ht="18.75" customHeight="1" s="1349">
      <c r="A290" s="316" t="inlineStr">
        <is>
          <t>7594600672547830</t>
        </is>
      </c>
      <c r="B290" s="317" t="n">
        <v>10034034167489</v>
      </c>
      <c r="C290" s="331" t="inlineStr">
        <is>
          <t>ÂNCORA</t>
        </is>
      </c>
      <c r="D290" s="1310" t="inlineStr">
        <is>
          <t>Kit Tela De Alvenaria + Pino Liso 1/4x28 + Fincapino Am27 TEL105</t>
        </is>
      </c>
      <c r="E290" s="320" t="n"/>
      <c r="F290" s="320" t="n">
        <v>287.13</v>
      </c>
      <c r="G290" s="321">
        <f>F290*12%</f>
        <v/>
      </c>
      <c r="H290" s="322" t="n">
        <v>-7.48</v>
      </c>
      <c r="I290" s="1310" t="n">
        <v>48.05</v>
      </c>
      <c r="J290" s="321">
        <f>F290*18%</f>
        <v/>
      </c>
      <c r="K290" s="321">
        <f>(F290-J290)*1.65%</f>
        <v/>
      </c>
      <c r="L290" s="321">
        <f>(F290-J290)*7.6%</f>
        <v/>
      </c>
      <c r="M290" s="1120">
        <f>10.44 + (1.37 + 3.86)</f>
        <v/>
      </c>
      <c r="N290" s="1120">
        <f>(G290+I290) * (9.25%)</f>
        <v/>
      </c>
      <c r="O290" s="708">
        <f>81.05  + (14.27 + 31.95)</f>
        <v/>
      </c>
      <c r="P290" s="447">
        <f>(F290 - (G290+I290+O290+(J290+K290+L290))) - (H290-M290-N290)</f>
        <v/>
      </c>
      <c r="Q290" s="328">
        <f>P290/F290</f>
        <v/>
      </c>
      <c r="R290" s="501" t="inlineStr">
        <is>
          <t>sem estoque</t>
        </is>
      </c>
      <c r="S290" s="33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</row>
    <row r="291" ht="18.75" customHeight="1" s="1349">
      <c r="A291" s="310" t="inlineStr">
        <is>
          <t>3848173895</t>
        </is>
      </c>
      <c r="B291" s="402" t="n">
        <v>10034034167210</v>
      </c>
      <c r="C291" s="331" t="inlineStr">
        <is>
          <t>ÂNCORA</t>
        </is>
      </c>
      <c r="D291" s="404" t="inlineStr">
        <is>
          <t>Limpador De Furos Manual Portátil Soprador Ancoragem Química</t>
        </is>
      </c>
      <c r="E291" s="359" t="n"/>
      <c r="F291" s="359" t="n">
        <v>109.9</v>
      </c>
      <c r="G291" s="321">
        <f>F291*12%</f>
        <v/>
      </c>
      <c r="H291" s="296" t="n"/>
      <c r="I291" s="331" t="n">
        <v>16.15</v>
      </c>
      <c r="J291" s="321">
        <f>F291*18%</f>
        <v/>
      </c>
      <c r="K291" s="321">
        <f>(F291-J291)*1.65%</f>
        <v/>
      </c>
      <c r="L291" s="321">
        <f>(F291-J291)*7.6%</f>
        <v/>
      </c>
      <c r="M291" s="1120" t="n">
        <v>5.96</v>
      </c>
      <c r="N291" s="1120">
        <f>(G291+I291) * (9.25%)</f>
        <v/>
      </c>
      <c r="O291" s="121" t="n">
        <v>47.8</v>
      </c>
      <c r="P291" s="447">
        <f>(F291 - (G291+I291+O291+(J291+K291+L291))) - (H291-M291-N291)</f>
        <v/>
      </c>
      <c r="Q291" s="1328">
        <f>P291/F291</f>
        <v/>
      </c>
      <c r="R291" s="579" t="n"/>
      <c r="S291" s="33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</row>
    <row r="292" ht="18.75" customHeight="1" s="1349">
      <c r="A292" s="316" t="inlineStr">
        <is>
          <t>3705409586</t>
        </is>
      </c>
      <c r="B292" s="493" t="n">
        <v>70031099</v>
      </c>
      <c r="C292" s="318" t="inlineStr">
        <is>
          <t>Plastcor</t>
        </is>
      </c>
      <c r="D292" s="1310" t="inlineStr">
        <is>
          <t>Respirador 1/4 Semifacial + Filtro Vo/ga Plastcor Ca39428</t>
        </is>
      </c>
      <c r="E292" s="320" t="n"/>
      <c r="F292" s="320" t="n">
        <v>29.67</v>
      </c>
      <c r="G292" s="321">
        <f>F292*12%</f>
        <v/>
      </c>
      <c r="H292" s="322" t="n">
        <v>-0.63</v>
      </c>
      <c r="I292" s="331" t="n">
        <v>6.65</v>
      </c>
      <c r="J292" s="321">
        <f>F292*18%</f>
        <v/>
      </c>
      <c r="K292" s="321">
        <f>(F292-J292)*1.65%</f>
        <v/>
      </c>
      <c r="L292" s="321">
        <f>(F292-J292)*7.6%</f>
        <v/>
      </c>
      <c r="M292" s="1120" t="n">
        <v>3.37</v>
      </c>
      <c r="N292" s="1120">
        <f>(G292+I292) * (9.25%)</f>
        <v/>
      </c>
      <c r="O292" s="197" t="n">
        <v>13.18</v>
      </c>
      <c r="P292" s="447">
        <f>(F292 - (G292+I292+O292+(J292+K292+L292))) - (H292-M292-N292)</f>
        <v/>
      </c>
      <c r="Q292" s="328">
        <f>P292/F292</f>
        <v/>
      </c>
      <c r="R292" s="579" t="n"/>
      <c r="S292" s="33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</row>
    <row r="293" ht="18.75" customHeight="1" s="1349">
      <c r="A293" s="310" t="inlineStr">
        <is>
          <t>6210901126</t>
        </is>
      </c>
      <c r="B293" s="402" t="n">
        <v>10034034168138</v>
      </c>
      <c r="C293" s="331" t="inlineStr">
        <is>
          <t>Irwin</t>
        </is>
      </c>
      <c r="D293" s="404" t="inlineStr">
        <is>
          <t>10 Lápis Carpinteiro Marcação Madeira Marcenaria Pedreiro</t>
        </is>
      </c>
      <c r="E293" s="359" t="n"/>
      <c r="F293" s="499" t="n">
        <v>30.4</v>
      </c>
      <c r="G293" s="321">
        <f>F293*12%</f>
        <v/>
      </c>
      <c r="H293" s="831" t="n"/>
      <c r="I293" s="331" t="n">
        <v>6.65</v>
      </c>
      <c r="J293" s="321">
        <f>F293*18%</f>
        <v/>
      </c>
      <c r="K293" s="321">
        <f>(F293-J293)*1.65%</f>
        <v/>
      </c>
      <c r="L293" s="321">
        <f>(F293-J293)*7.6%</f>
        <v/>
      </c>
      <c r="M293" s="1120">
        <f>0.35*10</f>
        <v/>
      </c>
      <c r="N293" s="1120">
        <f>(G293+I293) * (9.25%)</f>
        <v/>
      </c>
      <c r="O293" s="121">
        <f>1.37*10</f>
        <v/>
      </c>
      <c r="P293" s="447">
        <f>(F293 - (G293+I293+O293+(J293+K293+L293))) - (H293-M293-N293)</f>
        <v/>
      </c>
      <c r="Q293" s="1328">
        <f>P293/F293</f>
        <v/>
      </c>
      <c r="R293" s="579" t="n"/>
      <c r="S293" s="33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</row>
    <row r="294" ht="18.75" customHeight="1" s="1349">
      <c r="A294" s="356" t="inlineStr">
        <is>
          <t>6392028364</t>
        </is>
      </c>
      <c r="B294" s="264" t="n">
        <v>10034034168195</v>
      </c>
      <c r="C294" s="331" t="inlineStr">
        <is>
          <t>ÂNCORA</t>
        </is>
      </c>
      <c r="D294" s="1310" t="inlineStr">
        <is>
          <t>Kit 3 Chumbador Pba 1/2 X 4 10cm C/ Porca E Arruela Parabolt</t>
        </is>
      </c>
      <c r="E294" s="320" t="n"/>
      <c r="F294" s="320" t="n">
        <v>24.73</v>
      </c>
      <c r="G294" s="321">
        <f>F294*17%</f>
        <v/>
      </c>
      <c r="H294" s="322" t="n">
        <v>-0.77</v>
      </c>
      <c r="I294" s="331" t="n">
        <v>6.55</v>
      </c>
      <c r="J294" s="321">
        <f>F294*18%</f>
        <v/>
      </c>
      <c r="K294" s="321">
        <f>(F294-J294)*1.65%</f>
        <v/>
      </c>
      <c r="L294" s="321">
        <f>(F294-J294)*7.6%</f>
        <v/>
      </c>
      <c r="M294" s="1120">
        <f>0.21*3</f>
        <v/>
      </c>
      <c r="N294" s="1120">
        <f>(G294+I294) * (9.25%)</f>
        <v/>
      </c>
      <c r="O294" s="708">
        <f>1.74*4</f>
        <v/>
      </c>
      <c r="P294" s="447">
        <f>(F294 - (G294+I294+O294+(J294+K294+L294))) - (H294-M294-N294)</f>
        <v/>
      </c>
      <c r="Q294" s="328">
        <f>P294/F294</f>
        <v/>
      </c>
      <c r="R294" s="421" t="inlineStr">
        <is>
          <t>Ativo</t>
        </is>
      </c>
      <c r="S294" s="33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</row>
    <row r="295" ht="18.75" customHeight="1" s="1349">
      <c r="A295" s="316" t="inlineStr">
        <is>
          <t>3346096201</t>
        </is>
      </c>
      <c r="B295" s="317" t="n">
        <v>299</v>
      </c>
      <c r="C295" s="331" t="inlineStr">
        <is>
          <t>VOLK</t>
        </is>
      </c>
      <c r="D295" s="1310" t="inlineStr">
        <is>
          <t>Macacão Proteção Pintura Quimico Impermeável C/ Capuz Volk</t>
        </is>
      </c>
      <c r="E295" s="320" t="n"/>
      <c r="F295" s="320" t="n">
        <v>23.9</v>
      </c>
      <c r="G295" s="321">
        <f>F295*14%</f>
        <v/>
      </c>
      <c r="H295" s="322" t="n"/>
      <c r="I295" s="331">
        <f>IFS(
  F295&lt;12.5, F295/2,
  F295&lt;29, 6.25,
  F295&lt;50, 6.5,
  F295&lt;=79, 6.75,
  TRUE, 25
)</f>
        <v/>
      </c>
      <c r="J295" s="321">
        <f>F295*18%</f>
        <v/>
      </c>
      <c r="K295" s="321">
        <f>(F295-J295)*1.65%</f>
        <v/>
      </c>
      <c r="L295" s="321">
        <f>(F295-J295)*7.6%</f>
        <v/>
      </c>
      <c r="M295" s="1120" t="n">
        <v>0.9</v>
      </c>
      <c r="N295" s="1120">
        <f>(G295+I295) * (9.25%)</f>
        <v/>
      </c>
      <c r="O295" s="708" t="n">
        <v>6.99</v>
      </c>
      <c r="P295" s="447">
        <f>(F295 - (G295+I295+O295+(J295+K295+L295))) - (H295-M295-N295)</f>
        <v/>
      </c>
      <c r="Q295" s="328">
        <f>P295/F295</f>
        <v/>
      </c>
      <c r="R295" s="421" t="inlineStr">
        <is>
          <t>Ativo</t>
        </is>
      </c>
      <c r="S295" s="33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</row>
    <row r="296" ht="18.75" customHeight="1" s="1349">
      <c r="A296" s="406" t="inlineStr">
        <is>
          <t>5716106300</t>
        </is>
      </c>
      <c r="B296" s="1100" t="n">
        <v>10034034167586</v>
      </c>
      <c r="C296" s="318" t="inlineStr">
        <is>
          <t>TekBond</t>
        </is>
      </c>
      <c r="D296" s="290" t="inlineStr">
        <is>
          <t>Silicone Acético Selante Cinza Tekbond Alta Temperatura 3un</t>
        </is>
      </c>
      <c r="E296" s="499" t="n"/>
      <c r="F296" s="499" t="n">
        <v>69</v>
      </c>
      <c r="G296" s="321">
        <f>F296*16.5%</f>
        <v/>
      </c>
      <c r="H296" s="296" t="n"/>
      <c r="I296" s="331">
        <f>IFS(
F296&lt;12.5, F296/2,
F296&lt;29, 6.25,
F296&lt;50, 6.5,
F296&lt;=79, 6.75,
TRUE, 
25)</f>
        <v/>
      </c>
      <c r="J296" s="321">
        <f>F296*18%</f>
        <v/>
      </c>
      <c r="K296" s="321">
        <f>(F296-J296)*1.65%</f>
        <v/>
      </c>
      <c r="L296" s="321">
        <f>(F296-J296)*7.6%</f>
        <v/>
      </c>
      <c r="M296" s="1120">
        <f>2.99*3</f>
        <v/>
      </c>
      <c r="N296" s="1120">
        <f>(G296+I296) * (9.25%)</f>
        <v/>
      </c>
      <c r="O296" s="121">
        <f>11.7*3</f>
        <v/>
      </c>
      <c r="P296" s="447">
        <f>(F296 - (G296+I296+O296+(J296+K296+L296))) - (H296-M296-N296)</f>
        <v/>
      </c>
      <c r="Q296" s="328">
        <f>P296/F296</f>
        <v/>
      </c>
      <c r="R296" s="579" t="n"/>
      <c r="S296" s="33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</row>
    <row r="297" ht="18.75" customHeight="1" s="1349">
      <c r="A297" s="316" t="inlineStr">
        <is>
          <t>4023701650</t>
        </is>
      </c>
      <c r="B297" s="317" t="n">
        <v>10034034166354</v>
      </c>
      <c r="C297" s="318" t="inlineStr">
        <is>
          <t>VOLK</t>
        </is>
      </c>
      <c r="D297" s="1310" t="inlineStr">
        <is>
          <t>Luva De Pedreiro Tricotada Pigmentada Reforçada Reforma 12un</t>
        </is>
      </c>
      <c r="E297" s="320" t="n"/>
      <c r="F297" s="320" t="n">
        <v>39.99</v>
      </c>
      <c r="G297" s="321">
        <f>F297*12%</f>
        <v/>
      </c>
      <c r="H297" s="322" t="n"/>
      <c r="I297" s="331" t="n">
        <v>6.85</v>
      </c>
      <c r="J297" s="321">
        <f>F297*18%</f>
        <v/>
      </c>
      <c r="K297" s="321">
        <f>(F297-J297)*1.65%</f>
        <v/>
      </c>
      <c r="L297" s="321">
        <f>(F297-J297)*7.6%</f>
        <v/>
      </c>
      <c r="M297" s="1120">
        <f>0.17461*12</f>
        <v/>
      </c>
      <c r="N297" s="1120">
        <f>(G297+I297) * (9.25%)</f>
        <v/>
      </c>
      <c r="O297" s="708" t="n">
        <v>16.2</v>
      </c>
      <c r="P297" s="447">
        <f>(F297 - (G297+I297+O297+(J297+K297+L297))) - (H297-M297-N297)</f>
        <v/>
      </c>
      <c r="Q297" s="328">
        <f>P297/F297</f>
        <v/>
      </c>
      <c r="R297" s="484" t="inlineStr">
        <is>
          <t>Ativo</t>
        </is>
      </c>
      <c r="S297" s="330" t="n"/>
      <c r="T297" s="579" t="n"/>
      <c r="U297" s="579" t="n"/>
      <c r="V297" s="579" t="n"/>
      <c r="W297" s="579" t="n"/>
      <c r="X297" s="579" t="n"/>
      <c r="Y297" s="579" t="n"/>
      <c r="Z297" s="579" t="n"/>
      <c r="AA297" s="579" t="n"/>
      <c r="AB297" s="579" t="n"/>
      <c r="AC297" s="579" t="n"/>
      <c r="AD297" s="579" t="n"/>
      <c r="AE297" s="579" t="n"/>
      <c r="AF297" s="579" t="n"/>
      <c r="AG297" s="579" t="n"/>
    </row>
    <row r="298" ht="18.75" customHeight="1" s="1349">
      <c r="A298" s="406" t="inlineStr">
        <is>
          <t>5665202652</t>
        </is>
      </c>
      <c r="B298" s="1100" t="n">
        <v>10034034167556</v>
      </c>
      <c r="C298" s="318" t="inlineStr">
        <is>
          <t>Nutriex</t>
        </is>
      </c>
      <c r="D298" s="404" t="inlineStr">
        <is>
          <t>Protetor Solar Fps 60 Kids Minions Infantil Diversão 120ml</t>
        </is>
      </c>
      <c r="E298" s="359" t="n"/>
      <c r="F298" s="499" t="n">
        <v>35.27</v>
      </c>
      <c r="G298" s="321">
        <f>F298*14%</f>
        <v/>
      </c>
      <c r="H298" s="124" t="n">
        <v>-0.97</v>
      </c>
      <c r="I298" s="331">
        <f>IFS(
  F298&lt;12.5, F298/2,
  F298&lt;29, 6.25,
  F298&lt;50, 6.5,
  F298&lt;=79, 6.75,
  TRUE, 25
)</f>
        <v/>
      </c>
      <c r="J298" s="321">
        <f>F298*18%</f>
        <v/>
      </c>
      <c r="K298" s="366" t="n">
        <v>0</v>
      </c>
      <c r="L298" s="366" t="n">
        <v>0</v>
      </c>
      <c r="M298" s="1120" t="n">
        <v>2.04</v>
      </c>
      <c r="N298" s="1120">
        <f>(G298+I298) * (9.25%)</f>
        <v/>
      </c>
      <c r="O298" s="121" t="n">
        <v>16.99</v>
      </c>
      <c r="P298" s="447">
        <f>(F298 - (G298+I298+O298+(J298+K298+L298))) - (H298-M298-N298)</f>
        <v/>
      </c>
      <c r="Q298" s="328">
        <f>P298/F298</f>
        <v/>
      </c>
      <c r="R298" s="421" t="inlineStr">
        <is>
          <t>Ativo</t>
        </is>
      </c>
      <c r="S298" s="330" t="n"/>
      <c r="T298" s="579" t="n"/>
      <c r="U298" s="579" t="n"/>
      <c r="V298" s="579" t="n"/>
      <c r="W298" s="579" t="n"/>
      <c r="X298" s="579" t="n"/>
      <c r="Y298" s="579" t="n"/>
      <c r="Z298" s="579" t="n"/>
      <c r="AA298" s="579" t="n"/>
      <c r="AB298" s="579" t="n"/>
      <c r="AC298" s="579" t="n"/>
      <c r="AD298" s="579" t="n"/>
      <c r="AE298" s="579" t="n"/>
      <c r="AF298" s="579" t="n"/>
      <c r="AG298" s="579" t="n"/>
    </row>
    <row r="299" ht="18.75" customHeight="1" s="1349">
      <c r="A299" s="316" t="inlineStr">
        <is>
          <t>7594600672547830</t>
        </is>
      </c>
      <c r="B299" s="317" t="n">
        <v>10034034167486</v>
      </c>
      <c r="C299" s="331" t="inlineStr">
        <is>
          <t>ÂNCORA</t>
        </is>
      </c>
      <c r="D299" s="1310" t="inlineStr">
        <is>
          <t>Kit Tela De Alvenaria + Pino Liso 1/4x28 + Fincapino Am27 TEL60(100)</t>
        </is>
      </c>
      <c r="E299" s="320" t="n"/>
      <c r="F299" s="320" t="n">
        <v>258.02</v>
      </c>
      <c r="G299" s="321">
        <f>F299*12%</f>
        <v/>
      </c>
      <c r="H299" s="322" t="n">
        <v>-7.98</v>
      </c>
      <c r="I299" s="331" t="n">
        <v>49.35</v>
      </c>
      <c r="J299" s="321">
        <f>F299*18%</f>
        <v/>
      </c>
      <c r="K299" s="321">
        <f>(F299-J299)*1.65%</f>
        <v/>
      </c>
      <c r="L299" s="321">
        <f>(F299-J299)*7.6%</f>
        <v/>
      </c>
      <c r="M299" s="1120">
        <f>15.33/2 + (1.37 + 3.86)</f>
        <v/>
      </c>
      <c r="N299" s="1120">
        <f>(G299+I299) * (9.25%)</f>
        <v/>
      </c>
      <c r="O299" s="708">
        <f>(119.56/2) + (14.27 + 31.95)</f>
        <v/>
      </c>
      <c r="P299" s="447">
        <f>(F299 - (G299+I299+O299+(J299+K299+L299))) - (H299-M299-N299)</f>
        <v/>
      </c>
      <c r="Q299" s="328">
        <f>P299/F299</f>
        <v/>
      </c>
      <c r="R299" s="463" t="inlineStr">
        <is>
          <t>Ativo</t>
        </is>
      </c>
      <c r="S299" s="33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</row>
    <row r="300" ht="18.75" customHeight="1" s="1349">
      <c r="A300" s="310" t="inlineStr">
        <is>
          <t>5926598592</t>
        </is>
      </c>
      <c r="B300" s="402" t="inlineStr">
        <is>
          <t>F190430</t>
        </is>
      </c>
      <c r="C300" s="318" t="inlineStr">
        <is>
          <t>ÂNCORA</t>
        </is>
      </c>
      <c r="D300" s="404" t="inlineStr">
        <is>
          <t>Fita Perfurada Aço Galvanizado Fixação Tubulação 19mm X 30m</t>
        </is>
      </c>
      <c r="E300" s="359" t="n"/>
      <c r="F300" s="359" t="n">
        <v>46.58</v>
      </c>
      <c r="G300" s="321">
        <f>F300*12%</f>
        <v/>
      </c>
      <c r="H300" s="322" t="n">
        <v>-1.44</v>
      </c>
      <c r="I300" s="331" t="n">
        <v>6.85</v>
      </c>
      <c r="J300" s="321">
        <f>F300*18%</f>
        <v/>
      </c>
      <c r="K300" s="321">
        <f>(F300-J300)*1.65%</f>
        <v/>
      </c>
      <c r="L300" s="321">
        <f>(F300-J300)*7.6%</f>
        <v/>
      </c>
      <c r="M300" s="1120">
        <f>2.66*1</f>
        <v/>
      </c>
      <c r="N300" s="1120">
        <f>(G300+I300) * (9.25%)</f>
        <v/>
      </c>
      <c r="O300" s="121">
        <f>21.32*1</f>
        <v/>
      </c>
      <c r="P300" s="447">
        <f>(F300 - (G300+I300+O300+(J300+K300+L300))) - (H300-M300-N300)</f>
        <v/>
      </c>
      <c r="Q300" s="1328">
        <f>P300/F300</f>
        <v/>
      </c>
      <c r="R300" s="579" t="n"/>
      <c r="S300" s="806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</row>
    <row r="301" ht="18.75" customHeight="1" s="1349">
      <c r="A301" s="316" t="inlineStr">
        <is>
          <t>3990218859 6595015714</t>
        </is>
      </c>
      <c r="B301" s="317" t="inlineStr">
        <is>
          <t>800100P</t>
        </is>
      </c>
      <c r="C301" s="318" t="inlineStr">
        <is>
          <t>Camper</t>
        </is>
      </c>
      <c r="D301" s="1310" t="inlineStr">
        <is>
          <t>Capacete De Segurança Branco Jugular Obra Proteção Trabalho</t>
        </is>
      </c>
      <c r="E301" s="320" t="n"/>
      <c r="F301" s="320" t="n">
        <v>24.9</v>
      </c>
      <c r="G301" s="321">
        <f>F301*17%</f>
        <v/>
      </c>
      <c r="H301" s="322" t="n">
        <v>-1.49</v>
      </c>
      <c r="I301" s="331" t="n">
        <v>6.95</v>
      </c>
      <c r="J301" s="321">
        <f>F301*18%</f>
        <v/>
      </c>
      <c r="K301" s="321">
        <f>(F301-J301)*1.65%</f>
        <v/>
      </c>
      <c r="L301" s="321">
        <f>(F301-J301)*7.6%</f>
        <v/>
      </c>
      <c r="M301" s="1120" t="n">
        <v>1.66</v>
      </c>
      <c r="N301" s="1120">
        <f>(G301+I301) * (9.25%)</f>
        <v/>
      </c>
      <c r="O301" s="708" t="n">
        <v>8.24</v>
      </c>
      <c r="P301" s="447">
        <f>(F301 - (G301+I301+O301+(J301+K301+L301))) - (H301-M301-N301)</f>
        <v/>
      </c>
      <c r="Q301" s="328">
        <f>P301/F301</f>
        <v/>
      </c>
      <c r="R301" s="463" t="inlineStr">
        <is>
          <t>Ativo</t>
        </is>
      </c>
      <c r="S301" s="855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</row>
    <row r="302" ht="18.75" customHeight="1" s="1349">
      <c r="A302" s="310" t="inlineStr">
        <is>
          <t>4097684635</t>
        </is>
      </c>
      <c r="B302" s="402" t="n">
        <v>10034034168089</v>
      </c>
      <c r="C302" s="318" t="inlineStr">
        <is>
          <t>VOLK</t>
        </is>
      </c>
      <c r="D302" s="404" t="inlineStr">
        <is>
          <t>Kit 50 Mangote Manga Plástica Com Elástico Descartável 50cm</t>
        </is>
      </c>
      <c r="E302" s="320" t="n"/>
      <c r="F302" s="320" t="n">
        <v>29.49</v>
      </c>
      <c r="G302" s="321">
        <f>F302*12%</f>
        <v/>
      </c>
      <c r="H302" s="322" t="n">
        <v>-0.91</v>
      </c>
      <c r="I302" s="331" t="n">
        <v>6.55</v>
      </c>
      <c r="J302" s="321">
        <f>F302*18%</f>
        <v/>
      </c>
      <c r="K302" s="321">
        <f>(F302-J302)*1.65%</f>
        <v/>
      </c>
      <c r="L302" s="321">
        <f>(F302-J302)*7.6%</f>
        <v/>
      </c>
      <c r="M302" s="503" t="n">
        <v>1.39</v>
      </c>
      <c r="N302" s="503">
        <f>(G302+I302) * (9.25%)</f>
        <v/>
      </c>
      <c r="O302" s="121" t="n">
        <v>11.18</v>
      </c>
      <c r="P302" s="447">
        <f>(F302 - (G302+I302+O302+(J302+K302+L302))) - (H302-M302-N302)</f>
        <v/>
      </c>
      <c r="Q302" s="328">
        <f>P302/F302</f>
        <v/>
      </c>
      <c r="R302" s="421" t="inlineStr">
        <is>
          <t>Ativo</t>
        </is>
      </c>
      <c r="S302" s="33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</row>
    <row r="303" ht="18.75" customHeight="1" s="1349">
      <c r="A303" s="310" t="inlineStr">
        <is>
          <t>4424304023</t>
        </is>
      </c>
      <c r="B303" s="402" t="n">
        <v>10034034168114</v>
      </c>
      <c r="C303" s="331" t="inlineStr">
        <is>
          <t>ÂNCORA</t>
        </is>
      </c>
      <c r="D303" s="404" t="inlineStr">
        <is>
          <t>50 Unidades Bucha Nylon 8 Universal A8 Poliamida Sem Anel</t>
        </is>
      </c>
      <c r="E303" s="359" t="n"/>
      <c r="F303" s="499" t="n">
        <v>19</v>
      </c>
      <c r="G303" s="321">
        <f>F303*16.5%</f>
        <v/>
      </c>
      <c r="H303" s="322" t="n"/>
      <c r="I303" s="331">
        <f>IFS(
  F303&lt;12.5, F303/2,
  F303&lt;29, 6.25,
  F303&lt;50, 6.5,
  F303&lt;=79, 6.75,
  TRUE, 25
)</f>
        <v/>
      </c>
      <c r="J303" s="321">
        <f>F303*18%</f>
        <v/>
      </c>
      <c r="K303" s="321">
        <f>(F303-J303)*1.65%</f>
        <v/>
      </c>
      <c r="L303" s="321">
        <f>(F303-J303)*7.6%</f>
        <v/>
      </c>
      <c r="M303" s="357" t="n"/>
      <c r="N303" s="357">
        <f>(G303+I303) * (9.25%)</f>
        <v/>
      </c>
      <c r="O303" s="730">
        <f>6.91425/2</f>
        <v/>
      </c>
      <c r="P303" s="447">
        <f>(F303 - (G303+I303+O303+(J303+K303+L303))) - (H303-M303-N303)</f>
        <v/>
      </c>
      <c r="Q303" s="1328">
        <f>P303/F303</f>
        <v/>
      </c>
      <c r="R303" s="579" t="n"/>
      <c r="S303" s="33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</row>
    <row r="304" ht="18.75" customHeight="1" s="1349">
      <c r="A304" s="310" t="inlineStr">
        <is>
          <t>6111443022</t>
        </is>
      </c>
      <c r="B304" s="402" t="n">
        <v>10034034167610</v>
      </c>
      <c r="C304" s="331" t="n"/>
      <c r="D304" s="404" t="inlineStr">
        <is>
          <t>Luva Borracha Nitrílica Wave Reforçada Fibras Sintéticas Par</t>
        </is>
      </c>
      <c r="E304" s="359" t="n"/>
      <c r="F304" s="359" t="n">
        <v>19.9</v>
      </c>
      <c r="G304" s="321">
        <f>F304*17%</f>
        <v/>
      </c>
      <c r="H304" s="322" t="n">
        <v>-0.51</v>
      </c>
      <c r="I304" s="331">
        <f>IFS(
F304&lt;12.5, F304/2,
F304&lt;29, 6.25,
F304&lt;50, 6.5,
F304&lt;=79, 6.75,
TRUE, 
25)</f>
        <v/>
      </c>
      <c r="J304" s="321">
        <f>F304*18%</f>
        <v/>
      </c>
      <c r="K304" s="321">
        <f>(F304-J304)*1.65%</f>
        <v/>
      </c>
      <c r="L304" s="321">
        <f>(F304-J304)*7.6%</f>
        <v/>
      </c>
      <c r="M304" s="1120">
        <f>0.57*1</f>
        <v/>
      </c>
      <c r="N304" s="1120">
        <f>(G304+I304) * (9.25%)</f>
        <v/>
      </c>
      <c r="O304" s="786">
        <f>4.4*1</f>
        <v/>
      </c>
      <c r="P304" s="447">
        <f>(F304 - (G304+I304+O304+(J304+K304+L304))) - (H304-M304-N304)</f>
        <v/>
      </c>
      <c r="Q304" s="1328">
        <f>P304/F304</f>
        <v/>
      </c>
      <c r="R304" s="579" t="n"/>
      <c r="S304" s="33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</row>
    <row r="305" ht="18.75" customHeight="1" s="1349">
      <c r="A305" s="371" t="inlineStr">
        <is>
          <t>6021709586</t>
        </is>
      </c>
      <c r="B305" s="368" t="n">
        <v>10034034166368</v>
      </c>
      <c r="C305" s="369" t="inlineStr">
        <is>
          <t>Nutriex</t>
        </is>
      </c>
      <c r="D305" s="370" t="inlineStr">
        <is>
          <t>Repelente Spray 4h Profissional Proteção Longa Praia Viagem</t>
        </is>
      </c>
      <c r="E305" s="359" t="n"/>
      <c r="F305" s="359" t="n">
        <v>32.99</v>
      </c>
      <c r="G305" s="321">
        <f>F305*17.5%</f>
        <v/>
      </c>
      <c r="H305" s="322" t="n"/>
      <c r="I305" s="331" t="n">
        <v>7.85</v>
      </c>
      <c r="J305" s="321">
        <f>F305*18%</f>
        <v/>
      </c>
      <c r="K305" s="321">
        <f>(F305-J305)*1.65%</f>
        <v/>
      </c>
      <c r="L305" s="321">
        <f>(F305-J305)*7.6%</f>
        <v/>
      </c>
      <c r="M305" s="1120">
        <f>0.96*2</f>
        <v/>
      </c>
      <c r="N305" s="1120">
        <f>(G305+I305) * (9.25%)</f>
        <v/>
      </c>
      <c r="O305" s="121">
        <f>4.76*2</f>
        <v/>
      </c>
      <c r="P305" s="447">
        <f>(F305 - (G305+I305+O305+(J305+K305+L305))) - (H305-M305-N305)</f>
        <v/>
      </c>
      <c r="Q305" s="1328">
        <f>P305/F305</f>
        <v/>
      </c>
      <c r="R305" s="579" t="n"/>
      <c r="S305" s="33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</row>
    <row r="306" ht="18.75" customHeight="1" s="1349">
      <c r="A306" s="310" t="inlineStr">
        <is>
          <t>4432407831</t>
        </is>
      </c>
      <c r="B306" s="402" t="n">
        <v>10034034166794</v>
      </c>
      <c r="C306" s="331" t="inlineStr">
        <is>
          <t>ÂNCORA</t>
        </is>
      </c>
      <c r="D306" s="404" t="inlineStr">
        <is>
          <t>1000un Parafuso Dla13 Achatado Flangeada Zincado 4,2 X 13mm</t>
        </is>
      </c>
      <c r="E306" s="359" t="n"/>
      <c r="F306" s="359" t="n">
        <v>63.58</v>
      </c>
      <c r="G306" s="321">
        <f>F306*17%</f>
        <v/>
      </c>
      <c r="H306" s="322" t="n">
        <v>-1.96</v>
      </c>
      <c r="I306" s="331">
        <f>IFS(
  F306&lt;12.5, F306/2,
  F306&lt;29, 6.25,
  F306&lt;50, 6.5,
  F306&lt;=79, 6.75,
  TRUE, 25
)</f>
        <v/>
      </c>
      <c r="J306" s="321">
        <f>F306*18%</f>
        <v/>
      </c>
      <c r="K306" s="321">
        <f>(F306-J306)*1.65%</f>
        <v/>
      </c>
      <c r="L306" s="321">
        <f>(F306-J306)*7.6%</f>
        <v/>
      </c>
      <c r="M306" s="1120" t="n">
        <v>6.15</v>
      </c>
      <c r="N306" s="1120">
        <f>(G306+I306) * (9.25%)</f>
        <v/>
      </c>
      <c r="O306" s="730" t="n">
        <v>30.56</v>
      </c>
      <c r="P306" s="447">
        <f>(F306 - (G306+I306+O306+(J306+K306+L306))) - (H306-M306-N306)</f>
        <v/>
      </c>
      <c r="Q306" s="1328">
        <f>P306/F306</f>
        <v/>
      </c>
      <c r="R306" s="579" t="n"/>
      <c r="S306" s="33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</row>
    <row r="307" ht="18.75" customHeight="1" s="1349">
      <c r="A307" s="310" t="inlineStr">
        <is>
          <t>6068217692</t>
        </is>
      </c>
      <c r="B307" s="402" t="n">
        <v>10034034167095</v>
      </c>
      <c r="C307" s="318" t="inlineStr">
        <is>
          <t>EPI</t>
        </is>
      </c>
      <c r="D307" s="404" t="inlineStr">
        <is>
          <t>Bisnaga Silicone Acético Construção 50g Transparente Vedação</t>
        </is>
      </c>
      <c r="E307" s="359" t="n"/>
      <c r="F307" s="359" t="n">
        <v>19</v>
      </c>
      <c r="G307" s="321">
        <f>F307*16.5%</f>
        <v/>
      </c>
      <c r="H307" s="322" t="n"/>
      <c r="I307" s="331">
        <f>IFS(
F307&lt;12.5, F307/2,
F307&lt;29, 6.25,
F307&lt;50, 6.5,
F307&lt;=79, 6.75,
TRUE, 
25)</f>
        <v/>
      </c>
      <c r="J307" s="321">
        <f>F307*18%</f>
        <v/>
      </c>
      <c r="K307" s="321">
        <f>(F307-J307)*1.65%</f>
        <v/>
      </c>
      <c r="L307" s="321">
        <f>(F307-J307)*7.6%</f>
        <v/>
      </c>
      <c r="M307" s="1120">
        <f>1.02*1</f>
        <v/>
      </c>
      <c r="N307" s="1120">
        <f>(G307+I307) * (9.25%)</f>
        <v/>
      </c>
      <c r="O307" s="121">
        <f>3.97*1</f>
        <v/>
      </c>
      <c r="P307" s="447">
        <f>(F307 - (G307+I307+O307+(J307+K307+L307))) - (H307-M307-N307)</f>
        <v/>
      </c>
      <c r="Q307" s="1328">
        <f>P307/F307</f>
        <v/>
      </c>
      <c r="R307" s="579" t="n"/>
      <c r="S307" s="33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</row>
    <row r="308" ht="18.75" customHeight="1" s="1349">
      <c r="A308" s="356" t="inlineStr">
        <is>
          <t>5762841026</t>
        </is>
      </c>
      <c r="B308" s="264" t="n">
        <v>10034034167383</v>
      </c>
      <c r="C308" s="318" t="inlineStr">
        <is>
          <t>EPI</t>
        </is>
      </c>
      <c r="D308" s="1310" t="inlineStr">
        <is>
          <t>Kit 50 Chumbador Parabolt Pba 1/4 X 2.1/4 C/ Porca E Arruela</t>
        </is>
      </c>
      <c r="E308" s="320" t="n"/>
      <c r="F308" s="320" t="n">
        <v>55.9</v>
      </c>
      <c r="G308" s="321">
        <f>F308*14%</f>
        <v/>
      </c>
      <c r="H308" s="322" t="n">
        <v>-2.3</v>
      </c>
      <c r="I308" s="331" t="n">
        <v>8.050000000000001</v>
      </c>
      <c r="J308" s="321">
        <f>F308*18%</f>
        <v/>
      </c>
      <c r="K308" s="321">
        <f>(F308-J308)*1.65%</f>
        <v/>
      </c>
      <c r="L308" s="321">
        <f>(F308-J308)*7.6%</f>
        <v/>
      </c>
      <c r="M308" s="357">
        <f>0.06*50</f>
        <v/>
      </c>
      <c r="N308" s="357">
        <f>(G308+I308) * (9.25%)</f>
        <v/>
      </c>
      <c r="O308" s="1297">
        <f>0.49*50</f>
        <v/>
      </c>
      <c r="P308" s="447">
        <f>(F308 - (G308+I308+O308+(J308+K308+L308))) - (H308-M308-N308)</f>
        <v/>
      </c>
      <c r="Q308" s="328">
        <f>P308/F308</f>
        <v/>
      </c>
      <c r="R308" s="463" t="inlineStr">
        <is>
          <t>Ativo</t>
        </is>
      </c>
      <c r="S308" s="33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</row>
    <row r="309" ht="18.75" customHeight="1" s="1349">
      <c r="A309" s="402" t="n">
        <v>4353669603</v>
      </c>
      <c r="B309" s="432" t="n">
        <v>912304</v>
      </c>
      <c r="C309" s="318" t="inlineStr">
        <is>
          <t>Nutriex</t>
        </is>
      </c>
      <c r="D309" s="404" t="inlineStr">
        <is>
          <t>Spray Repelente Corporal Insetos Mosquitos Pernilongos 10hrs</t>
        </is>
      </c>
      <c r="E309" s="359" t="n"/>
      <c r="F309" s="359" t="n">
        <v>19</v>
      </c>
      <c r="G309" s="321">
        <f>F309*17.5%</f>
        <v/>
      </c>
      <c r="H309" s="322" t="n">
        <v>-1.1</v>
      </c>
      <c r="I309" s="331">
        <f>IFS(
  F309&lt;12.5, F309/2,
  F309&lt;29, 6.25,
  F309&lt;50, 6.5,
  F309&lt;=79, 6.75,
  TRUE, 25
)</f>
        <v/>
      </c>
      <c r="J309" s="321">
        <f>F309*18%</f>
        <v/>
      </c>
      <c r="K309" s="321">
        <f>(F309-J309)*1.65%</f>
        <v/>
      </c>
      <c r="L309" s="321">
        <f>(F309-J309)*7.6%</f>
        <v/>
      </c>
      <c r="M309" s="1120" t="n">
        <v>0.96</v>
      </c>
      <c r="N309" s="1120">
        <f>(G309+I309) * (9.25%)</f>
        <v/>
      </c>
      <c r="O309" s="121" t="n">
        <v>4.76</v>
      </c>
      <c r="P309" s="447">
        <f>(F309 - (G309+I309+O309+(J309+K309+L309))) - (H309-M309-N309)</f>
        <v/>
      </c>
      <c r="Q309" s="1328">
        <f>P309/F309</f>
        <v/>
      </c>
      <c r="R309" s="579" t="n"/>
      <c r="S309" s="33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</row>
    <row r="310" ht="18.75" customHeight="1" s="1349">
      <c r="A310" s="316" t="inlineStr">
        <is>
          <t>6194358920</t>
        </is>
      </c>
      <c r="B310" s="317" t="n">
        <v>10034034167438</v>
      </c>
      <c r="C310" s="318" t="inlineStr">
        <is>
          <t>Jomarca</t>
        </is>
      </c>
      <c r="D310" s="404" t="inlineStr">
        <is>
          <t>Kit 1000 Parafuso Chipboard Philips 3,0 X 20mm Bicromatizado</t>
        </is>
      </c>
      <c r="E310" s="359" t="n"/>
      <c r="F310" s="359" t="n">
        <v>39.76</v>
      </c>
      <c r="G310" s="321">
        <f>F310*17%</f>
        <v/>
      </c>
      <c r="H310" s="322" t="n">
        <v>-1.23</v>
      </c>
      <c r="I310" s="331">
        <f>IFS(
F310&lt;12.5, F310/2,
F310&lt;29, 6.25,
F310&lt;50, 6.5,
F310&lt;=79, 6.75,
TRUE, 
25)</f>
        <v/>
      </c>
      <c r="J310" s="321">
        <f>F310*18%</f>
        <v/>
      </c>
      <c r="K310" s="321">
        <f>(F310-J310)*1.65%</f>
        <v/>
      </c>
      <c r="L310" s="321">
        <f>(F310-J310)*7.6%</f>
        <v/>
      </c>
      <c r="M310" s="1120" t="n">
        <v>4.11</v>
      </c>
      <c r="N310" s="1120">
        <f>(G310+I310) * (9.25%)</f>
        <v/>
      </c>
      <c r="O310" s="708">
        <f>1.714*10</f>
        <v/>
      </c>
      <c r="P310" s="447">
        <f>(F310 - (G310+I310+O310+(J310+K310+L310))) - (H310-M310-N310)</f>
        <v/>
      </c>
      <c r="Q310" s="1328">
        <f>P310/F310</f>
        <v/>
      </c>
      <c r="R310" s="579" t="n"/>
      <c r="S310" s="33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</row>
    <row r="311" ht="18.75" customHeight="1" s="1349">
      <c r="A311" s="310" t="inlineStr">
        <is>
          <t>4347376325</t>
        </is>
      </c>
      <c r="B311" s="402" t="n">
        <v>10034034167994</v>
      </c>
      <c r="C311" s="318" t="inlineStr">
        <is>
          <t>Nutriex</t>
        </is>
      </c>
      <c r="D311" s="404" t="inlineStr">
        <is>
          <t>Protetor Solar Fps 60 Corporal Proteção Intensa 120ml 2un</t>
        </is>
      </c>
      <c r="E311" s="359" t="n"/>
      <c r="F311" s="359" t="n">
        <v>54.92</v>
      </c>
      <c r="G311" s="321">
        <f>F311*19%</f>
        <v/>
      </c>
      <c r="H311" s="322" t="n">
        <v>-2.4</v>
      </c>
      <c r="I311" s="331" t="n">
        <v>7.85</v>
      </c>
      <c r="J311" s="321">
        <f>F311*18%</f>
        <v/>
      </c>
      <c r="K311" s="366" t="n">
        <v>0</v>
      </c>
      <c r="L311" s="366" t="n">
        <v>0</v>
      </c>
      <c r="M311" s="1120">
        <f>1.56*2</f>
        <v/>
      </c>
      <c r="N311" s="1120">
        <f>(G311+I311) * (9.25%)</f>
        <v/>
      </c>
      <c r="O311" s="121">
        <f>13*2</f>
        <v/>
      </c>
      <c r="P311" s="447">
        <f>(F311 - (G311+I311+O311+(J311+K311+L311))) - (H311-M311-N311)</f>
        <v/>
      </c>
      <c r="Q311" s="1328">
        <f>P311/F311</f>
        <v/>
      </c>
      <c r="R311" s="579" t="n"/>
      <c r="S311" s="33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</row>
    <row r="312" ht="18.75" customHeight="1" s="1349">
      <c r="A312" s="310" t="inlineStr">
        <is>
          <t>4709473317</t>
        </is>
      </c>
      <c r="B312" s="402" t="n">
        <v>10034034168505</v>
      </c>
      <c r="C312" s="331" t="n"/>
      <c r="D312" s="331" t="inlineStr">
        <is>
          <t>Broxa Trincha Pintura Parede Alvenaria Alta Absorção Epoxi Verde</t>
        </is>
      </c>
      <c r="E312" s="359" t="n"/>
      <c r="F312" s="359" t="n">
        <v>19</v>
      </c>
      <c r="G312" s="321">
        <f>F312*12%</f>
        <v/>
      </c>
      <c r="H312" s="296" t="n"/>
      <c r="I312" s="331" t="n">
        <v>6.75</v>
      </c>
      <c r="J312" s="321">
        <f>F312*18%</f>
        <v/>
      </c>
      <c r="K312" s="321">
        <f>(F312-J312)*1.65%</f>
        <v/>
      </c>
      <c r="L312" s="321">
        <f>(F312-J312)*7.6%</f>
        <v/>
      </c>
      <c r="M312" s="1120" t="n">
        <v>1.07</v>
      </c>
      <c r="N312" s="1120">
        <f>(G312+I312) * (9.25%)</f>
        <v/>
      </c>
      <c r="O312" s="121" t="n">
        <v>4.17</v>
      </c>
      <c r="P312" s="447">
        <f>(F312 - (G312+I312+O312+(J312+K312+L312))) - (H312-M312-N312)</f>
        <v/>
      </c>
      <c r="Q312" s="1328">
        <f>P312/F312</f>
        <v/>
      </c>
      <c r="R312" s="579" t="n"/>
      <c r="S312" s="33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</row>
    <row r="313" ht="18.75" customHeight="1" s="1349">
      <c r="A313" s="402" t="inlineStr">
        <is>
          <t>4004113004058579</t>
        </is>
      </c>
      <c r="B313" s="264" t="n"/>
      <c r="C313" s="331" t="inlineStr">
        <is>
          <t>ÂNCORA</t>
        </is>
      </c>
      <c r="D313" s="331" t="inlineStr">
        <is>
          <t>Kit Tela Alvenaria 1,2x17x50cm Tel170 Amarração Concreto Aço</t>
        </is>
      </c>
      <c r="E313" s="359" t="n"/>
      <c r="F313" s="359" t="n">
        <v>396</v>
      </c>
      <c r="G313" s="321">
        <f>F313*17%</f>
        <v/>
      </c>
      <c r="H313" s="296" t="n"/>
      <c r="I313" s="331" t="n">
        <v>68.65000000000001</v>
      </c>
      <c r="J313" s="321">
        <f>F313*18%</f>
        <v/>
      </c>
      <c r="K313" s="321">
        <f>(F313-J313)*1.65%</f>
        <v/>
      </c>
      <c r="L313" s="321">
        <f>(F313-J313)*7.6%</f>
        <v/>
      </c>
      <c r="M313" s="378">
        <f>8.16*2</f>
        <v/>
      </c>
      <c r="N313" s="378">
        <f>(G313+I313) * (9.25%)</f>
        <v/>
      </c>
      <c r="O313" s="121">
        <f>64.1*2</f>
        <v/>
      </c>
      <c r="P313" s="447">
        <f>(F313 - (G313+I313+O313+(J313+K313+L313))) - (H313-M313-N313)</f>
        <v/>
      </c>
      <c r="Q313" s="1328">
        <f>P313/F313</f>
        <v/>
      </c>
      <c r="R313" s="579" t="n"/>
      <c r="S313" s="33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</row>
    <row r="314" ht="18.75" customHeight="1" s="1349">
      <c r="A314" s="406" t="inlineStr">
        <is>
          <t>5716134790</t>
        </is>
      </c>
      <c r="B314" s="1100" t="n">
        <v>10034034167587</v>
      </c>
      <c r="C314" s="318" t="inlineStr">
        <is>
          <t>TekBond</t>
        </is>
      </c>
      <c r="D314" s="290" t="inlineStr">
        <is>
          <t>Silicone Acético Vedação Cinza Tekbond Alta Temperatura 10un</t>
        </is>
      </c>
      <c r="E314" s="499" t="n"/>
      <c r="F314" s="499" t="n">
        <v>250</v>
      </c>
      <c r="G314" s="321">
        <f>F314*16.5%</f>
        <v/>
      </c>
      <c r="H314" s="296" t="n"/>
      <c r="I314" s="331" t="n">
        <v>24.95</v>
      </c>
      <c r="J314" s="321">
        <f>F314*18%</f>
        <v/>
      </c>
      <c r="K314" s="321">
        <f>(F314-J314)*1.65%</f>
        <v/>
      </c>
      <c r="L314" s="321">
        <f>(F314-J314)*7.6%</f>
        <v/>
      </c>
      <c r="M314" s="1120">
        <f>2.99*10</f>
        <v/>
      </c>
      <c r="N314" s="1120">
        <f>(G314+I314) * (9.25%)</f>
        <v/>
      </c>
      <c r="O314" s="121">
        <f>11.7*10</f>
        <v/>
      </c>
      <c r="P314" s="447">
        <f>(F314 - (G314+I314+O314+(J314+K314+L314))) - (H314-M314-N314)</f>
        <v/>
      </c>
      <c r="Q314" s="328">
        <f>P314/F314</f>
        <v/>
      </c>
      <c r="R314" s="579" t="n"/>
      <c r="S314" s="33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</row>
    <row r="315" ht="18.75" customHeight="1" s="1349">
      <c r="A315" s="310" t="inlineStr">
        <is>
          <t>4373456443</t>
        </is>
      </c>
      <c r="B315" s="402" t="n">
        <v>10034034168054</v>
      </c>
      <c r="C315" s="318" t="inlineStr">
        <is>
          <t>VOLK</t>
        </is>
      </c>
      <c r="D315" s="404" t="inlineStr">
        <is>
          <t>Luva Orange Smart Palma Vulcanizada Fibras Sintéticas 2 Prs</t>
        </is>
      </c>
      <c r="E315" s="359" t="n"/>
      <c r="F315" s="359" t="n">
        <v>26.9</v>
      </c>
      <c r="G315" s="321">
        <f>F315*12%</f>
        <v/>
      </c>
      <c r="H315" s="322" t="n">
        <v>-1.61</v>
      </c>
      <c r="I315" s="331" t="n">
        <v>6.75</v>
      </c>
      <c r="J315" s="321">
        <f>F315*18%</f>
        <v/>
      </c>
      <c r="K315" s="321">
        <f>(F315-J315)*1.65%</f>
        <v/>
      </c>
      <c r="L315" s="321">
        <f>(F315-J315)*7.6%</f>
        <v/>
      </c>
      <c r="M315" s="1120">
        <f>0.62*2</f>
        <v/>
      </c>
      <c r="N315" s="1120">
        <f>(G315+I315) * (9.25%)</f>
        <v/>
      </c>
      <c r="O315" s="121">
        <f>4.78*2</f>
        <v/>
      </c>
      <c r="P315" s="447">
        <f>(F315 - (G315+I315+O315+(J315+K315+L315))) - (H315-M315-N315)</f>
        <v/>
      </c>
      <c r="Q315" s="1328">
        <f>P315/F315</f>
        <v/>
      </c>
      <c r="R315" s="579" t="n"/>
      <c r="S315" s="33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</row>
    <row r="316" ht="18.75" customHeight="1" s="1349">
      <c r="A316" s="310" t="inlineStr">
        <is>
          <t>5923182732</t>
        </is>
      </c>
      <c r="B316" s="402" t="n">
        <v>10034034167041</v>
      </c>
      <c r="C316" s="318" t="inlineStr">
        <is>
          <t>VOLK</t>
        </is>
      </c>
      <c r="D316" s="404" t="inlineStr">
        <is>
          <t>Luva Látex Verniz Silver Reforçada Punho Picotado Limpeza</t>
        </is>
      </c>
      <c r="E316" s="359" t="n"/>
      <c r="F316" s="359" t="n">
        <v>19.01</v>
      </c>
      <c r="G316" s="321">
        <f>F316*13%</f>
        <v/>
      </c>
      <c r="H316" s="322" t="n">
        <v>-0.59</v>
      </c>
      <c r="I316" s="331" t="n">
        <v>6.55</v>
      </c>
      <c r="J316" s="321">
        <f>F316*18%</f>
        <v/>
      </c>
      <c r="K316" s="321">
        <f>(F316-J316)*1.65%</f>
        <v/>
      </c>
      <c r="L316" s="321">
        <f>(F316-J316)*7.6%</f>
        <v/>
      </c>
      <c r="M316" s="1120" t="n">
        <v>0.5</v>
      </c>
      <c r="N316" s="1120">
        <f>(G316+I316) * (9.25%)</f>
        <v/>
      </c>
      <c r="O316" s="121" t="n">
        <v>3.92</v>
      </c>
      <c r="P316" s="447">
        <f>(F316 - (G316+I316+O316+(J316+K316+L316))) - (H316-M316-N316)</f>
        <v/>
      </c>
      <c r="Q316" s="1328">
        <f>P316/F316</f>
        <v/>
      </c>
      <c r="R316" s="579" t="n"/>
      <c r="S316" s="33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</row>
    <row r="317" ht="18.75" customHeight="1" s="1349">
      <c r="A317" s="310" t="inlineStr">
        <is>
          <t>5996546674</t>
        </is>
      </c>
      <c r="B317" s="402" t="n">
        <v>10034034167970</v>
      </c>
      <c r="C317" s="318" t="inlineStr">
        <is>
          <t>Koretech</t>
        </is>
      </c>
      <c r="D317" s="404" t="inlineStr">
        <is>
          <t>Fita Adesiva Mudança Encomenda 45mm X 100m Logística Kit 5</t>
        </is>
      </c>
      <c r="E317" s="359" t="n"/>
      <c r="F317" s="359" t="n">
        <v>39</v>
      </c>
      <c r="G317" s="321">
        <f>F317*11.5%</f>
        <v/>
      </c>
      <c r="H317" s="322" t="n">
        <v>-2.34</v>
      </c>
      <c r="I317" s="331" t="n">
        <v>6.85</v>
      </c>
      <c r="J317" s="321">
        <f>F317*18%</f>
        <v/>
      </c>
      <c r="K317" s="321">
        <f>(F317-J317)*1.65%</f>
        <v/>
      </c>
      <c r="L317" s="321">
        <f>(F317-J317)*7.6%</f>
        <v/>
      </c>
      <c r="M317" s="1120">
        <f>1.01*5</f>
        <v/>
      </c>
      <c r="N317" s="1120">
        <f>(G317+I317) * (9.25%)</f>
        <v/>
      </c>
      <c r="O317" s="121">
        <f>3.94*5</f>
        <v/>
      </c>
      <c r="P317" s="447">
        <f>(F317 - (G317+I317+O317+(J317+K317+L317))) - (H317-M317-N317)</f>
        <v/>
      </c>
      <c r="Q317" s="1328">
        <f>P317/F317</f>
        <v/>
      </c>
      <c r="R317" s="579" t="n"/>
      <c r="S317" s="33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</row>
    <row r="318" ht="18.75" customHeight="1" s="1349">
      <c r="A318" s="316" t="inlineStr">
        <is>
          <t>3946065753</t>
        </is>
      </c>
      <c r="B318" s="317" t="n">
        <v>10034034167476</v>
      </c>
      <c r="C318" s="318" t="inlineStr">
        <is>
          <t>VOLK</t>
        </is>
      </c>
      <c r="D318" s="265" t="inlineStr">
        <is>
          <t>Kit 12 Luva Multitato Tricotada Pu Mecanico Antiestática Epi</t>
        </is>
      </c>
      <c r="E318" s="320" t="n"/>
      <c r="F318" s="320" t="n">
        <v>56.05</v>
      </c>
      <c r="G318" s="321">
        <f>F318*12%</f>
        <v/>
      </c>
      <c r="H318" s="361" t="n"/>
      <c r="I318" s="331">
        <f>IFS(
  F318&lt;12.5, F318/2,
  F318&lt;29, 6.25,
  F318&lt;50, 6.5,
  F318&lt;=79, 6.75,
  TRUE, 25
)</f>
        <v/>
      </c>
      <c r="J318" s="321">
        <f>F318*18%</f>
        <v/>
      </c>
      <c r="K318" s="321">
        <f>(F318-J318)*1.65%</f>
        <v/>
      </c>
      <c r="L318" s="321">
        <f>(F318-J318)*7.6%</f>
        <v/>
      </c>
      <c r="M318" s="505">
        <f>0.248584*12</f>
        <v/>
      </c>
      <c r="N318" s="505">
        <f>(G318+I318) * (9.25%)</f>
        <v/>
      </c>
      <c r="O318" s="708">
        <f>1.93*12</f>
        <v/>
      </c>
      <c r="P318" s="447">
        <f>(F318 - (G318+I318+O318+(J318+K318+L318))) - (H318-M318-N318)</f>
        <v/>
      </c>
      <c r="Q318" s="328">
        <f>P318/F318</f>
        <v/>
      </c>
      <c r="R318" s="421" t="inlineStr">
        <is>
          <t>Ativo</t>
        </is>
      </c>
      <c r="S318" s="33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</row>
    <row r="319" ht="18.75" customHeight="1" s="1349">
      <c r="A319" s="310" t="inlineStr">
        <is>
          <t>6005668978</t>
        </is>
      </c>
      <c r="B319" s="402" t="n">
        <v>10034034167816</v>
      </c>
      <c r="C319" s="318" t="inlineStr">
        <is>
          <t>Vonder</t>
        </is>
      </c>
      <c r="D319" s="404" t="inlineStr">
        <is>
          <t>Trena Plus 5mts X 19mm Fita Aço Anatômica Termoplástica Obra</t>
        </is>
      </c>
      <c r="E319" s="359" t="n"/>
      <c r="F319" s="359" t="n">
        <v>33.9</v>
      </c>
      <c r="G319" s="321">
        <f>F319*17%</f>
        <v/>
      </c>
      <c r="H319" s="322" t="n">
        <v>-0.51</v>
      </c>
      <c r="I319" s="331">
        <f>IFS(
F319&lt;12.5, F319/2,
F319&lt;29, 6.25,
F319&lt;50, 6.5,
F319&lt;=79, 6.75,
TRUE, 
25)</f>
        <v/>
      </c>
      <c r="J319" s="366" t="n">
        <v>0</v>
      </c>
      <c r="K319" s="321">
        <f>(F319-J319)*1.65%</f>
        <v/>
      </c>
      <c r="L319" s="321">
        <f>(F319-J319)*7.6%</f>
        <v/>
      </c>
      <c r="M319" s="1120" t="n">
        <v>1.17</v>
      </c>
      <c r="N319" s="1120">
        <f>(G319+I319) * (9.25%)</f>
        <v/>
      </c>
      <c r="O319" s="121" t="n">
        <v>15.68</v>
      </c>
      <c r="P319" s="447">
        <f>(F319 - (G319+I319+O319+(J319+K319+L319))) - (H319-M319-N319)</f>
        <v/>
      </c>
      <c r="Q319" s="1328">
        <f>P319/F319</f>
        <v/>
      </c>
      <c r="R319" s="579" t="n"/>
      <c r="S319" s="33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</row>
    <row r="320" ht="18.75" customHeight="1" s="1349">
      <c r="A320" s="402" t="inlineStr">
        <is>
          <t>4677454453 6768888536</t>
        </is>
      </c>
      <c r="B320" s="264" t="n"/>
      <c r="C320" s="331" t="inlineStr">
        <is>
          <t>ÂNCORA</t>
        </is>
      </c>
      <c r="D320" s="331" t="inlineStr">
        <is>
          <t>10un Tela Alvenaria 17x500mm Tel170 Reforço Obra Construfix 10un</t>
        </is>
      </c>
      <c r="E320" s="359" t="n"/>
      <c r="F320" s="359" t="n">
        <v>44.9</v>
      </c>
      <c r="G320" s="321">
        <f>F320*17%</f>
        <v/>
      </c>
      <c r="H320" s="296" t="n"/>
      <c r="I320" s="331" t="n">
        <v>8.550000000000001</v>
      </c>
      <c r="J320" s="321">
        <f>F320*18%</f>
        <v/>
      </c>
      <c r="K320" s="321">
        <f>(F320-J320)*1.65%</f>
        <v/>
      </c>
      <c r="L320" s="321">
        <f>(F320-J320)*7.6%</f>
        <v/>
      </c>
      <c r="M320" s="378">
        <f>8.16/5</f>
        <v/>
      </c>
      <c r="N320" s="378">
        <f>(G320+I320) * (9.25%)</f>
        <v/>
      </c>
      <c r="O320" s="121">
        <f>64.1/5</f>
        <v/>
      </c>
      <c r="P320" s="447">
        <f>(F320 - (G320+I320+O320+(J320+K320+L320))) - (H320-M320-N320)</f>
        <v/>
      </c>
      <c r="Q320" s="1328">
        <f>P320/F320</f>
        <v/>
      </c>
      <c r="R320" s="579" t="n"/>
      <c r="S320" s="33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</row>
    <row r="321" ht="18.75" customHeight="1" s="1349">
      <c r="A321" s="316" t="inlineStr">
        <is>
          <t>3418283199</t>
        </is>
      </c>
      <c r="B321" s="317" t="n">
        <v>10034034166409</v>
      </c>
      <c r="C321" s="318" t="inlineStr">
        <is>
          <t>GERDAU</t>
        </is>
      </c>
      <c r="D321" s="265" t="inlineStr">
        <is>
          <t>Prego 18x27 Com Cabeça Dupla Aço Polido Resistente Saco 1kg</t>
        </is>
      </c>
      <c r="E321" s="320" t="n"/>
      <c r="F321" s="320" t="n">
        <v>29.99</v>
      </c>
      <c r="G321" s="321">
        <f>F321*11.5%</f>
        <v/>
      </c>
      <c r="H321" s="322" t="n">
        <v>-0.5</v>
      </c>
      <c r="I321" s="331" t="n">
        <v>6.85</v>
      </c>
      <c r="J321" s="321">
        <f>F321*18%</f>
        <v/>
      </c>
      <c r="K321" s="321">
        <f>(F321-J321)*1.65%</f>
        <v/>
      </c>
      <c r="L321" s="321">
        <f>(F321-J321)*7.6%</f>
        <v/>
      </c>
      <c r="M321" s="1120" t="n">
        <v>1.96</v>
      </c>
      <c r="N321" s="1120">
        <f>(G321+I321) * (9.25%)</f>
        <v/>
      </c>
      <c r="O321" s="708" t="n">
        <v>10.37</v>
      </c>
      <c r="P321" s="447">
        <f>(F321 - (G321+I321+O321+(J321+K321+L321))) - (H321-M321-N321)</f>
        <v/>
      </c>
      <c r="Q321" s="328">
        <f>P321/F321</f>
        <v/>
      </c>
      <c r="R321" s="421" t="inlineStr">
        <is>
          <t>Ativo</t>
        </is>
      </c>
      <c r="S321" s="33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</row>
    <row r="322" ht="18.75" customHeight="1" s="1349">
      <c r="A322" s="310" t="inlineStr">
        <is>
          <t>4341270499</t>
        </is>
      </c>
      <c r="B322" s="402" t="n">
        <v>10034034166951</v>
      </c>
      <c r="C322" s="318" t="inlineStr">
        <is>
          <t>Koretech</t>
        </is>
      </c>
      <c r="D322" s="404" t="inlineStr">
        <is>
          <t>Fita Adesiva Bopp Empacotamento 45mm X 100m Alta Aderência</t>
        </is>
      </c>
      <c r="E322" s="359" t="n"/>
      <c r="F322" s="359" t="n">
        <v>19.01</v>
      </c>
      <c r="G322" s="321">
        <f>F322*16.5%</f>
        <v/>
      </c>
      <c r="H322" s="322" t="n">
        <v>-0.59</v>
      </c>
      <c r="I322" s="331">
        <f>IFS(
  F322&lt;12.5, F322/2,
  F322&lt;29, 6.25,
  F322&lt;50, 6.5,
  F322&lt;=79, 6.75,
  TRUE, 25
)</f>
        <v/>
      </c>
      <c r="J322" s="321">
        <f>F322*18%</f>
        <v/>
      </c>
      <c r="K322" s="321">
        <f>(F322-J322)*1.65%</f>
        <v/>
      </c>
      <c r="L322" s="321">
        <f>(F322-J322)*7.6%</f>
        <v/>
      </c>
      <c r="M322" s="1120" t="n">
        <v>1.01</v>
      </c>
      <c r="N322" s="1120">
        <f>(G322+I322) * (9.25%)</f>
        <v/>
      </c>
      <c r="O322" s="121">
        <f>3.94*1</f>
        <v/>
      </c>
      <c r="P322" s="447">
        <f>(F322 - (G322+I322+O322+(J322+K322+L322))) - (H322-M322-N322)</f>
        <v/>
      </c>
      <c r="Q322" s="1328">
        <f>P322/F322</f>
        <v/>
      </c>
      <c r="R322" s="579" t="n"/>
      <c r="S322" s="33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</row>
    <row r="323" ht="18.75" customHeight="1" s="1349">
      <c r="A323" s="316" t="inlineStr">
        <is>
          <t>7594600672547830</t>
        </is>
      </c>
      <c r="B323" s="317" t="n">
        <v>10034034167488</v>
      </c>
      <c r="C323" s="331" t="inlineStr">
        <is>
          <t>ÂNCORA</t>
        </is>
      </c>
      <c r="D323" s="1310" t="inlineStr">
        <is>
          <t>Kit Tela De Alvenaria + Pino Liso 1/4x28 + Fincapino Am27 TEL75(100)</t>
        </is>
      </c>
      <c r="E323" s="320" t="n"/>
      <c r="F323" s="320" t="n">
        <v>299</v>
      </c>
      <c r="G323" s="321">
        <f>F323*12%</f>
        <v/>
      </c>
      <c r="H323" s="322" t="n"/>
      <c r="I323" s="1310" t="n">
        <v>48.05</v>
      </c>
      <c r="J323" s="321">
        <f>F323*18%</f>
        <v/>
      </c>
      <c r="K323" s="321">
        <f>(F323-J323)*1.65%</f>
        <v/>
      </c>
      <c r="L323" s="321">
        <f>(F323-J323)*7.6%</f>
        <v/>
      </c>
      <c r="M323" s="1120">
        <f>(11.59 / 3) *2 + (1.37 + 3.86)</f>
        <v/>
      </c>
      <c r="N323" s="1120">
        <f>(G323+I323) * (9.25%)</f>
        <v/>
      </c>
      <c r="O323" s="708">
        <f>(91.81 / 3) *2  + (14.27 + 31.95)</f>
        <v/>
      </c>
      <c r="P323" s="447">
        <f>(F323 - (G323+I323+O323+(J323+K323+L323))) - (H323-M323-N323)</f>
        <v/>
      </c>
      <c r="Q323" s="328">
        <f>P323/F323</f>
        <v/>
      </c>
      <c r="R323" s="421" t="inlineStr">
        <is>
          <t>Ativo</t>
        </is>
      </c>
      <c r="S323" s="33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</row>
    <row r="324" ht="18.75" customHeight="1" s="1349">
      <c r="A324" s="310" t="inlineStr">
        <is>
          <t>4327306407</t>
        </is>
      </c>
      <c r="B324" s="402" t="n">
        <v>10034034167075</v>
      </c>
      <c r="C324" s="318" t="inlineStr">
        <is>
          <t>TekBond</t>
        </is>
      </c>
      <c r="D324" s="404" t="inlineStr">
        <is>
          <t>Adesivo Silicone Acético Construção Transparente Vedação</t>
        </is>
      </c>
      <c r="E324" s="359" t="n"/>
      <c r="F324" s="359" t="n">
        <v>31.02</v>
      </c>
      <c r="G324" s="321">
        <f>F324*16.5%</f>
        <v/>
      </c>
      <c r="H324" s="322" t="n">
        <v>-0.96</v>
      </c>
      <c r="I324" s="331">
        <f>IFS(
  F324&lt;12.5, F324/2,
  F324&lt;29, 6.25,
  F324&lt;50, 6.5,
  F324&lt;=79, 6.75,
  TRUE, 25
)</f>
        <v/>
      </c>
      <c r="J324" s="321">
        <f>F324*18%</f>
        <v/>
      </c>
      <c r="K324" s="321">
        <f>(F324-J324)*1.65%</f>
        <v/>
      </c>
      <c r="L324" s="321">
        <f>(F324-J324)*7.6%</f>
        <v/>
      </c>
      <c r="M324" s="1120" t="n">
        <v>2.75</v>
      </c>
      <c r="N324" s="1120">
        <f>(G324+I324) * (9.25%)</f>
        <v/>
      </c>
      <c r="O324" s="121" t="n">
        <v>10.74</v>
      </c>
      <c r="P324" s="447">
        <f>(F324 - (G324+I324+O324+(J324+K324+L324))) - (H324-M324-N324)</f>
        <v/>
      </c>
      <c r="Q324" s="1328">
        <f>P324/F324</f>
        <v/>
      </c>
      <c r="R324" s="579" t="n"/>
      <c r="S324" s="33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</row>
    <row r="325" ht="18.75" customHeight="1" s="1349">
      <c r="A325" s="356" t="inlineStr">
        <is>
          <t>3882699316</t>
        </is>
      </c>
      <c r="B325" s="264" t="n">
        <v>10034034166331</v>
      </c>
      <c r="C325" s="318" t="inlineStr">
        <is>
          <t>ÂNCORA</t>
        </is>
      </c>
      <c r="D325" s="1310" t="inlineStr">
        <is>
          <t>Tela Amarração Alvenaria Ancora 1,2mm X 50cm X 6cm C/ 100un</t>
        </is>
      </c>
      <c r="E325" s="320" t="n"/>
      <c r="F325" s="320" t="n">
        <v>151.83</v>
      </c>
      <c r="G325" s="321">
        <f>F325*12%</f>
        <v/>
      </c>
      <c r="H325" s="831" t="n">
        <v>-2.81</v>
      </c>
      <c r="I325" s="265" t="n">
        <v>22.45</v>
      </c>
      <c r="J325" s="321">
        <f>F325*18%</f>
        <v/>
      </c>
      <c r="K325" s="321">
        <f>(F325-J325)*1.65%</f>
        <v/>
      </c>
      <c r="L325" s="321">
        <f>(F325-J325)*7.6%</f>
        <v/>
      </c>
      <c r="M325" s="1120">
        <f>15.33/2</f>
        <v/>
      </c>
      <c r="N325" s="1120">
        <f>(G325+I325) * (9.25%)</f>
        <v/>
      </c>
      <c r="O325" s="708">
        <f>119/2</f>
        <v/>
      </c>
      <c r="P325" s="447">
        <f>(F325 - (G325+I325+O325+(J325+K325+L325))) - (H325-M325-N325)</f>
        <v/>
      </c>
      <c r="Q325" s="328">
        <f>P325/F325</f>
        <v/>
      </c>
      <c r="R325" s="579" t="n"/>
      <c r="S325" s="33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</row>
    <row r="326" ht="18.75" customHeight="1" s="1349">
      <c r="A326" s="402" t="inlineStr">
        <is>
          <t>4677454453 4677592269</t>
        </is>
      </c>
      <c r="B326" s="264" t="n"/>
      <c r="C326" s="538" t="inlineStr">
        <is>
          <t>ÂNCORA</t>
        </is>
      </c>
      <c r="D326" s="331" t="inlineStr">
        <is>
          <t>50un Tela Alvenaria 17x50cm Tel170 Amarração Reforço Fachada Caixa Com 50un</t>
        </is>
      </c>
      <c r="E326" s="359" t="n"/>
      <c r="F326" s="499" t="n">
        <v>149</v>
      </c>
      <c r="G326" s="321">
        <f>F326*17%</f>
        <v/>
      </c>
      <c r="H326" s="296" t="n">
        <v>-5.67</v>
      </c>
      <c r="I326" s="331" t="n">
        <v>27.75</v>
      </c>
      <c r="J326" s="321">
        <f>F326*18%</f>
        <v/>
      </c>
      <c r="K326" s="321">
        <f>(F326-J326)*1.65%</f>
        <v/>
      </c>
      <c r="L326" s="321">
        <f>(F326-J326)*7.6%</f>
        <v/>
      </c>
      <c r="M326" s="378">
        <f>8.16*1</f>
        <v/>
      </c>
      <c r="N326" s="378">
        <f>(G326+I326) * (9.25%)</f>
        <v/>
      </c>
      <c r="O326" s="121">
        <f>64.1*1</f>
        <v/>
      </c>
      <c r="P326" s="447">
        <f>(F326 - (G326+I326+O326+(J326+K326+L326))) - (H326-M326-N326)</f>
        <v/>
      </c>
      <c r="Q326" s="1328">
        <f>P326/F326</f>
        <v/>
      </c>
      <c r="R326" s="579" t="n"/>
      <c r="S326" s="33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</row>
    <row r="327" ht="18.75" customHeight="1" s="1349">
      <c r="A327" s="388" t="inlineStr">
        <is>
          <t>3417656295 3562355525</t>
        </is>
      </c>
      <c r="B327" s="389" t="n">
        <v>10034034166410</v>
      </c>
      <c r="C327" s="369" t="inlineStr">
        <is>
          <t>GERDAU</t>
        </is>
      </c>
      <c r="D327" s="506" t="inlineStr">
        <is>
          <t>Prego 18x27 (kg) Com Cabeça Gerdau Polido 1kg</t>
        </is>
      </c>
      <c r="E327" s="320" t="n"/>
      <c r="F327" s="320" t="n">
        <v>31.91</v>
      </c>
      <c r="G327" s="321">
        <f>F327*11.5%</f>
        <v/>
      </c>
      <c r="H327" s="322" t="n">
        <v>-1.3</v>
      </c>
      <c r="I327" s="331" t="n">
        <v>6.85</v>
      </c>
      <c r="J327" s="366" t="n">
        <v>0</v>
      </c>
      <c r="K327" s="321">
        <f>(F327-J327)*1.65%</f>
        <v/>
      </c>
      <c r="L327" s="321">
        <f>(F327-J327)*7.6%</f>
        <v/>
      </c>
      <c r="M327" s="1120" t="n">
        <v>1.36</v>
      </c>
      <c r="N327" s="1120">
        <f>(G327+I327) * (9.25%)</f>
        <v/>
      </c>
      <c r="O327" s="708" t="n">
        <v>16.38</v>
      </c>
      <c r="P327" s="447">
        <f>(F327 - (G327+I327+O327+(J327+K327+L327))) - (H327-M327-N327)</f>
        <v/>
      </c>
      <c r="Q327" s="328">
        <f>P327/F327</f>
        <v/>
      </c>
      <c r="R327" s="507" t="n"/>
      <c r="S327" s="33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</row>
    <row r="328" ht="18.75" customHeight="1" s="1349">
      <c r="A328" s="310" t="inlineStr">
        <is>
          <t>4339193469</t>
        </is>
      </c>
      <c r="B328" s="402" t="n">
        <v>10034034167960</v>
      </c>
      <c r="C328" s="318" t="inlineStr">
        <is>
          <t>Danny</t>
        </is>
      </c>
      <c r="D328" s="404" t="inlineStr">
        <is>
          <t>Luva Limpeza Confort Látex Amarelo Cozinha Multiuso 5 Pares</t>
        </is>
      </c>
      <c r="E328" s="359" t="n"/>
      <c r="F328" s="359" t="n">
        <v>32.25</v>
      </c>
      <c r="G328" s="321">
        <f>F328*12%</f>
        <v/>
      </c>
      <c r="H328" s="322" t="n">
        <v>-0.47</v>
      </c>
      <c r="I328" s="331" t="n">
        <v>6.65</v>
      </c>
      <c r="J328" s="321">
        <f>F328*18%</f>
        <v/>
      </c>
      <c r="K328" s="321">
        <f>(F328-J328)*1.65%</f>
        <v/>
      </c>
      <c r="L328" s="321">
        <f>(F328-J328)*7.6%</f>
        <v/>
      </c>
      <c r="M328" s="1120">
        <f>0.27*5</f>
        <v/>
      </c>
      <c r="N328" s="1120">
        <f>(G328+I328) * (9.25%)</f>
        <v/>
      </c>
      <c r="O328" s="121">
        <f>2.1*5</f>
        <v/>
      </c>
      <c r="P328" s="447">
        <f>(F328 - (G328+I328+O328+(J328+K328+L328))) - (H328-M328-N328)</f>
        <v/>
      </c>
      <c r="Q328" s="1328">
        <f>P328/F328</f>
        <v/>
      </c>
      <c r="R328" s="579" t="n"/>
      <c r="S328" s="33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</row>
    <row r="329" ht="18.75" customHeight="1" s="1349">
      <c r="A329" s="310" t="n"/>
      <c r="B329" s="402" t="n"/>
      <c r="C329" s="331" t="inlineStr">
        <is>
          <t>Kalipso</t>
        </is>
      </c>
      <c r="D329" s="331" t="inlineStr">
        <is>
          <t>Óculos Segurança Cores CA 11268 Kalipso Leopardo EPI</t>
        </is>
      </c>
      <c r="E329" s="365" t="n"/>
      <c r="F329" s="365" t="n">
        <v>11.89</v>
      </c>
      <c r="G329" s="321">
        <f>F329*17%</f>
        <v/>
      </c>
      <c r="H329" s="296" t="n">
        <v>-0.24</v>
      </c>
      <c r="I329" s="331" t="n">
        <v>3.2</v>
      </c>
      <c r="J329" s="321">
        <f>F329*18%</f>
        <v/>
      </c>
      <c r="K329" s="321">
        <f>(F329-J329)*1.65%</f>
        <v/>
      </c>
      <c r="L329" s="321">
        <f>(F329-J329)*7.6%</f>
        <v/>
      </c>
      <c r="M329" s="1120" t="n">
        <v>0.32</v>
      </c>
      <c r="N329" s="1120">
        <f>(G329+I329) * (9.25%)</f>
        <v/>
      </c>
      <c r="O329" s="121" t="n">
        <v>2.53</v>
      </c>
      <c r="P329" s="447">
        <f>(F329 - (G329+I329+O329+(J329+K329+L329))) - (H329-M329-N329)</f>
        <v/>
      </c>
      <c r="Q329" s="1328">
        <f>P329/F329</f>
        <v/>
      </c>
      <c r="R329" s="579" t="n"/>
      <c r="S329" s="33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</row>
    <row r="330" ht="18.75" customHeight="1" s="1349">
      <c r="A330" s="316" t="inlineStr">
        <is>
          <t>3562355525</t>
        </is>
      </c>
      <c r="B330" s="317" t="n">
        <v>10034034166410</v>
      </c>
      <c r="C330" s="318" t="inlineStr">
        <is>
          <t>EPI</t>
        </is>
      </c>
      <c r="D330" s="265" t="inlineStr">
        <is>
          <t>Prego Com Cabeça 18x27 Gerdau 1kg</t>
        </is>
      </c>
      <c r="E330" s="320" t="n"/>
      <c r="F330" s="320" t="n">
        <v>32.9</v>
      </c>
      <c r="G330" s="321">
        <f>F330*12%</f>
        <v/>
      </c>
      <c r="H330" s="361" t="n"/>
      <c r="I330" s="331">
        <f>IFS(
  F330&lt;12.5, F330/2,
  F330&lt;29, 6.25,
  F330&lt;50, 6.5,
  F330&lt;=79, 6.75,
  TRUE, 25
)</f>
        <v/>
      </c>
      <c r="J330" s="321">
        <f>F330*18%</f>
        <v/>
      </c>
      <c r="K330" s="321">
        <f>(F330-J330)*1.65%</f>
        <v/>
      </c>
      <c r="L330" s="321">
        <f>(F330-J330)*7.6%</f>
        <v/>
      </c>
      <c r="M330" s="357" t="n"/>
      <c r="N330" s="357">
        <f>(G330+I330) * (9.25%)</f>
        <v/>
      </c>
      <c r="O330" s="1050" t="n">
        <v>9.06</v>
      </c>
      <c r="P330" s="447">
        <f>(F330 - (G330+I330+O330+(J330+K330+L330))) - (H330-M330-N330)</f>
        <v/>
      </c>
      <c r="Q330" s="328">
        <f>P330/F330</f>
        <v/>
      </c>
      <c r="R330" s="463" t="inlineStr">
        <is>
          <t>Ativo</t>
        </is>
      </c>
      <c r="S330" s="33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</row>
    <row r="331" ht="18.75" customHeight="1" s="1349">
      <c r="A331" s="310" t="inlineStr">
        <is>
          <t>6174767402</t>
        </is>
      </c>
      <c r="B331" s="402" t="n">
        <v>10034034168107</v>
      </c>
      <c r="C331" s="331" t="inlineStr">
        <is>
          <t>ÂNCORA</t>
        </is>
      </c>
      <c r="D331" s="404" t="inlineStr">
        <is>
          <t>Kit 10 Bucha Poliamida 10mm Universal A10 Sem Aba Fixação</t>
        </is>
      </c>
      <c r="E331" s="365" t="n"/>
      <c r="F331" s="365" t="n">
        <v>17.51</v>
      </c>
      <c r="G331" s="321">
        <f>F331*16.5%</f>
        <v/>
      </c>
      <c r="H331" s="322" t="n"/>
      <c r="I331" s="331" t="n">
        <v>6.75</v>
      </c>
      <c r="J331" s="321">
        <f>F331*18%</f>
        <v/>
      </c>
      <c r="K331" s="321">
        <f>(F331-J331)*1.65%</f>
        <v/>
      </c>
      <c r="L331" s="321">
        <f>(F331-J331)*7.6%</f>
        <v/>
      </c>
      <c r="M331" s="1120">
        <f>1.47/10</f>
        <v/>
      </c>
      <c r="N331" s="1120">
        <f>(G331+I331) * (9.25%)</f>
        <v/>
      </c>
      <c r="O331" s="708">
        <f>12.51/10</f>
        <v/>
      </c>
      <c r="P331" s="447">
        <f>(F331 - (G331+I331+O331+(J331+K331+L331))) - (H331-M331-N331)</f>
        <v/>
      </c>
      <c r="Q331" s="1328">
        <f>P331/F331</f>
        <v/>
      </c>
      <c r="R331" s="579" t="n"/>
      <c r="S331" s="33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</row>
    <row r="332" ht="18.75" customHeight="1" s="1349">
      <c r="A332" s="310" t="inlineStr">
        <is>
          <t>5914199716</t>
        </is>
      </c>
      <c r="B332" s="432" t="n">
        <v>10034034167759</v>
      </c>
      <c r="C332" s="318" t="inlineStr">
        <is>
          <t>VOLK</t>
        </is>
      </c>
      <c r="D332" s="404" t="inlineStr">
        <is>
          <t>Luva Grip Tricotada Algodão Reforçada Proteção Tamanho G 2un</t>
        </is>
      </c>
      <c r="E332" s="359" t="n"/>
      <c r="F332" s="359" t="n">
        <v>35.56</v>
      </c>
      <c r="G332" s="321">
        <f>F332*17%</f>
        <v/>
      </c>
      <c r="H332" s="322" t="n">
        <v>-0.72</v>
      </c>
      <c r="I332" s="331" t="n">
        <v>6.75</v>
      </c>
      <c r="J332" s="321">
        <f>F332*18%</f>
        <v/>
      </c>
      <c r="K332" s="321">
        <f>(F332-J332)*1.65%</f>
        <v/>
      </c>
      <c r="L332" s="321">
        <f>(F332-J332)*7.6%</f>
        <v/>
      </c>
      <c r="M332" s="1120">
        <f>1.14*2</f>
        <v/>
      </c>
      <c r="N332" s="1120">
        <f>(G332+I332) * (9.25%)</f>
        <v/>
      </c>
      <c r="O332" s="453">
        <f>5.64*2</f>
        <v/>
      </c>
      <c r="P332" s="447">
        <f>(F332 - (G332+I332+O332+(J332+K332+L332))) - (H332-M332-N332)</f>
        <v/>
      </c>
      <c r="Q332" s="1328">
        <f>P332/F332</f>
        <v/>
      </c>
      <c r="R332" s="579" t="n"/>
      <c r="S332" s="33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</row>
    <row r="333" ht="18.75" customHeight="1" s="1349">
      <c r="A333" s="310" t="inlineStr">
        <is>
          <t>4339286271</t>
        </is>
      </c>
      <c r="B333" s="402" t="n">
        <v>10034034167964</v>
      </c>
      <c r="C333" s="318" t="inlineStr">
        <is>
          <t>Danny</t>
        </is>
      </c>
      <c r="D333" s="404" t="inlineStr">
        <is>
          <t>12 Pr Luva Limpeza Faxina Confort Látex Antiderrapante Louça</t>
        </is>
      </c>
      <c r="E333" s="359" t="n"/>
      <c r="F333" s="499" t="n">
        <v>54.6</v>
      </c>
      <c r="G333" s="321">
        <f>F333*11.5%</f>
        <v/>
      </c>
      <c r="H333" s="831" t="n"/>
      <c r="I333" s="331" t="n">
        <v>7.95</v>
      </c>
      <c r="J333" s="321">
        <f>F333*18%</f>
        <v/>
      </c>
      <c r="K333" s="321">
        <f>(F333-J333)*1.65%</f>
        <v/>
      </c>
      <c r="L333" s="321">
        <f>(F333-J333)*7.6%</f>
        <v/>
      </c>
      <c r="M333" s="1120">
        <f>0.27*12</f>
        <v/>
      </c>
      <c r="N333" s="1120">
        <f>(G333+I333) * (9.25%)</f>
        <v/>
      </c>
      <c r="O333" s="121">
        <f>2.1*12</f>
        <v/>
      </c>
      <c r="P333" s="447">
        <f>(F333 - (G333+I333+O333+(J333+K333+L333))) - (H333-M333-N333)</f>
        <v/>
      </c>
      <c r="Q333" s="1328">
        <f>P333/F333</f>
        <v/>
      </c>
      <c r="R333" s="579" t="n"/>
      <c r="S333" s="33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</row>
    <row r="334" ht="18.75" customHeight="1" s="1349">
      <c r="A334" s="402" t="n">
        <v>4677454453</v>
      </c>
      <c r="B334" s="508" t="inlineStr">
        <is>
          <t>TEL170C25UN</t>
        </is>
      </c>
      <c r="C334" s="331" t="inlineStr">
        <is>
          <t>ÂNCORA</t>
        </is>
      </c>
      <c r="D334" s="331" t="inlineStr">
        <is>
          <t>25un Tela Alvenaria 17x50cm Tl 170 Fachada Aço Galvanizado 25un</t>
        </is>
      </c>
      <c r="E334" s="359" t="n"/>
      <c r="F334" s="499" t="n">
        <v>63.9</v>
      </c>
      <c r="G334" s="321">
        <f>F334*17%</f>
        <v/>
      </c>
      <c r="H334" s="296" t="n"/>
      <c r="I334" s="331" t="n">
        <v>8.550000000000001</v>
      </c>
      <c r="J334" s="321">
        <f>F334*18%</f>
        <v/>
      </c>
      <c r="K334" s="321">
        <f>(F334-J334)*1.65%</f>
        <v/>
      </c>
      <c r="L334" s="321">
        <f>(F334-J334)*7.6%</f>
        <v/>
      </c>
      <c r="M334" s="378">
        <f>8.16/50 * 20</f>
        <v/>
      </c>
      <c r="N334" s="378">
        <f>(G334+I334) * (9.25%)</f>
        <v/>
      </c>
      <c r="O334" s="121">
        <f>64.1/50 * 20</f>
        <v/>
      </c>
      <c r="P334" s="447">
        <f>(F334 - (G334+I334+O334+(J334+K334+L334))) - (H334-M334-N334)</f>
        <v/>
      </c>
      <c r="Q334" s="1328">
        <f>P334/F334</f>
        <v/>
      </c>
      <c r="R334" s="579" t="n"/>
      <c r="S334" s="33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</row>
    <row r="335" ht="18.75" customHeight="1" s="1349">
      <c r="A335" s="711" t="inlineStr">
        <is>
          <t>5665273624</t>
        </is>
      </c>
      <c r="B335" s="470" t="n">
        <v>10034034167555</v>
      </c>
      <c r="C335" s="1292" t="inlineStr">
        <is>
          <t>Nutriex</t>
        </is>
      </c>
      <c r="D335" s="471">
        <f>HYPERLINK("https://produto.mercadolivre.com.br/MLB-5665273624-protetor-solar-kids-fps-30-minions-120ml-nutriex-infanil-_JM","Protetor Solar Kids Fps 30 Minions 120ml Nutriex Infanil")</f>
        <v/>
      </c>
      <c r="E335" s="685" t="n"/>
      <c r="F335" s="856" t="n">
        <v>29.15</v>
      </c>
      <c r="G335" s="447">
        <f>F335*14%</f>
        <v/>
      </c>
      <c r="H335" s="833" t="n">
        <v>-0.9</v>
      </c>
      <c r="I335" s="866">
        <f>IFS(
  F335&lt;12.5, F335/2,
  F335&lt;29, 6.25,
  F335&lt;50, 6.5,
  F335&lt;=79, 6.75,
  TRUE, 25
)</f>
        <v/>
      </c>
      <c r="J335" s="340">
        <f>F335*18%</f>
        <v/>
      </c>
      <c r="K335" s="450" t="n">
        <v>0</v>
      </c>
      <c r="L335" s="450" t="n">
        <v>0</v>
      </c>
      <c r="M335" s="1097" t="n">
        <v>1.32</v>
      </c>
      <c r="N335" s="1097">
        <f>(G335+I335) * (9.25%)</f>
        <v/>
      </c>
      <c r="O335" s="451" t="n">
        <v>10.99</v>
      </c>
      <c r="P335" s="1016">
        <f>(F335 - (G335+I335+O335+(J335+K335+L335))) - (H335-M335-N335)</f>
        <v/>
      </c>
      <c r="Q335" s="328">
        <f>P335/F335</f>
        <v/>
      </c>
      <c r="R335" s="1206" t="n"/>
      <c r="S335" s="509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</row>
    <row r="336" ht="18.75" customHeight="1" s="1349">
      <c r="A336" s="356" t="inlineStr">
        <is>
          <t>4093016637</t>
        </is>
      </c>
      <c r="B336" s="264" t="n">
        <v>10034034167318</v>
      </c>
      <c r="C336" s="318" t="inlineStr">
        <is>
          <t>Nutriex</t>
        </is>
      </c>
      <c r="D336" s="1310" t="inlineStr">
        <is>
          <t>Protetor Solar Nutriex Profissional Fps 30 1/3 Oil Free 120g</t>
        </is>
      </c>
      <c r="E336" s="320" t="n"/>
      <c r="F336" s="320" t="n">
        <v>23.99</v>
      </c>
      <c r="G336" s="321">
        <f>F336*14%</f>
        <v/>
      </c>
      <c r="H336" s="322" t="n">
        <v>-1.63</v>
      </c>
      <c r="I336" s="331">
        <f>IFS(
  F336&lt;12.5, F336/2,
  F336&lt;29, 6.25,
  F336&lt;50, 6.5,
  F336&lt;=79, 6.75,
  TRUE, 25
)</f>
        <v/>
      </c>
      <c r="J336" s="321">
        <f>F336*18%</f>
        <v/>
      </c>
      <c r="K336" s="366" t="n">
        <v>0</v>
      </c>
      <c r="L336" s="366" t="n">
        <v>0</v>
      </c>
      <c r="M336" s="1097" t="n">
        <v>1.08</v>
      </c>
      <c r="N336" s="1097">
        <f>(G336+I336) * (9.25%)</f>
        <v/>
      </c>
      <c r="O336" s="708" t="n">
        <v>8.99</v>
      </c>
      <c r="P336" s="447">
        <f>(F336 - (G336+I336+O336+(J336+K336+L336))) - (H336-M336-N336)</f>
        <v/>
      </c>
      <c r="Q336" s="328">
        <f>P336/F336</f>
        <v/>
      </c>
      <c r="R336" s="421" t="inlineStr">
        <is>
          <t>Ativo</t>
        </is>
      </c>
      <c r="S336" s="509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</row>
    <row r="337" ht="18.75" customHeight="1" s="1349">
      <c r="A337" s="310" t="inlineStr">
        <is>
          <t>4440169431</t>
        </is>
      </c>
      <c r="B337" s="402" t="n">
        <v>10034034167439</v>
      </c>
      <c r="C337" s="318" t="inlineStr">
        <is>
          <t>Jomarca</t>
        </is>
      </c>
      <c r="D337" s="404" t="inlineStr">
        <is>
          <t>500 Parafuso Chipboard Madeira 3 X 25mm Aço Bicromatizado</t>
        </is>
      </c>
      <c r="E337" s="359" t="n"/>
      <c r="F337" s="359" t="n">
        <v>29</v>
      </c>
      <c r="G337" s="321">
        <f>F337*12%</f>
        <v/>
      </c>
      <c r="H337" s="322" t="n">
        <v>-1.49</v>
      </c>
      <c r="I337" s="331" t="n">
        <v>6.65</v>
      </c>
      <c r="J337" s="321">
        <f>F337*18%</f>
        <v/>
      </c>
      <c r="K337" s="321">
        <f>(F337-J337)*1.65%</f>
        <v/>
      </c>
      <c r="L337" s="321">
        <f>(F337-J337)*7.6%</f>
        <v/>
      </c>
      <c r="M337" s="1097">
        <f>5.18/2</f>
        <v/>
      </c>
      <c r="N337" s="1097">
        <f>(G337+I337) * (9.25%)</f>
        <v/>
      </c>
      <c r="O337" s="708">
        <f>21.55/2</f>
        <v/>
      </c>
      <c r="P337" s="447">
        <f>(F337 - (G337+I337+O337+(J337+K337+L337))) - (H337-M337-N337)</f>
        <v/>
      </c>
      <c r="Q337" s="1328">
        <f>P337/F337</f>
        <v/>
      </c>
      <c r="R337" s="579" t="n"/>
      <c r="S337" s="509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</row>
    <row r="338" ht="18.75" customHeight="1" s="1349">
      <c r="A338" s="316" t="inlineStr">
        <is>
          <t>3390223553</t>
        </is>
      </c>
      <c r="B338" s="264" t="n"/>
      <c r="C338" s="318" t="inlineStr">
        <is>
          <t>ÂNCORA</t>
        </is>
      </c>
      <c r="D338" s="1310" t="inlineStr">
        <is>
          <t>Tela Alvenaria Amarração Ancora 1,2x75x500mm Tel75 10un</t>
        </is>
      </c>
      <c r="E338" s="320" t="n"/>
      <c r="F338" s="320" t="n">
        <v>24.24</v>
      </c>
      <c r="G338" s="321">
        <f>F338*12%</f>
        <v/>
      </c>
      <c r="H338" s="322" t="n">
        <v>-0.75</v>
      </c>
      <c r="I338" s="331" t="n">
        <v>6.75</v>
      </c>
      <c r="J338" s="321">
        <f>F338*18%</f>
        <v/>
      </c>
      <c r="K338" s="321">
        <f>(F338-J338)*1.65%</f>
        <v/>
      </c>
      <c r="L338" s="321">
        <f>(F338-J338)*7.6%</f>
        <v/>
      </c>
      <c r="M338" s="1097" t="n">
        <v>0.77</v>
      </c>
      <c r="N338" s="1097">
        <f>(G338+I338) * (9.25%)</f>
        <v/>
      </c>
      <c r="O338" s="708" t="n">
        <v>6</v>
      </c>
      <c r="P338" s="447">
        <f>(F338 - (G338+I338+O338+(J338+K338+L338))) - (H338-M338-N338)</f>
        <v/>
      </c>
      <c r="Q338" s="328">
        <f>P338/F338</f>
        <v/>
      </c>
      <c r="R338" s="579" t="n"/>
      <c r="S338" s="509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</row>
    <row r="339" ht="18.75" customHeight="1" s="1349">
      <c r="A339" s="310" t="inlineStr">
        <is>
          <t>6174699160</t>
        </is>
      </c>
      <c r="B339" s="402" t="n">
        <v>10034034168110</v>
      </c>
      <c r="C339" s="331" t="inlineStr">
        <is>
          <t>ÂNCORA</t>
        </is>
      </c>
      <c r="D339" s="404" t="inlineStr">
        <is>
          <t>Kit 10 Bucha 12 Convencional A12 Fixação Uso Geral Sem Aba</t>
        </is>
      </c>
      <c r="E339" s="359" t="n"/>
      <c r="F339" s="359" t="n">
        <v>19.95</v>
      </c>
      <c r="G339" s="321">
        <f>F339*16.5%</f>
        <v/>
      </c>
      <c r="H339" s="322" t="n"/>
      <c r="I339" s="331">
        <f>IFS(
  F339&lt;12.5, F339/2,
  F339&lt;29, 6.25,
  F339&lt;50, 6.5,
  F339&lt;=79, 6.75,
  TRUE, 25
)</f>
        <v/>
      </c>
      <c r="J339" s="321">
        <f>F339*18%</f>
        <v/>
      </c>
      <c r="K339" s="321">
        <f>(F339-J339)*1.65%</f>
        <v/>
      </c>
      <c r="L339" s="321">
        <f>(F339-J339)*7.6%</f>
        <v/>
      </c>
      <c r="M339" s="577" t="n"/>
      <c r="N339" s="577">
        <f>(G339+I339) * (9.25%)</f>
        <v/>
      </c>
      <c r="O339" s="730">
        <f>21.79/10</f>
        <v/>
      </c>
      <c r="P339" s="447">
        <f>(F339 - (G339+I339+O339+(J339+K339+L339))) - (H339-M339-N339)</f>
        <v/>
      </c>
      <c r="Q339" s="1328">
        <f>P339/F339</f>
        <v/>
      </c>
      <c r="R339" s="579" t="n"/>
      <c r="S339" s="509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</row>
    <row r="340" ht="18.75" customHeight="1" s="1349">
      <c r="A340" s="711" t="inlineStr">
        <is>
          <t>4193793823</t>
        </is>
      </c>
      <c r="B340" s="470" t="n">
        <v>10034034167559</v>
      </c>
      <c r="C340" s="1292" t="inlineStr">
        <is>
          <t>Nutriex</t>
        </is>
      </c>
      <c r="D340" s="511" t="inlineStr">
        <is>
          <t>Kit Shampoo E Sabonete Líquido Kids Toy Story Banho Feliz</t>
        </is>
      </c>
      <c r="E340" s="512" t="n"/>
      <c r="F340" s="856" t="n">
        <v>37.2</v>
      </c>
      <c r="G340" s="447">
        <f>F340*14%</f>
        <v/>
      </c>
      <c r="H340" s="833" t="n"/>
      <c r="I340" s="904">
        <f>IFS(
  F340&lt;12.5, F340/2,
  F340&lt;29, 6.25,
  F340&lt;50, 6.5,
  F340&lt;=79, 6.75,
  TRUE, 25
)</f>
        <v/>
      </c>
      <c r="J340" s="340">
        <f>F340*18%</f>
        <v/>
      </c>
      <c r="K340" s="450" t="n">
        <v>0</v>
      </c>
      <c r="L340" s="450" t="n">
        <v>0</v>
      </c>
      <c r="M340" s="1097" t="n">
        <v>1.664</v>
      </c>
      <c r="N340" s="1097">
        <f>(G340+I340) * (9.25%)</f>
        <v/>
      </c>
      <c r="O340" s="701" t="n">
        <v>13.83</v>
      </c>
      <c r="P340" s="1016">
        <f>(F340 - (G340+I340+O340+(J340+K340+L340))) - (H340-M340-N340)</f>
        <v/>
      </c>
      <c r="Q340" s="328">
        <f>P340/F340</f>
        <v/>
      </c>
      <c r="R340" s="1206" t="inlineStr">
        <is>
          <t>sem estoque</t>
        </is>
      </c>
      <c r="S340" s="509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</row>
    <row r="341" ht="18.75" customHeight="1" s="1349">
      <c r="A341" s="402" t="n">
        <v>4677662545</v>
      </c>
      <c r="B341" s="264" t="n"/>
      <c r="C341" s="331" t="inlineStr">
        <is>
          <t>ÂNCORA</t>
        </is>
      </c>
      <c r="D341" s="331" t="inlineStr">
        <is>
          <t>25un Tela Alvenaria 17x50cm Tl 170 Fachada Aço Galvanizado 25un</t>
        </is>
      </c>
      <c r="E341" s="359" t="n"/>
      <c r="F341" s="359" t="n">
        <v>115.43</v>
      </c>
      <c r="G341" s="321">
        <f>F341*17%</f>
        <v/>
      </c>
      <c r="H341" s="296" t="n">
        <v>-3.57</v>
      </c>
      <c r="I341" s="331" t="n">
        <v>21.05</v>
      </c>
      <c r="J341" s="321">
        <f>F341*18%</f>
        <v/>
      </c>
      <c r="K341" s="321">
        <f>(F341-J341)*1.65%</f>
        <v/>
      </c>
      <c r="L341" s="321">
        <f>(F341-J341)*7.6%</f>
        <v/>
      </c>
      <c r="M341" s="162">
        <f>8.16/2</f>
        <v/>
      </c>
      <c r="N341" s="162">
        <f>(G341+I341) * (9.25%)</f>
        <v/>
      </c>
      <c r="O341" s="121">
        <f>64.1/2</f>
        <v/>
      </c>
      <c r="P341" s="447">
        <f>(F341 - (G341+I341+O341+(J341+K341+L341))) - (H341-M341-N341)</f>
        <v/>
      </c>
      <c r="Q341" s="1328">
        <f>P341/F341</f>
        <v/>
      </c>
      <c r="R341" s="579" t="n"/>
      <c r="S341" s="509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</row>
    <row r="342" ht="18.75" customHeight="1" s="1349">
      <c r="A342" s="310" t="inlineStr">
        <is>
          <t>6159789948</t>
        </is>
      </c>
      <c r="B342" s="402" t="n">
        <v>10034034167374</v>
      </c>
      <c r="C342" s="331" t="inlineStr">
        <is>
          <t>ÂNCORA</t>
        </is>
      </c>
      <c r="D342" s="404" t="inlineStr">
        <is>
          <t>Kit 20 Tela Amarração Alvenaria Aço Obra Tel120 12cm X 50cm</t>
        </is>
      </c>
      <c r="E342" s="359" t="n"/>
      <c r="F342" s="359" t="n">
        <v>55.19</v>
      </c>
      <c r="G342" s="321">
        <f>F342*16.5%</f>
        <v/>
      </c>
      <c r="H342" s="322" t="n">
        <v>-2.38</v>
      </c>
      <c r="I342" s="331" t="n">
        <v>7.95</v>
      </c>
      <c r="J342" s="321">
        <f>F342*18%</f>
        <v/>
      </c>
      <c r="K342" s="321">
        <f>(F342-J342)*1.65%</f>
        <v/>
      </c>
      <c r="L342" s="321">
        <f>(F342-J342)*7.6%</f>
        <v/>
      </c>
      <c r="M342" s="1097">
        <f>11.59/5</f>
        <v/>
      </c>
      <c r="N342" s="1097">
        <f>(G342+I342) * (9.25%)</f>
        <v/>
      </c>
      <c r="O342" s="708">
        <f>89.96/5</f>
        <v/>
      </c>
      <c r="P342" s="447">
        <f>(F342 - (G342+I342+O342+(J342+K342+L342))) - (H342-M342-N342)</f>
        <v/>
      </c>
      <c r="Q342" s="1328">
        <f>P342/F342</f>
        <v/>
      </c>
      <c r="R342" s="579" t="n"/>
      <c r="S342" s="509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</row>
    <row r="343" ht="18.75" customHeight="1" s="1349">
      <c r="A343" s="406" t="inlineStr">
        <is>
          <t>4164055799</t>
        </is>
      </c>
      <c r="B343" s="1100" t="n">
        <v>10034034167530</v>
      </c>
      <c r="C343" s="318" t="inlineStr">
        <is>
          <t>MUCAMBO</t>
        </is>
      </c>
      <c r="D343" s="290" t="inlineStr">
        <is>
          <t>Kit 2 Pares Luva Latex Natural Preta Segurança Pro 157 Epi</t>
        </is>
      </c>
      <c r="E343" s="359" t="n"/>
      <c r="F343" s="359" t="n">
        <v>38.8</v>
      </c>
      <c r="G343" s="321">
        <f>F343*12%</f>
        <v/>
      </c>
      <c r="H343" s="296" t="n">
        <v>-0.12</v>
      </c>
      <c r="I343" s="331">
        <f>IFS(
  F343&lt;12.5, F343/2,
  F343&lt;29, 6.25,
  F343&lt;50, 6.5,
  F343&lt;=79, 6.75,
  TRUE, 25
)</f>
        <v/>
      </c>
      <c r="J343" s="321">
        <f>F343*18%</f>
        <v/>
      </c>
      <c r="K343" s="321">
        <f>(F343-J343)*1.65%</f>
        <v/>
      </c>
      <c r="L343" s="321">
        <f>(F343-J343)*7.6%</f>
        <v/>
      </c>
      <c r="M343" s="577" t="n"/>
      <c r="N343" s="577">
        <f>(G343+I343) * (9.25%)</f>
        <v/>
      </c>
      <c r="O343" s="515" t="n">
        <v>9.279999999999999</v>
      </c>
      <c r="P343" s="447">
        <f>(F343 - (G343+I343+O343+(J343+K343+L343))) - (H343-M343-N343)</f>
        <v/>
      </c>
      <c r="Q343" s="328">
        <f>P343/F343</f>
        <v/>
      </c>
      <c r="R343" s="364" t="inlineStr">
        <is>
          <t>Ativo</t>
        </is>
      </c>
      <c r="S343" s="513" t="n"/>
      <c r="T343" s="514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</row>
    <row r="344" ht="22.5" customHeight="1" s="1349">
      <c r="A344" s="356" t="inlineStr">
        <is>
          <t>5245212836</t>
        </is>
      </c>
      <c r="B344" s="264" t="n">
        <v>10034034167553</v>
      </c>
      <c r="C344" s="318" t="inlineStr">
        <is>
          <t>ÂNCORA</t>
        </is>
      </c>
      <c r="D344" s="1310" t="inlineStr">
        <is>
          <t>Chumbador Pba 1/2 X 4 10cm C/ Porca E Arruela Parabolt 10un</t>
        </is>
      </c>
      <c r="E344" s="320" t="n"/>
      <c r="F344" s="320" t="n">
        <v>52.95</v>
      </c>
      <c r="G344" s="321">
        <f>F344*12%</f>
        <v/>
      </c>
      <c r="H344" s="322" t="n">
        <v>-1.64</v>
      </c>
      <c r="I344" s="331">
        <f>IFS(
F344&lt;12.5, F344/2,
F344&lt;29, 6.25,
F344&lt;50, 6.5,
F344&lt;=79, 6.75,
TRUE, 
25)</f>
        <v/>
      </c>
      <c r="J344" s="321">
        <f>F344*18%</f>
        <v/>
      </c>
      <c r="K344" s="321">
        <f>(F344-J344)*1.65%</f>
        <v/>
      </c>
      <c r="L344" s="321">
        <f>(F344-J344)*7.6%</f>
        <v/>
      </c>
      <c r="M344" s="1097">
        <f>0.21*10</f>
        <v/>
      </c>
      <c r="N344" s="1097">
        <f>(G344+I344) * (9.25%)</f>
        <v/>
      </c>
      <c r="O344" s="708">
        <f>1.74*10</f>
        <v/>
      </c>
      <c r="P344" s="447">
        <f>(F344 - (G344+I344+O344+(J344+K344+L344))) - (H344-M344-N344)</f>
        <v/>
      </c>
      <c r="Q344" s="328">
        <f>P344/F344</f>
        <v/>
      </c>
      <c r="R344" s="105" t="inlineStr">
        <is>
          <t>Ativo</t>
        </is>
      </c>
      <c r="S344" s="515" t="n"/>
      <c r="T344" s="514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</row>
    <row r="345" ht="18.75" customHeight="1" s="1349">
      <c r="A345" s="356" t="inlineStr">
        <is>
          <t>3837728586</t>
        </is>
      </c>
      <c r="B345" s="264" t="n">
        <v>10034034167431</v>
      </c>
      <c r="C345" s="318" t="inlineStr">
        <is>
          <t>ÂNCORA</t>
        </is>
      </c>
      <c r="D345" s="1310" t="inlineStr">
        <is>
          <t>Tela Amarração Alvenaria Tel75 7,5cm Ancora Construfix 20un</t>
        </is>
      </c>
      <c r="E345" s="320" t="n"/>
      <c r="F345" s="320" t="n">
        <v>41.97</v>
      </c>
      <c r="G345" s="321">
        <f>F345*12%</f>
        <v/>
      </c>
      <c r="H345" s="516" t="n">
        <v>-1.3</v>
      </c>
      <c r="I345" s="331" t="n">
        <v>6.75</v>
      </c>
      <c r="J345" s="321">
        <f>F345*18%</f>
        <v/>
      </c>
      <c r="K345" s="321">
        <f>(F345-J345)*1.65%</f>
        <v/>
      </c>
      <c r="L345" s="321">
        <f>(F345-J345)*7.6%</f>
        <v/>
      </c>
      <c r="M345" s="1097">
        <f>11.59 * 2 / 15</f>
        <v/>
      </c>
      <c r="N345" s="1097">
        <f>(G345+I345) * (9.25%)</f>
        <v/>
      </c>
      <c r="O345" s="708">
        <f>91.81 *2 / 15</f>
        <v/>
      </c>
      <c r="P345" s="447">
        <f>(F345 - (G345+I345+O345+(J345+K345+L345))) - (H345-M345-N345)</f>
        <v/>
      </c>
      <c r="Q345" s="328">
        <f>P345/F345</f>
        <v/>
      </c>
      <c r="R345" s="579" t="n"/>
      <c r="S345" s="509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</row>
    <row r="346" ht="15.75" customHeight="1" s="1349">
      <c r="A346" s="356" t="inlineStr">
        <is>
          <t>5849967770</t>
        </is>
      </c>
      <c r="B346" s="264" t="n">
        <v>10034034168186</v>
      </c>
      <c r="C346" s="318" t="inlineStr">
        <is>
          <t>ÂNCORA</t>
        </is>
      </c>
      <c r="D346" s="1310" t="inlineStr">
        <is>
          <t>2 Cola Adesiva Instantânea Incolor Abond Super Aplicação 5g</t>
        </is>
      </c>
      <c r="E346" s="517" t="n"/>
      <c r="F346" s="517" t="n">
        <v>18.43</v>
      </c>
      <c r="G346" s="321">
        <f>F346*16.5%</f>
        <v/>
      </c>
      <c r="H346" s="322" t="n">
        <v>-0.55</v>
      </c>
      <c r="I346" s="1310" t="n">
        <v>4.5</v>
      </c>
      <c r="J346" s="321">
        <f>F346*18%</f>
        <v/>
      </c>
      <c r="K346" s="321">
        <f>(F346-J346)*1.65%</f>
        <v/>
      </c>
      <c r="L346" s="321">
        <f>(F346-J346)*7.6%</f>
        <v/>
      </c>
      <c r="M346" s="577" t="n"/>
      <c r="N346" s="577">
        <f>(G346+I346) * (9.25%)</f>
        <v/>
      </c>
      <c r="O346" s="703" t="n">
        <v>2</v>
      </c>
      <c r="P346" s="447">
        <f>(F346 - (G346+I346+O346+(J346+K346+L346))) - (H346-M346-N346)</f>
        <v/>
      </c>
      <c r="Q346" s="328">
        <f>P346/F346</f>
        <v/>
      </c>
      <c r="R346" s="579" t="n"/>
      <c r="S346" s="1163" t="inlineStr">
        <is>
          <t>Ativo</t>
        </is>
      </c>
      <c r="T346" s="963" t="n"/>
      <c r="U346" s="531" t="n"/>
    </row>
    <row r="347" ht="18.75" customHeight="1" s="1349">
      <c r="A347" s="520" t="inlineStr">
        <is>
          <t>5849841566</t>
        </is>
      </c>
      <c r="B347" s="521" t="n">
        <v>10034034168187</v>
      </c>
      <c r="C347" s="522" t="inlineStr">
        <is>
          <t>ÂNCORA</t>
        </is>
      </c>
      <c r="D347" s="1268" t="inlineStr">
        <is>
          <t>Cola Adesiva Instantânea Incolor Abond Super Aplicação 5un</t>
        </is>
      </c>
      <c r="E347" s="524" t="n"/>
      <c r="F347" s="524" t="n">
        <v>42.9</v>
      </c>
      <c r="G347" s="525">
        <f>F347*16.5%</f>
        <v/>
      </c>
      <c r="H347" s="516" t="n"/>
      <c r="I347" s="526" t="n">
        <v>6.75</v>
      </c>
      <c r="J347" s="321">
        <f>F347*18%</f>
        <v/>
      </c>
      <c r="K347" s="321">
        <f>(F347-J347)*1.65%</f>
        <v/>
      </c>
      <c r="L347" s="321">
        <f>(F347-J347)*7.6%</f>
        <v/>
      </c>
      <c r="M347" s="527" t="n"/>
      <c r="N347" s="527">
        <f>(G347+I347) * (9.25%)</f>
        <v/>
      </c>
      <c r="O347" s="528" t="n">
        <v>5</v>
      </c>
      <c r="P347" s="447">
        <f>(F347 - (G347+I347+O347+(J347+K347+L347))) - (H347-M347-N347)</f>
        <v/>
      </c>
      <c r="Q347" s="328">
        <f>P347/F347</f>
        <v/>
      </c>
      <c r="R347" s="579" t="n"/>
      <c r="S347" s="509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</row>
    <row r="348" ht="15.75" customHeight="1" s="1349">
      <c r="A348" s="377" t="inlineStr">
        <is>
          <t>6721095590</t>
        </is>
      </c>
      <c r="B348" s="402" t="n">
        <v>10034034168418</v>
      </c>
      <c r="C348" s="331" t="n"/>
      <c r="D348" s="404" t="inlineStr">
        <is>
          <t>Pá Quadrada Aço Reforçada Jardinagem Agro Profissional</t>
        </is>
      </c>
      <c r="E348" s="359" t="n"/>
      <c r="F348" s="359" t="n">
        <v>35.99</v>
      </c>
      <c r="G348" s="321">
        <f>F348*17%</f>
        <v/>
      </c>
      <c r="H348" s="296" t="n"/>
      <c r="I348" s="331" t="n">
        <v>8.050000000000001</v>
      </c>
      <c r="J348" s="321">
        <f>F348*18%</f>
        <v/>
      </c>
      <c r="K348" s="321">
        <f>(F348-J348)*1.65%</f>
        <v/>
      </c>
      <c r="L348" s="321">
        <f>(F348-J348)*7.6%</f>
        <v/>
      </c>
      <c r="M348" s="162" t="n"/>
      <c r="N348" s="162">
        <f>(G348+I348) * (9.25%)</f>
        <v/>
      </c>
      <c r="O348" s="515" t="n"/>
      <c r="P348" s="447">
        <f>(F348 - (G348+I348+O348+(J348+K348+L348))) - (H348-M348-N348)</f>
        <v/>
      </c>
      <c r="Q348" s="1328">
        <f>P348/F348</f>
        <v/>
      </c>
      <c r="R348" s="579" t="n"/>
      <c r="S348" s="963" t="inlineStr">
        <is>
          <t>Ativo</t>
        </is>
      </c>
      <c r="T348" s="963" t="inlineStr">
        <is>
          <t>(catalogo)</t>
        </is>
      </c>
      <c r="U348" s="531" t="n"/>
    </row>
    <row r="349" ht="15.75" customHeight="1" s="1349">
      <c r="A349" s="377" t="inlineStr">
        <is>
          <t>4657817035</t>
        </is>
      </c>
      <c r="B349" s="402" t="n">
        <v>10034034168420</v>
      </c>
      <c r="C349" s="331" t="n"/>
      <c r="D349" s="404" t="inlineStr">
        <is>
          <t>Enxada Larga Reforçada Aço N2.5 Norte Jardinagem Premium</t>
        </is>
      </c>
      <c r="E349" s="359" t="n"/>
      <c r="F349" s="359" t="n">
        <v>32.87</v>
      </c>
      <c r="G349" s="321">
        <f>F349*17%</f>
        <v/>
      </c>
      <c r="H349" s="296" t="n"/>
      <c r="I349" s="331" t="n">
        <v>6.85</v>
      </c>
      <c r="J349" s="321">
        <f>F349*18%</f>
        <v/>
      </c>
      <c r="K349" s="321">
        <f>(F349-J349)*1.65%</f>
        <v/>
      </c>
      <c r="L349" s="321">
        <f>(F349-J349)*7.6%</f>
        <v/>
      </c>
      <c r="M349" s="162" t="n"/>
      <c r="N349" s="162">
        <f>(G349+I349) * (9.25%)</f>
        <v/>
      </c>
      <c r="O349" s="515" t="n"/>
      <c r="P349" s="447">
        <f>(F349 - (G349+I349+O349+(J349+K349+L349))) - (H349-M349-N349)</f>
        <v/>
      </c>
      <c r="Q349" s="1328">
        <f>P349/F349</f>
        <v/>
      </c>
      <c r="R349" s="579" t="n"/>
      <c r="S349" s="963" t="inlineStr">
        <is>
          <t>Ativo</t>
        </is>
      </c>
      <c r="T349" s="987" t="n"/>
      <c r="U349" s="531" t="n">
        <v>10</v>
      </c>
    </row>
    <row r="350" ht="22.5" customHeight="1" s="1349">
      <c r="A350" s="377" t="inlineStr">
        <is>
          <t>6721338670</t>
        </is>
      </c>
      <c r="B350" s="402" t="n">
        <v>10034034167047</v>
      </c>
      <c r="C350" s="331" t="n"/>
      <c r="D350" s="404" t="inlineStr">
        <is>
          <t>Pá Bico Arredondado Aço Reforçada Jardinagem Obra N3 Premium</t>
        </is>
      </c>
      <c r="E350" s="359" t="n"/>
      <c r="F350" s="359" t="n">
        <v>37.9</v>
      </c>
      <c r="G350" s="321">
        <f>F350*17%</f>
        <v/>
      </c>
      <c r="H350" s="296" t="n"/>
      <c r="I350" s="331" t="n">
        <v>6.75</v>
      </c>
      <c r="J350" s="321">
        <f>F350*18%</f>
        <v/>
      </c>
      <c r="K350" s="321">
        <f>(F350-J350)*1.65%</f>
        <v/>
      </c>
      <c r="L350" s="321">
        <f>(F350-J350)*7.6%</f>
        <v/>
      </c>
      <c r="M350" s="162" t="n"/>
      <c r="N350" s="162">
        <f>(G350+I350) * (9.25%)</f>
        <v/>
      </c>
      <c r="O350" s="515" t="n"/>
      <c r="P350" s="447">
        <f>(F350 - (G350+I350+O350+(J350+K350+L350))) - (H350-M350-N350)</f>
        <v/>
      </c>
      <c r="Q350" s="1328">
        <f>P350/F350</f>
        <v/>
      </c>
      <c r="R350" s="579" t="n"/>
      <c r="S350" s="963" t="inlineStr">
        <is>
          <t>Ativo</t>
        </is>
      </c>
      <c r="T350" s="987" t="n"/>
      <c r="U350" s="531" t="n"/>
    </row>
    <row r="351" ht="15.75" customHeight="1" s="1349">
      <c r="A351" s="316" t="inlineStr">
        <is>
          <t>5926115140</t>
        </is>
      </c>
      <c r="B351" s="317" t="n">
        <v>10034034168163</v>
      </c>
      <c r="C351" s="331" t="inlineStr">
        <is>
          <t>ÂNCORA</t>
        </is>
      </c>
      <c r="D351" s="1310" t="inlineStr">
        <is>
          <t>Kit 100 Chumbador Parabolt Pba 3/8 X 2.1/4 C Porca E Arruela</t>
        </is>
      </c>
      <c r="E351" s="320" t="n"/>
      <c r="F351" s="320" t="n">
        <v>189.49</v>
      </c>
      <c r="G351" s="321">
        <f>F351*12%</f>
        <v/>
      </c>
      <c r="H351" s="322" t="n">
        <v>-3.09</v>
      </c>
      <c r="I351" s="1310" t="n">
        <v>26.25</v>
      </c>
      <c r="J351" s="321">
        <f>F351*18%</f>
        <v/>
      </c>
      <c r="K351" s="321">
        <f>(F351-J351)*1.65%</f>
        <v/>
      </c>
      <c r="L351" s="321">
        <f>(F351-J351)*7.6%</f>
        <v/>
      </c>
      <c r="M351" s="577" t="n"/>
      <c r="N351" s="577">
        <f>(G351+I351) * (9.25%)</f>
        <v/>
      </c>
      <c r="O351" s="698" t="n"/>
      <c r="P351" s="447">
        <f>(F351 - (G351+I351+O351+(J351+K351+L351))) - (H351-M351-N351)</f>
        <v/>
      </c>
      <c r="Q351" s="328">
        <f>P351/F351</f>
        <v/>
      </c>
      <c r="R351" s="533" t="inlineStr">
        <is>
          <t>sem estoque</t>
        </is>
      </c>
      <c r="S351" s="987" t="n"/>
      <c r="T351" s="531" t="n">
        <v>0</v>
      </c>
      <c r="AG351" s="10" t="n"/>
    </row>
    <row r="352" ht="15.75" customHeight="1" s="1349">
      <c r="A352" s="310" t="n"/>
      <c r="B352" s="402" t="n"/>
      <c r="C352" s="331" t="n"/>
      <c r="D352" s="331" t="inlineStr">
        <is>
          <t>CHUMBADOR PARABOLT CBA 1/2 X 135 AÇO FIXAÇÃO</t>
        </is>
      </c>
      <c r="E352" s="359" t="n"/>
      <c r="F352" s="359" t="n"/>
      <c r="G352" s="321">
        <f>F352*17%</f>
        <v/>
      </c>
      <c r="H352" s="296" t="n"/>
      <c r="I352" s="331" t="n">
        <v>7</v>
      </c>
      <c r="J352" s="321">
        <f>F352*18%</f>
        <v/>
      </c>
      <c r="K352" s="321">
        <f>(F352-J352)*1.65%</f>
        <v/>
      </c>
      <c r="L352" s="321">
        <f>(F352-J352)*7.6%</f>
        <v/>
      </c>
      <c r="M352" s="577" t="n"/>
      <c r="N352" s="577">
        <f>(G352+I352) * (9.25%)</f>
        <v/>
      </c>
      <c r="O352" s="515" t="n">
        <v>0</v>
      </c>
      <c r="P352" s="447">
        <f>(F352 - (G352+I352+O352+(J352+K352+L352))) - (H352-M352-N352)</f>
        <v/>
      </c>
      <c r="Q352" s="1328">
        <f>P352/F352</f>
        <v/>
      </c>
      <c r="R352" s="363" t="n"/>
      <c r="S352" s="987" t="n"/>
      <c r="T352" s="531" t="n">
        <v>43</v>
      </c>
      <c r="AG352" s="10" t="n"/>
    </row>
    <row r="353" ht="15.75" customHeight="1" s="1349">
      <c r="A353" s="534" t="n"/>
      <c r="B353" s="402" t="n"/>
      <c r="C353" s="538" t="inlineStr">
        <is>
          <t>Norton</t>
        </is>
      </c>
      <c r="D353" s="404" t="inlineStr">
        <is>
          <t>10 - lixa 100,120,150,180,220</t>
        </is>
      </c>
      <c r="E353" s="499" t="n"/>
      <c r="F353" s="499" t="n"/>
      <c r="G353" s="535">
        <f>F353*17%</f>
        <v/>
      </c>
      <c r="H353" s="296" t="n"/>
      <c r="I353" s="331" t="n"/>
      <c r="J353" s="366" t="n"/>
      <c r="K353" s="321">
        <f>(F353-J353)*1.65%</f>
        <v/>
      </c>
      <c r="L353" s="321">
        <f>(F353-J353)*7.6%</f>
        <v/>
      </c>
      <c r="M353" s="536">
        <f>0.21*10</f>
        <v/>
      </c>
      <c r="N353" s="536">
        <f>(G353+I353) * (9.25%)</f>
        <v/>
      </c>
      <c r="O353" s="274">
        <f>0.84*10</f>
        <v/>
      </c>
      <c r="P353" s="447">
        <f>(F353 - (G353+I353+O353+(J353+K353+L353))) - (H353-M353-N353)</f>
        <v/>
      </c>
      <c r="Q353" s="1328">
        <f>P353/F353</f>
        <v/>
      </c>
      <c r="R353" s="363" t="n"/>
      <c r="S353" s="987" t="n"/>
      <c r="T353" s="531" t="n">
        <v>39</v>
      </c>
      <c r="AG353" s="10" t="n"/>
    </row>
    <row r="354" ht="15.75" customHeight="1" s="1349">
      <c r="A354" s="534" t="n"/>
      <c r="B354" s="402" t="n"/>
      <c r="C354" s="538" t="n"/>
      <c r="D354" s="404" t="inlineStr">
        <is>
          <t>25 - lixa 100,120,150,180,220</t>
        </is>
      </c>
      <c r="E354" s="499" t="n"/>
      <c r="F354" s="499" t="n"/>
      <c r="G354" s="535">
        <f>F354*17%</f>
        <v/>
      </c>
      <c r="H354" s="296" t="n"/>
      <c r="I354" s="331" t="n"/>
      <c r="J354" s="366" t="n"/>
      <c r="K354" s="321">
        <f>(F354-J354)*1.65%</f>
        <v/>
      </c>
      <c r="L354" s="321">
        <f>(F354-J354)*7.6%</f>
        <v/>
      </c>
      <c r="M354" s="536">
        <f>0.21*25</f>
        <v/>
      </c>
      <c r="N354" s="536">
        <f>(G354+I354) * (9.25%)</f>
        <v/>
      </c>
      <c r="O354" s="274">
        <f>0.84*25</f>
        <v/>
      </c>
      <c r="P354" s="447">
        <f>(F354 - (G354+I354+O354+(J354+K354+L354))) - (H354-M354-N354)</f>
        <v/>
      </c>
      <c r="Q354" s="1328">
        <f>P354/F354</f>
        <v/>
      </c>
      <c r="R354" s="363" t="n"/>
      <c r="S354" s="963" t="inlineStr">
        <is>
          <t>Ativo</t>
        </is>
      </c>
      <c r="T354" s="987" t="n"/>
      <c r="U354" s="531" t="n"/>
    </row>
    <row r="355" ht="15.75" customHeight="1" s="1349">
      <c r="A355" s="534" t="n"/>
      <c r="B355" s="402" t="n"/>
      <c r="C355" s="538" t="n"/>
      <c r="D355" s="404" t="inlineStr">
        <is>
          <t>50 - lixa 100,120,150,180,220</t>
        </is>
      </c>
      <c r="E355" s="499" t="n"/>
      <c r="F355" s="499" t="n"/>
      <c r="G355" s="535">
        <f>F355*17%</f>
        <v/>
      </c>
      <c r="H355" s="296" t="n"/>
      <c r="I355" s="331" t="n"/>
      <c r="J355" s="366" t="n"/>
      <c r="K355" s="321">
        <f>(F355-J355)*1.65%</f>
        <v/>
      </c>
      <c r="L355" s="321">
        <f>(F355-J355)*7.6%</f>
        <v/>
      </c>
      <c r="M355" s="536">
        <f>0.21*50</f>
        <v/>
      </c>
      <c r="N355" s="536">
        <f>(G355+I355) * (9.25%)</f>
        <v/>
      </c>
      <c r="O355" s="274">
        <f>0.84*50</f>
        <v/>
      </c>
      <c r="P355" s="447">
        <f>(F355 - (G355+I355+O355+(J355+K355+L355))) - (H355-M355-N355)</f>
        <v/>
      </c>
      <c r="Q355" s="1328">
        <f>P355/F355</f>
        <v/>
      </c>
      <c r="R355" s="363" t="n"/>
      <c r="S355" s="987" t="n"/>
      <c r="T355" s="531" t="n"/>
      <c r="AG355" s="10" t="n"/>
    </row>
    <row r="356" ht="15.75" customHeight="1" s="1349">
      <c r="A356" s="534" t="n"/>
      <c r="B356" s="402" t="n"/>
      <c r="C356" s="538" t="n"/>
      <c r="D356" s="404" t="inlineStr">
        <is>
          <t>100 - lixa 100,120,150,180,220</t>
        </is>
      </c>
      <c r="E356" s="499" t="n"/>
      <c r="F356" s="499" t="n"/>
      <c r="G356" s="535">
        <f>F356*17%</f>
        <v/>
      </c>
      <c r="H356" s="296" t="n"/>
      <c r="I356" s="331" t="n"/>
      <c r="J356" s="366" t="n"/>
      <c r="K356" s="321">
        <f>(F356-J356)*1.65%</f>
        <v/>
      </c>
      <c r="L356" s="321">
        <f>(F356-J356)*7.6%</f>
        <v/>
      </c>
      <c r="M356" s="536">
        <f>0.21*100</f>
        <v/>
      </c>
      <c r="N356" s="536">
        <f>(G356+I356) * (9.25%)</f>
        <v/>
      </c>
      <c r="O356" s="274">
        <f>0.84*100</f>
        <v/>
      </c>
      <c r="P356" s="447">
        <f>(F356 - (G356+I356+O356+(J356+K356+L356))) - (H356-M356-N356)</f>
        <v/>
      </c>
      <c r="Q356" s="1328">
        <f>P356/F356</f>
        <v/>
      </c>
      <c r="R356" s="363" t="n"/>
      <c r="S356" s="987" t="n"/>
      <c r="T356" s="531" t="n"/>
      <c r="AG356" s="10" t="n"/>
    </row>
    <row r="357" ht="18.75" customHeight="1" s="1349">
      <c r="A357" s="534" t="n"/>
      <c r="B357" s="537" t="n"/>
      <c r="C357" s="538" t="n"/>
      <c r="D357" s="404" t="inlineStr">
        <is>
          <t>200 - lixa 100,120,150,180,220</t>
        </is>
      </c>
      <c r="E357" s="499" t="n"/>
      <c r="F357" s="499" t="n"/>
      <c r="G357" s="535">
        <f>F357*17%</f>
        <v/>
      </c>
      <c r="H357" s="296" t="n"/>
      <c r="I357" s="331" t="n"/>
      <c r="J357" s="366" t="n"/>
      <c r="K357" s="321">
        <f>(F357-J357)*1.65%</f>
        <v/>
      </c>
      <c r="L357" s="321">
        <f>(F357-J357)*7.6%</f>
        <v/>
      </c>
      <c r="M357" s="405">
        <f>0.21*200</f>
        <v/>
      </c>
      <c r="N357" s="405">
        <f>(G357+I357) * (9.25%)</f>
        <v/>
      </c>
      <c r="O357" s="274">
        <f>0.84*200</f>
        <v/>
      </c>
      <c r="P357" s="447">
        <f>(F357 - (G357+I357+O357+(J357+K357+L357))) - (H357-M357-N357)</f>
        <v/>
      </c>
      <c r="Q357" s="1328">
        <f>P357/F357</f>
        <v/>
      </c>
      <c r="R357" s="579" t="n"/>
      <c r="S357" s="33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</row>
    <row r="358" ht="18.75" customHeight="1" s="1349">
      <c r="A358" s="534" t="n"/>
      <c r="B358" s="432" t="n">
        <v>10034034166919</v>
      </c>
      <c r="C358" s="538" t="n"/>
      <c r="D358" s="539" t="inlineStr">
        <is>
          <t>Disco Rebolo Diamantado 115mm X M14 Alta Performace Desbaste Vermelho</t>
        </is>
      </c>
      <c r="E358" s="499" t="n"/>
      <c r="F358" s="499" t="n"/>
      <c r="G358" s="535">
        <f>F358*17%</f>
        <v/>
      </c>
      <c r="H358" s="296" t="n"/>
      <c r="I358" s="331" t="n"/>
      <c r="J358" s="340">
        <f>F358*18%</f>
        <v/>
      </c>
      <c r="K358" s="340">
        <f>(F358-J358)*1.65%</f>
        <v/>
      </c>
      <c r="L358" s="340">
        <f>(F358-J358)*7.6%</f>
        <v/>
      </c>
      <c r="M358" s="405" t="n"/>
      <c r="N358" s="405">
        <f>(G358+I358) * (9.25%)</f>
        <v/>
      </c>
      <c r="O358" s="274" t="n"/>
      <c r="P358" s="1016">
        <f>(F358 - (G358+I358+O358+(J358+K358+L358))) - (H358-M358-N358)</f>
        <v/>
      </c>
      <c r="Q358" s="462">
        <f>P358/F358</f>
        <v/>
      </c>
      <c r="R358" s="579" t="n"/>
      <c r="S358" s="33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</row>
    <row r="359" ht="15.75" customHeight="1" s="1349">
      <c r="A359" s="1292" t="inlineStr">
        <is>
          <t>4306924609</t>
        </is>
      </c>
      <c r="B359" s="884" t="n">
        <v>10034034167838</v>
      </c>
      <c r="C359" s="1292" t="inlineStr">
        <is>
          <t>ÂNCORA</t>
        </is>
      </c>
      <c r="D359" s="481" t="inlineStr">
        <is>
          <t>Chumbador Jaqueta Cone 1/2 50mm Furo 19mm Cb Alvenaria 50pçs</t>
        </is>
      </c>
      <c r="E359" s="904" t="n"/>
      <c r="F359" s="856" t="n">
        <v>193</v>
      </c>
      <c r="G359" s="1016">
        <f>F359*17%</f>
        <v/>
      </c>
      <c r="H359" s="831" t="n"/>
      <c r="I359" s="904" t="n">
        <v>21.1</v>
      </c>
      <c r="J359" s="340">
        <f>F359*18%</f>
        <v/>
      </c>
      <c r="K359" s="340">
        <f>(F359-J359)*1.65%</f>
        <v/>
      </c>
      <c r="L359" s="340">
        <f>(F359-J359)*7.6%</f>
        <v/>
      </c>
      <c r="M359" s="577" t="n"/>
      <c r="N359" s="543">
        <f>(G359+I359) * (9.25%)</f>
        <v/>
      </c>
      <c r="O359" s="904">
        <f>1.57*50</f>
        <v/>
      </c>
      <c r="P359" s="1016">
        <f>(F359 - (G359+I359+O359+(J359+K359+L359))) - (H359-M359-N359)</f>
        <v/>
      </c>
      <c r="Q359" s="462">
        <f>P359/F359</f>
        <v/>
      </c>
      <c r="R359" s="904" t="inlineStr">
        <is>
          <t>Ativo</t>
        </is>
      </c>
      <c r="S359" s="963" t="inlineStr">
        <is>
          <t>50un</t>
        </is>
      </c>
      <c r="T359" s="531" t="n"/>
      <c r="U359" s="1238" t="n"/>
      <c r="V359" s="1238" t="n"/>
      <c r="W359" s="1238" t="n"/>
      <c r="AG359" s="10" t="n"/>
    </row>
    <row r="360" ht="18.75" customHeight="1" s="1349">
      <c r="A360" s="545" t="n"/>
      <c r="B360" s="537" t="n"/>
      <c r="C360" s="546" t="n"/>
      <c r="D360" s="547" t="n"/>
      <c r="E360" s="548" t="n"/>
      <c r="F360" s="548" t="n"/>
      <c r="G360" s="549">
        <f>F360*17%</f>
        <v/>
      </c>
      <c r="H360" s="550" t="n"/>
      <c r="I360" s="526" t="n"/>
      <c r="J360" s="551" t="n"/>
      <c r="K360" s="525">
        <f>(F360-J360)*1.65%</f>
        <v/>
      </c>
      <c r="L360" s="525">
        <f>(F360-J360)*7.6%</f>
        <v/>
      </c>
      <c r="M360" s="552" t="n"/>
      <c r="N360" s="552">
        <f>(G360+I360) * (9.25%)</f>
        <v/>
      </c>
      <c r="O360" s="553" t="n"/>
      <c r="P360" s="1154">
        <f>(F360 - (G360+I360+O360+(J360+K360+L360))) - (H360-M360-N360)</f>
        <v/>
      </c>
      <c r="Q360" s="554">
        <f>P360/F360</f>
        <v/>
      </c>
      <c r="R360" s="579" t="n"/>
      <c r="S360" s="509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</row>
    <row r="361" ht="18.75" customHeight="1" s="1349">
      <c r="A361" s="545" t="n"/>
      <c r="B361" s="537" t="n"/>
      <c r="C361" s="546" t="n"/>
      <c r="D361" s="547" t="n"/>
      <c r="E361" s="548" t="n"/>
      <c r="F361" s="548" t="n"/>
      <c r="G361" s="549">
        <f>F361*17%</f>
        <v/>
      </c>
      <c r="H361" s="550" t="n"/>
      <c r="I361" s="526" t="n"/>
      <c r="J361" s="551" t="n"/>
      <c r="K361" s="525">
        <f>(F361-J361)*1.65%</f>
        <v/>
      </c>
      <c r="L361" s="525">
        <f>(F361-J361)*7.6%</f>
        <v/>
      </c>
      <c r="M361" s="552" t="n"/>
      <c r="N361" s="552">
        <f>(G361+I361) * (9.25%)</f>
        <v/>
      </c>
      <c r="O361" s="553" t="n"/>
      <c r="P361" s="1154">
        <f>(F361 - (G361+I361+O361+(J361+K361+L361))) - (H361-M361-N361)</f>
        <v/>
      </c>
      <c r="Q361" s="554">
        <f>P361/F361</f>
        <v/>
      </c>
      <c r="R361" s="579" t="n"/>
      <c r="S361" s="509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</row>
    <row r="362" ht="18.75" customHeight="1" s="1349">
      <c r="A362" s="545" t="n"/>
      <c r="B362" s="537" t="n"/>
      <c r="C362" s="546" t="n"/>
      <c r="D362" s="547" t="n"/>
      <c r="E362" s="548" t="n"/>
      <c r="F362" s="548" t="n"/>
      <c r="G362" s="549">
        <f>F362*17%</f>
        <v/>
      </c>
      <c r="H362" s="550" t="n"/>
      <c r="I362" s="526" t="n"/>
      <c r="J362" s="551" t="n"/>
      <c r="K362" s="525">
        <f>(F362-J362)*1.65%</f>
        <v/>
      </c>
      <c r="L362" s="525">
        <f>(F362-J362)*7.6%</f>
        <v/>
      </c>
      <c r="M362" s="552" t="n"/>
      <c r="N362" s="552">
        <f>(G362+I362) * (9.25%)</f>
        <v/>
      </c>
      <c r="O362" s="553" t="n"/>
      <c r="P362" s="1154">
        <f>(F362 - (G362+I362+O362+(J362+K362+L362))) - (H362-M362-N362)</f>
        <v/>
      </c>
      <c r="Q362" s="554">
        <f>P362/F362</f>
        <v/>
      </c>
      <c r="R362" s="579" t="n"/>
      <c r="S362" s="509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</row>
    <row r="363" ht="18.75" customHeight="1" s="1349">
      <c r="A363" s="545" t="n"/>
      <c r="B363" s="537" t="n"/>
      <c r="C363" s="546" t="n"/>
      <c r="D363" s="547" t="n"/>
      <c r="E363" s="548" t="n"/>
      <c r="F363" s="548" t="n"/>
      <c r="G363" s="549">
        <f>F363*17%</f>
        <v/>
      </c>
      <c r="H363" s="550" t="n"/>
      <c r="I363" s="526" t="n"/>
      <c r="J363" s="551" t="n"/>
      <c r="K363" s="525">
        <f>(F363-J363)*1.65%</f>
        <v/>
      </c>
      <c r="L363" s="525">
        <f>(F363-J363)*7.6%</f>
        <v/>
      </c>
      <c r="M363" s="552" t="n"/>
      <c r="N363" s="552">
        <f>(G363+I363) * (9.25%)</f>
        <v/>
      </c>
      <c r="O363" s="553" t="n"/>
      <c r="P363" s="1154">
        <f>(F363 - (G363+I363+O363+(J363+K363+L363))) - (H363-M363-N363)</f>
        <v/>
      </c>
      <c r="Q363" s="554">
        <f>P363/F363</f>
        <v/>
      </c>
      <c r="R363" s="579" t="n"/>
      <c r="S363" s="509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</row>
    <row r="364" ht="18.75" customHeight="1" s="1349">
      <c r="A364" s="545" t="n"/>
      <c r="B364" s="537" t="n"/>
      <c r="C364" s="546" t="n"/>
      <c r="D364" s="547" t="n"/>
      <c r="E364" s="548" t="n"/>
      <c r="F364" s="548" t="n"/>
      <c r="G364" s="549">
        <f>F364*17%</f>
        <v/>
      </c>
      <c r="H364" s="550" t="n"/>
      <c r="I364" s="526" t="n"/>
      <c r="J364" s="551" t="n"/>
      <c r="K364" s="525">
        <f>(F364-J364)*1.65%</f>
        <v/>
      </c>
      <c r="L364" s="525">
        <f>(F364-J364)*7.6%</f>
        <v/>
      </c>
      <c r="M364" s="552" t="n"/>
      <c r="N364" s="552">
        <f>(G364+I364) * (9.25%)</f>
        <v/>
      </c>
      <c r="O364" s="553" t="n"/>
      <c r="P364" s="1154">
        <f>(F364 - (G364+I364+O364+(J364+K364+L364))) - (H364-M364-N364)</f>
        <v/>
      </c>
      <c r="Q364" s="554">
        <f>P364/F364</f>
        <v/>
      </c>
      <c r="R364" s="579" t="n"/>
      <c r="S364" s="509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</row>
    <row r="365" ht="18.75" customHeight="1" s="1349">
      <c r="A365" s="545" t="n"/>
      <c r="B365" s="537" t="n"/>
      <c r="C365" s="546" t="n"/>
      <c r="D365" s="547" t="n"/>
      <c r="E365" s="548" t="n"/>
      <c r="F365" s="548" t="n"/>
      <c r="G365" s="549">
        <f>F365*17%</f>
        <v/>
      </c>
      <c r="H365" s="550" t="n"/>
      <c r="I365" s="526" t="n"/>
      <c r="J365" s="551" t="n"/>
      <c r="K365" s="525">
        <f>(F365-J365)*1.65%</f>
        <v/>
      </c>
      <c r="L365" s="525">
        <f>(F365-J365)*7.6%</f>
        <v/>
      </c>
      <c r="M365" s="552" t="n"/>
      <c r="N365" s="552">
        <f>(G365+I365) * (9.25%)</f>
        <v/>
      </c>
      <c r="O365" s="553" t="n"/>
      <c r="P365" s="1154">
        <f>(F365 - (G365+I365+O365+(J365+K365+L365))) - (H365-M365-N365)</f>
        <v/>
      </c>
      <c r="Q365" s="554">
        <f>P365/F365</f>
        <v/>
      </c>
      <c r="R365" s="579" t="n"/>
      <c r="S365" s="509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</row>
    <row r="366" ht="18.75" customHeight="1" s="1349">
      <c r="A366" s="545" t="n"/>
      <c r="B366" s="537" t="n"/>
      <c r="C366" s="546" t="n"/>
      <c r="D366" s="547" t="n"/>
      <c r="E366" s="548" t="n"/>
      <c r="F366" s="548" t="n"/>
      <c r="G366" s="549">
        <f>F366*17%</f>
        <v/>
      </c>
      <c r="H366" s="550" t="n"/>
      <c r="I366" s="526" t="n"/>
      <c r="J366" s="551" t="n"/>
      <c r="K366" s="525">
        <f>(F366-J366)*1.65%</f>
        <v/>
      </c>
      <c r="L366" s="525">
        <f>(F366-J366)*7.6%</f>
        <v/>
      </c>
      <c r="M366" s="552" t="n"/>
      <c r="N366" s="552">
        <f>(G366+I366) * (9.25%)</f>
        <v/>
      </c>
      <c r="O366" s="553" t="n"/>
      <c r="P366" s="1154">
        <f>(F366 - (G366+I366+O366+(J366+K366+L366))) - (H366-M366-N366)</f>
        <v/>
      </c>
      <c r="Q366" s="554">
        <f>P366/F366</f>
        <v/>
      </c>
      <c r="R366" s="579" t="n"/>
      <c r="S366" s="509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</row>
    <row r="367" ht="18.75" customHeight="1" s="1349">
      <c r="A367" s="545" t="n"/>
      <c r="B367" s="537" t="n"/>
      <c r="C367" s="546" t="n"/>
      <c r="D367" s="547" t="n"/>
      <c r="E367" s="548" t="n"/>
      <c r="F367" s="548" t="n"/>
      <c r="G367" s="549">
        <f>F367*17%</f>
        <v/>
      </c>
      <c r="H367" s="550" t="n"/>
      <c r="I367" s="526" t="n"/>
      <c r="J367" s="551" t="n"/>
      <c r="K367" s="525">
        <f>(F367-J367)*1.65%</f>
        <v/>
      </c>
      <c r="L367" s="525">
        <f>(F367-J367)*7.6%</f>
        <v/>
      </c>
      <c r="M367" s="552" t="n"/>
      <c r="N367" s="552">
        <f>(G367+I367) * (9.25%)</f>
        <v/>
      </c>
      <c r="O367" s="553" t="n"/>
      <c r="P367" s="1154">
        <f>(F367 - (G367+I367+O367+(J367+K367+L367))) - (H367-M367-N367)</f>
        <v/>
      </c>
      <c r="Q367" s="554">
        <f>P367/F367</f>
        <v/>
      </c>
      <c r="R367" s="579" t="n"/>
      <c r="S367" s="509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</row>
    <row r="368" ht="18.75" customHeight="1" s="1349">
      <c r="A368" s="545" t="n"/>
      <c r="B368" s="537" t="n"/>
      <c r="C368" s="546" t="n"/>
      <c r="D368" s="547" t="n"/>
      <c r="E368" s="548" t="n"/>
      <c r="F368" s="548" t="n"/>
      <c r="G368" s="549">
        <f>F368*17%</f>
        <v/>
      </c>
      <c r="H368" s="550" t="n"/>
      <c r="I368" s="526" t="n"/>
      <c r="J368" s="551" t="n"/>
      <c r="K368" s="525">
        <f>(F368-J368)*1.65%</f>
        <v/>
      </c>
      <c r="L368" s="525">
        <f>(F368-J368)*7.6%</f>
        <v/>
      </c>
      <c r="M368" s="552" t="n"/>
      <c r="N368" s="552">
        <f>(G368+I368) * (9.25%)</f>
        <v/>
      </c>
      <c r="O368" s="553" t="n"/>
      <c r="P368" s="1154">
        <f>(F368 - (G368+I368+O368+(J368+K368+L368))) - (H368-M368-N368)</f>
        <v/>
      </c>
      <c r="Q368" s="554">
        <f>P368/F368</f>
        <v/>
      </c>
      <c r="R368" s="579" t="n"/>
      <c r="S368" s="509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</row>
    <row r="369" ht="18.75" customHeight="1" s="1349">
      <c r="A369" s="545" t="n"/>
      <c r="B369" s="537" t="n"/>
      <c r="C369" s="546" t="n"/>
      <c r="D369" s="547" t="n"/>
      <c r="E369" s="548" t="n"/>
      <c r="F369" s="548" t="n"/>
      <c r="G369" s="549">
        <f>F369*17%</f>
        <v/>
      </c>
      <c r="H369" s="550" t="n"/>
      <c r="I369" s="526" t="n"/>
      <c r="J369" s="551" t="n"/>
      <c r="K369" s="525">
        <f>(F369-J369)*1.65%</f>
        <v/>
      </c>
      <c r="L369" s="525">
        <f>(F369-J369)*7.6%</f>
        <v/>
      </c>
      <c r="M369" s="552" t="n"/>
      <c r="N369" s="552">
        <f>(G369+I369) * (9.25%)</f>
        <v/>
      </c>
      <c r="O369" s="553" t="n"/>
      <c r="P369" s="1154">
        <f>(F369 - (G369+I369+O369+(J369+K369+L369))) - (H369-M369-N369)</f>
        <v/>
      </c>
      <c r="Q369" s="554">
        <f>P369/F369</f>
        <v/>
      </c>
      <c r="R369" s="579" t="n"/>
      <c r="S369" s="509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</row>
    <row r="370" ht="18.75" customHeight="1" s="1349">
      <c r="A370" s="545" t="n"/>
      <c r="B370" s="537" t="n"/>
      <c r="C370" s="546" t="n"/>
      <c r="D370" s="547" t="n"/>
      <c r="E370" s="548" t="n"/>
      <c r="F370" s="548" t="n"/>
      <c r="G370" s="549">
        <f>F370*17%</f>
        <v/>
      </c>
      <c r="H370" s="550" t="n"/>
      <c r="I370" s="526" t="n"/>
      <c r="J370" s="551" t="n"/>
      <c r="K370" s="525">
        <f>(F370-J370)*1.65%</f>
        <v/>
      </c>
      <c r="L370" s="525">
        <f>(F370-J370)*7.6%</f>
        <v/>
      </c>
      <c r="M370" s="552" t="n"/>
      <c r="N370" s="552">
        <f>(G370+I370) * (9.25%)</f>
        <v/>
      </c>
      <c r="O370" s="553" t="n"/>
      <c r="P370" s="1154">
        <f>(F370 - (G370+I370+O370+(J370+K370+L370))) - (H370-M370-N370)</f>
        <v/>
      </c>
      <c r="Q370" s="554">
        <f>P370/F370</f>
        <v/>
      </c>
      <c r="R370" s="579" t="n"/>
      <c r="S370" s="509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</row>
    <row r="371" ht="18.75" customHeight="1" s="1349">
      <c r="A371" s="545" t="n"/>
      <c r="B371" s="537" t="n"/>
      <c r="C371" s="546" t="n"/>
      <c r="D371" s="547" t="n"/>
      <c r="E371" s="548" t="n"/>
      <c r="F371" s="548" t="n"/>
      <c r="G371" s="549">
        <f>F371*17%</f>
        <v/>
      </c>
      <c r="H371" s="550" t="n"/>
      <c r="I371" s="526" t="n"/>
      <c r="J371" s="551" t="n"/>
      <c r="K371" s="525">
        <f>(F371-J371)*1.65%</f>
        <v/>
      </c>
      <c r="L371" s="525">
        <f>(F371-J371)*7.6%</f>
        <v/>
      </c>
      <c r="M371" s="552" t="n"/>
      <c r="N371" s="552">
        <f>(G371+I371) * (9.25%)</f>
        <v/>
      </c>
      <c r="O371" s="553" t="n"/>
      <c r="P371" s="1154">
        <f>(F371 - (G371+I371+O371+(J371+K371+L371))) - (H371-M371-N371)</f>
        <v/>
      </c>
      <c r="Q371" s="554">
        <f>P371/F371</f>
        <v/>
      </c>
      <c r="R371" s="579" t="n"/>
      <c r="S371" s="509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</row>
    <row r="372" ht="18.75" customHeight="1" s="1349">
      <c r="A372" s="545" t="n"/>
      <c r="B372" s="537" t="n"/>
      <c r="C372" s="546" t="n"/>
      <c r="D372" s="547" t="n"/>
      <c r="E372" s="548" t="n"/>
      <c r="F372" s="548" t="n"/>
      <c r="G372" s="549">
        <f>F372*17%</f>
        <v/>
      </c>
      <c r="H372" s="550" t="n"/>
      <c r="I372" s="526" t="n"/>
      <c r="J372" s="551" t="n"/>
      <c r="K372" s="525">
        <f>(F372-J372)*1.65%</f>
        <v/>
      </c>
      <c r="L372" s="525">
        <f>(F372-J372)*7.6%</f>
        <v/>
      </c>
      <c r="M372" s="552" t="n"/>
      <c r="N372" s="552">
        <f>(G372+I372) * (9.25%)</f>
        <v/>
      </c>
      <c r="O372" s="553" t="n"/>
      <c r="P372" s="1154">
        <f>(F372 - (G372+I372+O372+(J372+K372+L372))) - (H372-M372-N372)</f>
        <v/>
      </c>
      <c r="Q372" s="554">
        <f>P372/F372</f>
        <v/>
      </c>
      <c r="R372" s="579" t="n"/>
      <c r="S372" s="509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</row>
    <row r="373" ht="18.75" customHeight="1" s="1349">
      <c r="A373" s="545" t="n"/>
      <c r="B373" s="537" t="n"/>
      <c r="C373" s="546" t="n"/>
      <c r="D373" s="547" t="n"/>
      <c r="E373" s="548" t="n"/>
      <c r="F373" s="548" t="n"/>
      <c r="G373" s="549">
        <f>F373*17%</f>
        <v/>
      </c>
      <c r="H373" s="550" t="n"/>
      <c r="I373" s="526" t="n"/>
      <c r="J373" s="551" t="n"/>
      <c r="K373" s="525">
        <f>(F373-J373)*1.65%</f>
        <v/>
      </c>
      <c r="L373" s="525">
        <f>(F373-J373)*7.6%</f>
        <v/>
      </c>
      <c r="M373" s="552" t="n"/>
      <c r="N373" s="552">
        <f>(G373+I373) * (9.25%)</f>
        <v/>
      </c>
      <c r="O373" s="553" t="n"/>
      <c r="P373" s="1154">
        <f>(F373 - (G373+I373+O373+(J373+K373+L373))) - (H373-M373-N373)</f>
        <v/>
      </c>
      <c r="Q373" s="554">
        <f>P373/F373</f>
        <v/>
      </c>
      <c r="R373" s="579" t="n"/>
      <c r="S373" s="509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</row>
    <row r="374" ht="18.75" customHeight="1" s="1349">
      <c r="A374" s="545" t="n"/>
      <c r="B374" s="537" t="n"/>
      <c r="C374" s="546" t="n"/>
      <c r="D374" s="547" t="n"/>
      <c r="E374" s="548" t="n"/>
      <c r="F374" s="548" t="n"/>
      <c r="G374" s="549">
        <f>F374*17%</f>
        <v/>
      </c>
      <c r="H374" s="550" t="n"/>
      <c r="I374" s="526" t="n"/>
      <c r="J374" s="551" t="n"/>
      <c r="K374" s="525">
        <f>(F374-J374)*1.65%</f>
        <v/>
      </c>
      <c r="L374" s="525">
        <f>(F374-J374)*7.6%</f>
        <v/>
      </c>
      <c r="M374" s="552" t="n"/>
      <c r="N374" s="552">
        <f>(G374+I374) * (9.25%)</f>
        <v/>
      </c>
      <c r="O374" s="553" t="n"/>
      <c r="P374" s="1154">
        <f>(F374 - (G374+I374+O374+(J374+K374+L374))) - (H374-M374-N374)</f>
        <v/>
      </c>
      <c r="Q374" s="554">
        <f>P374/F374</f>
        <v/>
      </c>
      <c r="R374" s="579" t="n"/>
      <c r="S374" s="509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</row>
    <row r="375" ht="18.75" customHeight="1" s="1349">
      <c r="A375" s="545" t="n"/>
      <c r="B375" s="537" t="n"/>
      <c r="C375" s="546" t="n"/>
      <c r="D375" s="547" t="n"/>
      <c r="E375" s="548" t="n"/>
      <c r="F375" s="548" t="n"/>
      <c r="G375" s="549">
        <f>F375*17%</f>
        <v/>
      </c>
      <c r="H375" s="550" t="n"/>
      <c r="I375" s="526" t="n"/>
      <c r="J375" s="551" t="n"/>
      <c r="K375" s="525">
        <f>(F375-J375)*1.65%</f>
        <v/>
      </c>
      <c r="L375" s="525">
        <f>(F375-J375)*7.6%</f>
        <v/>
      </c>
      <c r="M375" s="552" t="n"/>
      <c r="N375" s="552">
        <f>(G375+I375) * (9.25%)</f>
        <v/>
      </c>
      <c r="O375" s="553" t="n"/>
      <c r="P375" s="1154">
        <f>(F375 - (G375+I375+O375+(J375+K375+L375))) - (H375-M375-N375)</f>
        <v/>
      </c>
      <c r="Q375" s="554">
        <f>P375/F375</f>
        <v/>
      </c>
      <c r="R375" s="579" t="n"/>
      <c r="S375" s="509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</row>
    <row r="376" ht="18.75" customHeight="1" s="1349">
      <c r="A376" s="545" t="n"/>
      <c r="B376" s="537" t="n"/>
      <c r="C376" s="546" t="n"/>
      <c r="D376" s="547" t="n"/>
      <c r="E376" s="548" t="n"/>
      <c r="F376" s="548" t="n"/>
      <c r="G376" s="549">
        <f>F376*17%</f>
        <v/>
      </c>
      <c r="H376" s="550" t="n"/>
      <c r="I376" s="526" t="n"/>
      <c r="J376" s="551" t="n"/>
      <c r="K376" s="525">
        <f>(F376-J376)*1.65%</f>
        <v/>
      </c>
      <c r="L376" s="525">
        <f>(F376-J376)*7.6%</f>
        <v/>
      </c>
      <c r="M376" s="552" t="n"/>
      <c r="N376" s="552">
        <f>(G376+I376) * (9.25%)</f>
        <v/>
      </c>
      <c r="O376" s="553" t="n"/>
      <c r="P376" s="1154">
        <f>(F376 - (G376+I376+O376+(J376+K376+L376))) - (H376-M376-N376)</f>
        <v/>
      </c>
      <c r="Q376" s="554">
        <f>P376/F376</f>
        <v/>
      </c>
      <c r="R376" s="579" t="n"/>
      <c r="S376" s="509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</row>
    <row r="377" ht="18.75" customHeight="1" s="1349">
      <c r="A377" s="545" t="n"/>
      <c r="B377" s="537" t="n"/>
      <c r="C377" s="546" t="n"/>
      <c r="D377" s="547" t="n"/>
      <c r="E377" s="548" t="n"/>
      <c r="F377" s="548" t="n"/>
      <c r="G377" s="549">
        <f>F377*17%</f>
        <v/>
      </c>
      <c r="H377" s="550" t="n"/>
      <c r="I377" s="526" t="n"/>
      <c r="J377" s="551" t="n"/>
      <c r="K377" s="525">
        <f>(F377-J377)*1.65%</f>
        <v/>
      </c>
      <c r="L377" s="525">
        <f>(F377-J377)*7.6%</f>
        <v/>
      </c>
      <c r="M377" s="552" t="n"/>
      <c r="N377" s="552">
        <f>(G377+I377) * (9.25%)</f>
        <v/>
      </c>
      <c r="O377" s="553" t="n"/>
      <c r="P377" s="1154">
        <f>(F377 - (G377+I377+O377+(J377+K377+L377))) - (H377-M377-N377)</f>
        <v/>
      </c>
      <c r="Q377" s="554">
        <f>P377/F377</f>
        <v/>
      </c>
      <c r="R377" s="579" t="n"/>
      <c r="S377" s="509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</row>
    <row r="378" ht="18.75" customHeight="1" s="1349">
      <c r="A378" s="545" t="n"/>
      <c r="B378" s="537" t="n"/>
      <c r="C378" s="546" t="n"/>
      <c r="D378" s="547" t="n"/>
      <c r="E378" s="548" t="n"/>
      <c r="F378" s="548" t="n"/>
      <c r="G378" s="549">
        <f>F378*17%</f>
        <v/>
      </c>
      <c r="H378" s="550" t="n"/>
      <c r="I378" s="526" t="n"/>
      <c r="J378" s="551" t="n"/>
      <c r="K378" s="525">
        <f>(F378-J378)*1.65%</f>
        <v/>
      </c>
      <c r="L378" s="525">
        <f>(F378-J378)*7.6%</f>
        <v/>
      </c>
      <c r="M378" s="552" t="n"/>
      <c r="N378" s="552">
        <f>(G378+I378) * (9.25%)</f>
        <v/>
      </c>
      <c r="O378" s="553" t="n"/>
      <c r="P378" s="1154">
        <f>(F378 - (G378+I378+O378+(J378+K378+L378))) - (H378-M378-N378)</f>
        <v/>
      </c>
      <c r="Q378" s="554">
        <f>P378/F378</f>
        <v/>
      </c>
      <c r="R378" s="579" t="n"/>
      <c r="S378" s="509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</row>
    <row r="379" ht="18.75" customHeight="1" s="1349">
      <c r="A379" s="545" t="n"/>
      <c r="B379" s="537" t="n"/>
      <c r="C379" s="546" t="n"/>
      <c r="D379" s="547" t="n"/>
      <c r="E379" s="548" t="n"/>
      <c r="F379" s="548" t="n"/>
      <c r="G379" s="549">
        <f>F379*17%</f>
        <v/>
      </c>
      <c r="H379" s="550" t="n"/>
      <c r="I379" s="526" t="n"/>
      <c r="J379" s="551" t="n"/>
      <c r="K379" s="525">
        <f>(F379-J379)*1.65%</f>
        <v/>
      </c>
      <c r="L379" s="525">
        <f>(F379-J379)*7.6%</f>
        <v/>
      </c>
      <c r="M379" s="552" t="n"/>
      <c r="N379" s="552">
        <f>(G379+I379) * (9.25%)</f>
        <v/>
      </c>
      <c r="O379" s="553" t="n"/>
      <c r="P379" s="1154">
        <f>(F379 - (G379+I379+O379+(J379+K379+L379))) - (H379-M379-N379)</f>
        <v/>
      </c>
      <c r="Q379" s="554">
        <f>P379/F379</f>
        <v/>
      </c>
      <c r="R379" s="579" t="n"/>
      <c r="S379" s="509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</row>
    <row r="380" ht="18.75" customHeight="1" s="1349">
      <c r="A380" s="545" t="n"/>
      <c r="B380" s="537" t="n"/>
      <c r="C380" s="546" t="n"/>
      <c r="D380" s="547" t="n"/>
      <c r="E380" s="548" t="n"/>
      <c r="F380" s="548" t="n"/>
      <c r="G380" s="549">
        <f>F380*17%</f>
        <v/>
      </c>
      <c r="H380" s="550" t="n"/>
      <c r="I380" s="526" t="n"/>
      <c r="J380" s="551" t="n"/>
      <c r="K380" s="525">
        <f>(F380-J380)*1.65%</f>
        <v/>
      </c>
      <c r="L380" s="525">
        <f>(F380-J380)*7.6%</f>
        <v/>
      </c>
      <c r="M380" s="552" t="n"/>
      <c r="N380" s="552">
        <f>(G380+I380) * (9.25%)</f>
        <v/>
      </c>
      <c r="O380" s="553" t="n"/>
      <c r="P380" s="1154">
        <f>(F380 - (G380+I380+O380+(J380+K380+L380))) - (H380-M380-N380)</f>
        <v/>
      </c>
      <c r="Q380" s="554">
        <f>P380/F380</f>
        <v/>
      </c>
      <c r="R380" s="579" t="n"/>
      <c r="S380" s="509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</row>
    <row r="381" ht="18.75" customHeight="1" s="1349">
      <c r="A381" s="545" t="n"/>
      <c r="B381" s="537" t="n"/>
      <c r="C381" s="546" t="n"/>
      <c r="D381" s="547" t="n"/>
      <c r="E381" s="548" t="n"/>
      <c r="F381" s="548" t="n"/>
      <c r="G381" s="549">
        <f>F381*17%</f>
        <v/>
      </c>
      <c r="H381" s="550" t="n"/>
      <c r="I381" s="526" t="n"/>
      <c r="J381" s="551" t="n"/>
      <c r="K381" s="525">
        <f>(F381-J381)*1.65%</f>
        <v/>
      </c>
      <c r="L381" s="525">
        <f>(F381-J381)*7.6%</f>
        <v/>
      </c>
      <c r="M381" s="552" t="n"/>
      <c r="N381" s="552">
        <f>(G381+I381) * (9.25%)</f>
        <v/>
      </c>
      <c r="O381" s="553" t="n"/>
      <c r="P381" s="1154">
        <f>(F381 - (G381+I381+O381+(J381+K381+L381))) - (H381-M381-N381)</f>
        <v/>
      </c>
      <c r="Q381" s="554">
        <f>P381/F381</f>
        <v/>
      </c>
      <c r="R381" s="579" t="n"/>
      <c r="S381" s="509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</row>
    <row r="382" ht="18.75" customHeight="1" s="1349">
      <c r="A382" s="545" t="n"/>
      <c r="B382" s="537" t="n"/>
      <c r="C382" s="546" t="n"/>
      <c r="D382" s="547" t="n"/>
      <c r="E382" s="548" t="n"/>
      <c r="F382" s="548" t="n"/>
      <c r="G382" s="549">
        <f>F382*17%</f>
        <v/>
      </c>
      <c r="H382" s="550" t="n"/>
      <c r="I382" s="526" t="n"/>
      <c r="J382" s="551" t="n"/>
      <c r="K382" s="525">
        <f>(F382-J382)*1.65%</f>
        <v/>
      </c>
      <c r="L382" s="525">
        <f>(F382-J382)*7.6%</f>
        <v/>
      </c>
      <c r="M382" s="552" t="n"/>
      <c r="N382" s="552">
        <f>(G382+I382) * (9.25%)</f>
        <v/>
      </c>
      <c r="O382" s="553" t="n"/>
      <c r="P382" s="1154">
        <f>(F382 - (G382+I382+O382+(J382+K382+L382))) - (H382-M382-N382)</f>
        <v/>
      </c>
      <c r="Q382" s="554">
        <f>P382/F382</f>
        <v/>
      </c>
      <c r="R382" s="579" t="n"/>
      <c r="S382" s="509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</row>
    <row r="383" ht="18.75" customHeight="1" s="1349">
      <c r="A383" s="545" t="n"/>
      <c r="B383" s="537" t="n"/>
      <c r="C383" s="546" t="n"/>
      <c r="D383" s="547" t="n"/>
      <c r="E383" s="548" t="n"/>
      <c r="F383" s="548" t="n"/>
      <c r="G383" s="549">
        <f>F383*17%</f>
        <v/>
      </c>
      <c r="H383" s="550" t="n"/>
      <c r="I383" s="526" t="n"/>
      <c r="J383" s="551" t="n"/>
      <c r="K383" s="525">
        <f>(F383-J383)*1.65%</f>
        <v/>
      </c>
      <c r="L383" s="525">
        <f>(F383-J383)*7.6%</f>
        <v/>
      </c>
      <c r="M383" s="552" t="n"/>
      <c r="N383" s="552">
        <f>(G383+I383) * (9.25%)</f>
        <v/>
      </c>
      <c r="O383" s="553" t="n"/>
      <c r="P383" s="1154">
        <f>(F383 - (G383+I383+O383+(J383+K383+L383))) - (H383-M383-N383)</f>
        <v/>
      </c>
      <c r="Q383" s="554">
        <f>P383/F383</f>
        <v/>
      </c>
      <c r="R383" s="579" t="n"/>
      <c r="S383" s="509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</row>
    <row r="384" ht="18.75" customHeight="1" s="1349">
      <c r="A384" s="545" t="n"/>
      <c r="B384" s="537" t="n"/>
      <c r="C384" s="546" t="n"/>
      <c r="D384" s="547" t="n"/>
      <c r="E384" s="548" t="n"/>
      <c r="F384" s="548" t="n"/>
      <c r="G384" s="549">
        <f>F384*17%</f>
        <v/>
      </c>
      <c r="H384" s="550" t="n"/>
      <c r="I384" s="526" t="n"/>
      <c r="J384" s="551" t="n"/>
      <c r="K384" s="525">
        <f>(F384-J384)*1.65%</f>
        <v/>
      </c>
      <c r="L384" s="525">
        <f>(F384-J384)*7.6%</f>
        <v/>
      </c>
      <c r="M384" s="552" t="n"/>
      <c r="N384" s="552">
        <f>(G384+I384) * (9.25%)</f>
        <v/>
      </c>
      <c r="O384" s="553" t="n"/>
      <c r="P384" s="1154">
        <f>(F384 - (G384+I384+O384+(J384+K384+L384))) - (H384-M384-N384)</f>
        <v/>
      </c>
      <c r="Q384" s="554">
        <f>P384/F384</f>
        <v/>
      </c>
      <c r="R384" s="579" t="n"/>
      <c r="S384" s="509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</row>
    <row r="385" ht="18.75" customHeight="1" s="1349">
      <c r="A385" s="545" t="n"/>
      <c r="B385" s="537" t="n"/>
      <c r="C385" s="546" t="n"/>
      <c r="D385" s="547" t="n"/>
      <c r="E385" s="548" t="n"/>
      <c r="F385" s="548" t="n"/>
      <c r="G385" s="549">
        <f>F385*17%</f>
        <v/>
      </c>
      <c r="H385" s="550" t="n"/>
      <c r="I385" s="526" t="n"/>
      <c r="J385" s="551" t="n"/>
      <c r="K385" s="525">
        <f>(F385-J385)*1.65%</f>
        <v/>
      </c>
      <c r="L385" s="525">
        <f>(F385-J385)*7.6%</f>
        <v/>
      </c>
      <c r="M385" s="552" t="n"/>
      <c r="N385" s="552">
        <f>(G385+I385) * (9.25%)</f>
        <v/>
      </c>
      <c r="O385" s="553" t="n"/>
      <c r="P385" s="1154">
        <f>(F385 - (G385+I385+O385+(J385+K385+L385))) - (H385-M385-N385)</f>
        <v/>
      </c>
      <c r="Q385" s="554">
        <f>P385/F385</f>
        <v/>
      </c>
      <c r="R385" s="579" t="n"/>
      <c r="S385" s="509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</row>
    <row r="386" ht="18.75" customHeight="1" s="1349">
      <c r="A386" s="545" t="n"/>
      <c r="B386" s="537" t="n"/>
      <c r="C386" s="546" t="n"/>
      <c r="D386" s="547" t="n"/>
      <c r="E386" s="548" t="n"/>
      <c r="F386" s="548" t="n"/>
      <c r="G386" s="549">
        <f>F386*17%</f>
        <v/>
      </c>
      <c r="H386" s="550" t="n"/>
      <c r="I386" s="526" t="n"/>
      <c r="J386" s="551" t="n"/>
      <c r="K386" s="525">
        <f>(F386-J386)*1.65%</f>
        <v/>
      </c>
      <c r="L386" s="525">
        <f>(F386-J386)*7.6%</f>
        <v/>
      </c>
      <c r="M386" s="552" t="n"/>
      <c r="N386" s="552">
        <f>(G386+I386) * (9.25%)</f>
        <v/>
      </c>
      <c r="O386" s="553" t="n"/>
      <c r="P386" s="1154">
        <f>(F386 - (G386+I386+O386+(J386+K386+L386))) - (H386-M386-N386)</f>
        <v/>
      </c>
      <c r="Q386" s="554">
        <f>P386/F386</f>
        <v/>
      </c>
      <c r="R386" s="579" t="n"/>
      <c r="S386" s="509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</row>
    <row r="387" ht="18.75" customHeight="1" s="1349">
      <c r="A387" s="545" t="n"/>
      <c r="B387" s="537" t="n"/>
      <c r="C387" s="546" t="n"/>
      <c r="D387" s="547" t="n"/>
      <c r="E387" s="548" t="n"/>
      <c r="F387" s="548" t="n"/>
      <c r="G387" s="549">
        <f>F387*17%</f>
        <v/>
      </c>
      <c r="H387" s="550" t="n"/>
      <c r="I387" s="526" t="n"/>
      <c r="J387" s="551" t="n"/>
      <c r="K387" s="525">
        <f>(F387-J387)*1.65%</f>
        <v/>
      </c>
      <c r="L387" s="525">
        <f>(F387-J387)*7.6%</f>
        <v/>
      </c>
      <c r="M387" s="552" t="n"/>
      <c r="N387" s="552">
        <f>(G387+I387) * (9.25%)</f>
        <v/>
      </c>
      <c r="O387" s="553" t="n"/>
      <c r="P387" s="1154">
        <f>(F387 - (G387+I387+O387+(J387+K387+L387))) - (H387-M387-N387)</f>
        <v/>
      </c>
      <c r="Q387" s="554">
        <f>P387/F387</f>
        <v/>
      </c>
      <c r="R387" s="579" t="n"/>
      <c r="S387" s="509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</row>
    <row r="388" ht="18.75" customHeight="1" s="1349">
      <c r="A388" s="545" t="n"/>
      <c r="B388" s="537" t="n"/>
      <c r="C388" s="546" t="n"/>
      <c r="D388" s="547" t="n"/>
      <c r="E388" s="548" t="n"/>
      <c r="F388" s="548" t="n"/>
      <c r="G388" s="549">
        <f>F388*17%</f>
        <v/>
      </c>
      <c r="H388" s="550" t="n"/>
      <c r="I388" s="526" t="n"/>
      <c r="J388" s="551" t="n"/>
      <c r="K388" s="525">
        <f>(F388-J388)*1.65%</f>
        <v/>
      </c>
      <c r="L388" s="525">
        <f>(F388-J388)*7.6%</f>
        <v/>
      </c>
      <c r="M388" s="552" t="n"/>
      <c r="N388" s="552">
        <f>(G388+I388) * (9.25%)</f>
        <v/>
      </c>
      <c r="O388" s="553" t="n"/>
      <c r="P388" s="1154">
        <f>(F388 - (G388+I388+O388+(J388+K388+L388))) - (H388-M388-N388)</f>
        <v/>
      </c>
      <c r="Q388" s="554">
        <f>P388/F388</f>
        <v/>
      </c>
      <c r="R388" s="579" t="n"/>
      <c r="S388" s="509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</row>
    <row r="389" ht="18.75" customHeight="1" s="1349">
      <c r="A389" s="545" t="n"/>
      <c r="B389" s="537" t="n"/>
      <c r="C389" s="546" t="n"/>
      <c r="D389" s="547" t="n"/>
      <c r="E389" s="548" t="n"/>
      <c r="F389" s="548" t="n"/>
      <c r="G389" s="549">
        <f>F389*17%</f>
        <v/>
      </c>
      <c r="H389" s="550" t="n"/>
      <c r="I389" s="526" t="n"/>
      <c r="J389" s="551" t="n"/>
      <c r="K389" s="525">
        <f>(F389-J389)*1.65%</f>
        <v/>
      </c>
      <c r="L389" s="525">
        <f>(F389-J389)*7.6%</f>
        <v/>
      </c>
      <c r="M389" s="552" t="n"/>
      <c r="N389" s="552">
        <f>(G389+I389) * (9.25%)</f>
        <v/>
      </c>
      <c r="O389" s="553" t="n"/>
      <c r="P389" s="1154">
        <f>(F389 - (G389+I389+O389+(J389+K389+L389))) - (H389-M389-N389)</f>
        <v/>
      </c>
      <c r="Q389" s="554">
        <f>P389/F389</f>
        <v/>
      </c>
      <c r="R389" s="579" t="n"/>
      <c r="S389" s="509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</row>
    <row r="390" ht="18.75" customHeight="1" s="1349">
      <c r="A390" s="545" t="n"/>
      <c r="B390" s="537" t="n"/>
      <c r="C390" s="546" t="n"/>
      <c r="D390" s="547" t="n"/>
      <c r="E390" s="548" t="n"/>
      <c r="F390" s="548" t="n"/>
      <c r="G390" s="549">
        <f>F390*17%</f>
        <v/>
      </c>
      <c r="H390" s="550" t="n"/>
      <c r="I390" s="526" t="n"/>
      <c r="J390" s="551" t="n"/>
      <c r="K390" s="525">
        <f>(F390-J390)*1.65%</f>
        <v/>
      </c>
      <c r="L390" s="525">
        <f>(F390-J390)*7.6%</f>
        <v/>
      </c>
      <c r="M390" s="552" t="n"/>
      <c r="N390" s="552">
        <f>(G390+I390) * (9.25%)</f>
        <v/>
      </c>
      <c r="O390" s="553" t="n"/>
      <c r="P390" s="1154">
        <f>(F390 - (G390+I390+O390+(J390+K390+L390))) - (H390-M390-N390)</f>
        <v/>
      </c>
      <c r="Q390" s="554">
        <f>P390/F390</f>
        <v/>
      </c>
      <c r="R390" s="579" t="n"/>
      <c r="S390" s="509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</row>
    <row r="391" ht="18.75" customHeight="1" s="1349">
      <c r="A391" s="545" t="n"/>
      <c r="B391" s="537" t="n"/>
      <c r="C391" s="546" t="n"/>
      <c r="D391" s="547" t="n"/>
      <c r="E391" s="548" t="n"/>
      <c r="F391" s="548" t="n"/>
      <c r="G391" s="549">
        <f>F391*17%</f>
        <v/>
      </c>
      <c r="H391" s="550" t="n"/>
      <c r="I391" s="526" t="n"/>
      <c r="J391" s="551" t="n"/>
      <c r="K391" s="525">
        <f>(F391-J391)*1.65%</f>
        <v/>
      </c>
      <c r="L391" s="525">
        <f>(F391-J391)*7.6%</f>
        <v/>
      </c>
      <c r="M391" s="552" t="n"/>
      <c r="N391" s="552">
        <f>(G391+I391) * (9.25%)</f>
        <v/>
      </c>
      <c r="O391" s="553" t="n"/>
      <c r="P391" s="1154">
        <f>(F391 - (G391+I391+O391+(J391+K391+L391))) - (H391-M391-N391)</f>
        <v/>
      </c>
      <c r="Q391" s="554">
        <f>P391/F391</f>
        <v/>
      </c>
      <c r="R391" s="579" t="n"/>
      <c r="S391" s="509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</row>
    <row r="392" ht="18.75" customHeight="1" s="1349">
      <c r="A392" s="545" t="n"/>
      <c r="B392" s="537" t="n"/>
      <c r="C392" s="546" t="n"/>
      <c r="D392" s="547" t="n"/>
      <c r="E392" s="548" t="n"/>
      <c r="F392" s="548" t="n"/>
      <c r="G392" s="549">
        <f>F392*17%</f>
        <v/>
      </c>
      <c r="H392" s="550" t="n"/>
      <c r="I392" s="526" t="n"/>
      <c r="J392" s="551" t="n"/>
      <c r="K392" s="525">
        <f>(F392-J392)*1.65%</f>
        <v/>
      </c>
      <c r="L392" s="525">
        <f>(F392-J392)*7.6%</f>
        <v/>
      </c>
      <c r="M392" s="552" t="n"/>
      <c r="N392" s="552">
        <f>(G392+I392) * (9.25%)</f>
        <v/>
      </c>
      <c r="O392" s="553" t="n"/>
      <c r="P392" s="1154">
        <f>(F392 - (G392+I392+O392+(J392+K392+L392))) - (H392-M392-N392)</f>
        <v/>
      </c>
      <c r="Q392" s="554">
        <f>P392/F392</f>
        <v/>
      </c>
      <c r="R392" s="579" t="n"/>
      <c r="S392" s="509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</row>
    <row r="393" ht="18.75" customHeight="1" s="1349">
      <c r="A393" s="545" t="n"/>
      <c r="B393" s="537" t="n"/>
      <c r="C393" s="546" t="n"/>
      <c r="D393" s="547" t="n"/>
      <c r="E393" s="548" t="n"/>
      <c r="F393" s="548" t="n"/>
      <c r="G393" s="549">
        <f>F393*17%</f>
        <v/>
      </c>
      <c r="H393" s="550" t="n"/>
      <c r="I393" s="526" t="n"/>
      <c r="J393" s="551" t="n"/>
      <c r="K393" s="525">
        <f>(F393-J393)*1.65%</f>
        <v/>
      </c>
      <c r="L393" s="525">
        <f>(F393-J393)*7.6%</f>
        <v/>
      </c>
      <c r="M393" s="552" t="n"/>
      <c r="N393" s="552">
        <f>(G393+I393) * (9.25%)</f>
        <v/>
      </c>
      <c r="O393" s="553" t="n"/>
      <c r="P393" s="1154">
        <f>(F393 - (G393+I393+O393+(J393+K393+L393))) - (H393-M393-N393)</f>
        <v/>
      </c>
      <c r="Q393" s="554">
        <f>P393/F393</f>
        <v/>
      </c>
      <c r="R393" s="579" t="n"/>
      <c r="S393" s="509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</row>
    <row r="394" ht="18.75" customHeight="1" s="1349">
      <c r="A394" s="545" t="n"/>
      <c r="B394" s="537" t="n"/>
      <c r="C394" s="546" t="n"/>
      <c r="D394" s="547" t="n"/>
      <c r="E394" s="548" t="n"/>
      <c r="F394" s="548" t="n"/>
      <c r="G394" s="549">
        <f>F394*17%</f>
        <v/>
      </c>
      <c r="H394" s="550" t="n"/>
      <c r="I394" s="526" t="n"/>
      <c r="J394" s="551" t="n"/>
      <c r="K394" s="525">
        <f>(F394-J394)*1.65%</f>
        <v/>
      </c>
      <c r="L394" s="525">
        <f>(F394-J394)*7.6%</f>
        <v/>
      </c>
      <c r="M394" s="552" t="n"/>
      <c r="N394" s="552">
        <f>(G394+I394) * (9.25%)</f>
        <v/>
      </c>
      <c r="O394" s="553" t="n"/>
      <c r="P394" s="1154">
        <f>(F394 - (G394+I394+O394+(J394+K394+L394))) - (H394-M394-N394)</f>
        <v/>
      </c>
      <c r="Q394" s="554">
        <f>P394/F394</f>
        <v/>
      </c>
      <c r="R394" s="579" t="n"/>
      <c r="S394" s="509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</row>
    <row r="395" ht="18.75" customHeight="1" s="1349">
      <c r="A395" s="545" t="n"/>
      <c r="B395" s="537" t="n"/>
      <c r="C395" s="546" t="n"/>
      <c r="D395" s="547" t="n"/>
      <c r="E395" s="548" t="n"/>
      <c r="F395" s="548" t="n"/>
      <c r="G395" s="549">
        <f>F395*17%</f>
        <v/>
      </c>
      <c r="H395" s="550" t="n"/>
      <c r="I395" s="526" t="n"/>
      <c r="J395" s="551" t="n"/>
      <c r="K395" s="525">
        <f>(F395-J395)*1.65%</f>
        <v/>
      </c>
      <c r="L395" s="525">
        <f>(F395-J395)*7.6%</f>
        <v/>
      </c>
      <c r="M395" s="552" t="n"/>
      <c r="N395" s="552">
        <f>(G395+I395) * (9.25%)</f>
        <v/>
      </c>
      <c r="O395" s="553" t="n"/>
      <c r="P395" s="1154">
        <f>(F395 - (G395+I395+O395+(J395+K395+L395))) - (H395-M395-N395)</f>
        <v/>
      </c>
      <c r="Q395" s="554">
        <f>P395/F395</f>
        <v/>
      </c>
      <c r="R395" s="579" t="n"/>
      <c r="S395" s="509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</row>
    <row r="396" ht="18.75" customHeight="1" s="1349">
      <c r="A396" s="545" t="n"/>
      <c r="B396" s="537" t="n"/>
      <c r="C396" s="546" t="n"/>
      <c r="D396" s="547" t="n"/>
      <c r="E396" s="548" t="n"/>
      <c r="F396" s="548" t="n"/>
      <c r="G396" s="549">
        <f>F396*17%</f>
        <v/>
      </c>
      <c r="H396" s="550" t="n"/>
      <c r="I396" s="526" t="n"/>
      <c r="J396" s="551" t="n"/>
      <c r="K396" s="525">
        <f>(F396-J396)*1.65%</f>
        <v/>
      </c>
      <c r="L396" s="525">
        <f>(F396-J396)*7.6%</f>
        <v/>
      </c>
      <c r="M396" s="552" t="n"/>
      <c r="N396" s="552">
        <f>(G396+I396) * (9.25%)</f>
        <v/>
      </c>
      <c r="O396" s="553" t="n"/>
      <c r="P396" s="1154">
        <f>(F396 - (G396+I396+O396+(J396+K396+L396))) - (H396-M396-N396)</f>
        <v/>
      </c>
      <c r="Q396" s="554">
        <f>P396/F396</f>
        <v/>
      </c>
      <c r="R396" s="579" t="n"/>
      <c r="S396" s="509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</row>
    <row r="397" ht="18.75" customHeight="1" s="1349">
      <c r="A397" s="545" t="n"/>
      <c r="B397" s="537" t="n"/>
      <c r="C397" s="546" t="n"/>
      <c r="D397" s="547" t="n"/>
      <c r="E397" s="548" t="n"/>
      <c r="F397" s="548" t="n"/>
      <c r="G397" s="549">
        <f>F397*17%</f>
        <v/>
      </c>
      <c r="H397" s="550" t="n"/>
      <c r="I397" s="526" t="n"/>
      <c r="J397" s="551" t="n"/>
      <c r="K397" s="525">
        <f>(F397-J397)*1.65%</f>
        <v/>
      </c>
      <c r="L397" s="525">
        <f>(F397-J397)*7.6%</f>
        <v/>
      </c>
      <c r="M397" s="552" t="n"/>
      <c r="N397" s="552">
        <f>(G397+I397) * (9.25%)</f>
        <v/>
      </c>
      <c r="O397" s="553" t="n"/>
      <c r="P397" s="1154">
        <f>(F397 - (G397+I397+O397+(J397+K397+L397))) - (H397-M397-N397)</f>
        <v/>
      </c>
      <c r="Q397" s="554">
        <f>P397/F397</f>
        <v/>
      </c>
      <c r="R397" s="579" t="n"/>
      <c r="S397" s="509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</row>
    <row r="398" ht="18.75" customHeight="1" s="1349">
      <c r="A398" s="545" t="n"/>
      <c r="B398" s="537" t="n"/>
      <c r="C398" s="546" t="n"/>
      <c r="D398" s="547" t="n"/>
      <c r="E398" s="548" t="n"/>
      <c r="F398" s="548" t="n"/>
      <c r="G398" s="549">
        <f>F398*17%</f>
        <v/>
      </c>
      <c r="H398" s="550" t="n"/>
      <c r="I398" s="526" t="n"/>
      <c r="J398" s="551" t="n"/>
      <c r="K398" s="525">
        <f>(F398-J398)*1.65%</f>
        <v/>
      </c>
      <c r="L398" s="525">
        <f>(F398-J398)*7.6%</f>
        <v/>
      </c>
      <c r="M398" s="552" t="n"/>
      <c r="N398" s="552">
        <f>(G398+I398) * (9.25%)</f>
        <v/>
      </c>
      <c r="O398" s="553" t="n"/>
      <c r="P398" s="1154">
        <f>(F398 - (G398+I398+O398+(J398+K398+L398))) - (H398-M398-N398)</f>
        <v/>
      </c>
      <c r="Q398" s="554">
        <f>P398/F398</f>
        <v/>
      </c>
      <c r="R398" s="579" t="n"/>
      <c r="S398" s="509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</row>
    <row r="399" ht="18.75" customHeight="1" s="1349">
      <c r="A399" s="545" t="n"/>
      <c r="B399" s="537" t="n"/>
      <c r="C399" s="546" t="n"/>
      <c r="D399" s="547" t="n"/>
      <c r="E399" s="548" t="n"/>
      <c r="F399" s="548" t="n"/>
      <c r="G399" s="549">
        <f>F399*17%</f>
        <v/>
      </c>
      <c r="H399" s="550" t="n"/>
      <c r="I399" s="526" t="n"/>
      <c r="J399" s="551" t="n"/>
      <c r="K399" s="525">
        <f>(F399-J399)*1.65%</f>
        <v/>
      </c>
      <c r="L399" s="525">
        <f>(F399-J399)*7.6%</f>
        <v/>
      </c>
      <c r="M399" s="552" t="n"/>
      <c r="N399" s="552">
        <f>(G399+I399) * (9.25%)</f>
        <v/>
      </c>
      <c r="O399" s="553" t="n"/>
      <c r="P399" s="1154">
        <f>(F399 - (G399+I399+O399+(J399+K399+L399))) - (H399-M399-N399)</f>
        <v/>
      </c>
      <c r="Q399" s="554">
        <f>P399/F399</f>
        <v/>
      </c>
      <c r="R399" s="579" t="n"/>
      <c r="S399" s="509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</row>
    <row r="400" ht="18.75" customHeight="1" s="1349">
      <c r="A400" s="545" t="n"/>
      <c r="B400" s="537" t="n"/>
      <c r="C400" s="546" t="n"/>
      <c r="D400" s="547" t="n"/>
      <c r="E400" s="548" t="n"/>
      <c r="F400" s="548" t="n"/>
      <c r="G400" s="549">
        <f>F400*17%</f>
        <v/>
      </c>
      <c r="H400" s="550" t="n"/>
      <c r="I400" s="526" t="n"/>
      <c r="J400" s="551" t="n"/>
      <c r="K400" s="525">
        <f>(F400-J400)*1.65%</f>
        <v/>
      </c>
      <c r="L400" s="525">
        <f>(F400-J400)*7.6%</f>
        <v/>
      </c>
      <c r="M400" s="552" t="n"/>
      <c r="N400" s="552">
        <f>(G400+I400) * (9.25%)</f>
        <v/>
      </c>
      <c r="O400" s="553" t="n"/>
      <c r="P400" s="1154">
        <f>(F400 - (G400+I400+O400+(J400+K400+L400))) - (H400-M400-N400)</f>
        <v/>
      </c>
      <c r="Q400" s="554">
        <f>P400/F400</f>
        <v/>
      </c>
      <c r="R400" s="579" t="n"/>
      <c r="S400" s="509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</row>
    <row r="401" ht="18.75" customHeight="1" s="1349">
      <c r="A401" s="545" t="n"/>
      <c r="B401" s="537" t="n"/>
      <c r="C401" s="546" t="n"/>
      <c r="D401" s="547" t="n"/>
      <c r="E401" s="548" t="n"/>
      <c r="F401" s="548" t="n"/>
      <c r="G401" s="549">
        <f>F401*17%</f>
        <v/>
      </c>
      <c r="H401" s="550" t="n"/>
      <c r="I401" s="526" t="n"/>
      <c r="J401" s="551" t="n"/>
      <c r="K401" s="525">
        <f>(F401-J401)*1.65%</f>
        <v/>
      </c>
      <c r="L401" s="525">
        <f>(F401-J401)*7.6%</f>
        <v/>
      </c>
      <c r="M401" s="552" t="n"/>
      <c r="N401" s="552">
        <f>(G401+I401) * (9.25%)</f>
        <v/>
      </c>
      <c r="O401" s="553" t="n"/>
      <c r="P401" s="1154">
        <f>(F401 - (G401+I401+O401+(J401+K401+L401))) - (H401-M401-N401)</f>
        <v/>
      </c>
      <c r="Q401" s="554">
        <f>P401/F401</f>
        <v/>
      </c>
      <c r="R401" s="579" t="n"/>
      <c r="S401" s="509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</row>
    <row r="402" ht="18.75" customHeight="1" s="1349">
      <c r="A402" s="545" t="n"/>
      <c r="B402" s="537" t="n"/>
      <c r="C402" s="546" t="n"/>
      <c r="D402" s="547" t="n"/>
      <c r="E402" s="548" t="n"/>
      <c r="F402" s="548" t="n"/>
      <c r="G402" s="549">
        <f>F402*17%</f>
        <v/>
      </c>
      <c r="H402" s="550" t="n"/>
      <c r="I402" s="526" t="n"/>
      <c r="J402" s="551" t="n"/>
      <c r="K402" s="525">
        <f>(F402-J402)*1.65%</f>
        <v/>
      </c>
      <c r="L402" s="525">
        <f>(F402-J402)*7.6%</f>
        <v/>
      </c>
      <c r="M402" s="552" t="n"/>
      <c r="N402" s="552">
        <f>(G402+I402) * (9.25%)</f>
        <v/>
      </c>
      <c r="O402" s="553" t="n"/>
      <c r="P402" s="1154">
        <f>(F402 - (G402+I402+O402+(J402+K402+L402))) - (H402-M402-N402)</f>
        <v/>
      </c>
      <c r="Q402" s="554">
        <f>P402/F402</f>
        <v/>
      </c>
      <c r="R402" s="579" t="n"/>
      <c r="S402" s="509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</row>
    <row r="403" ht="18.75" customHeight="1" s="1349">
      <c r="A403" s="545" t="n"/>
      <c r="B403" s="537" t="n"/>
      <c r="C403" s="546" t="n"/>
      <c r="D403" s="547" t="n"/>
      <c r="E403" s="548" t="n"/>
      <c r="F403" s="548" t="n"/>
      <c r="G403" s="549">
        <f>F403*17%</f>
        <v/>
      </c>
      <c r="H403" s="550" t="n"/>
      <c r="I403" s="526" t="n"/>
      <c r="J403" s="551" t="n"/>
      <c r="K403" s="525">
        <f>(F403-J403)*1.65%</f>
        <v/>
      </c>
      <c r="L403" s="525">
        <f>(F403-J403)*7.6%</f>
        <v/>
      </c>
      <c r="M403" s="552" t="n"/>
      <c r="N403" s="552">
        <f>(G403+I403) * (9.25%)</f>
        <v/>
      </c>
      <c r="O403" s="553" t="n"/>
      <c r="P403" s="1154">
        <f>(F403 - (G403+I403+O403+(J403+K403+L403))) - (H403-M403-N403)</f>
        <v/>
      </c>
      <c r="Q403" s="554">
        <f>P403/F403</f>
        <v/>
      </c>
      <c r="R403" s="579" t="n"/>
      <c r="S403" s="509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</row>
    <row r="404" ht="18.75" customHeight="1" s="1349">
      <c r="A404" s="545" t="n"/>
      <c r="B404" s="537" t="n"/>
      <c r="C404" s="546" t="n"/>
      <c r="D404" s="547" t="n"/>
      <c r="E404" s="548" t="n"/>
      <c r="F404" s="548" t="n"/>
      <c r="G404" s="549">
        <f>F404*17%</f>
        <v/>
      </c>
      <c r="H404" s="550" t="n"/>
      <c r="I404" s="526" t="n"/>
      <c r="J404" s="551" t="n"/>
      <c r="K404" s="525">
        <f>(F404-J404)*1.65%</f>
        <v/>
      </c>
      <c r="L404" s="525">
        <f>(F404-J404)*7.6%</f>
        <v/>
      </c>
      <c r="M404" s="552" t="n"/>
      <c r="N404" s="552">
        <f>(G404+I404) * (9.25%)</f>
        <v/>
      </c>
      <c r="O404" s="553" t="n"/>
      <c r="P404" s="1154">
        <f>(F404 - (G404+I404+O404+(J404+K404+L404))) - (H404-M404-N404)</f>
        <v/>
      </c>
      <c r="Q404" s="554">
        <f>P404/F404</f>
        <v/>
      </c>
      <c r="R404" s="579" t="n"/>
      <c r="S404" s="509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</row>
    <row r="405" ht="18.75" customHeight="1" s="1349">
      <c r="A405" s="545" t="n"/>
      <c r="B405" s="537" t="n"/>
      <c r="C405" s="546" t="n"/>
      <c r="D405" s="547" t="n"/>
      <c r="E405" s="548" t="n"/>
      <c r="F405" s="548" t="n"/>
      <c r="G405" s="549">
        <f>F405*17%</f>
        <v/>
      </c>
      <c r="H405" s="550" t="n"/>
      <c r="I405" s="526" t="n"/>
      <c r="J405" s="551" t="n"/>
      <c r="K405" s="525">
        <f>(F405-J405)*1.65%</f>
        <v/>
      </c>
      <c r="L405" s="525">
        <f>(F405-J405)*7.6%</f>
        <v/>
      </c>
      <c r="M405" s="552" t="n"/>
      <c r="N405" s="552">
        <f>(G405+I405) * (9.25%)</f>
        <v/>
      </c>
      <c r="O405" s="553" t="n"/>
      <c r="P405" s="1154">
        <f>(F405 - (G405+I405+O405+(J405+K405+L405))) - (H405-M405-N405)</f>
        <v/>
      </c>
      <c r="Q405" s="554">
        <f>P405/F405</f>
        <v/>
      </c>
      <c r="R405" s="579" t="n"/>
      <c r="S405" s="509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</row>
    <row r="406" ht="18.75" customHeight="1" s="1349">
      <c r="A406" s="545" t="n"/>
      <c r="B406" s="537" t="n"/>
      <c r="C406" s="546" t="n"/>
      <c r="D406" s="547" t="n"/>
      <c r="E406" s="548" t="n"/>
      <c r="F406" s="548" t="n"/>
      <c r="G406" s="549">
        <f>F406*17%</f>
        <v/>
      </c>
      <c r="H406" s="550" t="n"/>
      <c r="I406" s="526" t="n"/>
      <c r="J406" s="551" t="n"/>
      <c r="K406" s="525">
        <f>(F406-J406)*1.65%</f>
        <v/>
      </c>
      <c r="L406" s="525">
        <f>(F406-J406)*7.6%</f>
        <v/>
      </c>
      <c r="M406" s="552" t="n"/>
      <c r="N406" s="552">
        <f>(G406+I406) * (9.25%)</f>
        <v/>
      </c>
      <c r="O406" s="553" t="n"/>
      <c r="P406" s="1154">
        <f>(F406 - (G406+I406+O406+(J406+K406+L406))) - (H406-M406-N406)</f>
        <v/>
      </c>
      <c r="Q406" s="554">
        <f>P406/F406</f>
        <v/>
      </c>
      <c r="R406" s="579" t="n"/>
      <c r="S406" s="509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</row>
    <row r="407" ht="18.75" customHeight="1" s="1349">
      <c r="A407" s="545" t="n"/>
      <c r="B407" s="537" t="n"/>
      <c r="C407" s="546" t="n"/>
      <c r="D407" s="547" t="n"/>
      <c r="E407" s="548" t="n"/>
      <c r="F407" s="548" t="n"/>
      <c r="G407" s="549">
        <f>F407*17%</f>
        <v/>
      </c>
      <c r="H407" s="550" t="n"/>
      <c r="I407" s="526" t="n"/>
      <c r="J407" s="551" t="n"/>
      <c r="K407" s="525">
        <f>(F407-J407)*1.65%</f>
        <v/>
      </c>
      <c r="L407" s="525">
        <f>(F407-J407)*7.6%</f>
        <v/>
      </c>
      <c r="M407" s="552" t="n"/>
      <c r="N407" s="552">
        <f>(G407+I407) * (9.25%)</f>
        <v/>
      </c>
      <c r="O407" s="553" t="n"/>
      <c r="P407" s="1154">
        <f>(F407 - (G407+I407+O407+(J407+K407+L407))) - (H407-M407-N407)</f>
        <v/>
      </c>
      <c r="Q407" s="554">
        <f>P407/F407</f>
        <v/>
      </c>
      <c r="R407" s="579" t="n"/>
      <c r="S407" s="509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</row>
    <row r="408" ht="18.75" customHeight="1" s="1349">
      <c r="A408" s="545" t="n"/>
      <c r="B408" s="537" t="n"/>
      <c r="C408" s="546" t="n"/>
      <c r="D408" s="547" t="n"/>
      <c r="E408" s="548" t="n"/>
      <c r="F408" s="548" t="n"/>
      <c r="G408" s="549">
        <f>F408*17%</f>
        <v/>
      </c>
      <c r="H408" s="550" t="n"/>
      <c r="I408" s="526" t="n"/>
      <c r="J408" s="551" t="n"/>
      <c r="K408" s="525">
        <f>(F408-J408)*1.65%</f>
        <v/>
      </c>
      <c r="L408" s="525">
        <f>(F408-J408)*7.6%</f>
        <v/>
      </c>
      <c r="M408" s="552" t="n"/>
      <c r="N408" s="552">
        <f>(G408+I408) * (9.25%)</f>
        <v/>
      </c>
      <c r="O408" s="553" t="n"/>
      <c r="P408" s="1154">
        <f>(F408 - (G408+I408+O408+(J408+K408+L408))) - (H408-M408-N408)</f>
        <v/>
      </c>
      <c r="Q408" s="554">
        <f>P408/F408</f>
        <v/>
      </c>
      <c r="R408" s="579" t="n"/>
      <c r="S408" s="509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</row>
    <row r="409" ht="18.75" customHeight="1" s="1349">
      <c r="A409" s="545" t="n"/>
      <c r="B409" s="537" t="n"/>
      <c r="C409" s="546" t="n"/>
      <c r="D409" s="547" t="n"/>
      <c r="E409" s="548" t="n"/>
      <c r="F409" s="548" t="n"/>
      <c r="G409" s="549">
        <f>F409*17%</f>
        <v/>
      </c>
      <c r="H409" s="550" t="n"/>
      <c r="I409" s="526" t="n"/>
      <c r="J409" s="551" t="n"/>
      <c r="K409" s="525">
        <f>(F409-J409)*1.65%</f>
        <v/>
      </c>
      <c r="L409" s="525">
        <f>(F409-J409)*7.6%</f>
        <v/>
      </c>
      <c r="M409" s="552" t="n"/>
      <c r="N409" s="552">
        <f>(G409+I409) * (9.25%)</f>
        <v/>
      </c>
      <c r="O409" s="553" t="n"/>
      <c r="P409" s="1154">
        <f>(F409 - (G409+I409+O409+(J409+K409+L409))) - (H409-M409-N409)</f>
        <v/>
      </c>
      <c r="Q409" s="554">
        <f>P409/F409</f>
        <v/>
      </c>
      <c r="R409" s="579" t="n"/>
      <c r="S409" s="509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</row>
    <row r="410" ht="18.75" customHeight="1" s="1349">
      <c r="A410" s="545" t="n"/>
      <c r="B410" s="537" t="n"/>
      <c r="C410" s="546" t="n"/>
      <c r="D410" s="547" t="n"/>
      <c r="E410" s="548" t="n"/>
      <c r="F410" s="548" t="n"/>
      <c r="G410" s="549">
        <f>F410*17%</f>
        <v/>
      </c>
      <c r="H410" s="550" t="n"/>
      <c r="I410" s="526" t="n"/>
      <c r="J410" s="551" t="n"/>
      <c r="K410" s="525">
        <f>(F410-J410)*1.65%</f>
        <v/>
      </c>
      <c r="L410" s="525">
        <f>(F410-J410)*7.6%</f>
        <v/>
      </c>
      <c r="M410" s="552" t="n"/>
      <c r="N410" s="552">
        <f>(G410+I410) * (9.25%)</f>
        <v/>
      </c>
      <c r="O410" s="553" t="n"/>
      <c r="P410" s="1154">
        <f>(F410 - (G410+I410+O410+(J410+K410+L410))) - (H410-M410-N410)</f>
        <v/>
      </c>
      <c r="Q410" s="554">
        <f>P410/F410</f>
        <v/>
      </c>
      <c r="R410" s="579" t="n"/>
      <c r="S410" s="509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</row>
    <row r="411" ht="18.75" customHeight="1" s="1349">
      <c r="A411" s="545" t="n"/>
      <c r="B411" s="537" t="n"/>
      <c r="C411" s="546" t="n"/>
      <c r="D411" s="547" t="n"/>
      <c r="E411" s="548" t="n"/>
      <c r="F411" s="548" t="n"/>
      <c r="G411" s="549">
        <f>F411*17%</f>
        <v/>
      </c>
      <c r="H411" s="550" t="n"/>
      <c r="I411" s="526" t="n"/>
      <c r="J411" s="551" t="n"/>
      <c r="K411" s="525">
        <f>(F411-J411)*1.65%</f>
        <v/>
      </c>
      <c r="L411" s="525">
        <f>(F411-J411)*7.6%</f>
        <v/>
      </c>
      <c r="M411" s="552" t="n"/>
      <c r="N411" s="552">
        <f>(G411+I411) * (9.25%)</f>
        <v/>
      </c>
      <c r="O411" s="553" t="n"/>
      <c r="P411" s="1154">
        <f>(F411 - (G411+I411+O411+(J411+K411+L411))) - (H411-M411-N411)</f>
        <v/>
      </c>
      <c r="Q411" s="554">
        <f>P411/F411</f>
        <v/>
      </c>
      <c r="R411" s="579" t="n"/>
      <c r="S411" s="509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</row>
    <row r="412" ht="18.75" customHeight="1" s="1349">
      <c r="A412" s="545" t="n"/>
      <c r="B412" s="537" t="n"/>
      <c r="C412" s="546" t="n"/>
      <c r="D412" s="547" t="n"/>
      <c r="E412" s="548" t="n"/>
      <c r="F412" s="548" t="n"/>
      <c r="G412" s="549">
        <f>F412*17%</f>
        <v/>
      </c>
      <c r="H412" s="550" t="n"/>
      <c r="I412" s="526" t="n"/>
      <c r="J412" s="551" t="n"/>
      <c r="K412" s="525">
        <f>(F412-J412)*1.65%</f>
        <v/>
      </c>
      <c r="L412" s="525">
        <f>(F412-J412)*7.6%</f>
        <v/>
      </c>
      <c r="M412" s="552" t="n"/>
      <c r="N412" s="552">
        <f>(G412+I412) * (9.25%)</f>
        <v/>
      </c>
      <c r="O412" s="553" t="n"/>
      <c r="P412" s="1154">
        <f>(F412 - (G412+I412+O412+(J412+K412+L412))) - (H412-M412-N412)</f>
        <v/>
      </c>
      <c r="Q412" s="554">
        <f>P412/F412</f>
        <v/>
      </c>
      <c r="R412" s="579" t="n"/>
      <c r="S412" s="509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</row>
    <row r="413" ht="18.75" customHeight="1" s="1349">
      <c r="A413" s="545" t="n"/>
      <c r="B413" s="537" t="n"/>
      <c r="C413" s="546" t="n"/>
      <c r="D413" s="547" t="n"/>
      <c r="E413" s="548" t="n"/>
      <c r="F413" s="548" t="n"/>
      <c r="G413" s="549">
        <f>F413*17%</f>
        <v/>
      </c>
      <c r="H413" s="550" t="n"/>
      <c r="I413" s="526" t="n"/>
      <c r="J413" s="551" t="n"/>
      <c r="K413" s="525">
        <f>(F413-J413)*1.65%</f>
        <v/>
      </c>
      <c r="L413" s="525">
        <f>(F413-J413)*7.6%</f>
        <v/>
      </c>
      <c r="M413" s="552" t="n"/>
      <c r="N413" s="552">
        <f>(G413+I413) * (9.25%)</f>
        <v/>
      </c>
      <c r="O413" s="553" t="n"/>
      <c r="P413" s="1154">
        <f>(F413 - (G413+I413+O413+(J413+K413+L413))) - (H413-M413-N413)</f>
        <v/>
      </c>
      <c r="Q413" s="554">
        <f>P413/F413</f>
        <v/>
      </c>
      <c r="R413" s="579" t="n"/>
      <c r="S413" s="509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</row>
    <row r="414" ht="18.75" customHeight="1" s="1349">
      <c r="A414" s="545" t="n"/>
      <c r="B414" s="537" t="n"/>
      <c r="C414" s="546" t="n"/>
      <c r="D414" s="547" t="n"/>
      <c r="E414" s="548" t="n"/>
      <c r="F414" s="548" t="n"/>
      <c r="G414" s="549">
        <f>F414*17%</f>
        <v/>
      </c>
      <c r="H414" s="550" t="n"/>
      <c r="I414" s="526" t="n"/>
      <c r="J414" s="551" t="n"/>
      <c r="K414" s="525">
        <f>(F414-J414)*1.65%</f>
        <v/>
      </c>
      <c r="L414" s="525">
        <f>(F414-J414)*7.6%</f>
        <v/>
      </c>
      <c r="M414" s="552" t="n"/>
      <c r="N414" s="552">
        <f>(G414+I414) * (9.25%)</f>
        <v/>
      </c>
      <c r="O414" s="553" t="n"/>
      <c r="P414" s="1154">
        <f>(F414 - (G414+I414+O414+(J414+K414+L414))) - (H414-M414-N414)</f>
        <v/>
      </c>
      <c r="Q414" s="554">
        <f>P414/F414</f>
        <v/>
      </c>
      <c r="R414" s="579" t="n"/>
      <c r="S414" s="509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</row>
    <row r="415" ht="18.75" customHeight="1" s="1349">
      <c r="A415" s="545" t="n"/>
      <c r="B415" s="537" t="n"/>
      <c r="C415" s="546" t="n"/>
      <c r="D415" s="547" t="n"/>
      <c r="E415" s="548" t="n"/>
      <c r="F415" s="548" t="n"/>
      <c r="G415" s="549">
        <f>F415*17%</f>
        <v/>
      </c>
      <c r="H415" s="550" t="n"/>
      <c r="I415" s="526" t="n"/>
      <c r="J415" s="551" t="n"/>
      <c r="K415" s="525">
        <f>(F415-J415)*1.65%</f>
        <v/>
      </c>
      <c r="L415" s="525">
        <f>(F415-J415)*7.6%</f>
        <v/>
      </c>
      <c r="M415" s="552" t="n"/>
      <c r="N415" s="552">
        <f>(G415+I415) * (9.25%)</f>
        <v/>
      </c>
      <c r="O415" s="553" t="n"/>
      <c r="P415" s="1154">
        <f>(F415 - (G415+I415+O415+(J415+K415+L415))) - (H415-M415-N415)</f>
        <v/>
      </c>
      <c r="Q415" s="554">
        <f>P415/F415</f>
        <v/>
      </c>
      <c r="R415" s="579" t="n"/>
      <c r="S415" s="509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</row>
    <row r="416" ht="18.75" customHeight="1" s="1349">
      <c r="A416" s="545" t="n"/>
      <c r="B416" s="537" t="n"/>
      <c r="C416" s="546" t="n"/>
      <c r="D416" s="547" t="n"/>
      <c r="E416" s="548" t="n"/>
      <c r="F416" s="548" t="n"/>
      <c r="G416" s="549">
        <f>F416*17%</f>
        <v/>
      </c>
      <c r="H416" s="550" t="n"/>
      <c r="I416" s="526" t="n"/>
      <c r="J416" s="551" t="n"/>
      <c r="K416" s="525">
        <f>(F416-J416)*1.65%</f>
        <v/>
      </c>
      <c r="L416" s="525">
        <f>(F416-J416)*7.6%</f>
        <v/>
      </c>
      <c r="M416" s="552" t="n"/>
      <c r="N416" s="552">
        <f>(G416+I416) * (9.25%)</f>
        <v/>
      </c>
      <c r="O416" s="553" t="n"/>
      <c r="P416" s="1154">
        <f>(F416 - (G416+I416+O416+(J416+K416+L416))) - (H416-M416-N416)</f>
        <v/>
      </c>
      <c r="Q416" s="554">
        <f>P416/F416</f>
        <v/>
      </c>
      <c r="R416" s="579" t="n"/>
      <c r="S416" s="509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</row>
    <row r="417" ht="18.75" customHeight="1" s="1349">
      <c r="A417" s="545" t="n"/>
      <c r="B417" s="537" t="n"/>
      <c r="C417" s="546" t="n"/>
      <c r="D417" s="547" t="n"/>
      <c r="E417" s="548" t="n"/>
      <c r="F417" s="548" t="n"/>
      <c r="G417" s="549">
        <f>F417*17%</f>
        <v/>
      </c>
      <c r="H417" s="550" t="n"/>
      <c r="I417" s="526" t="n"/>
      <c r="J417" s="551" t="n"/>
      <c r="K417" s="525">
        <f>(F417-J417)*1.65%</f>
        <v/>
      </c>
      <c r="L417" s="525">
        <f>(F417-J417)*7.6%</f>
        <v/>
      </c>
      <c r="M417" s="552" t="n"/>
      <c r="N417" s="552">
        <f>(G417+I417) * (9.25%)</f>
        <v/>
      </c>
      <c r="O417" s="553" t="n"/>
      <c r="P417" s="1154">
        <f>(F417 - (G417+I417+O417+(J417+K417+L417))) - (H417-M417-N417)</f>
        <v/>
      </c>
      <c r="Q417" s="554">
        <f>P417/F417</f>
        <v/>
      </c>
      <c r="R417" s="579" t="n"/>
      <c r="S417" s="509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</row>
    <row r="418" ht="18.75" customHeight="1" s="1349">
      <c r="A418" s="545" t="n"/>
      <c r="B418" s="537" t="n"/>
      <c r="C418" s="546" t="n"/>
      <c r="D418" s="547" t="n"/>
      <c r="E418" s="548" t="n"/>
      <c r="F418" s="548" t="n"/>
      <c r="G418" s="549">
        <f>F418*17%</f>
        <v/>
      </c>
      <c r="H418" s="550" t="n"/>
      <c r="I418" s="526" t="n"/>
      <c r="J418" s="551" t="n"/>
      <c r="K418" s="525">
        <f>(F418-J418)*1.65%</f>
        <v/>
      </c>
      <c r="L418" s="525">
        <f>(F418-J418)*7.6%</f>
        <v/>
      </c>
      <c r="M418" s="552" t="n"/>
      <c r="N418" s="552">
        <f>(G418+I418) * (9.25%)</f>
        <v/>
      </c>
      <c r="O418" s="553" t="n"/>
      <c r="P418" s="1154">
        <f>(F418 - (G418+I418+O418+(J418+K418+L418))) - (H418-M418-N418)</f>
        <v/>
      </c>
      <c r="Q418" s="554">
        <f>P418/F418</f>
        <v/>
      </c>
      <c r="R418" s="579" t="n"/>
      <c r="S418" s="509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</row>
    <row r="419" ht="18.75" customHeight="1" s="1349">
      <c r="A419" s="545" t="n"/>
      <c r="B419" s="537" t="n"/>
      <c r="C419" s="546" t="n"/>
      <c r="D419" s="547" t="n"/>
      <c r="E419" s="548" t="n"/>
      <c r="F419" s="548" t="n"/>
      <c r="G419" s="549">
        <f>F419*17%</f>
        <v/>
      </c>
      <c r="H419" s="550" t="n"/>
      <c r="I419" s="526" t="n"/>
      <c r="J419" s="551" t="n"/>
      <c r="K419" s="525">
        <f>(F419-J419)*1.65%</f>
        <v/>
      </c>
      <c r="L419" s="525">
        <f>(F419-J419)*7.6%</f>
        <v/>
      </c>
      <c r="M419" s="552" t="n"/>
      <c r="N419" s="552">
        <f>(G419+I419) * (9.25%)</f>
        <v/>
      </c>
      <c r="O419" s="553" t="n"/>
      <c r="P419" s="1154">
        <f>(F419 - (G419+I419+O419+(J419+K419+L419))) - (H419-M419-N419)</f>
        <v/>
      </c>
      <c r="Q419" s="554">
        <f>P419/F419</f>
        <v/>
      </c>
      <c r="R419" s="579" t="n"/>
      <c r="S419" s="509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</row>
    <row r="420" ht="18.75" customHeight="1" s="1349">
      <c r="A420" s="545" t="n"/>
      <c r="B420" s="537" t="n"/>
      <c r="C420" s="546" t="n"/>
      <c r="D420" s="547" t="n"/>
      <c r="E420" s="548" t="n"/>
      <c r="F420" s="548" t="n"/>
      <c r="G420" s="549">
        <f>F420*17%</f>
        <v/>
      </c>
      <c r="H420" s="550" t="n"/>
      <c r="I420" s="526" t="n"/>
      <c r="J420" s="551" t="n"/>
      <c r="K420" s="525">
        <f>(F420-J420)*1.65%</f>
        <v/>
      </c>
      <c r="L420" s="525">
        <f>(F420-J420)*7.6%</f>
        <v/>
      </c>
      <c r="M420" s="552" t="n"/>
      <c r="N420" s="552">
        <f>(G420+I420) * (9.25%)</f>
        <v/>
      </c>
      <c r="O420" s="553" t="n"/>
      <c r="P420" s="1154">
        <f>(F420 - (G420+I420+O420+(J420+K420+L420))) - (H420-M420-N420)</f>
        <v/>
      </c>
      <c r="Q420" s="554">
        <f>P420/F420</f>
        <v/>
      </c>
      <c r="R420" s="579" t="n"/>
      <c r="S420" s="509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</row>
    <row r="421" ht="18.75" customHeight="1" s="1349">
      <c r="A421" s="545" t="n"/>
      <c r="B421" s="537" t="n"/>
      <c r="C421" s="546" t="n"/>
      <c r="D421" s="547" t="n"/>
      <c r="E421" s="548" t="n"/>
      <c r="F421" s="548" t="n"/>
      <c r="G421" s="549">
        <f>F421*17%</f>
        <v/>
      </c>
      <c r="H421" s="550" t="n"/>
      <c r="I421" s="526" t="n"/>
      <c r="J421" s="551" t="n"/>
      <c r="K421" s="525">
        <f>(F421-J421)*1.65%</f>
        <v/>
      </c>
      <c r="L421" s="525">
        <f>(F421-J421)*7.6%</f>
        <v/>
      </c>
      <c r="M421" s="552" t="n"/>
      <c r="N421" s="552">
        <f>(G421+I421) * (9.25%)</f>
        <v/>
      </c>
      <c r="O421" s="553" t="n"/>
      <c r="P421" s="1154">
        <f>(F421 - (G421+I421+O421+(J421+K421+L421))) - (H421-M421-N421)</f>
        <v/>
      </c>
      <c r="Q421" s="554">
        <f>P421/F421</f>
        <v/>
      </c>
      <c r="R421" s="579" t="n"/>
      <c r="S421" s="509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</row>
    <row r="422" ht="18.75" customHeight="1" s="1349">
      <c r="A422" s="545" t="n"/>
      <c r="B422" s="537" t="n"/>
      <c r="C422" s="546" t="n"/>
      <c r="D422" s="547" t="n"/>
      <c r="E422" s="548" t="n"/>
      <c r="F422" s="548" t="n"/>
      <c r="G422" s="549">
        <f>F422*17%</f>
        <v/>
      </c>
      <c r="H422" s="550" t="n"/>
      <c r="I422" s="526" t="n"/>
      <c r="J422" s="551" t="n"/>
      <c r="K422" s="525">
        <f>(F422-J422)*1.65%</f>
        <v/>
      </c>
      <c r="L422" s="525">
        <f>(F422-J422)*7.6%</f>
        <v/>
      </c>
      <c r="M422" s="552" t="n"/>
      <c r="N422" s="552">
        <f>(G422+I422) * (9.25%)</f>
        <v/>
      </c>
      <c r="O422" s="553" t="n"/>
      <c r="P422" s="1154">
        <f>(F422 - (G422+I422+O422+(J422+K422+L422))) - (H422-M422-N422)</f>
        <v/>
      </c>
      <c r="Q422" s="554">
        <f>P422/F422</f>
        <v/>
      </c>
      <c r="R422" s="579" t="n"/>
      <c r="S422" s="509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</row>
    <row r="423" ht="18.75" customHeight="1" s="1349">
      <c r="A423" s="545" t="n"/>
      <c r="B423" s="537" t="n"/>
      <c r="C423" s="546" t="n"/>
      <c r="D423" s="547" t="n"/>
      <c r="E423" s="548" t="n"/>
      <c r="F423" s="548" t="n"/>
      <c r="G423" s="549">
        <f>F423*17%</f>
        <v/>
      </c>
      <c r="H423" s="550" t="n"/>
      <c r="I423" s="526" t="n"/>
      <c r="J423" s="551" t="n"/>
      <c r="K423" s="525">
        <f>(F423-J423)*1.65%</f>
        <v/>
      </c>
      <c r="L423" s="525">
        <f>(F423-J423)*7.6%</f>
        <v/>
      </c>
      <c r="M423" s="552" t="n"/>
      <c r="N423" s="552">
        <f>(G423+I423) * (9.25%)</f>
        <v/>
      </c>
      <c r="O423" s="553" t="n"/>
      <c r="P423" s="1154">
        <f>(F423 - (G423+I423+O423+(J423+K423+L423))) - (H423-M423-N423)</f>
        <v/>
      </c>
      <c r="Q423" s="554">
        <f>P423/F423</f>
        <v/>
      </c>
      <c r="R423" s="579" t="n"/>
      <c r="S423" s="509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</row>
    <row r="424" ht="18.75" customHeight="1" s="1349">
      <c r="A424" s="545" t="n"/>
      <c r="B424" s="537" t="n"/>
      <c r="C424" s="546" t="n"/>
      <c r="D424" s="547" t="n"/>
      <c r="E424" s="548" t="n"/>
      <c r="F424" s="548" t="n"/>
      <c r="G424" s="549">
        <f>F424*17%</f>
        <v/>
      </c>
      <c r="H424" s="550" t="n"/>
      <c r="I424" s="526" t="n"/>
      <c r="J424" s="551" t="n"/>
      <c r="K424" s="525">
        <f>(F424-J424)*1.65%</f>
        <v/>
      </c>
      <c r="L424" s="525">
        <f>(F424-J424)*7.6%</f>
        <v/>
      </c>
      <c r="M424" s="552" t="n"/>
      <c r="N424" s="552">
        <f>(G424+I424) * (9.25%)</f>
        <v/>
      </c>
      <c r="O424" s="553" t="n"/>
      <c r="P424" s="1154">
        <f>(F424 - (G424+I424+O424+(J424+K424+L424))) - (H424-M424-N424)</f>
        <v/>
      </c>
      <c r="Q424" s="554">
        <f>P424/F424</f>
        <v/>
      </c>
      <c r="R424" s="579" t="n"/>
      <c r="S424" s="509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</row>
    <row r="425" ht="18.75" customHeight="1" s="1349">
      <c r="A425" s="545" t="n"/>
      <c r="B425" s="537" t="n"/>
      <c r="C425" s="546" t="n"/>
      <c r="D425" s="547" t="n"/>
      <c r="E425" s="548" t="n"/>
      <c r="F425" s="548" t="n"/>
      <c r="G425" s="549">
        <f>F425*17%</f>
        <v/>
      </c>
      <c r="H425" s="550" t="n"/>
      <c r="I425" s="526" t="n"/>
      <c r="J425" s="551" t="n"/>
      <c r="K425" s="525">
        <f>(F425-J425)*1.65%</f>
        <v/>
      </c>
      <c r="L425" s="525">
        <f>(F425-J425)*7.6%</f>
        <v/>
      </c>
      <c r="M425" s="552" t="n"/>
      <c r="N425" s="552">
        <f>(G425+I425) * (9.25%)</f>
        <v/>
      </c>
      <c r="O425" s="553" t="n"/>
      <c r="P425" s="1154">
        <f>(F425 - (G425+I425+O425+(J425+K425+L425))) - (H425-M425-N425)</f>
        <v/>
      </c>
      <c r="Q425" s="554">
        <f>P425/F425</f>
        <v/>
      </c>
      <c r="R425" s="579" t="n"/>
      <c r="S425" s="509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</row>
    <row r="426" ht="18.75" customHeight="1" s="1349">
      <c r="A426" s="545" t="n"/>
      <c r="B426" s="537" t="n"/>
      <c r="C426" s="546" t="n"/>
      <c r="D426" s="547" t="n"/>
      <c r="E426" s="548" t="n"/>
      <c r="F426" s="548" t="n"/>
      <c r="G426" s="549">
        <f>F426*17%</f>
        <v/>
      </c>
      <c r="H426" s="550" t="n"/>
      <c r="I426" s="526" t="n"/>
      <c r="J426" s="551" t="n"/>
      <c r="K426" s="525">
        <f>(F426-J426)*1.65%</f>
        <v/>
      </c>
      <c r="L426" s="525">
        <f>(F426-J426)*7.6%</f>
        <v/>
      </c>
      <c r="M426" s="552" t="n"/>
      <c r="N426" s="552">
        <f>(G426+I426) * (9.25%)</f>
        <v/>
      </c>
      <c r="O426" s="553" t="n"/>
      <c r="P426" s="1154">
        <f>(F426 - (G426+I426+O426+(J426+K426+L426))) - (H426-M426-N426)</f>
        <v/>
      </c>
      <c r="Q426" s="554">
        <f>P426/F426</f>
        <v/>
      </c>
      <c r="R426" s="579" t="n"/>
      <c r="S426" s="509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</row>
    <row r="427" ht="18.75" customHeight="1" s="1349">
      <c r="A427" s="545" t="n"/>
      <c r="B427" s="537" t="n"/>
      <c r="C427" s="546" t="n"/>
      <c r="D427" s="547" t="n"/>
      <c r="E427" s="548" t="n"/>
      <c r="F427" s="548" t="n"/>
      <c r="G427" s="549">
        <f>F427*17%</f>
        <v/>
      </c>
      <c r="H427" s="550" t="n"/>
      <c r="I427" s="526" t="n"/>
      <c r="J427" s="551" t="n"/>
      <c r="K427" s="525">
        <f>(F427-J427)*1.65%</f>
        <v/>
      </c>
      <c r="L427" s="525">
        <f>(F427-J427)*7.6%</f>
        <v/>
      </c>
      <c r="M427" s="552" t="n"/>
      <c r="N427" s="552">
        <f>(G427+I427) * (9.25%)</f>
        <v/>
      </c>
      <c r="O427" s="553" t="n"/>
      <c r="P427" s="1154">
        <f>(F427 - (G427+I427+O427+(J427+K427+L427))) - (H427-M427-N427)</f>
        <v/>
      </c>
      <c r="Q427" s="554">
        <f>P427/F427</f>
        <v/>
      </c>
      <c r="R427" s="579" t="n"/>
      <c r="S427" s="509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</row>
    <row r="428" ht="18.75" customHeight="1" s="1349">
      <c r="A428" s="545" t="n"/>
      <c r="B428" s="537" t="n"/>
      <c r="C428" s="546" t="n"/>
      <c r="D428" s="547" t="n"/>
      <c r="E428" s="548" t="n"/>
      <c r="F428" s="548" t="n"/>
      <c r="G428" s="549">
        <f>F428*17%</f>
        <v/>
      </c>
      <c r="H428" s="550" t="n"/>
      <c r="I428" s="526" t="n"/>
      <c r="J428" s="551" t="n"/>
      <c r="K428" s="525">
        <f>(F428-J428)*1.65%</f>
        <v/>
      </c>
      <c r="L428" s="525">
        <f>(F428-J428)*7.6%</f>
        <v/>
      </c>
      <c r="M428" s="552" t="n"/>
      <c r="N428" s="552">
        <f>(G428+I428) * (9.25%)</f>
        <v/>
      </c>
      <c r="O428" s="553" t="n"/>
      <c r="P428" s="1154">
        <f>(F428 - (G428+I428+O428+(J428+K428+L428))) - (H428-M428-N428)</f>
        <v/>
      </c>
      <c r="Q428" s="554">
        <f>P428/F428</f>
        <v/>
      </c>
      <c r="R428" s="579" t="n"/>
      <c r="S428" s="509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</row>
    <row r="429" ht="18.75" customHeight="1" s="1349">
      <c r="A429" s="545" t="n"/>
      <c r="B429" s="537" t="n"/>
      <c r="C429" s="546" t="n"/>
      <c r="D429" s="547" t="n"/>
      <c r="E429" s="548" t="n"/>
      <c r="F429" s="548" t="n"/>
      <c r="G429" s="549">
        <f>F429*17%</f>
        <v/>
      </c>
      <c r="H429" s="550" t="n"/>
      <c r="I429" s="526" t="n"/>
      <c r="J429" s="551" t="n"/>
      <c r="K429" s="525">
        <f>(F429-J429)*1.65%</f>
        <v/>
      </c>
      <c r="L429" s="525">
        <f>(F429-J429)*7.6%</f>
        <v/>
      </c>
      <c r="M429" s="552" t="n"/>
      <c r="N429" s="552">
        <f>(G429+I429) * (9.25%)</f>
        <v/>
      </c>
      <c r="O429" s="553" t="n"/>
      <c r="P429" s="1154">
        <f>(F429 - (G429+I429+O429+(J429+K429+L429))) - (H429-M429-N429)</f>
        <v/>
      </c>
      <c r="Q429" s="554">
        <f>P429/F429</f>
        <v/>
      </c>
      <c r="R429" s="579" t="n"/>
      <c r="S429" s="509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</row>
    <row r="430" ht="18.75" customHeight="1" s="1349">
      <c r="A430" s="545" t="n"/>
      <c r="B430" s="537" t="n"/>
      <c r="C430" s="546" t="n"/>
      <c r="D430" s="547" t="n"/>
      <c r="E430" s="548" t="n"/>
      <c r="F430" s="548" t="n"/>
      <c r="G430" s="549">
        <f>F430*17%</f>
        <v/>
      </c>
      <c r="H430" s="550" t="n"/>
      <c r="I430" s="526" t="n"/>
      <c r="J430" s="551" t="n"/>
      <c r="K430" s="525">
        <f>(F430-J430)*1.65%</f>
        <v/>
      </c>
      <c r="L430" s="525">
        <f>(F430-J430)*7.6%</f>
        <v/>
      </c>
      <c r="M430" s="552" t="n"/>
      <c r="N430" s="552">
        <f>(G430+I430) * (9.25%)</f>
        <v/>
      </c>
      <c r="O430" s="553" t="n"/>
      <c r="P430" s="1154">
        <f>(F430 - (G430+I430+O430+(J430+K430+L430))) - (H430-M430-N430)</f>
        <v/>
      </c>
      <c r="Q430" s="554">
        <f>P430/F430</f>
        <v/>
      </c>
      <c r="R430" s="579" t="n"/>
      <c r="S430" s="509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</row>
    <row r="431" ht="18.75" customHeight="1" s="1349">
      <c r="A431" s="545" t="n"/>
      <c r="B431" s="537" t="n"/>
      <c r="C431" s="546" t="n"/>
      <c r="D431" s="547" t="n"/>
      <c r="E431" s="548" t="n"/>
      <c r="F431" s="548" t="n"/>
      <c r="G431" s="549">
        <f>F431*17%</f>
        <v/>
      </c>
      <c r="H431" s="550" t="n"/>
      <c r="I431" s="526" t="n"/>
      <c r="J431" s="551" t="n"/>
      <c r="K431" s="525">
        <f>(F431-J431)*1.65%</f>
        <v/>
      </c>
      <c r="L431" s="525">
        <f>(F431-J431)*7.6%</f>
        <v/>
      </c>
      <c r="M431" s="552" t="n"/>
      <c r="N431" s="552">
        <f>(G431+I431) * (9.25%)</f>
        <v/>
      </c>
      <c r="O431" s="553" t="n"/>
      <c r="P431" s="1154">
        <f>(F431 - (G431+I431+O431+(J431+K431+L431))) - (H431-M431-N431)</f>
        <v/>
      </c>
      <c r="Q431" s="554">
        <f>P431/F431</f>
        <v/>
      </c>
      <c r="R431" s="579" t="n"/>
      <c r="S431" s="509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</row>
    <row r="432" ht="18.75" customHeight="1" s="1349">
      <c r="A432" s="545" t="n"/>
      <c r="B432" s="537" t="n"/>
      <c r="C432" s="546" t="n"/>
      <c r="D432" s="547" t="n"/>
      <c r="E432" s="548" t="n"/>
      <c r="F432" s="548" t="n"/>
      <c r="G432" s="549">
        <f>F432*17%</f>
        <v/>
      </c>
      <c r="H432" s="550" t="n"/>
      <c r="I432" s="526" t="n"/>
      <c r="J432" s="551" t="n"/>
      <c r="K432" s="525">
        <f>(F432-J432)*1.65%</f>
        <v/>
      </c>
      <c r="L432" s="525">
        <f>(F432-J432)*7.6%</f>
        <v/>
      </c>
      <c r="M432" s="552" t="n"/>
      <c r="N432" s="552">
        <f>(G432+I432) * (9.25%)</f>
        <v/>
      </c>
      <c r="O432" s="553" t="n"/>
      <c r="P432" s="1154">
        <f>(F432 - (G432+I432+O432+(J432+K432+L432))) - (H432-M432-N432)</f>
        <v/>
      </c>
      <c r="Q432" s="554">
        <f>P432/F432</f>
        <v/>
      </c>
      <c r="R432" s="579" t="n"/>
      <c r="S432" s="509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</row>
    <row r="433" ht="18.75" customHeight="1" s="1349">
      <c r="A433" s="545" t="n"/>
      <c r="B433" s="537" t="n"/>
      <c r="C433" s="546" t="n"/>
      <c r="D433" s="547" t="n"/>
      <c r="E433" s="548" t="n"/>
      <c r="F433" s="548" t="n"/>
      <c r="G433" s="549">
        <f>F433*17%</f>
        <v/>
      </c>
      <c r="H433" s="550" t="n"/>
      <c r="I433" s="526" t="n"/>
      <c r="J433" s="551" t="n"/>
      <c r="K433" s="525">
        <f>(F433-J433)*1.65%</f>
        <v/>
      </c>
      <c r="L433" s="525">
        <f>(F433-J433)*7.6%</f>
        <v/>
      </c>
      <c r="M433" s="552" t="n"/>
      <c r="N433" s="552">
        <f>(G433+I433) * (9.25%)</f>
        <v/>
      </c>
      <c r="O433" s="553" t="n"/>
      <c r="P433" s="1154">
        <f>(F433 - (G433+I433+O433+(J433+K433+L433))) - (H433-M433-N433)</f>
        <v/>
      </c>
      <c r="Q433" s="554">
        <f>P433/F433</f>
        <v/>
      </c>
      <c r="R433" s="579" t="n"/>
      <c r="S433" s="509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</row>
    <row r="434" ht="18.75" customHeight="1" s="1349">
      <c r="A434" s="545" t="n"/>
      <c r="B434" s="537" t="n"/>
      <c r="C434" s="546" t="n"/>
      <c r="D434" s="547" t="n"/>
      <c r="E434" s="548" t="n"/>
      <c r="F434" s="548" t="n"/>
      <c r="G434" s="549">
        <f>F434*17%</f>
        <v/>
      </c>
      <c r="H434" s="550" t="n"/>
      <c r="I434" s="526" t="n"/>
      <c r="J434" s="551" t="n"/>
      <c r="K434" s="525">
        <f>(F434-J434)*1.65%</f>
        <v/>
      </c>
      <c r="L434" s="525">
        <f>(F434-J434)*7.6%</f>
        <v/>
      </c>
      <c r="M434" s="552" t="n"/>
      <c r="N434" s="552">
        <f>(G434+I434) * (9.25%)</f>
        <v/>
      </c>
      <c r="O434" s="553" t="n"/>
      <c r="P434" s="1154">
        <f>(F434 - (G434+I434+O434+(J434+K434+L434))) - (H434-M434-N434)</f>
        <v/>
      </c>
      <c r="Q434" s="554">
        <f>P434/F434</f>
        <v/>
      </c>
      <c r="R434" s="579" t="n"/>
      <c r="S434" s="509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</row>
    <row r="435" ht="18.75" customHeight="1" s="1349">
      <c r="A435" s="545" t="n"/>
      <c r="B435" s="537" t="n"/>
      <c r="C435" s="546" t="n"/>
      <c r="D435" s="547" t="n"/>
      <c r="E435" s="548" t="n"/>
      <c r="F435" s="548" t="n"/>
      <c r="G435" s="549">
        <f>F435*17%</f>
        <v/>
      </c>
      <c r="H435" s="550" t="n"/>
      <c r="I435" s="526" t="n"/>
      <c r="J435" s="551" t="n"/>
      <c r="K435" s="525">
        <f>(F435-J435)*1.65%</f>
        <v/>
      </c>
      <c r="L435" s="525">
        <f>(F435-J435)*7.6%</f>
        <v/>
      </c>
      <c r="M435" s="552" t="n"/>
      <c r="N435" s="552">
        <f>(G435+I435) * (9.25%)</f>
        <v/>
      </c>
      <c r="O435" s="553" t="n"/>
      <c r="P435" s="1154">
        <f>(F435 - (G435+I435+O435+(J435+K435+L435))) - (H435-M435-N435)</f>
        <v/>
      </c>
      <c r="Q435" s="554">
        <f>P435/F435</f>
        <v/>
      </c>
      <c r="R435" s="579" t="n"/>
      <c r="S435" s="509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</row>
    <row r="436" ht="18.75" customHeight="1" s="1349">
      <c r="A436" s="545" t="n"/>
      <c r="B436" s="537" t="n"/>
      <c r="C436" s="546" t="n"/>
      <c r="D436" s="547" t="n"/>
      <c r="E436" s="548" t="n"/>
      <c r="F436" s="548" t="n"/>
      <c r="G436" s="549">
        <f>F436*17%</f>
        <v/>
      </c>
      <c r="H436" s="550" t="n"/>
      <c r="I436" s="526" t="n"/>
      <c r="J436" s="551" t="n"/>
      <c r="K436" s="525">
        <f>(F436-J436)*1.65%</f>
        <v/>
      </c>
      <c r="L436" s="525">
        <f>(F436-J436)*7.6%</f>
        <v/>
      </c>
      <c r="M436" s="552" t="n"/>
      <c r="N436" s="552">
        <f>(G436+I436) * (9.25%)</f>
        <v/>
      </c>
      <c r="O436" s="553" t="n"/>
      <c r="P436" s="1154">
        <f>(F436 - (G436+I436+O436+(J436+K436+L436))) - (H436-M436-N436)</f>
        <v/>
      </c>
      <c r="Q436" s="554">
        <f>P436/F436</f>
        <v/>
      </c>
      <c r="R436" s="579" t="n"/>
      <c r="S436" s="509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</row>
    <row r="437" ht="18.75" customHeight="1" s="1349">
      <c r="A437" s="545" t="n"/>
      <c r="B437" s="537" t="n"/>
      <c r="C437" s="546" t="n"/>
      <c r="D437" s="547" t="n"/>
      <c r="E437" s="548" t="n"/>
      <c r="F437" s="548" t="n"/>
      <c r="G437" s="549">
        <f>F437*17%</f>
        <v/>
      </c>
      <c r="H437" s="550" t="n"/>
      <c r="I437" s="526" t="n"/>
      <c r="J437" s="551" t="n"/>
      <c r="K437" s="525">
        <f>(F437-J437)*1.65%</f>
        <v/>
      </c>
      <c r="L437" s="525">
        <f>(F437-J437)*7.6%</f>
        <v/>
      </c>
      <c r="M437" s="552" t="n"/>
      <c r="N437" s="552">
        <f>(G437+I437) * (9.25%)</f>
        <v/>
      </c>
      <c r="O437" s="553" t="n"/>
      <c r="P437" s="1154">
        <f>(F437 - (G437+I437+O437+(J437+K437+L437))) - (H437-M437-N437)</f>
        <v/>
      </c>
      <c r="Q437" s="554">
        <f>P437/F437</f>
        <v/>
      </c>
      <c r="R437" s="579" t="n"/>
      <c r="S437" s="509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</row>
    <row r="438" ht="18.75" customHeight="1" s="1349">
      <c r="A438" s="545" t="n"/>
      <c r="B438" s="537" t="n"/>
      <c r="C438" s="546" t="n"/>
      <c r="D438" s="547" t="n"/>
      <c r="E438" s="548" t="n"/>
      <c r="F438" s="548" t="n"/>
      <c r="G438" s="549">
        <f>F438*17%</f>
        <v/>
      </c>
      <c r="H438" s="550" t="n"/>
      <c r="I438" s="526" t="n"/>
      <c r="J438" s="551" t="n"/>
      <c r="K438" s="525">
        <f>(F438-J438)*1.65%</f>
        <v/>
      </c>
      <c r="L438" s="525">
        <f>(F438-J438)*7.6%</f>
        <v/>
      </c>
      <c r="M438" s="552" t="n"/>
      <c r="N438" s="552">
        <f>(G438+I438) * (9.25%)</f>
        <v/>
      </c>
      <c r="O438" s="553" t="n"/>
      <c r="P438" s="1154">
        <f>(F438 - (G438+I438+O438+(J438+K438+L438))) - (H438-M438-N438)</f>
        <v/>
      </c>
      <c r="Q438" s="554">
        <f>P438/F438</f>
        <v/>
      </c>
      <c r="R438" s="579" t="n"/>
      <c r="S438" s="509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</row>
    <row r="439" ht="18.75" customHeight="1" s="1349">
      <c r="A439" s="545" t="n"/>
      <c r="B439" s="537" t="n"/>
      <c r="C439" s="546" t="n"/>
      <c r="D439" s="547" t="n"/>
      <c r="E439" s="548" t="n"/>
      <c r="F439" s="548" t="n"/>
      <c r="G439" s="549">
        <f>F439*17%</f>
        <v/>
      </c>
      <c r="H439" s="550" t="n"/>
      <c r="I439" s="526" t="n"/>
      <c r="J439" s="551" t="n"/>
      <c r="K439" s="525">
        <f>(F439-J439)*1.65%</f>
        <v/>
      </c>
      <c r="L439" s="525">
        <f>(F439-J439)*7.6%</f>
        <v/>
      </c>
      <c r="M439" s="552" t="n"/>
      <c r="N439" s="552">
        <f>(G439+I439) * (9.25%)</f>
        <v/>
      </c>
      <c r="O439" s="553" t="n"/>
      <c r="P439" s="1154">
        <f>(F439 - (G439+I439+O439+(J439+K439+L439))) - (H439-M439-N439)</f>
        <v/>
      </c>
      <c r="Q439" s="554">
        <f>P439/F439</f>
        <v/>
      </c>
      <c r="R439" s="579" t="n"/>
      <c r="S439" s="509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</row>
  </sheetData>
  <conditionalFormatting sqref="A351:R353 A355:R356 A359:R359">
    <cfRule type="expression" priority="1" dxfId="5">
      <formula>$R351="sem estoque"</formula>
    </cfRule>
  </conditionalFormatting>
  <conditionalFormatting sqref="A345:G346 A348:I350 A354:S354 H346 I345:I346 J345:L350 M345:O346 M348:O350 P345:Q350 R346:S346 R348:S350">
    <cfRule type="expression" priority="2" dxfId="9">
      <formula>$S345="Estoque encalhado"</formula>
    </cfRule>
    <cfRule type="expression" priority="3" dxfId="5">
      <formula>$S345="sem estoque"</formula>
    </cfRule>
  </conditionalFormatting>
  <conditionalFormatting sqref="Q345:Q356 Q359">
    <cfRule type="cellIs" priority="4" operator="greaterThan" dxfId="7">
      <formula>"10%"</formula>
    </cfRule>
    <cfRule type="cellIs" priority="5" operator="lessThan" dxfId="12">
      <formula>9.99%</formula>
    </cfRule>
  </conditionalFormatting>
  <conditionalFormatting sqref="A344:R345 A351:R353 A355:R356 A359:R359">
    <cfRule type="expression" priority="6" dxfId="9">
      <formula>$R344="Estoque encalhado"</formula>
    </cfRule>
  </conditionalFormatting>
  <conditionalFormatting sqref="G344:G345 G354">
    <cfRule type="expression" priority="7" dxfId="11">
      <formula>ROUND(G344/F344,2)&lt;=0.149</formula>
    </cfRule>
  </conditionalFormatting>
  <conditionalFormatting sqref="G344:G346 G348:G356 G359">
    <cfRule type="expression" priority="8" dxfId="10">
      <formula>AND(ROUND(G344/F344,2)&gt;=0.149, ROUND(G344/F344,2)&lt;=0.3)</formula>
    </cfRule>
  </conditionalFormatting>
  <conditionalFormatting sqref="Q344:Q345">
    <cfRule type="cellIs" priority="9" operator="greaterThan" dxfId="7">
      <formula>"9.99%"</formula>
    </cfRule>
    <cfRule type="cellIs" priority="10" operator="lessThan" dxfId="6">
      <formula>"10%"</formula>
    </cfRule>
  </conditionalFormatting>
  <conditionalFormatting sqref="A344:R345">
    <cfRule type="expression" priority="11" dxfId="8">
      <formula>$R344="Sem Estoque"</formula>
    </cfRule>
  </conditionalFormatting>
  <conditionalFormatting sqref="A343:O343 P343:Q345 R343">
    <cfRule type="expression" priority="12" dxfId="8">
      <formula>$R343="Sem Estoque"</formula>
    </cfRule>
    <cfRule type="expression" priority="13" dxfId="9">
      <formula>$R381="Estoque encalhado"</formula>
    </cfRule>
  </conditionalFormatting>
  <conditionalFormatting sqref="Q343:Q345">
    <cfRule type="cellIs" priority="14" operator="greaterThan" dxfId="7">
      <formula>"9.99%"</formula>
    </cfRule>
    <cfRule type="cellIs" priority="15" operator="lessThan" dxfId="6">
      <formula>"10%"</formula>
    </cfRule>
  </conditionalFormatting>
  <conditionalFormatting sqref="G343">
    <cfRule type="expression" priority="16" dxfId="10">
      <formula>AND(ROUND(G343/F343,2)&gt;=0.149, ROUND(G343/F343,2)&lt;=0.3)</formula>
    </cfRule>
  </conditionalFormatting>
  <conditionalFormatting sqref="P346:P350 Q1:Q345 Q347 Q351:Q353 Q355:Q439">
    <cfRule type="cellIs" priority="17" operator="lessThan" dxfId="14">
      <formula>"10%"</formula>
    </cfRule>
    <cfRule type="cellIs" priority="18" operator="greaterThan" dxfId="13">
      <formula>"10%"</formula>
    </cfRule>
  </conditionalFormatting>
  <conditionalFormatting sqref="G2:G343 G345:G353 G355:G439">
    <cfRule type="expression" priority="19" dxfId="10">
      <formula>AND(ROUND(G2/F2,2)&gt;=0.149, ROUND(H2/G2,2)&lt;=0.3)</formula>
    </cfRule>
    <cfRule type="expression" priority="20" dxfId="11">
      <formula>ROUND(G2/F2,2)&lt;=0.149</formula>
    </cfRule>
  </conditionalFormatting>
  <dataValidations count="5">
    <dataValidation sqref="S346 S348:S350 S354" showDropDown="0" showInputMessage="0" showErrorMessage="0" allowBlank="1" type="list">
      <formula1>"Ativo,Desativado,Ajustar Envio,sem estoque,Estoque encalhado,TRAVADO,Oferta Relâmpago,Temporário,DELETAR,revitalizado,ALTO CUSTO"</formula1>
    </dataValidation>
    <dataValidation sqref="R2:R439" showDropDown="0" showInputMessage="0" showErrorMessage="0" allowBlank="1" type="list">
      <formula1>"Ativo,TRAVADO,sem estoque,Desativado,Temporário"</formula1>
    </dataValidation>
    <dataValidation sqref="F2:G439 J2:M439 P2:Q439" showDropDown="1" showInputMessage="0" showErrorMessage="0" allowBlank="1" type="custom">
      <formula1>AND(ISNUMBER(F2),(NOT(OR(NOT(ISERROR(DATEVALUE(F2))), AND(ISNUMBER(F2), LEFT(CELL("format", F2))="D")))))</formula1>
    </dataValidation>
    <dataValidation sqref="D2:D439" showDropDown="1" showInputMessage="0" showErrorMessage="0" allowBlank="1"/>
    <dataValidation sqref="C2:C439" showDropDown="0" showInputMessage="0" showErrorMessage="0" allowBlank="1" type="list">
      <formula1>"Delta plus,Camper,Bracol,EPI,VOLK,Vinilseg,GERDAU,Irwin,Calfor,Innpro,MARLUVAS,Trevira,ÂNCORA,Nutriex,TekBond,Koretech,New Lacre,Danny,MUCAMBO,Avant,Atlas,Carbografite,Plastcor,Outros,FRESAL,Valcan,Norton,Medix,Vonder,Jomarca,Toralf,Super Safety,Crival,Ha"&amp;"ndex,Thecom,Kalipso"</formula1>
    </dataValidation>
  </dataValidations>
  <hyperlinks>
    <hyperlink xmlns:r="http://schemas.openxmlformats.org/officeDocument/2006/relationships" ref="D209" r:id="rId1"/>
    <hyperlink xmlns:r="http://schemas.openxmlformats.org/officeDocument/2006/relationships" ref="D233" r:id="rId2"/>
    <hyperlink xmlns:r="http://schemas.openxmlformats.org/officeDocument/2006/relationships" ref="D340" r:id="rId3"/>
    <hyperlink xmlns:r="http://schemas.openxmlformats.org/officeDocument/2006/relationships" ref="D359" r:id="rId4"/>
  </hyperlink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8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7" customWidth="1" style="1349" min="1" max="1"/>
    <col width="8.33" customWidth="1" style="1349" min="2" max="2"/>
    <col width="8.220000000000001" customWidth="1" style="1349" min="3" max="3"/>
    <col width="37.44" customWidth="1" style="1349" min="4" max="4"/>
    <col width="7.67" customWidth="1" style="1349" min="5" max="5"/>
    <col width="10.67" customWidth="1" style="1349" min="6" max="6"/>
    <col width="9.220000000000001" customWidth="1" style="1349" min="7" max="7"/>
    <col width="6.89" customWidth="1" style="1349" min="8" max="9"/>
    <col width="12.11" customWidth="1" style="1349" min="10" max="10"/>
    <col width="9.890000000000001" customWidth="1" style="1349" min="11" max="11"/>
    <col width="10.22" customWidth="1" style="1349" min="12" max="12"/>
    <col width="10.78" customWidth="1" style="1349" min="13" max="14"/>
    <col width="8" customWidth="1" style="1349" min="15" max="15"/>
    <col width="11.44" customWidth="1" style="1349" min="16" max="16"/>
    <col width="8.109999999999999" customWidth="1" style="1349" min="17" max="17"/>
    <col width="7.22" customWidth="1" style="1349" min="18" max="18"/>
    <col width="10.67" customWidth="1" style="1349" min="19" max="19"/>
    <col width="9.56" customWidth="1" style="1349" min="20" max="20"/>
    <col width="20.89" customWidth="1" style="1349" min="21" max="21"/>
    <col width="14" customWidth="1" style="1349" min="22" max="22"/>
    <col width="11" customWidth="1" style="1349" min="23" max="32"/>
  </cols>
  <sheetData>
    <row r="1" ht="15.75" customHeight="1" s="1349">
      <c r="A1" s="555" t="inlineStr">
        <is>
          <t>velc</t>
        </is>
      </c>
      <c r="B1" s="555" t="inlineStr">
        <is>
          <t>SKU</t>
        </is>
      </c>
      <c r="C1" s="556" t="inlineStr">
        <is>
          <t>Categoria</t>
        </is>
      </c>
      <c r="D1" s="557" t="inlineStr">
        <is>
          <t>items</t>
        </is>
      </c>
      <c r="E1" s="557" t="inlineStr">
        <is>
          <t>Valor base</t>
        </is>
      </c>
      <c r="F1" s="558" t="inlineStr">
        <is>
          <t>Valor de Venda</t>
        </is>
      </c>
      <c r="G1" s="559" t="inlineStr">
        <is>
          <t>Taxa</t>
        </is>
      </c>
      <c r="H1" s="557" t="inlineStr">
        <is>
          <t>RT</t>
        </is>
      </c>
      <c r="I1" s="560" t="inlineStr">
        <is>
          <t>Frete</t>
        </is>
      </c>
      <c r="J1" s="557" t="inlineStr">
        <is>
          <t>ICMS (18%)</t>
        </is>
      </c>
      <c r="K1" s="557" t="inlineStr">
        <is>
          <t>PIS (1,65%)</t>
        </is>
      </c>
      <c r="L1" s="558" t="inlineStr">
        <is>
          <t>COFINS (7,6%)</t>
        </is>
      </c>
      <c r="M1" s="555" t="inlineStr">
        <is>
          <t>Imposto Recuperável</t>
        </is>
      </c>
      <c r="N1" s="555" t="inlineStr">
        <is>
          <t>crédito comissão + frete</t>
        </is>
      </c>
      <c r="O1" s="561" t="inlineStr">
        <is>
          <t>CUSTO</t>
        </is>
      </c>
      <c r="P1" s="561" t="inlineStr">
        <is>
          <t>Lucro Líquido (Valor)</t>
        </is>
      </c>
      <c r="Q1" s="561" t="inlineStr">
        <is>
          <t>Lucro Líquido (%)</t>
        </is>
      </c>
      <c r="R1" s="562" t="inlineStr">
        <is>
          <t>Status</t>
        </is>
      </c>
      <c r="S1" s="884" t="inlineStr">
        <is>
          <t>obs</t>
        </is>
      </c>
      <c r="T1" s="569" t="inlineStr">
        <is>
          <t>vendas</t>
        </is>
      </c>
      <c r="U1" s="1030" t="inlineStr">
        <is>
          <t>Coluna 1</t>
        </is>
      </c>
      <c r="V1" s="1030" t="inlineStr">
        <is>
          <t>Coluna 2</t>
        </is>
      </c>
      <c r="W1" s="1030" t="inlineStr">
        <is>
          <t>Coluna 3</t>
        </is>
      </c>
    </row>
    <row r="2" ht="15.75" customHeight="1" s="1349">
      <c r="A2" s="1265" t="inlineStr">
        <is>
          <t>3310866759</t>
        </is>
      </c>
      <c r="B2" s="1263" t="n">
        <v>42</v>
      </c>
      <c r="C2" s="1292" t="inlineStr">
        <is>
          <t>ÂNCORA</t>
        </is>
      </c>
      <c r="D2" s="566" t="inlineStr">
        <is>
          <t>Pino Liso Ação Indireta 1/4x28 C/ Arruela Conica 23mm Ancora 100un</t>
        </is>
      </c>
      <c r="E2" s="492" t="n"/>
      <c r="F2" s="607" t="n">
        <v>32.15</v>
      </c>
      <c r="G2" s="447">
        <f>F2*12%</f>
        <v/>
      </c>
      <c r="H2" s="831" t="n">
        <v>-1.48</v>
      </c>
      <c r="I2" s="904">
        <f>IFS(
  F2&lt;12.5, F2/2,
  F2&lt;29, 6.25,
  F2&lt;50, 6.5,
  F2&lt;=79, 6.75,
  TRUE, 25
)</f>
        <v/>
      </c>
      <c r="J2" s="340">
        <f>F2*18%</f>
        <v/>
      </c>
      <c r="K2" s="340">
        <f>(F2-J2)*1.65%</f>
        <v/>
      </c>
      <c r="L2" s="340">
        <f>(F2-J2)*7.6%</f>
        <v/>
      </c>
      <c r="M2" s="1097" t="n">
        <v>1.73</v>
      </c>
      <c r="N2" s="785">
        <f>(G2+I2)*(9.25%)</f>
        <v/>
      </c>
      <c r="O2" s="708" t="n">
        <v>14.27</v>
      </c>
      <c r="P2" s="1016">
        <f>(F2 - (G2+I2+O2+(J2+K2+L2))) - (H2-M2-N2)</f>
        <v/>
      </c>
      <c r="Q2" s="328">
        <f>P2/F2</f>
        <v/>
      </c>
      <c r="R2" s="904" t="inlineStr">
        <is>
          <t>Ativo</t>
        </is>
      </c>
      <c r="S2" s="651" t="n"/>
      <c r="T2" s="569" t="n"/>
      <c r="U2" s="1030" t="n"/>
      <c r="V2" s="1030" t="n"/>
      <c r="W2" s="1030" t="n"/>
    </row>
    <row r="3" ht="15.75" customHeight="1" s="1349">
      <c r="A3" s="1265" t="inlineStr">
        <is>
          <t>3633227036</t>
        </is>
      </c>
      <c r="B3" s="1263" t="inlineStr">
        <is>
          <t>AM27</t>
        </is>
      </c>
      <c r="C3" s="1292" t="inlineStr">
        <is>
          <t>ÂNCORA</t>
        </is>
      </c>
      <c r="D3" s="566" t="inlineStr">
        <is>
          <t>Fincapino Calibre.27 Magazinado Amarelo Am27 C/100un</t>
        </is>
      </c>
      <c r="E3" s="654" t="n"/>
      <c r="F3" s="607" t="n">
        <v>65.90000000000001</v>
      </c>
      <c r="G3" s="447">
        <f>F3*12%</f>
        <v/>
      </c>
      <c r="H3" s="831" t="n"/>
      <c r="I3" s="904" t="n">
        <v>7.75</v>
      </c>
      <c r="J3" s="340">
        <f>F3*18%</f>
        <v/>
      </c>
      <c r="K3" s="340">
        <f>(F3-J3)*1.65%</f>
        <v/>
      </c>
      <c r="L3" s="340">
        <f>(F3-J3)*7.6%</f>
        <v/>
      </c>
      <c r="M3" s="1097" t="n">
        <v>3.86</v>
      </c>
      <c r="N3" s="785">
        <f>(G3+I3)*(9.25%)</f>
        <v/>
      </c>
      <c r="O3" s="708" t="n">
        <v>31.95</v>
      </c>
      <c r="P3" s="1016">
        <f>(F3 - (G3+I3+O3+(J3+K3+L3))) - (H3-M3-N3)</f>
        <v/>
      </c>
      <c r="Q3" s="328">
        <f>P3/F3</f>
        <v/>
      </c>
      <c r="R3" s="904" t="inlineStr">
        <is>
          <t>Ativo</t>
        </is>
      </c>
      <c r="S3" s="651" t="n"/>
      <c r="T3" s="569" t="n"/>
      <c r="U3" s="1030" t="n"/>
      <c r="V3" s="1030" t="n"/>
      <c r="W3" s="1030" t="n"/>
    </row>
    <row r="4" ht="15.75" customHeight="1" s="1349">
      <c r="A4" s="1265" t="inlineStr">
        <is>
          <t>4276004799</t>
        </is>
      </c>
      <c r="B4" s="1263" t="n">
        <v>10034034167673</v>
      </c>
      <c r="C4" s="1292" t="inlineStr">
        <is>
          <t>ÂNCORA</t>
        </is>
      </c>
      <c r="D4" s="566" t="inlineStr">
        <is>
          <t>Kit 10 Fincapino Calibre.27 Magazinado Amarelo Am27 C/1000un</t>
        </is>
      </c>
      <c r="E4" s="492" t="n"/>
      <c r="F4" s="607" t="n">
        <v>555.54</v>
      </c>
      <c r="G4" s="447">
        <f>F4*12%</f>
        <v/>
      </c>
      <c r="H4" s="831" t="n">
        <v>-17.18</v>
      </c>
      <c r="I4" s="904" t="n">
        <v>24.65</v>
      </c>
      <c r="J4" s="340">
        <f>F4*18%</f>
        <v/>
      </c>
      <c r="K4" s="340">
        <f>(F4-J4)*1.65%</f>
        <v/>
      </c>
      <c r="L4" s="340">
        <f>(F4-J4)*7.6%</f>
        <v/>
      </c>
      <c r="M4" s="1097">
        <f>3.86*10</f>
        <v/>
      </c>
      <c r="N4" s="785">
        <f>(G4+I4)*(9.25%)</f>
        <v/>
      </c>
      <c r="O4" s="708">
        <f>31.95*10</f>
        <v/>
      </c>
      <c r="P4" s="1016">
        <f>(F4 - (G4+I4+O4+(J4+K4+L4))) - (H4-M4-N4)</f>
        <v/>
      </c>
      <c r="Q4" s="328">
        <f>P4/F4</f>
        <v/>
      </c>
      <c r="R4" s="904" t="inlineStr">
        <is>
          <t>Ativo</t>
        </is>
      </c>
      <c r="S4" s="651" t="n"/>
      <c r="T4" s="569" t="n"/>
      <c r="U4" s="1030" t="n"/>
      <c r="V4" s="1030" t="n"/>
      <c r="W4" s="1030" t="n"/>
    </row>
    <row r="5" ht="15.75" customHeight="1" s="1349">
      <c r="A5" s="1265" t="inlineStr">
        <is>
          <t>8548824233871185</t>
        </is>
      </c>
      <c r="B5" s="1263" t="n">
        <v>912288</v>
      </c>
      <c r="C5" s="1292" t="inlineStr">
        <is>
          <t>Delta plus</t>
        </is>
      </c>
      <c r="D5" s="566" t="inlineStr">
        <is>
          <t>Bota Botina Nobuck Couro Velcro Impermeável Bico Pvc Com Ca</t>
        </is>
      </c>
      <c r="E5" s="492" t="n">
        <v>220.99</v>
      </c>
      <c r="F5" s="607" t="n">
        <v>173.63</v>
      </c>
      <c r="G5" s="447">
        <f>F5*12%</f>
        <v/>
      </c>
      <c r="H5" s="831" t="n">
        <v>-5.37</v>
      </c>
      <c r="I5" s="904" t="n">
        <v>25.55</v>
      </c>
      <c r="J5" s="340">
        <f>F5*18%</f>
        <v/>
      </c>
      <c r="K5" s="340">
        <f>(F5-J5)*1.65%</f>
        <v/>
      </c>
      <c r="L5" s="340">
        <f>(F5-J5)*7.6%</f>
        <v/>
      </c>
      <c r="M5" s="1097" t="n">
        <v>21.64</v>
      </c>
      <c r="N5" s="785">
        <f>(G5+I5)*(9.25%)</f>
        <v/>
      </c>
      <c r="O5" s="708" t="n">
        <v>107.47</v>
      </c>
      <c r="P5" s="1016">
        <f>(F5 - (G5+I5+O5+(J5+K5+L5))) - (H5-M5-N5)</f>
        <v/>
      </c>
      <c r="Q5" s="328">
        <f>P5/F5</f>
        <v/>
      </c>
      <c r="R5" s="904" t="inlineStr">
        <is>
          <t>Ativo</t>
        </is>
      </c>
      <c r="S5" s="651" t="n"/>
      <c r="T5" s="569" t="n">
        <v>9890</v>
      </c>
      <c r="U5" s="1030" t="n"/>
      <c r="V5" s="1030" t="n"/>
      <c r="W5" s="1030" t="n"/>
    </row>
    <row r="6" ht="15.75" customHeight="1" s="1349">
      <c r="A6" s="1265" t="inlineStr">
        <is>
          <t>7401972752995346</t>
        </is>
      </c>
      <c r="B6" s="1263" t="n">
        <v>912288</v>
      </c>
      <c r="C6" s="1292" t="inlineStr">
        <is>
          <t>Delta plus</t>
        </is>
      </c>
      <c r="D6" s="566" t="inlineStr">
        <is>
          <t>Bota Botina Couro Liso Nobuck Velcro Confortável Premium Epi</t>
        </is>
      </c>
      <c r="E6" s="492" t="n">
        <v>220.99</v>
      </c>
      <c r="F6" s="607" t="n">
        <v>184.9</v>
      </c>
      <c r="G6" s="447">
        <f>F6*12%</f>
        <v/>
      </c>
      <c r="H6" s="831" t="n"/>
      <c r="I6" s="904" t="n">
        <v>25.55</v>
      </c>
      <c r="J6" s="340">
        <f>F6*18%</f>
        <v/>
      </c>
      <c r="K6" s="340">
        <f>(F6-J6)*1.65%</f>
        <v/>
      </c>
      <c r="L6" s="340">
        <f>(F6-J6)*7.6%</f>
        <v/>
      </c>
      <c r="M6" s="1097" t="n">
        <v>21.64</v>
      </c>
      <c r="N6" s="785">
        <f>(G6+I6)*(9.25%)</f>
        <v/>
      </c>
      <c r="O6" s="708" t="n">
        <v>107.47</v>
      </c>
      <c r="P6" s="1016">
        <f>(F6 - (G6+I6+O6+(J6+K6+L6))) - (H6-M6-N6)</f>
        <v/>
      </c>
      <c r="Q6" s="328">
        <f>P6/F6</f>
        <v/>
      </c>
      <c r="R6" s="904" t="inlineStr">
        <is>
          <t>Ativo</t>
        </is>
      </c>
      <c r="S6" s="651" t="n"/>
      <c r="T6" s="569" t="n">
        <v>9890</v>
      </c>
      <c r="U6" s="1030" t="n"/>
      <c r="V6" s="1030" t="n"/>
      <c r="W6" s="1030" t="n"/>
    </row>
    <row r="7" ht="15.75" customHeight="1" s="1349">
      <c r="A7" s="1265" t="inlineStr">
        <is>
          <t>3351940369 2724537013904071 8400175421866683</t>
        </is>
      </c>
      <c r="B7" s="1263" t="n">
        <v>912255</v>
      </c>
      <c r="C7" s="1292" t="inlineStr">
        <is>
          <t>Camper</t>
        </is>
      </c>
      <c r="D7" s="566" t="inlineStr">
        <is>
          <t>Sapato Ocupacional Segurança Limpeza Cozinha Industria C/ Ca</t>
        </is>
      </c>
      <c r="E7" s="654" t="n"/>
      <c r="F7" s="607" t="n">
        <v>74.94</v>
      </c>
      <c r="G7" s="447">
        <f>F7*12%</f>
        <v/>
      </c>
      <c r="H7" s="831" t="n"/>
      <c r="I7" s="904" t="n">
        <v>8.949999999999999</v>
      </c>
      <c r="J7" s="340">
        <f>F7*18%</f>
        <v/>
      </c>
      <c r="K7" s="340">
        <f>(F7-J7)*1.65%</f>
        <v/>
      </c>
      <c r="L7" s="340">
        <f>(F7-J7)*7.6%</f>
        <v/>
      </c>
      <c r="M7" s="1097" t="n">
        <v>8.5</v>
      </c>
      <c r="N7" s="785">
        <f>(G7+I7)*(9.25%)</f>
        <v/>
      </c>
      <c r="O7" s="708" t="n">
        <v>42.2</v>
      </c>
      <c r="P7" s="1016">
        <f>(F7 - (G7+I7+O7+(J7+K7+L7))) - (H7-M7-N7)</f>
        <v/>
      </c>
      <c r="Q7" s="328">
        <f>P7/F7</f>
        <v/>
      </c>
      <c r="R7" s="904" t="inlineStr">
        <is>
          <t>Ativo</t>
        </is>
      </c>
      <c r="S7" s="651" t="n"/>
      <c r="T7" s="569" t="n">
        <v>8827</v>
      </c>
      <c r="U7" s="1030" t="n"/>
      <c r="V7" s="1030" t="n"/>
      <c r="W7" s="1030" t="n"/>
    </row>
    <row r="8" ht="15.75" customHeight="1" s="1349">
      <c r="A8" s="1265" t="inlineStr">
        <is>
          <t>4812318358565840</t>
        </is>
      </c>
      <c r="B8" s="1263" t="inlineStr">
        <is>
          <t>700302-42</t>
        </is>
      </c>
      <c r="C8" s="1292" t="inlineStr">
        <is>
          <t>MARLUVAS</t>
        </is>
      </c>
      <c r="D8" s="566" t="inlineStr">
        <is>
          <t>Bota De Segurança Marluvas Vulcaflex Bico De Pvc - Ca 43377</t>
        </is>
      </c>
      <c r="E8" s="492" t="n"/>
      <c r="F8" s="607" t="n">
        <v>78.98999999999999</v>
      </c>
      <c r="G8" s="447">
        <f>F8*12%</f>
        <v/>
      </c>
      <c r="H8" s="831" t="n"/>
      <c r="I8" s="904" t="n">
        <v>8.949999999999999</v>
      </c>
      <c r="J8" s="340">
        <f>F8*18%</f>
        <v/>
      </c>
      <c r="K8" s="340">
        <f>(F8)*1.65%</f>
        <v/>
      </c>
      <c r="L8" s="340">
        <f>(F8)*7.6%</f>
        <v/>
      </c>
      <c r="M8" s="1097" t="n">
        <v>9.42</v>
      </c>
      <c r="N8" s="785">
        <f>(G8+I8)*(9.25%)</f>
        <v/>
      </c>
      <c r="O8" s="708" t="n">
        <v>46.74</v>
      </c>
      <c r="P8" s="1016">
        <f>(F8 - (G8+I8+O8+(J8+K8+L8))) - (H8-M8-N8)</f>
        <v/>
      </c>
      <c r="Q8" s="328">
        <f>P8/F8</f>
        <v/>
      </c>
      <c r="R8" s="904" t="inlineStr">
        <is>
          <t>Ativo</t>
        </is>
      </c>
      <c r="S8" s="651" t="n"/>
      <c r="T8" s="569" t="n">
        <v>5859</v>
      </c>
      <c r="U8" s="1030" t="n"/>
      <c r="V8" s="1030" t="n"/>
      <c r="W8" s="1030" t="n"/>
    </row>
    <row r="9" ht="15.75" customHeight="1" s="1349">
      <c r="A9" s="1265" t="inlineStr">
        <is>
          <t>3330174933 3513611567</t>
        </is>
      </c>
      <c r="B9" s="1263" t="inlineStr">
        <is>
          <t>800200C</t>
        </is>
      </c>
      <c r="C9" s="1292" t="inlineStr">
        <is>
          <t>Camper</t>
        </is>
      </c>
      <c r="D9" s="566" t="inlineStr">
        <is>
          <t>Abafador Ruido Protetor Auricular Auditivo C200 Camper 15db</t>
        </is>
      </c>
      <c r="E9" s="492" t="n"/>
      <c r="F9" s="607" t="n">
        <v>32.57</v>
      </c>
      <c r="G9" s="447">
        <f>F9*12%</f>
        <v/>
      </c>
      <c r="H9" s="831" t="n"/>
      <c r="I9" s="904" t="n">
        <v>6.75</v>
      </c>
      <c r="J9" s="340">
        <f>F9*18%</f>
        <v/>
      </c>
      <c r="K9" s="340">
        <f>(F9-J9)*1.65%</f>
        <v/>
      </c>
      <c r="L9" s="340">
        <f>(F9-J9)*7.6%</f>
        <v/>
      </c>
      <c r="M9" s="1097" t="n">
        <v>2.76</v>
      </c>
      <c r="N9" s="785">
        <f>(G9+I9)*(9.25%)</f>
        <v/>
      </c>
      <c r="O9" s="708" t="n">
        <v>15.03</v>
      </c>
      <c r="P9" s="1016">
        <f>(F9 - (G9+I9+O9+(J9+K9+L9))) - (H9-M9-N9)</f>
        <v/>
      </c>
      <c r="Q9" s="328">
        <f>P9/F9</f>
        <v/>
      </c>
      <c r="R9" s="904" t="inlineStr">
        <is>
          <t>Ativo</t>
        </is>
      </c>
      <c r="S9" s="904" t="inlineStr">
        <is>
          <t>sincronizado</t>
        </is>
      </c>
      <c r="T9" s="569" t="n"/>
      <c r="U9" s="1030" t="n"/>
      <c r="V9" s="1030" t="n"/>
      <c r="W9" s="1030" t="n"/>
    </row>
    <row r="10" ht="15.75" customHeight="1" s="1349">
      <c r="A10" s="1265" t="inlineStr">
        <is>
          <t>3873512292</t>
        </is>
      </c>
      <c r="B10" s="1263" t="n">
        <v>48</v>
      </c>
      <c r="C10" s="1292" t="inlineStr">
        <is>
          <t>ÂNCORA</t>
        </is>
      </c>
      <c r="D10" s="194" t="inlineStr">
        <is>
          <t>Arame Galvanizado Bwg 18 Liso 1kg Drywall Gesso Forro</t>
        </is>
      </c>
      <c r="E10" s="654" t="n"/>
      <c r="F10" s="607" t="n">
        <v>32.9</v>
      </c>
      <c r="G10" s="447">
        <f>F10*11.5%</f>
        <v/>
      </c>
      <c r="H10" s="831" t="n"/>
      <c r="I10" s="904">
        <f>IFS(
  F10&lt;12.5, F10/2,
  F10&lt;29, 6.25,
  F10&lt;50, 6.5,
  F10&lt;=79, 6.75,
  TRUE, 25
)</f>
        <v/>
      </c>
      <c r="J10" s="340">
        <f>F10*18%</f>
        <v/>
      </c>
      <c r="K10" s="340">
        <f>(F10-J10)*1.65%</f>
        <v/>
      </c>
      <c r="L10" s="340">
        <f>(F10-J10)*7.6%</f>
        <v/>
      </c>
      <c r="M10" s="1097" t="n">
        <v>1.53</v>
      </c>
      <c r="N10" s="785">
        <f>(G10+I10)*(9.25%)</f>
        <v/>
      </c>
      <c r="O10" s="708" t="n">
        <v>12.23</v>
      </c>
      <c r="P10" s="1016">
        <f>(F10 - (G10+I10+O10+(J10+K10+L10))) - (H10-M10-N10)</f>
        <v/>
      </c>
      <c r="Q10" s="328">
        <f>P10/F10</f>
        <v/>
      </c>
      <c r="R10" s="904" t="inlineStr">
        <is>
          <t>Ativo</t>
        </is>
      </c>
      <c r="S10" s="651" t="n"/>
      <c r="T10" s="569" t="n">
        <v>4792</v>
      </c>
      <c r="U10" s="1030" t="n"/>
      <c r="V10" s="1030" t="n"/>
      <c r="W10" s="1030" t="n"/>
    </row>
    <row r="11" ht="15.75" customHeight="1" s="1349">
      <c r="A11" s="1265" t="inlineStr">
        <is>
          <t>3753300746</t>
        </is>
      </c>
      <c r="B11" s="1263" t="inlineStr">
        <is>
          <t>800202C</t>
        </is>
      </c>
      <c r="C11" s="1292" t="inlineStr">
        <is>
          <t>Camper</t>
        </is>
      </c>
      <c r="D11" s="566" t="inlineStr">
        <is>
          <t>Abafador De Ruidos Auditivo P/ Acoplar Capacete Camper C/ Ca</t>
        </is>
      </c>
      <c r="E11" s="492" t="n"/>
      <c r="F11" s="607" t="n">
        <v>41.36</v>
      </c>
      <c r="G11" s="447">
        <f>F11*12%</f>
        <v/>
      </c>
      <c r="H11" s="831" t="n"/>
      <c r="I11" s="904">
        <f>IFS(
F11&lt;12.5, F11/2,
F11&lt;29, 6.25,
F11&lt;50, 6.5,
F11&lt;=79, 6.75,
TRUE, 
25)</f>
        <v/>
      </c>
      <c r="J11" s="340">
        <f>F11*18%</f>
        <v/>
      </c>
      <c r="K11" s="340">
        <f>(F11-J11)*1.65%</f>
        <v/>
      </c>
      <c r="L11" s="340">
        <f>(F11-J11)*7.6%</f>
        <v/>
      </c>
      <c r="M11" s="1097" t="n">
        <v>4.17</v>
      </c>
      <c r="N11" s="785">
        <f>(G11+I11)*(9.25%)</f>
        <v/>
      </c>
      <c r="O11" s="708" t="n">
        <v>22.73</v>
      </c>
      <c r="P11" s="1016">
        <f>(F11 - (G11+I11+O11+(J11+K11+L11))) - (H11-M11-N11)</f>
        <v/>
      </c>
      <c r="Q11" s="328">
        <f>P11/F11</f>
        <v/>
      </c>
      <c r="R11" s="904" t="inlineStr">
        <is>
          <t>Ativo</t>
        </is>
      </c>
      <c r="S11" s="651" t="n"/>
      <c r="T11" s="569" t="n">
        <v>4157</v>
      </c>
      <c r="U11" s="1030" t="n"/>
      <c r="V11" s="1030" t="n"/>
      <c r="W11" s="1030" t="n"/>
    </row>
    <row r="12" ht="15.75" customHeight="1" s="1349">
      <c r="A12" s="1265" t="inlineStr">
        <is>
          <t>8394429844084229 431421361873484</t>
        </is>
      </c>
      <c r="B12" s="1263" t="n">
        <v>868649</v>
      </c>
      <c r="C12" s="1292" t="inlineStr">
        <is>
          <t>Bracol</t>
        </is>
      </c>
      <c r="D12" s="566" t="inlineStr">
        <is>
          <t>Bota Botina Nobuck Couro Cadarço Impermeável Bico Pvc Com Ca</t>
        </is>
      </c>
      <c r="E12" s="571" t="n"/>
      <c r="F12" s="607" t="n">
        <v>139.86</v>
      </c>
      <c r="G12" s="285">
        <f>F12*12%</f>
        <v/>
      </c>
      <c r="H12" s="831" t="n">
        <v>-8.390000000000001</v>
      </c>
      <c r="I12" s="904" t="n">
        <v>22.45</v>
      </c>
      <c r="J12" s="340">
        <f>F12*18%</f>
        <v/>
      </c>
      <c r="K12" s="340">
        <f>(F12-J12)*1.65%</f>
        <v/>
      </c>
      <c r="L12" s="340">
        <f>(F12-J12)*7.6%</f>
        <v/>
      </c>
      <c r="M12" s="1097" t="n">
        <v>16.8</v>
      </c>
      <c r="N12" s="785">
        <f>(G12+I12)*(9.25%)</f>
        <v/>
      </c>
      <c r="O12" s="708" t="n">
        <v>83.40000000000001</v>
      </c>
      <c r="P12" s="1016">
        <f>(F12 - (G12+I12+O12+(J12+K12+L12))) - (H12-M12-N12)</f>
        <v/>
      </c>
      <c r="Q12" s="328">
        <f>P12/F12</f>
        <v/>
      </c>
      <c r="R12" s="904" t="inlineStr">
        <is>
          <t>Ativo</t>
        </is>
      </c>
      <c r="S12" s="904" t="inlineStr">
        <is>
          <t>dubai</t>
        </is>
      </c>
      <c r="T12" s="569" t="n">
        <v>2648</v>
      </c>
      <c r="U12" s="1030" t="n"/>
      <c r="V12" s="1030" t="n"/>
      <c r="W12" s="1030" t="n"/>
    </row>
    <row r="13" ht="15.75" customHeight="1" s="1349">
      <c r="A13" s="489" t="n"/>
      <c r="B13" s="1263" t="n">
        <v>868649</v>
      </c>
      <c r="C13" s="904" t="inlineStr">
        <is>
          <t>Bracol</t>
        </is>
      </c>
      <c r="D13" s="566" t="inlineStr">
        <is>
          <t>CASTOR 45, CASTOR 36</t>
        </is>
      </c>
      <c r="E13" s="571" t="n"/>
      <c r="F13" s="607" t="n">
        <v>122.3</v>
      </c>
      <c r="G13" s="285">
        <f>F13*12%</f>
        <v/>
      </c>
      <c r="H13" s="831" t="n">
        <v>-7.33</v>
      </c>
      <c r="I13" s="904" t="n">
        <v>22.45</v>
      </c>
      <c r="J13" s="340">
        <f>F13*18%</f>
        <v/>
      </c>
      <c r="K13" s="340">
        <f>(F13-J13)*1.65%</f>
        <v/>
      </c>
      <c r="L13" s="340">
        <f>(F13-J13)*7.6%</f>
        <v/>
      </c>
      <c r="M13" s="1097" t="n">
        <v>16.8</v>
      </c>
      <c r="N13" s="785">
        <f>(G13+I13)*(9.25%)</f>
        <v/>
      </c>
      <c r="O13" s="708" t="n">
        <v>83.40000000000001</v>
      </c>
      <c r="P13" s="1016">
        <f>(F13 - (G13+I13+O13+(J13+K13+L13))) - (H13-M13-N13)</f>
        <v/>
      </c>
      <c r="Q13" s="328">
        <f>P13/F13</f>
        <v/>
      </c>
      <c r="R13" s="904" t="inlineStr">
        <is>
          <t>Estoque encalhado</t>
        </is>
      </c>
      <c r="S13" s="651" t="n"/>
      <c r="T13" s="569" t="n"/>
      <c r="U13" s="1030" t="n"/>
      <c r="V13" s="1030" t="n"/>
      <c r="W13" s="1030" t="n"/>
    </row>
    <row r="14" ht="15.75" customHeight="1" s="1349">
      <c r="A14" s="1265" t="inlineStr">
        <is>
          <t>3436124575 3343287623</t>
        </is>
      </c>
      <c r="B14" s="1263" t="n">
        <v>10034034166301</v>
      </c>
      <c r="C14" s="1292" t="inlineStr">
        <is>
          <t>ÂNCORA</t>
        </is>
      </c>
      <c r="D14" s="194" t="inlineStr">
        <is>
          <t>Parafuso Drywall Trombeta 3,5x35 Cx500pçs Gn35</t>
        </is>
      </c>
      <c r="E14" s="654" t="n"/>
      <c r="F14" s="607" t="n">
        <v>34.9</v>
      </c>
      <c r="G14" s="447">
        <f>F14*12%</f>
        <v/>
      </c>
      <c r="H14" s="831" t="n"/>
      <c r="I14" s="904" t="n">
        <v>6.75</v>
      </c>
      <c r="J14" s="340">
        <f>F14*18%</f>
        <v/>
      </c>
      <c r="K14" s="340">
        <f>(F14-J14)*1.65%</f>
        <v/>
      </c>
      <c r="L14" s="340">
        <f>(F14-J14)*7.6%</f>
        <v/>
      </c>
      <c r="M14" s="1097">
        <f>0.004*500</f>
        <v/>
      </c>
      <c r="N14" s="785">
        <f>(G14+I14)*(9.25%)</f>
        <v/>
      </c>
      <c r="O14" s="708">
        <f>0.029*500</f>
        <v/>
      </c>
      <c r="P14" s="1016">
        <f>(F14 - (G14+I14+O14+(J14+K14+L14))) - (H14-M14-N14)</f>
        <v/>
      </c>
      <c r="Q14" s="328">
        <f>P14/F14</f>
        <v/>
      </c>
      <c r="R14" s="904" t="inlineStr">
        <is>
          <t>TRAVADO</t>
        </is>
      </c>
      <c r="S14" s="904" t="inlineStr">
        <is>
          <t>(catalogo)</t>
        </is>
      </c>
      <c r="T14" s="569" t="n">
        <v>2418</v>
      </c>
      <c r="U14" s="1030" t="n"/>
      <c r="V14" s="1030" t="n"/>
      <c r="W14" s="1030" t="n"/>
    </row>
    <row r="15" ht="15.75" customHeight="1" s="1349">
      <c r="A15" s="1265" t="inlineStr">
        <is>
          <t>4230473400</t>
        </is>
      </c>
      <c r="B15" s="1263" t="n">
        <v>59</v>
      </c>
      <c r="C15" s="1292" t="inlineStr">
        <is>
          <t>Delta plus</t>
        </is>
      </c>
      <c r="D15" s="566" t="inlineStr">
        <is>
          <t>Óculos De Segurança Incolor Summer Clear</t>
        </is>
      </c>
      <c r="E15" s="571" t="n"/>
      <c r="F15" s="572" t="n">
        <v>13.23</v>
      </c>
      <c r="G15" s="573">
        <f>F15*12%</f>
        <v/>
      </c>
      <c r="H15" s="831" t="n"/>
      <c r="I15" s="904">
        <f>IFS(
  F15&lt;12.5, F15/2,
  F15&lt;29, 6.25,
  F15&lt;50, 6.5,
  F15&lt;=79, 6.75,
  TRUE, 25
)</f>
        <v/>
      </c>
      <c r="J15" s="340">
        <f>F15*18%</f>
        <v/>
      </c>
      <c r="K15" s="340">
        <f>(F15-J15)*1.65%</f>
        <v/>
      </c>
      <c r="L15" s="340">
        <f>(F15-J15)*7.6%</f>
        <v/>
      </c>
      <c r="M15" s="1097" t="n">
        <v>0.48</v>
      </c>
      <c r="N15" s="785">
        <f>(G15+I15)*(9.25%)</f>
        <v/>
      </c>
      <c r="O15" s="708" t="n">
        <v>1.93</v>
      </c>
      <c r="P15" s="1016">
        <f>(F15 - (G15+I15+O15+(J15+K15+L15))) - (H15-M15-N15)</f>
        <v/>
      </c>
      <c r="Q15" s="328">
        <f>P15/F15</f>
        <v/>
      </c>
      <c r="R15" s="904" t="inlineStr">
        <is>
          <t>Ativo</t>
        </is>
      </c>
      <c r="S15" s="904" t="inlineStr">
        <is>
          <t>sincronizado</t>
        </is>
      </c>
      <c r="T15" s="569" t="n">
        <v>3394</v>
      </c>
      <c r="U15" s="1030" t="n"/>
      <c r="V15" s="1030" t="n"/>
      <c r="W15" s="1030" t="n"/>
    </row>
    <row r="16" ht="15.75" customHeight="1" s="1349">
      <c r="A16" s="1265" t="n"/>
      <c r="B16" s="1263" t="n"/>
      <c r="C16" s="904" t="n"/>
      <c r="D16" s="566" t="inlineStr">
        <is>
          <t>Kit 2 Óculos De Segurança Incolor Summer Clear</t>
        </is>
      </c>
      <c r="E16" s="571" t="n"/>
      <c r="F16" s="607" t="n">
        <v>19</v>
      </c>
      <c r="G16" s="573">
        <f>F16*17%</f>
        <v/>
      </c>
      <c r="H16" s="831" t="n"/>
      <c r="I16" s="904">
        <f>IFS(
F16&lt;12.5, F16/2,
F16&lt;29, 6.25,
F16&lt;50, 6.5,
F16&lt;=79, 6.75,
TRUE, 
25)</f>
        <v/>
      </c>
      <c r="J16" s="340">
        <f>F16*18%</f>
        <v/>
      </c>
      <c r="K16" s="340">
        <f>(F16-J16)*1.65%</f>
        <v/>
      </c>
      <c r="L16" s="340">
        <f>(F16-J16)*7.6%</f>
        <v/>
      </c>
      <c r="M16" s="1097" t="n">
        <v>0.96</v>
      </c>
      <c r="N16" s="785">
        <f>(G16+I16)*(9.25%)</f>
        <v/>
      </c>
      <c r="O16" s="708" t="n">
        <v>3.86</v>
      </c>
      <c r="P16" s="1016">
        <f>(F16 - (G16+I16+O16+(J16+K16+L16))) - (H16-M16-N16)</f>
        <v/>
      </c>
      <c r="Q16" s="328">
        <f>P16/F16</f>
        <v/>
      </c>
      <c r="R16" s="904" t="n"/>
      <c r="S16" s="904" t="n"/>
      <c r="T16" s="569" t="n"/>
      <c r="U16" s="1030" t="n"/>
      <c r="V16" s="1030" t="n"/>
      <c r="W16" s="1030" t="n"/>
    </row>
    <row r="17" ht="15.75" customHeight="1" s="1349">
      <c r="A17" s="1265" t="inlineStr">
        <is>
          <t>3398606239</t>
        </is>
      </c>
      <c r="B17" s="1263" t="inlineStr">
        <is>
          <t>FTD5090</t>
        </is>
      </c>
      <c r="C17" s="1292" t="inlineStr">
        <is>
          <t>ÂNCORA</t>
        </is>
      </c>
      <c r="D17" s="194" t="inlineStr">
        <is>
          <t>Fita Adesiva Telada Juntas Trincas Drywall Gesso 90m X 48mm</t>
        </is>
      </c>
      <c r="E17" s="654" t="n"/>
      <c r="F17" s="607" t="n">
        <v>30.9</v>
      </c>
      <c r="G17" s="447">
        <f>F17*12%</f>
        <v/>
      </c>
      <c r="H17" s="831" t="n"/>
      <c r="I17" s="904" t="n">
        <v>6.55</v>
      </c>
      <c r="J17" s="340">
        <f>F17*18%</f>
        <v/>
      </c>
      <c r="K17" s="340">
        <f>(F17-J17)*1.65%</f>
        <v/>
      </c>
      <c r="L17" s="340">
        <f>(F17-J17)*7.6%</f>
        <v/>
      </c>
      <c r="M17" s="1097" t="n">
        <v>1.54</v>
      </c>
      <c r="N17" s="785">
        <f>(G17+I17)*(9.25%)</f>
        <v/>
      </c>
      <c r="O17" s="708" t="n">
        <v>11.97</v>
      </c>
      <c r="P17" s="1016">
        <f>(F17 - (G17+I17+O17+(J17+K17+L17))) - (H17-M17-N17)</f>
        <v/>
      </c>
      <c r="Q17" s="328">
        <f>P17/F17</f>
        <v/>
      </c>
      <c r="R17" s="904" t="inlineStr">
        <is>
          <t>Ativo</t>
        </is>
      </c>
      <c r="S17" s="651" t="n"/>
      <c r="T17" s="569" t="n"/>
      <c r="U17" s="1030" t="n"/>
      <c r="V17" s="1030" t="n"/>
      <c r="W17" s="1030" t="n"/>
    </row>
    <row r="18" ht="15.75" customHeight="1" s="1349">
      <c r="A18" s="1265" t="inlineStr">
        <is>
          <t>3400215313</t>
        </is>
      </c>
      <c r="B18" s="1263" t="inlineStr">
        <is>
          <t>PXCL142813</t>
        </is>
      </c>
      <c r="C18" s="1292" t="inlineStr">
        <is>
          <t>ÂNCORA</t>
        </is>
      </c>
      <c r="D18" s="566" t="inlineStr">
        <is>
          <t>Pino Liso Clip Cadeirinha 13mm Ação Indireta 1/4x28mm 100un</t>
        </is>
      </c>
      <c r="E18" s="492" t="n"/>
      <c r="F18" s="856" t="n">
        <v>42.15</v>
      </c>
      <c r="G18" s="447">
        <f>F18*12%</f>
        <v/>
      </c>
      <c r="H18" s="831" t="n"/>
      <c r="I18" s="904" t="n">
        <v>6.75</v>
      </c>
      <c r="J18" s="340">
        <f>F18*18%</f>
        <v/>
      </c>
      <c r="K18" s="340">
        <f>(F18-J18)*1.65%</f>
        <v/>
      </c>
      <c r="L18" s="340">
        <f>(F18-J18)*7.6%</f>
        <v/>
      </c>
      <c r="M18" s="1097" t="n">
        <v>2.54</v>
      </c>
      <c r="N18" s="785">
        <f>(G18+I18)*(9.25%)</f>
        <v/>
      </c>
      <c r="O18" s="708" t="n">
        <v>21.04</v>
      </c>
      <c r="P18" s="1016">
        <f>(F18 - (G18+I18+O18+(J18+K18+L18))) - (H18-M18-N18)</f>
        <v/>
      </c>
      <c r="Q18" s="328">
        <f>P18/F18</f>
        <v/>
      </c>
      <c r="R18" s="904" t="inlineStr">
        <is>
          <t>Ativo</t>
        </is>
      </c>
      <c r="S18" s="651" t="n"/>
      <c r="T18" s="569" t="n"/>
      <c r="U18" s="1030" t="n"/>
      <c r="V18" s="1030" t="n"/>
      <c r="W18" s="1030" t="n"/>
    </row>
    <row r="19" ht="15.75" customHeight="1" s="1349">
      <c r="A19" s="1265" t="inlineStr">
        <is>
          <t>3814214414</t>
        </is>
      </c>
      <c r="B19" s="1263" t="n">
        <v>119</v>
      </c>
      <c r="C19" s="1292" t="inlineStr">
        <is>
          <t>EPI</t>
        </is>
      </c>
      <c r="D19" s="194" t="inlineStr">
        <is>
          <t>Capa De Chuva Descartável Reforçada Transparente Com Capuz</t>
        </is>
      </c>
      <c r="E19" s="654" t="n"/>
      <c r="F19" s="572" t="n">
        <v>9.449999999999999</v>
      </c>
      <c r="G19" s="285">
        <f>F19*12%</f>
        <v/>
      </c>
      <c r="H19" s="831" t="n">
        <v>-0.29</v>
      </c>
      <c r="I19" s="904">
        <f>IFS(
  F19&lt;12.5, F19/2,
  F19&lt;29, 6.25,
  F19&lt;50, 6.5,
  F19&lt;=79, 6.75,
  TRUE, 25
)</f>
        <v/>
      </c>
      <c r="J19" s="340">
        <f>F19*18%</f>
        <v/>
      </c>
      <c r="K19" s="340">
        <f>(F19-J19)*1.65%</f>
        <v/>
      </c>
      <c r="L19" s="340">
        <f>(F19-J19)*7.6%</f>
        <v/>
      </c>
      <c r="M19" s="577" t="n"/>
      <c r="N19" s="543">
        <f>(G19+I19)*(9.25%)</f>
        <v/>
      </c>
      <c r="O19" s="578" t="n">
        <v>1.25</v>
      </c>
      <c r="P19" s="1016">
        <f>(F19 - (G19+I19+O19+(J19+K19+L19))) - (H19-M19-N19)</f>
        <v/>
      </c>
      <c r="Q19" s="328">
        <f>P19/F19</f>
        <v/>
      </c>
      <c r="R19" s="904" t="inlineStr">
        <is>
          <t>Ativo</t>
        </is>
      </c>
      <c r="S19" s="651" t="n"/>
      <c r="T19" s="569" t="n">
        <v>2124</v>
      </c>
      <c r="U19" s="1030" t="n"/>
      <c r="V19" s="1030" t="n"/>
      <c r="W19" s="1030" t="n"/>
      <c r="X19" s="579" t="n"/>
      <c r="Y19" s="579" t="n"/>
      <c r="Z19" s="579" t="n"/>
      <c r="AA19" s="579" t="n"/>
      <c r="AB19" s="579" t="n"/>
      <c r="AC19" s="579" t="n"/>
      <c r="AD19" s="579" t="n"/>
      <c r="AE19" s="579" t="n"/>
      <c r="AF19" s="579" t="n"/>
    </row>
    <row r="20" ht="15.75" customHeight="1" s="1349">
      <c r="A20" s="755" t="inlineStr">
        <is>
          <t>3738376997734803</t>
        </is>
      </c>
      <c r="B20" s="581" t="n">
        <v>10034034166589</v>
      </c>
      <c r="C20" s="582" t="inlineStr">
        <is>
          <t>VOLK</t>
        </is>
      </c>
      <c r="D20" s="583" t="inlineStr">
        <is>
          <t>Kit 5 Luva De Látex Natural E Neoprene Bicolor - Volk 16779</t>
        </is>
      </c>
      <c r="E20" s="762" t="n"/>
      <c r="F20" s="747" t="n">
        <v>55.9</v>
      </c>
      <c r="G20" s="34">
        <f>F20*12%</f>
        <v/>
      </c>
      <c r="H20" s="783" t="n"/>
      <c r="I20" s="887" t="n">
        <v>7.95</v>
      </c>
      <c r="J20" s="61">
        <f>F20*18%</f>
        <v/>
      </c>
      <c r="K20" s="61">
        <f>(F20-J20)*1.65%</f>
        <v/>
      </c>
      <c r="L20" s="61">
        <f>(F20-J20)*7.6%</f>
        <v/>
      </c>
      <c r="M20" s="784">
        <f>0.683*5</f>
        <v/>
      </c>
      <c r="N20" s="785">
        <f>(G20+I20)*(9.25%)</f>
        <v/>
      </c>
      <c r="O20" s="674">
        <f>5.3*5</f>
        <v/>
      </c>
      <c r="P20" s="1016">
        <f>(F20 - (G20+I20+O20+(J20+K20+L20))) - (H20-M20-N20)</f>
        <v/>
      </c>
      <c r="Q20" s="591">
        <f>P20/F20</f>
        <v/>
      </c>
      <c r="R20" s="676" t="inlineStr">
        <is>
          <t>Ativo</t>
        </is>
      </c>
      <c r="S20" s="762" t="inlineStr">
        <is>
          <t>M,G,EG</t>
        </is>
      </c>
      <c r="T20" s="806" t="n"/>
      <c r="U20" s="595" t="n"/>
      <c r="V20" s="595" t="n"/>
      <c r="W20" s="595" t="n"/>
    </row>
    <row r="21" ht="15.75" customHeight="1" s="1349">
      <c r="A21" s="1265" t="inlineStr">
        <is>
          <t>3253294579</t>
        </is>
      </c>
      <c r="B21" s="713" t="n">
        <v>10034034166589</v>
      </c>
      <c r="C21" s="596" t="inlineStr">
        <is>
          <t>VOLK</t>
        </is>
      </c>
      <c r="D21" s="491" t="inlineStr">
        <is>
          <t>Kit 5 Luva De Látex Natural E Neoprene Bicolor - Volk 16779</t>
        </is>
      </c>
      <c r="E21" s="492" t="n"/>
      <c r="F21" s="607" t="n">
        <v>51.89</v>
      </c>
      <c r="G21" s="93">
        <f>F21*12%</f>
        <v/>
      </c>
      <c r="H21" s="831" t="n"/>
      <c r="I21" s="904" t="n">
        <v>7.95</v>
      </c>
      <c r="J21" s="340">
        <f>F21*18%</f>
        <v/>
      </c>
      <c r="K21" s="340">
        <f>(F21-J21)*1.65%</f>
        <v/>
      </c>
      <c r="L21" s="340">
        <f>(F21-J21)*7.6%</f>
        <v/>
      </c>
      <c r="M21" s="1097">
        <f>0.683*5</f>
        <v/>
      </c>
      <c r="N21" s="785">
        <f>(G21+I21)*(9.25%)</f>
        <v/>
      </c>
      <c r="O21" s="708">
        <f>5.3*5</f>
        <v/>
      </c>
      <c r="P21" s="1016">
        <f>(F21 - (G21+I21+O21+(J21+K21+L21))) - (H21-M21-N21)</f>
        <v/>
      </c>
      <c r="Q21" s="328">
        <f>P21/F21</f>
        <v/>
      </c>
      <c r="R21" s="904" t="inlineStr">
        <is>
          <t>Ativo</t>
        </is>
      </c>
      <c r="S21" s="651" t="n"/>
      <c r="T21" s="569" t="n"/>
      <c r="U21" s="1030" t="n"/>
      <c r="V21" s="1030" t="n"/>
      <c r="W21" s="1030" t="n"/>
    </row>
    <row r="22" ht="15.75" customHeight="1" s="1349">
      <c r="A22" s="1265" t="n"/>
      <c r="B22" s="713" t="n"/>
      <c r="C22" s="597" t="n"/>
      <c r="D22" s="492" t="inlineStr">
        <is>
          <t xml:space="preserve">Kit 10 bicolor premium </t>
        </is>
      </c>
      <c r="E22" s="492" t="n"/>
      <c r="F22" s="607" t="n">
        <v>124.9</v>
      </c>
      <c r="G22" s="93">
        <f>F22*17%</f>
        <v/>
      </c>
      <c r="H22" s="831" t="n"/>
      <c r="I22" s="904" t="n">
        <v>16.45</v>
      </c>
      <c r="J22" s="340">
        <f>F22*18%</f>
        <v/>
      </c>
      <c r="K22" s="340">
        <f>(F22-J22)*1.65%</f>
        <v/>
      </c>
      <c r="L22" s="340">
        <f>(F22-J22)*7.6%</f>
        <v/>
      </c>
      <c r="M22" s="1097" t="n">
        <v>6.83</v>
      </c>
      <c r="N22" s="785">
        <f>(G22+I22)*(9.25%)</f>
        <v/>
      </c>
      <c r="O22" s="708" t="n">
        <v>53</v>
      </c>
      <c r="P22" s="1016">
        <f>(F22 - (G22+I22+O22+(J22+K22+L22))) - (H22-M22-N22)</f>
        <v/>
      </c>
      <c r="Q22" s="328">
        <f>P22/F22</f>
        <v/>
      </c>
      <c r="R22" s="904" t="n"/>
      <c r="S22" s="651" t="n"/>
      <c r="T22" s="569" t="n"/>
      <c r="U22" s="1030" t="n"/>
      <c r="V22" s="1030" t="n"/>
      <c r="W22" s="1030" t="n"/>
    </row>
    <row r="23" ht="15.75" customHeight="1" s="1349">
      <c r="A23" s="598" t="inlineStr">
        <is>
          <t>3295231772 3732730561747018</t>
        </is>
      </c>
      <c r="B23" s="599" t="n">
        <v>10034034166586</v>
      </c>
      <c r="C23" s="1292" t="inlineStr">
        <is>
          <t>VOLK</t>
        </is>
      </c>
      <c r="D23" s="566" t="inlineStr">
        <is>
          <t>Kit 10 Luva De Látex Natural E Neoprene Bicolor - Volk 16779</t>
        </is>
      </c>
      <c r="E23" s="571" t="n"/>
      <c r="F23" s="607" t="n">
        <v>107.92</v>
      </c>
      <c r="G23" s="447">
        <f>F23*12%</f>
        <v/>
      </c>
      <c r="H23" s="831" t="n">
        <v>-3.4</v>
      </c>
      <c r="I23" s="904" t="n">
        <v>16.45</v>
      </c>
      <c r="J23" s="340">
        <f>F23*18%</f>
        <v/>
      </c>
      <c r="K23" s="340">
        <f>(F23-J23)*1.65%</f>
        <v/>
      </c>
      <c r="L23" s="340">
        <f>(F23-J23)*7.6%</f>
        <v/>
      </c>
      <c r="M23" s="1097">
        <f>0.683*10</f>
        <v/>
      </c>
      <c r="N23" s="785">
        <f>(G23+I23)*(9.25%)</f>
        <v/>
      </c>
      <c r="O23" s="708">
        <f>5.3*10</f>
        <v/>
      </c>
      <c r="P23" s="1016">
        <f>(F23 - (G23+I23+O23+(J23+K23+L23))) - (H23-M23-N23)</f>
        <v/>
      </c>
      <c r="Q23" s="328">
        <f>P23/F23</f>
        <v/>
      </c>
      <c r="R23" s="904" t="inlineStr">
        <is>
          <t>Ativo</t>
        </is>
      </c>
      <c r="S23" s="651" t="n"/>
      <c r="T23" s="569" t="n"/>
      <c r="U23" s="1030" t="n"/>
      <c r="V23" s="1030" t="n"/>
      <c r="W23" s="1030" t="n"/>
    </row>
    <row r="24" ht="15.75" customHeight="1" s="1349">
      <c r="A24" s="600" t="n"/>
      <c r="B24" s="601" t="n">
        <v>10034034166309</v>
      </c>
      <c r="C24" s="904" t="n"/>
      <c r="D24" s="566" t="inlineStr">
        <is>
          <t>Kit 8 Luva De Látex Natural E Neoprene Bicolor - Volk 16779</t>
        </is>
      </c>
      <c r="E24" s="571" t="n"/>
      <c r="F24" s="607" t="n">
        <v>78.90000000000001</v>
      </c>
      <c r="G24" s="447">
        <f>F24*12%</f>
        <v/>
      </c>
      <c r="H24" s="831" t="n"/>
      <c r="I24" s="904" t="n">
        <v>6.75</v>
      </c>
      <c r="J24" s="340">
        <f>F24*18%</f>
        <v/>
      </c>
      <c r="K24" s="340">
        <f>(F24-J24)*1.65%</f>
        <v/>
      </c>
      <c r="L24" s="340">
        <f>(F24-J24)*7.6%</f>
        <v/>
      </c>
      <c r="M24" s="1097" t="n">
        <v>5.46</v>
      </c>
      <c r="N24" s="785">
        <f>(G24+I24)*(9.25%)</f>
        <v/>
      </c>
      <c r="O24" s="708" t="n">
        <v>42.4</v>
      </c>
      <c r="P24" s="1016">
        <f>(F24 - (G24+I24+O24+(J24+K24+L24))) - (H24-M24-N24)</f>
        <v/>
      </c>
      <c r="Q24" s="328">
        <f>P24/F24</f>
        <v/>
      </c>
      <c r="R24" s="904" t="n"/>
      <c r="S24" s="651" t="n"/>
      <c r="T24" s="569" t="n"/>
      <c r="U24" s="1030" t="n"/>
      <c r="V24" s="1030" t="n"/>
      <c r="W24" s="1030" t="n"/>
      <c r="X24" s="579" t="n"/>
      <c r="Y24" s="579" t="n"/>
      <c r="Z24" s="579" t="n"/>
      <c r="AA24" s="579" t="n"/>
      <c r="AB24" s="579" t="n"/>
      <c r="AC24" s="579" t="n"/>
      <c r="AD24" s="579" t="n"/>
      <c r="AE24" s="579" t="n"/>
      <c r="AF24" s="579" t="n"/>
    </row>
    <row r="25" ht="15.75" customHeight="1" s="1349">
      <c r="A25" s="489" t="inlineStr">
        <is>
          <t>3532560898</t>
        </is>
      </c>
      <c r="B25" s="713" t="n">
        <v>10034034166319</v>
      </c>
      <c r="C25" s="1292" t="inlineStr">
        <is>
          <t>VOLK</t>
        </is>
      </c>
      <c r="D25" s="491" t="inlineStr">
        <is>
          <t>Luva Uso Geral Paisagismo Volk Orange Smart Ca46816 10 Pares</t>
        </is>
      </c>
      <c r="E25" s="492" t="n">
        <v>149.9</v>
      </c>
      <c r="F25" s="607" t="n">
        <v>76.53</v>
      </c>
      <c r="G25" s="447">
        <f>F25*12%</f>
        <v/>
      </c>
      <c r="H25" s="831" t="n">
        <v>-4.59</v>
      </c>
      <c r="I25" s="904" t="n">
        <v>8.15</v>
      </c>
      <c r="J25" s="340">
        <f>F25*18%</f>
        <v/>
      </c>
      <c r="K25" s="340">
        <f>(F25-J25)*1.65%</f>
        <v/>
      </c>
      <c r="L25" s="340">
        <f>(F25-J25)*7.6%</f>
        <v/>
      </c>
      <c r="M25" s="1097">
        <f>0.616*10</f>
        <v/>
      </c>
      <c r="N25" s="785">
        <f>(G25+I25)*(9.25%)</f>
        <v/>
      </c>
      <c r="O25" s="708">
        <f>4.18*10</f>
        <v/>
      </c>
      <c r="P25" s="1016">
        <f>(F25 - (G25+I25+O25+(J25+K25+L25))) - (H25-M25-N25)</f>
        <v/>
      </c>
      <c r="Q25" s="328">
        <f>P25/F25</f>
        <v/>
      </c>
      <c r="R25" s="904" t="inlineStr">
        <is>
          <t>Ativo</t>
        </is>
      </c>
      <c r="S25" s="651" t="n"/>
      <c r="T25" s="569" t="n">
        <v>2316</v>
      </c>
      <c r="U25" s="1030" t="n"/>
      <c r="V25" s="1030" t="n"/>
      <c r="W25" s="1030" t="n"/>
    </row>
    <row r="26" ht="15.75" customHeight="1" s="1349">
      <c r="A26" s="779" t="inlineStr">
        <is>
          <t>1094492145898258</t>
        </is>
      </c>
      <c r="B26" s="806" t="n"/>
      <c r="C26" s="604" t="inlineStr">
        <is>
          <t>VOLK</t>
        </is>
      </c>
      <c r="D26" s="835" t="inlineStr">
        <is>
          <t>10 Luva Uso Geral Proteção Vulcanizada Orange Smart Ca46816</t>
        </is>
      </c>
      <c r="E26" s="887" t="n">
        <v>149.9</v>
      </c>
      <c r="F26" s="607" t="n">
        <v>78.90000000000001</v>
      </c>
      <c r="G26" s="1064">
        <f>F26*12%</f>
        <v/>
      </c>
      <c r="H26" s="609" t="n"/>
      <c r="I26" s="762" t="n">
        <v>8.050000000000001</v>
      </c>
      <c r="J26" s="61">
        <f>F26*18%</f>
        <v/>
      </c>
      <c r="K26" s="61">
        <f>(F26-J26)*1.65%</f>
        <v/>
      </c>
      <c r="L26" s="61">
        <f>(F26-J26)*7.6%</f>
        <v/>
      </c>
      <c r="M26" s="1097">
        <f>0.616*10</f>
        <v/>
      </c>
      <c r="N26" s="785">
        <f>(G26+I26)*(9.25%)</f>
        <v/>
      </c>
      <c r="O26" s="708">
        <f>4.18*10</f>
        <v/>
      </c>
      <c r="P26" s="1016">
        <f>(F26 - (G26+I26+O26+(J26+K26+L26))) - (H26-M26-N26)</f>
        <v/>
      </c>
      <c r="Q26" s="591">
        <f>P26/F26</f>
        <v/>
      </c>
      <c r="R26" s="611" t="n"/>
      <c r="S26" s="139" t="n"/>
      <c r="T26" s="806" t="n"/>
      <c r="U26" s="595" t="n"/>
      <c r="V26" s="595" t="n"/>
      <c r="W26" s="595" t="n"/>
    </row>
    <row r="27" ht="15.75" customHeight="1" s="1349">
      <c r="A27" s="612" t="inlineStr">
        <is>
          <t>4222433138</t>
        </is>
      </c>
      <c r="B27" s="601" t="n">
        <v>64</v>
      </c>
      <c r="C27" s="1292" t="inlineStr">
        <is>
          <t>VOLK</t>
        </is>
      </c>
      <c r="D27" s="613" t="inlineStr">
        <is>
          <t>Luva Soldador Weld Master Alta Temperatura Até 500ºc 41cm</t>
        </is>
      </c>
      <c r="E27" s="492" t="n"/>
      <c r="F27" s="607" t="n">
        <v>96.03</v>
      </c>
      <c r="G27" s="447">
        <f>F27*12%</f>
        <v/>
      </c>
      <c r="H27" s="831" t="n">
        <v>-5.39</v>
      </c>
      <c r="I27" s="904" t="n">
        <v>16.15</v>
      </c>
      <c r="J27" s="340">
        <f>F27*18%</f>
        <v/>
      </c>
      <c r="K27" s="340">
        <f>(F27-J27)*1.65%</f>
        <v/>
      </c>
      <c r="L27" s="340">
        <f>(F27-J27)*7.6%</f>
        <v/>
      </c>
      <c r="M27" s="1097" t="n">
        <v>6.52</v>
      </c>
      <c r="N27" s="785">
        <f>(G27+I27)*(9.25%)</f>
        <v/>
      </c>
      <c r="O27" s="708" t="n">
        <v>50.62</v>
      </c>
      <c r="P27" s="1016">
        <f>(F27 - (G27+I27+O27+(J27+K27+L27))) - (H27-M27-N27)</f>
        <v/>
      </c>
      <c r="Q27" s="328">
        <f>P27/F27</f>
        <v/>
      </c>
      <c r="R27" s="904" t="inlineStr">
        <is>
          <t>Ativo</t>
        </is>
      </c>
      <c r="S27" s="651" t="n"/>
      <c r="T27" s="569" t="n">
        <v>2121</v>
      </c>
      <c r="U27" s="1030" t="n"/>
      <c r="V27" s="1030" t="n"/>
      <c r="W27" s="1030" t="n"/>
    </row>
    <row r="28" ht="15.75" customHeight="1" s="1349">
      <c r="A28" s="598" t="inlineStr">
        <is>
          <t>3637835650</t>
        </is>
      </c>
      <c r="B28" s="601" t="n">
        <v>10034034166357</v>
      </c>
      <c r="C28" s="1292" t="inlineStr">
        <is>
          <t>MUCAMBO</t>
        </is>
      </c>
      <c r="D28" s="566" t="inlineStr">
        <is>
          <t>Luva Mucambo Pro 157 Latex Antiderrapante Reforçada 10un</t>
        </is>
      </c>
      <c r="E28" s="571" t="n">
        <v>93</v>
      </c>
      <c r="F28" s="607" t="n">
        <v>78.98999999999999</v>
      </c>
      <c r="G28" s="447">
        <f>F28*13%</f>
        <v/>
      </c>
      <c r="H28" s="831" t="n"/>
      <c r="I28" s="904" t="n">
        <v>8.15</v>
      </c>
      <c r="J28" s="340">
        <f>F28*18%</f>
        <v/>
      </c>
      <c r="K28" s="340">
        <f>(F28-J28)*1.65%</f>
        <v/>
      </c>
      <c r="L28" s="340">
        <f>(F28-J28)*7.6%</f>
        <v/>
      </c>
      <c r="M28" s="1097">
        <f>0.93*10</f>
        <v/>
      </c>
      <c r="N28" s="785">
        <f>(G28+I28)*(9.25%)</f>
        <v/>
      </c>
      <c r="O28" s="197">
        <f>4.64*10</f>
        <v/>
      </c>
      <c r="P28" s="1016">
        <f>(F28 - (G28+I28+O28+(J28+K28+L28))) - (H28-M28-N28)</f>
        <v/>
      </c>
      <c r="Q28" s="328">
        <f>P28/F28</f>
        <v/>
      </c>
      <c r="R28" s="904" t="inlineStr">
        <is>
          <t>Ativo</t>
        </is>
      </c>
      <c r="S28" s="651" t="n"/>
      <c r="T28" s="569" t="n">
        <v>1680</v>
      </c>
      <c r="U28" s="1030" t="n"/>
      <c r="V28" s="1030" t="n"/>
      <c r="W28" s="1030" t="n"/>
    </row>
    <row r="29" ht="15.75" customHeight="1" s="1349">
      <c r="A29" s="612" t="inlineStr">
        <is>
          <t>5376461500 3285272779</t>
        </is>
      </c>
      <c r="B29" s="601" t="inlineStr">
        <is>
          <t>800204C</t>
        </is>
      </c>
      <c r="C29" s="1292" t="inlineStr">
        <is>
          <t>Camper</t>
        </is>
      </c>
      <c r="D29" s="613" t="inlineStr">
        <is>
          <t>Protetor Auricular Abafador Ruído 26db Camper Confort Plus Cor Cinza</t>
        </is>
      </c>
      <c r="E29" s="712" t="n"/>
      <c r="F29" s="607" t="n">
        <v>59.85</v>
      </c>
      <c r="G29" s="447">
        <f>F29*12%</f>
        <v/>
      </c>
      <c r="H29" s="831" t="n"/>
      <c r="I29" s="904" t="n">
        <v>7.95</v>
      </c>
      <c r="J29" s="340">
        <f>F29*18%</f>
        <v/>
      </c>
      <c r="K29" s="340">
        <f>(F29-J29)*1.65%</f>
        <v/>
      </c>
      <c r="L29" s="340">
        <f>(F29-J29)*7.6%</f>
        <v/>
      </c>
      <c r="M29" s="1097" t="n">
        <v>6.08</v>
      </c>
      <c r="N29" s="785">
        <f>(G29+I29)*(9.25%)</f>
        <v/>
      </c>
      <c r="O29" s="708" t="n">
        <v>38.77</v>
      </c>
      <c r="P29" s="1016">
        <f>(F29 - (G29+I29+O29+(J29+K29+L29))) - (H29-M29-N29)</f>
        <v/>
      </c>
      <c r="Q29" s="328">
        <f>P29/F29</f>
        <v/>
      </c>
      <c r="R29" s="904" t="inlineStr">
        <is>
          <t>Ativo</t>
        </is>
      </c>
      <c r="S29" s="904" t="inlineStr">
        <is>
          <t>sincronizado</t>
        </is>
      </c>
      <c r="T29" s="569" t="n">
        <v>257</v>
      </c>
      <c r="U29" s="1030" t="n"/>
      <c r="V29" s="1030" t="n"/>
      <c r="W29" s="1030" t="n"/>
    </row>
    <row r="30" ht="15.75" customHeight="1" s="1349">
      <c r="A30" s="598" t="inlineStr">
        <is>
          <t>3654941892</t>
        </is>
      </c>
      <c r="B30" s="601" t="n">
        <v>10034034166315</v>
      </c>
      <c r="C30" s="1292" t="inlineStr">
        <is>
          <t>Carbografite</t>
        </is>
      </c>
      <c r="D30" s="615" t="inlineStr">
        <is>
          <t>Cartucho Carbografite Filtro Rc203 Para Máscara Cg306 6 Um</t>
        </is>
      </c>
      <c r="E30" s="616" t="n"/>
      <c r="F30" s="607" t="n">
        <v>103.19</v>
      </c>
      <c r="G30" s="447">
        <f>F30*12%</f>
        <v/>
      </c>
      <c r="H30" s="831" t="n">
        <v>-6</v>
      </c>
      <c r="I30" s="904" t="n">
        <v>15.45</v>
      </c>
      <c r="J30" s="340">
        <f>F30*18%</f>
        <v/>
      </c>
      <c r="K30" s="340">
        <f>(F30-J30)*1.65%</f>
        <v/>
      </c>
      <c r="L30" s="340">
        <f>(F30-J30)*7.6%</f>
        <v/>
      </c>
      <c r="M30" s="1097">
        <f>1.22*6</f>
        <v/>
      </c>
      <c r="N30" s="785">
        <f>(G30+I30)*(9.25%)</f>
        <v/>
      </c>
      <c r="O30" s="197">
        <f>9.5*6</f>
        <v/>
      </c>
      <c r="P30" s="1016">
        <f>(F30 - (G30+I30+O30+(J30+K30+L30))) - (H30-M30-N30)</f>
        <v/>
      </c>
      <c r="Q30" s="328">
        <f>P30/F30</f>
        <v/>
      </c>
      <c r="R30" s="904" t="inlineStr">
        <is>
          <t>Ativo</t>
        </is>
      </c>
      <c r="S30" s="651" t="n"/>
      <c r="T30" s="569" t="n">
        <v>1130</v>
      </c>
      <c r="U30" s="1030" t="n"/>
      <c r="V30" s="1030" t="n"/>
      <c r="W30" s="1030" t="n"/>
    </row>
    <row r="31" ht="15.75" customHeight="1" s="1349">
      <c r="A31" s="1265" t="inlineStr">
        <is>
          <t>3638405000</t>
        </is>
      </c>
      <c r="B31" s="1263" t="n">
        <v>47</v>
      </c>
      <c r="C31" s="1292" t="inlineStr">
        <is>
          <t>ÂNCORA</t>
        </is>
      </c>
      <c r="D31" s="491" t="inlineStr">
        <is>
          <t>Pistola De Fixação Ação Indireta Ancora Fai72n + Brinde</t>
        </is>
      </c>
      <c r="E31" s="492" t="n"/>
      <c r="F31" s="607" t="n">
        <v>899.9</v>
      </c>
      <c r="G31" s="447">
        <f>F31*12%</f>
        <v/>
      </c>
      <c r="H31" s="831" t="n">
        <v>-30.01</v>
      </c>
      <c r="I31" s="904" t="n">
        <v>30.75</v>
      </c>
      <c r="J31" s="340">
        <f>F31*18%</f>
        <v/>
      </c>
      <c r="K31" s="340">
        <f>(F31-J31)*1.65%</f>
        <v/>
      </c>
      <c r="L31" s="340">
        <f>(F31-J31)*7.6%</f>
        <v/>
      </c>
      <c r="M31" s="1097" t="n">
        <v>97.23999999999999</v>
      </c>
      <c r="N31" s="785">
        <f>(G31+I31)*(9.25%)</f>
        <v/>
      </c>
      <c r="O31" s="708" t="n">
        <v>622.6900000000001</v>
      </c>
      <c r="P31" s="1016">
        <f>(F31 - (G31+I31+O31+(J31+K31+L31))) - (H31-M31-N31)</f>
        <v/>
      </c>
      <c r="Q31" s="328">
        <f>P31/F31</f>
        <v/>
      </c>
      <c r="R31" s="904" t="inlineStr">
        <is>
          <t>Ativo</t>
        </is>
      </c>
      <c r="S31" s="651" t="n"/>
      <c r="T31" s="569" t="n">
        <v>1067</v>
      </c>
      <c r="U31" s="1030" t="n"/>
      <c r="V31" s="1030" t="n"/>
      <c r="W31" s="1030" t="n"/>
    </row>
    <row r="32" ht="15.75" customHeight="1" s="1349">
      <c r="A32" s="489" t="inlineStr">
        <is>
          <t>4041006461</t>
        </is>
      </c>
      <c r="B32" s="713" t="n">
        <v>47</v>
      </c>
      <c r="C32" s="1292" t="inlineStr">
        <is>
          <t>ÂNCORA</t>
        </is>
      </c>
      <c r="D32" s="566" t="inlineStr">
        <is>
          <t>Pistola Fincapino Acao Indireta Calibre 27 Ancora Fai 72n</t>
        </is>
      </c>
      <c r="E32" s="492" t="n">
        <v>1100</v>
      </c>
      <c r="F32" s="607" t="n">
        <v>979</v>
      </c>
      <c r="G32" s="447">
        <f>F32*17%</f>
        <v/>
      </c>
      <c r="H32" s="831" t="n"/>
      <c r="I32" s="904" t="n">
        <v>30.75</v>
      </c>
      <c r="J32" s="340">
        <f>F32*18%</f>
        <v/>
      </c>
      <c r="K32" s="340">
        <f>(F32-J32)*1.65%</f>
        <v/>
      </c>
      <c r="L32" s="340">
        <f>(F32-J32)*7.6%</f>
        <v/>
      </c>
      <c r="M32" s="1097" t="n">
        <v>101.53</v>
      </c>
      <c r="N32" s="785">
        <f>(G32+I32)*(9.25%)</f>
        <v/>
      </c>
      <c r="O32" s="708" t="n">
        <v>599</v>
      </c>
      <c r="P32" s="1016">
        <f>(F32 - (G32+I32+O32+(J32+K32+L32))) - (H32-M32-N32)</f>
        <v/>
      </c>
      <c r="Q32" s="328">
        <f>P32/F32</f>
        <v/>
      </c>
      <c r="R32" s="904" t="inlineStr">
        <is>
          <t>Ativo</t>
        </is>
      </c>
      <c r="S32" s="651" t="n"/>
      <c r="T32" s="569" t="n">
        <v>165</v>
      </c>
      <c r="U32" s="1030" t="n"/>
      <c r="V32" s="1030" t="n"/>
      <c r="W32" s="1030" t="n"/>
    </row>
    <row r="33" ht="15.75" customHeight="1" s="1349">
      <c r="A33" s="1265" t="inlineStr">
        <is>
          <t>5846711552</t>
        </is>
      </c>
      <c r="B33" s="713" t="n">
        <v>10034034167669</v>
      </c>
      <c r="C33" s="1292" t="inlineStr">
        <is>
          <t>ÂNCORA</t>
        </is>
      </c>
      <c r="D33" s="491" t="inlineStr">
        <is>
          <t>Kit Pistola Fai72n Indireta + Cartucho + Pino Arruela Cônica</t>
        </is>
      </c>
      <c r="E33" s="492" t="n"/>
      <c r="F33" s="607" t="n">
        <v>1028.1</v>
      </c>
      <c r="G33" s="447">
        <f>F33*12%</f>
        <v/>
      </c>
      <c r="H33" s="831" t="n">
        <v>-31.8</v>
      </c>
      <c r="I33" s="904" t="n">
        <v>30.75</v>
      </c>
      <c r="J33" s="340">
        <f>F33*18%</f>
        <v/>
      </c>
      <c r="K33" s="340">
        <f>(F33-J33)*1.65%</f>
        <v/>
      </c>
      <c r="L33" s="340">
        <f>(F33-J33)*7.6%</f>
        <v/>
      </c>
      <c r="M33" s="1097" t="n">
        <v>107.12</v>
      </c>
      <c r="N33" s="785">
        <f>(G33+I33)*(9.25%)</f>
        <v/>
      </c>
      <c r="O33" s="708" t="n">
        <v>668.91</v>
      </c>
      <c r="P33" s="1016">
        <f>(F33 - (G33+I33+O33+(J33+K33+L33))) - (H33-M33-N33)</f>
        <v/>
      </c>
      <c r="Q33" s="328">
        <f>P33/F33</f>
        <v/>
      </c>
      <c r="R33" s="904" t="inlineStr">
        <is>
          <t>Ativo</t>
        </is>
      </c>
      <c r="S33" s="651" t="n"/>
      <c r="T33" s="569" t="n">
        <v>8</v>
      </c>
      <c r="U33" s="1030" t="n"/>
      <c r="V33" s="1030" t="n"/>
      <c r="W33" s="1030" t="n"/>
    </row>
    <row r="34" ht="15.75" customHeight="1" s="1349">
      <c r="A34" s="489" t="inlineStr">
        <is>
          <t>5897355500</t>
        </is>
      </c>
      <c r="B34" s="713" t="n">
        <v>10034034167669</v>
      </c>
      <c r="C34" s="1292" t="inlineStr">
        <is>
          <t>ÂNCORA</t>
        </is>
      </c>
      <c r="D34" s="566" t="inlineStr">
        <is>
          <t>Pistola Fixação Indireta Fai72n + Pino Conico E Fincapino 27</t>
        </is>
      </c>
      <c r="E34" s="492" t="n"/>
      <c r="F34" s="607" t="n">
        <v>1066.03</v>
      </c>
      <c r="G34" s="447">
        <f>F34*17%</f>
        <v/>
      </c>
      <c r="H34" s="831" t="n">
        <v>-47</v>
      </c>
      <c r="I34" s="904" t="n">
        <v>30.75</v>
      </c>
      <c r="J34" s="340">
        <f>F34*18%</f>
        <v/>
      </c>
      <c r="K34" s="340">
        <f>(F34-J34)*1.65%</f>
        <v/>
      </c>
      <c r="L34" s="340">
        <f>(F34-J34)*7.6%</f>
        <v/>
      </c>
      <c r="M34" s="1097" t="n">
        <v>107.12</v>
      </c>
      <c r="N34" s="785">
        <f>(G34+I34)*(9.25%)</f>
        <v/>
      </c>
      <c r="O34" s="708" t="n">
        <v>668.91</v>
      </c>
      <c r="P34" s="1016">
        <f>(F34 - (G34+I34+O34+(J34+K34+L34))) - (H34-M34-N34)</f>
        <v/>
      </c>
      <c r="Q34" s="328">
        <f>P34/F34</f>
        <v/>
      </c>
      <c r="R34" s="904" t="inlineStr">
        <is>
          <t>Ativo</t>
        </is>
      </c>
      <c r="S34" s="651" t="n"/>
      <c r="T34" s="569" t="n"/>
      <c r="U34" s="1030" t="n"/>
      <c r="V34" s="1030" t="n"/>
      <c r="W34" s="1030" t="n"/>
    </row>
    <row r="35" ht="15.75" customHeight="1" s="1349">
      <c r="A35" s="612" t="inlineStr">
        <is>
          <t>3763296548</t>
        </is>
      </c>
      <c r="B35" s="601" t="n">
        <v>47</v>
      </c>
      <c r="C35" s="1292" t="inlineStr">
        <is>
          <t>ÂNCORA</t>
        </is>
      </c>
      <c r="D35" s="617" t="inlineStr">
        <is>
          <t>Pistola De Fixação Pino E Fincapino Indireta Ancora Fai72n</t>
        </is>
      </c>
      <c r="E35" s="492" t="n"/>
      <c r="F35" s="607" t="n">
        <v>960.92</v>
      </c>
      <c r="G35" s="93">
        <f>F35*17%</f>
        <v/>
      </c>
      <c r="H35" s="831" t="n">
        <v>-29.08</v>
      </c>
      <c r="I35" s="904" t="n">
        <v>30.75</v>
      </c>
      <c r="J35" s="340">
        <f>F35*18%</f>
        <v/>
      </c>
      <c r="K35" s="340">
        <f>(F35-J35)*1.65%</f>
        <v/>
      </c>
      <c r="L35" s="340">
        <f>(F35-J35)*7.6%</f>
        <v/>
      </c>
      <c r="M35" s="1097" t="n">
        <v>101.53</v>
      </c>
      <c r="N35" s="785">
        <f>(G35+I35)*(9.25%)</f>
        <v/>
      </c>
      <c r="O35" s="708" t="n">
        <v>599</v>
      </c>
      <c r="P35" s="1016">
        <f>(F35 - (G35+I35+O35+(J35+K35+L35))) - (H35-M35-N35)</f>
        <v/>
      </c>
      <c r="Q35" s="328">
        <f>P35/F35</f>
        <v/>
      </c>
      <c r="R35" s="904" t="inlineStr">
        <is>
          <t>Ativo</t>
        </is>
      </c>
      <c r="S35" s="651" t="n"/>
      <c r="T35" s="569" t="n"/>
      <c r="U35" s="1030" t="n"/>
      <c r="V35" s="1030" t="n"/>
      <c r="W35" s="1030" t="n"/>
    </row>
    <row r="36" ht="15.75" customHeight="1" s="1349">
      <c r="A36" s="600" t="inlineStr">
        <is>
          <t>3343235127</t>
        </is>
      </c>
      <c r="B36" s="599" t="n">
        <v>10034034166304</v>
      </c>
      <c r="C36" s="1292" t="inlineStr">
        <is>
          <t>ÂNCORA</t>
        </is>
      </c>
      <c r="D36" s="194" t="inlineStr">
        <is>
          <t>Parafuso Drywall Gesso Ponta Agulha Gn25 Walsywa 1000un</t>
        </is>
      </c>
      <c r="E36" s="616" t="n"/>
      <c r="F36" s="607" t="n">
        <v>45.9</v>
      </c>
      <c r="G36" s="447">
        <f>F36*12%</f>
        <v/>
      </c>
      <c r="H36" s="831" t="n"/>
      <c r="I36" s="904" t="n">
        <v>6.85</v>
      </c>
      <c r="J36" s="340">
        <f>F36*18%</f>
        <v/>
      </c>
      <c r="K36" s="340">
        <f>(F36-J36)*1.65%</f>
        <v/>
      </c>
      <c r="L36" s="340">
        <f>(F36-J36)*7.6%</f>
        <v/>
      </c>
      <c r="M36" s="577">
        <f>0.0026*1000</f>
        <v/>
      </c>
      <c r="N36" s="543">
        <f>(G36+I36)*(9.25%)</f>
        <v/>
      </c>
      <c r="O36" s="708">
        <f>0.021*1000</f>
        <v/>
      </c>
      <c r="P36" s="1016">
        <f>(F36 - (G36+I36+O36+(J36+K36+L36))) - (H36-M36-N36)</f>
        <v/>
      </c>
      <c r="Q36" s="328">
        <f>P36/F36</f>
        <v/>
      </c>
      <c r="R36" s="904" t="inlineStr">
        <is>
          <t>Ativo</t>
        </is>
      </c>
      <c r="S36" s="651" t="n"/>
      <c r="T36" s="569" t="n">
        <v>906</v>
      </c>
      <c r="U36" s="1030" t="n"/>
      <c r="V36" s="1030" t="n"/>
      <c r="W36" s="1030" t="n"/>
    </row>
    <row r="37" ht="15.75" customHeight="1" s="1349">
      <c r="A37" s="1265" t="inlineStr">
        <is>
          <t>4023701650</t>
        </is>
      </c>
      <c r="B37" s="1263" t="n">
        <v>10034034166354</v>
      </c>
      <c r="C37" s="1292" t="inlineStr">
        <is>
          <t>VOLK</t>
        </is>
      </c>
      <c r="D37" s="194" t="inlineStr">
        <is>
          <t>Luva De Pedreiro Tricotada Pigmentada Reforçada Reforma 12un</t>
        </is>
      </c>
      <c r="E37" s="654" t="n"/>
      <c r="F37" s="607" t="n">
        <v>38.2</v>
      </c>
      <c r="G37" s="447">
        <f>F37*12%</f>
        <v/>
      </c>
      <c r="H37" s="831" t="n"/>
      <c r="I37" s="904" t="n">
        <v>6.85</v>
      </c>
      <c r="J37" s="340">
        <f>F37*18%</f>
        <v/>
      </c>
      <c r="K37" s="340">
        <f>(F37-J37)*1.65%</f>
        <v/>
      </c>
      <c r="L37" s="340">
        <f>(F37-J37)*7.6%</f>
        <v/>
      </c>
      <c r="M37" s="1097">
        <f>0.17461*12</f>
        <v/>
      </c>
      <c r="N37" s="785">
        <f>(G37+I37)*(9.25%)</f>
        <v/>
      </c>
      <c r="O37" s="708" t="n">
        <v>16.2</v>
      </c>
      <c r="P37" s="1016">
        <f>(F37 - (G37+I37+O37+(J37+K37+L37))) - (H37-M37-N37)</f>
        <v/>
      </c>
      <c r="Q37" s="328">
        <f>P37/F37</f>
        <v/>
      </c>
      <c r="R37" s="904" t="inlineStr">
        <is>
          <t>Ativo</t>
        </is>
      </c>
      <c r="S37" s="651" t="n"/>
      <c r="T37" s="569" t="n">
        <v>868</v>
      </c>
      <c r="U37" s="1030" t="n"/>
      <c r="V37" s="1030" t="n"/>
      <c r="W37" s="1030" t="n"/>
    </row>
    <row r="38" ht="15.75" customHeight="1" s="1349">
      <c r="A38" s="1265" t="inlineStr">
        <is>
          <t>3817324862</t>
        </is>
      </c>
      <c r="B38" s="1263" t="n">
        <v>1004004825877</v>
      </c>
      <c r="C38" s="1292" t="inlineStr">
        <is>
          <t>Vinilseg</t>
        </is>
      </c>
      <c r="D38" s="566" t="inlineStr">
        <is>
          <t>Capa De Chuva Amarela Refletiva Forrada Reforçada Com Capuz</t>
        </is>
      </c>
      <c r="E38" s="571" t="n"/>
      <c r="F38" s="607" t="n">
        <v>46.88</v>
      </c>
      <c r="G38" s="447">
        <f>F38*12%</f>
        <v/>
      </c>
      <c r="H38" s="831" t="n">
        <v>-0.8100000000000001</v>
      </c>
      <c r="I38" s="904" t="n">
        <v>6.75</v>
      </c>
      <c r="J38" s="340">
        <f>F38*18%</f>
        <v/>
      </c>
      <c r="K38" s="340">
        <f>(F38-J38)*1.65%</f>
        <v/>
      </c>
      <c r="L38" s="340">
        <f>(F38-J38)*7.6%</f>
        <v/>
      </c>
      <c r="M38" s="1097" t="n">
        <v>5.24</v>
      </c>
      <c r="N38" s="785">
        <f>(G38+I38)*(9.25%)</f>
        <v/>
      </c>
      <c r="O38" s="708" t="n">
        <v>26</v>
      </c>
      <c r="P38" s="1016">
        <f>(F38 - (G38+I38+O38+(J38+K38+L38))) - (H38-M38-N38)</f>
        <v/>
      </c>
      <c r="Q38" s="328">
        <f>P38/F38</f>
        <v/>
      </c>
      <c r="R38" s="904" t="inlineStr">
        <is>
          <t>Ativo</t>
        </is>
      </c>
      <c r="S38" s="651" t="n"/>
      <c r="T38" s="569" t="n">
        <v>860</v>
      </c>
      <c r="U38" s="1030" t="n"/>
      <c r="V38" s="1030" t="n"/>
      <c r="W38" s="1030" t="n"/>
    </row>
    <row r="39" ht="15.75" customHeight="1" s="1349">
      <c r="A39" s="612" t="inlineStr">
        <is>
          <t>3584788040</t>
        </is>
      </c>
      <c r="B39" s="599" t="n">
        <v>10034034166335</v>
      </c>
      <c r="C39" s="1292" t="inlineStr">
        <is>
          <t>ÂNCORA</t>
        </is>
      </c>
      <c r="D39" s="618">
        <f>hyperlink("https://produto.mercadolivre.com.br/MLB-3584788040-tela-alvenaria-12x105x500mm-tl105-amarraco-de-blocos-50un-_JM","Tela Alvenaria 1,2x105x500mm Tl105 Amarração De Blocos 50un")</f>
        <v/>
      </c>
      <c r="E39" s="616" t="n"/>
      <c r="F39" s="607" t="n">
        <v>114</v>
      </c>
      <c r="G39" s="285">
        <f>F39*12%</f>
        <v/>
      </c>
      <c r="H39" s="831" t="n">
        <v>-6.84</v>
      </c>
      <c r="I39" s="492" t="n">
        <v>22.65</v>
      </c>
      <c r="J39" s="340">
        <f>F39*18%</f>
        <v/>
      </c>
      <c r="K39" s="340">
        <f>(F39-J39)*1.65%</f>
        <v/>
      </c>
      <c r="L39" s="340">
        <f>(F39-J39)*7.6%</f>
        <v/>
      </c>
      <c r="M39" s="1097">
        <f>10.44/2</f>
        <v/>
      </c>
      <c r="N39" s="785">
        <f>(G39+I39)*(9.25%)</f>
        <v/>
      </c>
      <c r="O39" s="708">
        <f>81.05/2</f>
        <v/>
      </c>
      <c r="P39" s="1016">
        <f>(F39 - (G39+I39+O39+(J39+K39+L39))) - (H39-M39-N39)</f>
        <v/>
      </c>
      <c r="Q39" s="328">
        <f>P39/F39</f>
        <v/>
      </c>
      <c r="R39" s="904" t="inlineStr">
        <is>
          <t>Ativo</t>
        </is>
      </c>
      <c r="S39" s="651" t="n"/>
      <c r="T39" s="569" t="n">
        <v>1003</v>
      </c>
      <c r="U39" s="1030" t="n"/>
      <c r="V39" s="1030" t="n"/>
      <c r="W39" s="1030" t="n"/>
    </row>
    <row r="40" ht="15.75" customHeight="1" s="1349">
      <c r="A40" s="1265" t="inlineStr">
        <is>
          <t>3837714802</t>
        </is>
      </c>
      <c r="B40" s="713" t="n">
        <v>10034034166340</v>
      </c>
      <c r="C40" s="1292" t="inlineStr">
        <is>
          <t>ÂNCORA</t>
        </is>
      </c>
      <c r="D40" s="194" t="inlineStr">
        <is>
          <t>Tela Amarração Alvenaria 7,5cm Tel75 Construfix Ancora 150un</t>
        </is>
      </c>
      <c r="E40" s="654" t="n"/>
      <c r="F40" s="607" t="n">
        <v>233.93</v>
      </c>
      <c r="G40" s="447">
        <f>F40*12%</f>
        <v/>
      </c>
      <c r="H40" s="831" t="n">
        <v>-7.23</v>
      </c>
      <c r="I40" s="492" t="n">
        <v>44.45</v>
      </c>
      <c r="J40" s="340">
        <f>F40*18%</f>
        <v/>
      </c>
      <c r="K40" s="340">
        <f>(F40-J40)*1.65%</f>
        <v/>
      </c>
      <c r="L40" s="340">
        <f>(F40-J40)*7.6%</f>
        <v/>
      </c>
      <c r="M40" s="1097" t="n">
        <v>11.59</v>
      </c>
      <c r="N40" s="785">
        <f>(G40+I40)*(9.25%)</f>
        <v/>
      </c>
      <c r="O40" s="708" t="n">
        <v>91.81</v>
      </c>
      <c r="P40" s="1016">
        <f>(F40 - (G40+I40+O40+(J40+K40+L40))) - (H40-M40-N40)</f>
        <v/>
      </c>
      <c r="Q40" s="328">
        <f>P40/F40</f>
        <v/>
      </c>
      <c r="R40" s="904" t="inlineStr">
        <is>
          <t>Ativo</t>
        </is>
      </c>
      <c r="S40" s="651" t="n"/>
      <c r="T40" s="569" t="n"/>
      <c r="U40" s="1030" t="n"/>
      <c r="V40" s="1030" t="n"/>
      <c r="W40" s="1030" t="n"/>
    </row>
    <row r="41" ht="15.75" customHeight="1" s="1349">
      <c r="A41" s="1265" t="inlineStr">
        <is>
          <t>3417656295 3562355525</t>
        </is>
      </c>
      <c r="B41" s="1263" t="n">
        <v>10034034166410</v>
      </c>
      <c r="C41" s="1292" t="inlineStr">
        <is>
          <t>GERDAU</t>
        </is>
      </c>
      <c r="D41" s="712" t="inlineStr">
        <is>
          <t>Prego 18x27 (kg) Com Cabeça Gerdau Polido 1kg</t>
        </is>
      </c>
      <c r="E41" s="654" t="n"/>
      <c r="F41" s="607" t="n">
        <v>31.91</v>
      </c>
      <c r="G41" s="447">
        <f>F41*11.5%</f>
        <v/>
      </c>
      <c r="H41" s="831" t="n">
        <v>-1.3</v>
      </c>
      <c r="I41" s="904" t="n">
        <v>6.85</v>
      </c>
      <c r="J41" s="450" t="n">
        <v>0</v>
      </c>
      <c r="K41" s="340">
        <f>(F41-J41)*1.65%</f>
        <v/>
      </c>
      <c r="L41" s="340">
        <f>(F41-J41)*7.6%</f>
        <v/>
      </c>
      <c r="M41" s="1097" t="n">
        <v>1.36</v>
      </c>
      <c r="N41" s="785">
        <f>(G41+I41)*(9.25%)</f>
        <v/>
      </c>
      <c r="O41" s="708" t="n">
        <v>16.38</v>
      </c>
      <c r="P41" s="1016">
        <f>(F41 - (G41+I41+O41+(J41+K41+L41))) - (H41-M41-N41)</f>
        <v/>
      </c>
      <c r="Q41" s="328">
        <f>P41/F41</f>
        <v/>
      </c>
      <c r="R41" s="904" t="inlineStr">
        <is>
          <t>Ativo</t>
        </is>
      </c>
      <c r="S41" s="904" t="inlineStr">
        <is>
          <t>(catalogo)</t>
        </is>
      </c>
      <c r="T41" s="569" t="n">
        <v>635</v>
      </c>
      <c r="U41" s="1030" t="n"/>
      <c r="V41" s="1030" t="n"/>
      <c r="W41" s="1030" t="n"/>
    </row>
    <row r="42" ht="15.75" customHeight="1" s="1349">
      <c r="A42" s="621" t="inlineStr">
        <is>
          <t>3402168633</t>
        </is>
      </c>
      <c r="B42" s="599" t="n">
        <v>10034034166333</v>
      </c>
      <c r="C42" s="1292" t="inlineStr">
        <is>
          <t>ÂNCORA</t>
        </is>
      </c>
      <c r="D42" s="617" t="inlineStr">
        <is>
          <t>Tela Amarração Alvenaria Ancora 1,2mm X 50cm X 6cm C/200un</t>
        </is>
      </c>
      <c r="E42" s="492" t="n"/>
      <c r="F42" s="607" t="n">
        <v>249.26</v>
      </c>
      <c r="G42" s="285">
        <f>F42*12%</f>
        <v/>
      </c>
      <c r="H42" s="831" t="n">
        <v>-9.74</v>
      </c>
      <c r="I42" s="492" t="n">
        <v>48.05</v>
      </c>
      <c r="J42" s="340">
        <f>F42*18%</f>
        <v/>
      </c>
      <c r="K42" s="340">
        <f>(F42-J42)*1.65%</f>
        <v/>
      </c>
      <c r="L42" s="340">
        <f>(F42-J42)*7.6%</f>
        <v/>
      </c>
      <c r="M42" s="1097" t="n">
        <v>15.33</v>
      </c>
      <c r="N42" s="785">
        <f>(G42+I42)*(9.25%)</f>
        <v/>
      </c>
      <c r="O42" s="708" t="n">
        <v>119</v>
      </c>
      <c r="P42" s="1016">
        <f>(F42 - (G42+I42+O42+(J42+K42+L42))) - (H42-M42-N42)</f>
        <v/>
      </c>
      <c r="Q42" s="328">
        <f>P42/F42</f>
        <v/>
      </c>
      <c r="R42" s="904" t="inlineStr">
        <is>
          <t>Ativo</t>
        </is>
      </c>
      <c r="S42" s="651" t="n"/>
      <c r="T42" s="569" t="n"/>
      <c r="U42" s="1030" t="n"/>
      <c r="V42" s="1030" t="n"/>
      <c r="W42" s="1030" t="n"/>
    </row>
    <row r="43" ht="15.75" customHeight="1" s="1349">
      <c r="A43" s="489" t="inlineStr">
        <is>
          <t>1738432827895818</t>
        </is>
      </c>
      <c r="B43" s="713" t="n">
        <v>49</v>
      </c>
      <c r="C43" s="1292" t="inlineStr">
        <is>
          <t>ÂNCORA</t>
        </is>
      </c>
      <c r="D43" s="491" t="inlineStr">
        <is>
          <t>Tela Soldada Reforço Fachada Alvenaria Galvanizada 0,50x25m</t>
        </is>
      </c>
      <c r="E43" s="492" t="n"/>
      <c r="F43" s="607" t="n">
        <v>283.29</v>
      </c>
      <c r="G43" s="93">
        <f>F43*12%</f>
        <v/>
      </c>
      <c r="H43" s="831" t="n">
        <v>-8.76</v>
      </c>
      <c r="I43" s="492" t="n">
        <v>68.65000000000001</v>
      </c>
      <c r="J43" s="340">
        <f>F43*18%</f>
        <v/>
      </c>
      <c r="K43" s="340">
        <f>(F43-J43)*1.65%</f>
        <v/>
      </c>
      <c r="L43" s="340">
        <f>(F43-J43)*7.6%</f>
        <v/>
      </c>
      <c r="M43" s="1097" t="n">
        <v>17</v>
      </c>
      <c r="N43" s="785">
        <f>(G43+I43)*(9.25%)</f>
        <v/>
      </c>
      <c r="O43" s="708" t="n">
        <v>99</v>
      </c>
      <c r="P43" s="1016">
        <f>(F43 - (G43+I43+O43+(J43+K43+L43))) - (H43-M43-N43)</f>
        <v/>
      </c>
      <c r="Q43" s="328">
        <f>P43/F43</f>
        <v/>
      </c>
      <c r="R43" s="904" t="inlineStr">
        <is>
          <t>Ativo</t>
        </is>
      </c>
      <c r="S43" s="651" t="n"/>
      <c r="T43" s="569" t="n">
        <v>690</v>
      </c>
      <c r="U43" s="1030" t="n"/>
      <c r="V43" s="1030" t="n"/>
      <c r="W43" s="1030" t="n"/>
    </row>
    <row r="44" ht="15.75" customHeight="1" s="1349">
      <c r="A44" s="489" t="inlineStr">
        <is>
          <t>1738432827895818</t>
        </is>
      </c>
      <c r="B44" s="713" t="n">
        <v>49</v>
      </c>
      <c r="C44" s="1292" t="inlineStr">
        <is>
          <t>ÂNCORA</t>
        </is>
      </c>
      <c r="D44" s="681" t="inlineStr">
        <is>
          <t>premium</t>
        </is>
      </c>
      <c r="E44" s="492" t="n"/>
      <c r="F44" s="607" t="n">
        <v>322</v>
      </c>
      <c r="G44" s="93">
        <f>F44*17%</f>
        <v/>
      </c>
      <c r="H44" s="831" t="n"/>
      <c r="I44" s="492" t="n">
        <v>68.65000000000001</v>
      </c>
      <c r="J44" s="340">
        <f>F44*18%</f>
        <v/>
      </c>
      <c r="K44" s="340">
        <f>(F44-J44)*1.65%</f>
        <v/>
      </c>
      <c r="L44" s="340">
        <f>(F44-J44)*7.6%</f>
        <v/>
      </c>
      <c r="M44" s="1097" t="n">
        <v>17</v>
      </c>
      <c r="N44" s="785">
        <f>(G44+I44)*(9.25%)</f>
        <v/>
      </c>
      <c r="O44" s="708" t="n">
        <v>99</v>
      </c>
      <c r="P44" s="1016">
        <f>(F44 - (G44+I44+O44+(J44+K44+L44))) - (H44-M44-N44)</f>
        <v/>
      </c>
      <c r="Q44" s="328">
        <f>P44/F44</f>
        <v/>
      </c>
      <c r="R44" s="904" t="inlineStr">
        <is>
          <t>Ativo</t>
        </is>
      </c>
      <c r="S44" s="651" t="n"/>
      <c r="T44" s="569" t="n">
        <v>690</v>
      </c>
      <c r="U44" s="1030" t="n"/>
      <c r="V44" s="1030" t="n"/>
      <c r="W44" s="1030" t="n"/>
    </row>
    <row r="45" ht="15.75" customHeight="1" s="1349">
      <c r="A45" s="623" t="inlineStr">
        <is>
          <t>5037724806</t>
        </is>
      </c>
      <c r="B45" s="624" t="inlineStr">
        <is>
          <t>PXI2720</t>
        </is>
      </c>
      <c r="C45" s="1292" t="inlineStr">
        <is>
          <t>ÂNCORA</t>
        </is>
      </c>
      <c r="D45" s="625">
        <f>hyperlink("https://produto.mercadolivre.com.br/MLB-5037724806-pino-liso-aco-indireta-com-rosca-14-x-27-x-20-100-_JM","Pino Liso Ação Indireta Com Rosca 1/4 X 27 X 20 100")</f>
        <v/>
      </c>
      <c r="E45" s="685" t="n"/>
      <c r="F45" s="856" t="n">
        <v>52.3</v>
      </c>
      <c r="G45" s="447">
        <f>F45*12%</f>
        <v/>
      </c>
      <c r="H45" s="833" t="n"/>
      <c r="I45" s="904">
        <f>IFS(
  F45&lt;12.5, F45/2,
  F45&lt;29, 6.25,
  F45&lt;50, 6.5,
  F45&lt;=79, 6.75,
  TRUE, 25
)</f>
        <v/>
      </c>
      <c r="J45" s="340">
        <f>F45*18%</f>
        <v/>
      </c>
      <c r="K45" s="340">
        <f>(F45-J45)*1.65%</f>
        <v/>
      </c>
      <c r="L45" s="340">
        <f>(F45-J45)*7.6%</f>
        <v/>
      </c>
      <c r="M45" s="1097" t="n">
        <v>3.31</v>
      </c>
      <c r="N45" s="785">
        <f>(G45+I45)*(9.25%)</f>
        <v/>
      </c>
      <c r="O45" s="701" t="n">
        <v>27.39</v>
      </c>
      <c r="P45" s="1016">
        <f>(F45 - (G45+I45+O45+(J45+K45+L45))) - (H45-M45-N45)</f>
        <v/>
      </c>
      <c r="Q45" s="328">
        <f>P45/F45</f>
        <v/>
      </c>
      <c r="R45" s="904" t="inlineStr">
        <is>
          <t>Ativo</t>
        </is>
      </c>
      <c r="S45" s="904" t="inlineStr">
        <is>
          <t>(catalogo)</t>
        </is>
      </c>
      <c r="T45" s="569" t="n"/>
      <c r="U45" s="1030" t="n"/>
      <c r="V45" s="1030" t="n"/>
      <c r="W45" s="1030" t="n"/>
    </row>
    <row r="46" ht="15.75" customHeight="1" s="1349">
      <c r="A46" s="1265" t="inlineStr">
        <is>
          <t>3346096201</t>
        </is>
      </c>
      <c r="B46" s="1263" t="n">
        <v>299</v>
      </c>
      <c r="C46" s="1292" t="inlineStr">
        <is>
          <t>VOLK</t>
        </is>
      </c>
      <c r="D46" s="194" t="inlineStr">
        <is>
          <t>Macacão Proteção Pintura Quimico Impermeável C/ Capuz Volk</t>
        </is>
      </c>
      <c r="E46" s="654" t="n"/>
      <c r="F46" s="607" t="n">
        <v>22.9</v>
      </c>
      <c r="G46" s="447">
        <f>F46*14%</f>
        <v/>
      </c>
      <c r="H46" s="748" t="n"/>
      <c r="I46" s="904" t="n">
        <v>7.95</v>
      </c>
      <c r="J46" s="340">
        <f>F46*18%</f>
        <v/>
      </c>
      <c r="K46" s="340">
        <f>(F46-J46)*1.65%</f>
        <v/>
      </c>
      <c r="L46" s="340">
        <f>(F46-J46)*7.6%</f>
        <v/>
      </c>
      <c r="M46" s="1097" t="n">
        <v>0.9</v>
      </c>
      <c r="N46" s="785">
        <f>(G46+I46)*(9.25%)</f>
        <v/>
      </c>
      <c r="O46" s="197" t="n">
        <v>6.99</v>
      </c>
      <c r="P46" s="1016">
        <f>(F46 - (G46+I46+O46+(J46+K46+L46))) - (H46-M46-N46)</f>
        <v/>
      </c>
      <c r="Q46" s="328">
        <f>P46/F46</f>
        <v/>
      </c>
      <c r="R46" s="904" t="inlineStr">
        <is>
          <t>Ativo</t>
        </is>
      </c>
      <c r="S46" s="651" t="n"/>
      <c r="T46" s="569" t="n"/>
      <c r="U46" s="1030" t="n"/>
      <c r="V46" s="1030" t="n"/>
      <c r="W46" s="1030" t="n"/>
    </row>
    <row r="47" ht="15.75" customHeight="1" s="1349">
      <c r="A47" s="1265" t="inlineStr">
        <is>
          <t>5292250036</t>
        </is>
      </c>
      <c r="B47" s="1263" t="n">
        <v>10034034166616</v>
      </c>
      <c r="C47" s="1292" t="inlineStr">
        <is>
          <t>Bracol</t>
        </is>
      </c>
      <c r="D47" s="194" t="inlineStr">
        <is>
          <t>Bota Manobreiro Metatarso Antiperfuro Composite Bidensidade</t>
        </is>
      </c>
      <c r="E47" s="654" t="n"/>
      <c r="F47" s="607" t="n">
        <v>199</v>
      </c>
      <c r="G47" s="447">
        <f>F47*12%</f>
        <v/>
      </c>
      <c r="H47" s="831" t="n"/>
      <c r="I47" s="492" t="n">
        <v>24.25</v>
      </c>
      <c r="J47" s="340">
        <f>F47*18%</f>
        <v/>
      </c>
      <c r="K47" s="340">
        <f>(F47-J47)*1.65%</f>
        <v/>
      </c>
      <c r="L47" s="340">
        <f>(F47-J47)*7.6%</f>
        <v/>
      </c>
      <c r="M47" s="1097" t="n">
        <v>21.18</v>
      </c>
      <c r="N47" s="785">
        <f>(G47+I47)*(9.25%)</f>
        <v/>
      </c>
      <c r="O47" s="708" t="n">
        <v>112.78</v>
      </c>
      <c r="P47" s="1016">
        <f>(F47 - (G47+I47+O47+(J47+K47+L47))) - (H47-M47-N47)</f>
        <v/>
      </c>
      <c r="Q47" s="328">
        <f>P47/F47</f>
        <v/>
      </c>
      <c r="R47" s="904" t="inlineStr">
        <is>
          <t>TRAVADO</t>
        </is>
      </c>
      <c r="S47" s="651" t="n"/>
      <c r="T47" s="569" t="n">
        <v>542</v>
      </c>
      <c r="U47" s="1030" t="n"/>
      <c r="V47" s="1030" t="n"/>
      <c r="W47" s="1030" t="n"/>
    </row>
    <row r="48" ht="15.75" customHeight="1" s="1349">
      <c r="A48" s="489" t="inlineStr">
        <is>
          <t>3330254699</t>
        </is>
      </c>
      <c r="B48" s="1263" t="n">
        <v>10034034167325</v>
      </c>
      <c r="C48" s="1292" t="inlineStr">
        <is>
          <t>Camper</t>
        </is>
      </c>
      <c r="D48" s="566" t="inlineStr">
        <is>
          <t>Abafador Ruido Protetor Auricular Auditivo Camper C200 10un</t>
        </is>
      </c>
      <c r="E48" s="654" t="n"/>
      <c r="F48" s="607" t="n">
        <v>213.4</v>
      </c>
      <c r="G48" s="447">
        <f>F48*12%</f>
        <v/>
      </c>
      <c r="H48" s="831" t="n">
        <v>-8.66</v>
      </c>
      <c r="I48" s="492" t="n">
        <v>30.75</v>
      </c>
      <c r="J48" s="340">
        <f>F48*18%</f>
        <v/>
      </c>
      <c r="K48" s="340">
        <f>(F48-J48)*1.65%</f>
        <v/>
      </c>
      <c r="L48" s="340">
        <f>(F48-J48)*7.6%</f>
        <v/>
      </c>
      <c r="M48" s="1097">
        <f>2.03*10</f>
        <v/>
      </c>
      <c r="N48" s="785">
        <f>(G48+I48)*(9.25%)</f>
        <v/>
      </c>
      <c r="O48" s="197">
        <f>11.08*10</f>
        <v/>
      </c>
      <c r="P48" s="1016">
        <f>(F48 - (G48+I48+O48+(J48+K48+L48))) - (H48-M48-N48)</f>
        <v/>
      </c>
      <c r="Q48" s="328">
        <f>P48/F48</f>
        <v/>
      </c>
      <c r="R48" s="904" t="inlineStr">
        <is>
          <t>Ativo</t>
        </is>
      </c>
      <c r="S48" s="651" t="n"/>
      <c r="T48" s="569" t="n"/>
      <c r="U48" s="1030" t="n"/>
      <c r="V48" s="1030" t="n"/>
      <c r="W48" s="1030" t="n"/>
    </row>
    <row r="49" ht="15.75" customHeight="1" s="1349">
      <c r="A49" s="489" t="inlineStr">
        <is>
          <t>3330228937</t>
        </is>
      </c>
      <c r="B49" s="1263" t="n">
        <v>10034034167326</v>
      </c>
      <c r="C49" s="1292" t="inlineStr">
        <is>
          <t>Camper</t>
        </is>
      </c>
      <c r="D49" s="566" t="inlineStr">
        <is>
          <t>Abafador Ruido Protetor Auricular Auditivo Camper C200 5un</t>
        </is>
      </c>
      <c r="E49" s="654" t="n"/>
      <c r="F49" s="607" t="n">
        <v>115.43</v>
      </c>
      <c r="G49" s="447">
        <f>F49*12%</f>
        <v/>
      </c>
      <c r="H49" s="831" t="n">
        <v>-3.57</v>
      </c>
      <c r="I49" s="492" t="n">
        <v>22.65</v>
      </c>
      <c r="J49" s="340">
        <f>F49*18%</f>
        <v/>
      </c>
      <c r="K49" s="340">
        <f>(F49-J49)*1.65%</f>
        <v/>
      </c>
      <c r="L49" s="340">
        <f>(F49-J49)*7.6%</f>
        <v/>
      </c>
      <c r="M49" s="1097">
        <f>2.03*5</f>
        <v/>
      </c>
      <c r="N49" s="785">
        <f>(G49+I49)*(9.25%)</f>
        <v/>
      </c>
      <c r="O49" s="197">
        <f>11.08*5</f>
        <v/>
      </c>
      <c r="P49" s="1016">
        <f>(F49 - (G49+I49+O49+(J49+K49+L49))) - (H49-M49-N49)</f>
        <v/>
      </c>
      <c r="Q49" s="328">
        <f>P49/F49</f>
        <v/>
      </c>
      <c r="R49" s="904" t="inlineStr">
        <is>
          <t>Ativo</t>
        </is>
      </c>
      <c r="S49" s="651" t="n"/>
      <c r="T49" s="569" t="n">
        <v>242</v>
      </c>
      <c r="U49" s="1030" t="n"/>
      <c r="V49" s="1030" t="n"/>
      <c r="W49" s="1030" t="n"/>
    </row>
    <row r="50" ht="15.75" customHeight="1" s="1349">
      <c r="A50" s="1265" t="inlineStr">
        <is>
          <t>8153249700986192</t>
        </is>
      </c>
      <c r="B50" s="1263" t="n">
        <v>10034034166450</v>
      </c>
      <c r="C50" s="1292" t="inlineStr">
        <is>
          <t>Bracol</t>
        </is>
      </c>
      <c r="D50" s="194">
        <f>hyperlink("https://produto.mercadolivre.com.br/MLB-3955520933-palmilha-ortopedica-anatomica-em-pu-conforto-botina-trabalho-_JM","Palmilha Ortopédica Anatomica Em Pu Conforto Botina Trabalho")</f>
        <v/>
      </c>
      <c r="E50" s="654" t="n"/>
      <c r="F50" s="607" t="n">
        <v>25.12</v>
      </c>
      <c r="G50" s="447">
        <f>F50*12%</f>
        <v/>
      </c>
      <c r="H50" s="831" t="n">
        <v>-0.98</v>
      </c>
      <c r="I50" s="904" t="n">
        <v>6.65</v>
      </c>
      <c r="J50" s="340">
        <f>F50*18%</f>
        <v/>
      </c>
      <c r="K50" s="340">
        <f>(F50-J50)*1.65%</f>
        <v/>
      </c>
      <c r="L50" s="340">
        <f>(F50-J50)*7.6%</f>
        <v/>
      </c>
      <c r="M50" s="1097" t="n">
        <v>1.84</v>
      </c>
      <c r="N50" s="785">
        <f>(G50+I50)*(9.25%)</f>
        <v/>
      </c>
      <c r="O50" s="197" t="n">
        <v>9.130000000000001</v>
      </c>
      <c r="P50" s="1016">
        <f>(F50 - (G50+I50+O50+(J50+K50+L50))) - (H50-M50-N50)</f>
        <v/>
      </c>
      <c r="Q50" s="328">
        <f>P50/F50</f>
        <v/>
      </c>
      <c r="R50" s="904" t="inlineStr">
        <is>
          <t>Ativo</t>
        </is>
      </c>
      <c r="S50" s="651" t="n"/>
      <c r="T50" s="569" t="n">
        <v>201</v>
      </c>
      <c r="U50" s="1030" t="n"/>
      <c r="V50" s="1030" t="n"/>
      <c r="W50" s="1030" t="n"/>
    </row>
    <row r="51" ht="15.75" customHeight="1" s="1349">
      <c r="A51" s="1265" t="inlineStr">
        <is>
          <t>4133849293</t>
        </is>
      </c>
      <c r="B51" s="1263" t="n">
        <v>10034034167541</v>
      </c>
      <c r="C51" s="1292" t="inlineStr">
        <is>
          <t>VOLK</t>
        </is>
      </c>
      <c r="D51" s="491" t="inlineStr">
        <is>
          <t>Luva Sensi Black Nitrílica Descartável Resistente Alimentos</t>
        </is>
      </c>
      <c r="E51" s="492" t="n"/>
      <c r="F51" s="607" t="n">
        <v>43.9</v>
      </c>
      <c r="G51" s="447">
        <f>F51*12%</f>
        <v/>
      </c>
      <c r="H51" s="831" t="n"/>
      <c r="I51" s="904" t="n">
        <v>6.65</v>
      </c>
      <c r="J51" s="340">
        <f>F51*18%</f>
        <v/>
      </c>
      <c r="K51" s="340">
        <f>(F51-J51)*1.65%</f>
        <v/>
      </c>
      <c r="L51" s="340">
        <f>(F51-J51)*7.6%</f>
        <v/>
      </c>
      <c r="M51" s="1097" t="n">
        <v>2.7</v>
      </c>
      <c r="N51" s="785">
        <f>(G51+I51)*(9.25%)</f>
        <v/>
      </c>
      <c r="O51" s="708" t="n">
        <v>20.8</v>
      </c>
      <c r="P51" s="1016">
        <f>(F51 - (G51+I51+O51+(J51+K51+L51))) - (H51-M51-N51)</f>
        <v/>
      </c>
      <c r="Q51" s="328">
        <f>P51/F51</f>
        <v/>
      </c>
      <c r="R51" s="904" t="inlineStr">
        <is>
          <t>Ativo</t>
        </is>
      </c>
      <c r="S51" s="904" t="inlineStr">
        <is>
          <t>att custo 23,99</t>
        </is>
      </c>
      <c r="T51" s="569" t="n">
        <v>75</v>
      </c>
      <c r="U51" s="1030" t="n"/>
      <c r="V51" s="1030" t="n"/>
      <c r="W51" s="1030" t="n"/>
    </row>
    <row r="52" ht="15.75" customHeight="1" s="1349">
      <c r="A52" s="1265" t="inlineStr">
        <is>
          <t>3456056484</t>
        </is>
      </c>
      <c r="B52" s="1263" t="n">
        <v>10034034166363</v>
      </c>
      <c r="C52" s="1292" t="inlineStr">
        <is>
          <t>Camper</t>
        </is>
      </c>
      <c r="D52" s="194" t="inlineStr">
        <is>
          <t>100 Mascara De Proteção Respiratória C Válvula Pff2 Ca38503</t>
        </is>
      </c>
      <c r="E52" s="654" t="n"/>
      <c r="F52" s="607" t="n">
        <v>139.74</v>
      </c>
      <c r="G52" s="447">
        <f>F52*12%</f>
        <v/>
      </c>
      <c r="H52" s="831" t="n">
        <v>-8.380000000000001</v>
      </c>
      <c r="I52" s="492" t="n">
        <v>22.65</v>
      </c>
      <c r="J52" s="340">
        <f>F52*18%</f>
        <v/>
      </c>
      <c r="K52" s="340">
        <f>(F52-J52)*1.65%</f>
        <v/>
      </c>
      <c r="L52" s="340">
        <f>(F52-J52)*7.6%</f>
        <v/>
      </c>
      <c r="M52" s="1097">
        <f>0.17*100</f>
        <v/>
      </c>
      <c r="N52" s="785">
        <f>(G52+I52)*(9.25%)</f>
        <v/>
      </c>
      <c r="O52" s="197">
        <f>0.83*100</f>
        <v/>
      </c>
      <c r="P52" s="1016">
        <f>(F52 - (G52+I52+O52+(J52+K52+L52))) - (H52-M52-N52)</f>
        <v/>
      </c>
      <c r="Q52" s="328">
        <f>P52/F52</f>
        <v/>
      </c>
      <c r="R52" s="904" t="inlineStr">
        <is>
          <t>Ativo</t>
        </is>
      </c>
      <c r="S52" s="651" t="n"/>
      <c r="T52" s="569" t="n">
        <v>225</v>
      </c>
      <c r="U52" s="1030" t="n"/>
      <c r="V52" s="1030" t="n"/>
      <c r="W52" s="1030" t="n"/>
    </row>
    <row r="53" ht="15.75" customHeight="1" s="1349">
      <c r="A53" s="621" t="inlineStr">
        <is>
          <t>3343225453</t>
        </is>
      </c>
      <c r="B53" s="599" t="n">
        <v>10034034166303</v>
      </c>
      <c r="C53" s="1292" t="inlineStr">
        <is>
          <t>ÂNCORA</t>
        </is>
      </c>
      <c r="D53" s="617" t="inlineStr">
        <is>
          <t>Parafuso Drywall Gesso Ponta Agulha Gn35 Walsywa 1000un</t>
        </is>
      </c>
      <c r="E53" s="492" t="n"/>
      <c r="F53" s="607" t="n">
        <v>57.23</v>
      </c>
      <c r="G53" s="447">
        <f>F53*12%</f>
        <v/>
      </c>
      <c r="H53" s="831" t="n">
        <v>-2.56</v>
      </c>
      <c r="I53" s="904" t="n">
        <v>8.15</v>
      </c>
      <c r="J53" s="340">
        <f>F53*18%</f>
        <v/>
      </c>
      <c r="K53" s="340">
        <f>(F53-J53)*1.65%</f>
        <v/>
      </c>
      <c r="L53" s="340">
        <f>(F53-J53)*7.6%</f>
        <v/>
      </c>
      <c r="M53" s="1097" t="n">
        <v>3.5</v>
      </c>
      <c r="N53" s="785">
        <f>(G53+I53)*(9.25%)</f>
        <v/>
      </c>
      <c r="O53" s="708" t="n">
        <v>28.97</v>
      </c>
      <c r="P53" s="1016">
        <f>(F53 - (G53+I53+O53+(J53+K53+L53))) - (H53-M53-N53)</f>
        <v/>
      </c>
      <c r="Q53" s="328">
        <f>P53/F53</f>
        <v/>
      </c>
      <c r="R53" s="904" t="inlineStr">
        <is>
          <t>Ativo</t>
        </is>
      </c>
      <c r="S53" s="651" t="n"/>
      <c r="T53" s="569" t="n">
        <v>663</v>
      </c>
      <c r="U53" s="1030" t="n"/>
      <c r="V53" s="1030" t="n"/>
      <c r="W53" s="1030" t="n"/>
    </row>
    <row r="54" ht="15.75" customHeight="1" s="1349">
      <c r="A54" s="628" t="inlineStr">
        <is>
          <t>5532087762</t>
        </is>
      </c>
      <c r="B54" s="629" t="n">
        <v>10034034166653</v>
      </c>
      <c r="C54" s="1292" t="inlineStr">
        <is>
          <t>Delta plus</t>
        </is>
      </c>
      <c r="D54" s="630" t="inlineStr">
        <is>
          <t>Abafador Concha Interlagos2 Antirruído Profissional 29 Db</t>
        </is>
      </c>
      <c r="E54" s="631" t="n"/>
      <c r="F54" s="856" t="n">
        <v>130.23</v>
      </c>
      <c r="G54" s="447">
        <f>F54*17%</f>
        <v/>
      </c>
      <c r="H54" s="833" t="n">
        <v>-5.87</v>
      </c>
      <c r="I54" s="904" t="n">
        <v>21.1</v>
      </c>
      <c r="J54" s="340">
        <f>F54*18%</f>
        <v/>
      </c>
      <c r="K54" s="340">
        <f>(F54-J54)*1.65%</f>
        <v/>
      </c>
      <c r="L54" s="340">
        <f>(F54-J54)*7.6%</f>
        <v/>
      </c>
      <c r="M54" s="1097" t="n">
        <v>17.34</v>
      </c>
      <c r="N54" s="785">
        <f>(G54+I54)*(9.25%)</f>
        <v/>
      </c>
      <c r="O54" s="701" t="n">
        <v>74.39</v>
      </c>
      <c r="P54" s="1016">
        <f>(F54 - (G54+I54+O54+(J54+K54+L54))) - (H54-M54-N54)</f>
        <v/>
      </c>
      <c r="Q54" s="328">
        <f>P54/F54</f>
        <v/>
      </c>
      <c r="R54" s="904" t="inlineStr">
        <is>
          <t>Ativo</t>
        </is>
      </c>
      <c r="S54" s="651" t="n"/>
      <c r="T54" s="569" t="n"/>
      <c r="U54" s="1030" t="n"/>
      <c r="V54" s="1030" t="n"/>
      <c r="W54" s="1030" t="n"/>
    </row>
    <row r="55" ht="15.75" customHeight="1" s="1349">
      <c r="A55" s="1265" t="inlineStr">
        <is>
          <t>4036430673</t>
        </is>
      </c>
      <c r="B55" s="1263" t="n">
        <v>207</v>
      </c>
      <c r="C55" s="1292" t="inlineStr">
        <is>
          <t>EPI</t>
        </is>
      </c>
      <c r="D55" s="566" t="inlineStr">
        <is>
          <t>Abraçadeira De Nylon Cinta Plástica Reforçada 7,2x40cm 100un</t>
        </is>
      </c>
      <c r="E55" s="492" t="n"/>
      <c r="F55" s="607" t="n">
        <v>59.39</v>
      </c>
      <c r="G55" s="447">
        <f>F55*12%</f>
        <v/>
      </c>
      <c r="H55" s="831" t="n"/>
      <c r="I55" s="904">
        <f>IFS(
  F55&lt;12.5, F55/2,
  F55&lt;29, 6.25,
  F55&lt;50, 6.5,
  F55&lt;=79, 6.75,
  TRUE, 25
)</f>
        <v/>
      </c>
      <c r="J55" s="340">
        <f>F55*18%</f>
        <v/>
      </c>
      <c r="K55" s="340">
        <f>(F55-J55)*1.65%</f>
        <v/>
      </c>
      <c r="L55" s="340">
        <f>(F55-J55)*7.6%</f>
        <v/>
      </c>
      <c r="M55" s="577" t="n"/>
      <c r="N55" s="543">
        <f>(G55+I55)*(9.25%)</f>
        <v/>
      </c>
      <c r="O55" s="632" t="n">
        <v>29.2</v>
      </c>
      <c r="P55" s="1016">
        <f>(F55 - (G55+I55+O55+(J55+K55+L55))) - (H55-M55-N55)</f>
        <v/>
      </c>
      <c r="Q55" s="328">
        <f>P55/F55</f>
        <v/>
      </c>
      <c r="R55" s="904" t="inlineStr">
        <is>
          <t>sem estoque</t>
        </is>
      </c>
      <c r="S55" s="651" t="n"/>
      <c r="T55" s="569" t="n">
        <v>64</v>
      </c>
      <c r="U55" s="1030" t="n"/>
      <c r="V55" s="1030" t="n"/>
      <c r="W55" s="1030" t="n"/>
    </row>
    <row r="56" ht="15.75" customHeight="1" s="1349">
      <c r="A56" s="489" t="inlineStr">
        <is>
          <t>5379297112</t>
        </is>
      </c>
      <c r="B56" s="713" t="n">
        <v>10034034166775</v>
      </c>
      <c r="C56" s="1292" t="inlineStr">
        <is>
          <t>ÂNCORA</t>
        </is>
      </c>
      <c r="D56" s="194" t="inlineStr">
        <is>
          <t>Adesivo Cola Tudo Montagem Alto Desempenho 340g Am340 Ancora</t>
        </is>
      </c>
      <c r="E56" s="654" t="n"/>
      <c r="F56" s="607" t="n">
        <v>52.25</v>
      </c>
      <c r="G56" s="447">
        <f>F56*11.5%</f>
        <v/>
      </c>
      <c r="H56" s="831" t="n"/>
      <c r="I56" s="904">
        <f>IFS(
F56&lt;12.5, F56/2,
F56&lt;29, 6.25,
F56&lt;50, 6.5,
F56&lt;=79, 6.75,
TRUE, 
25)</f>
        <v/>
      </c>
      <c r="J56" s="340">
        <f>F56*18%</f>
        <v/>
      </c>
      <c r="K56" s="340">
        <f>(F56-J56)*1.65%</f>
        <v/>
      </c>
      <c r="L56" s="340">
        <f>(F56-J56)*7.6%</f>
        <v/>
      </c>
      <c r="M56" s="577" t="n"/>
      <c r="N56" s="543">
        <f>(G56+I56)*(9.25%)</f>
        <v/>
      </c>
      <c r="O56" s="1050" t="n">
        <v>20.12</v>
      </c>
      <c r="P56" s="1016">
        <f>(F56 - (G56+I56+O56+(J56+K56+L56))) - (H56-M56-N56)</f>
        <v/>
      </c>
      <c r="Q56" s="328">
        <f>P56/F56</f>
        <v/>
      </c>
      <c r="R56" s="904" t="inlineStr">
        <is>
          <t>sem estoque</t>
        </is>
      </c>
      <c r="S56" s="651" t="n"/>
      <c r="T56" s="569" t="n"/>
      <c r="U56" s="1030" t="n"/>
      <c r="V56" s="1030" t="n"/>
      <c r="W56" s="1030" t="n"/>
    </row>
    <row r="57" ht="15.75" customHeight="1" s="1349">
      <c r="A57" s="489" t="inlineStr">
        <is>
          <t>5261257678</t>
        </is>
      </c>
      <c r="B57" s="713" t="n">
        <v>10034034166490</v>
      </c>
      <c r="C57" s="1292" t="inlineStr">
        <is>
          <t>Irwin</t>
        </is>
      </c>
      <c r="D57" s="491" t="inlineStr">
        <is>
          <t>Alicate Meia Cana 6 Pol Irwin Profissional Vise Grip 1000v</t>
        </is>
      </c>
      <c r="E57" s="492" t="n"/>
      <c r="F57" s="607" t="n">
        <v>72.79000000000001</v>
      </c>
      <c r="G57" s="447">
        <f>F57*12%</f>
        <v/>
      </c>
      <c r="H57" s="831" t="n">
        <v>-3.21</v>
      </c>
      <c r="I57" s="904" t="n">
        <v>7.75</v>
      </c>
      <c r="J57" s="340">
        <f>F57*18%</f>
        <v/>
      </c>
      <c r="K57" s="340">
        <f>(F57-J57)*1.65%</f>
        <v/>
      </c>
      <c r="L57" s="340">
        <f>(F57-J57)*7.6%</f>
        <v/>
      </c>
      <c r="M57" s="1097" t="n">
        <v>3.33</v>
      </c>
      <c r="N57" s="785">
        <f>(G57+I57)*(9.25%)</f>
        <v/>
      </c>
      <c r="O57" s="701" t="n">
        <v>41.57</v>
      </c>
      <c r="P57" s="1016">
        <f>(F57 - (G57+I57+O57+(J57+K57+L57))) - (H57-M57-N57)</f>
        <v/>
      </c>
      <c r="Q57" s="328">
        <f>P57/F57</f>
        <v/>
      </c>
      <c r="R57" s="904" t="inlineStr">
        <is>
          <t>Ativo</t>
        </is>
      </c>
      <c r="S57" s="651" t="n"/>
      <c r="T57" s="569" t="n">
        <v>11</v>
      </c>
      <c r="U57" s="1030" t="n"/>
      <c r="V57" s="1030" t="n"/>
      <c r="W57" s="1030" t="n"/>
    </row>
    <row r="58" ht="15.75" customHeight="1" s="1349">
      <c r="A58" s="1292" t="inlineStr">
        <is>
          <t>3943290653 5254727106</t>
        </is>
      </c>
      <c r="B58" s="884" t="n">
        <v>10034034166486</v>
      </c>
      <c r="C58" s="1292" t="inlineStr">
        <is>
          <t>Irwin</t>
        </is>
      </c>
      <c r="D58" s="636" t="inlineStr">
        <is>
          <t>Alicate Universal Reforçado Eletricista Isolado Irwin 8 Pol</t>
        </is>
      </c>
      <c r="E58" s="904" t="n"/>
      <c r="F58" s="607" t="n">
        <v>75.04000000000001</v>
      </c>
      <c r="G58" s="447">
        <f>F58*12%</f>
        <v/>
      </c>
      <c r="H58" s="831" t="n"/>
      <c r="I58" s="904" t="n">
        <v>7.85</v>
      </c>
      <c r="J58" s="340">
        <f>F58*18%</f>
        <v/>
      </c>
      <c r="K58" s="340">
        <f>(F58-J58)*1.65%</f>
        <v/>
      </c>
      <c r="L58" s="340">
        <f>(F58-J58)*7.6%</f>
        <v/>
      </c>
      <c r="M58" s="1097" t="n">
        <v>3.04</v>
      </c>
      <c r="N58" s="785">
        <f>(G58+I58)*(9.25%)</f>
        <v/>
      </c>
      <c r="O58" s="708" t="n">
        <v>38.52</v>
      </c>
      <c r="P58" s="1016">
        <f>(F58 - (G58+I58+O58+(J58+K58+L58))) - (H58-M58-N58)</f>
        <v/>
      </c>
      <c r="Q58" s="328">
        <f>P58/F58</f>
        <v/>
      </c>
      <c r="R58" s="904" t="inlineStr">
        <is>
          <t>Ativo</t>
        </is>
      </c>
      <c r="S58" s="651" t="n"/>
      <c r="T58" s="569" t="n"/>
      <c r="U58" s="1030" t="n"/>
      <c r="V58" s="1030" t="n"/>
      <c r="W58" s="1030" t="n"/>
    </row>
    <row r="59" ht="15.75" customHeight="1" s="1349">
      <c r="A59" s="489" t="inlineStr">
        <is>
          <t>5261517282</t>
        </is>
      </c>
      <c r="B59" s="1263" t="n">
        <v>10034034166491</v>
      </c>
      <c r="C59" s="1292" t="inlineStr">
        <is>
          <t>Irwin</t>
        </is>
      </c>
      <c r="D59" s="194" t="inlineStr">
        <is>
          <t>Alicate Universal Eletricista Crimpador 8 Irwin Cabo Isolado</t>
        </is>
      </c>
      <c r="E59" s="654" t="n"/>
      <c r="F59" s="607" t="n">
        <v>96.5</v>
      </c>
      <c r="G59" s="447">
        <f>F59*12%</f>
        <v/>
      </c>
      <c r="H59" s="831" t="n">
        <v>-5.3</v>
      </c>
      <c r="I59" s="904" t="n">
        <v>6.75</v>
      </c>
      <c r="J59" s="340">
        <f>F59*18%</f>
        <v/>
      </c>
      <c r="K59" s="340">
        <f>(F59-J59)*1.65%</f>
        <v/>
      </c>
      <c r="L59" s="340">
        <f>(F59-J59)*7.6%</f>
        <v/>
      </c>
      <c r="M59" s="1097" t="n">
        <v>4.9</v>
      </c>
      <c r="N59" s="785">
        <f>(G59+I59)*(9.25%)</f>
        <v/>
      </c>
      <c r="O59" s="708" t="n">
        <v>53.94</v>
      </c>
      <c r="P59" s="1016">
        <f>(F59 - (G59+I59+O59+(J59+K59+L59))) - (H59-M59-N59)</f>
        <v/>
      </c>
      <c r="Q59" s="328">
        <f>P59/F59</f>
        <v/>
      </c>
      <c r="R59" s="904" t="inlineStr">
        <is>
          <t>TRAVADO</t>
        </is>
      </c>
      <c r="S59" s="904" t="n"/>
      <c r="T59" s="569" t="n">
        <v>21</v>
      </c>
      <c r="U59" s="1030" t="n"/>
      <c r="V59" s="1030" t="n"/>
      <c r="W59" s="1030" t="n"/>
    </row>
    <row r="60" ht="15.75" customHeight="1" s="1349">
      <c r="A60" s="489" t="inlineStr">
        <is>
          <t>4056490935</t>
        </is>
      </c>
      <c r="B60" s="713" t="n">
        <v>10034034166751</v>
      </c>
      <c r="C60" s="1292" t="inlineStr">
        <is>
          <t>ÂNCORA</t>
        </is>
      </c>
      <c r="D60" s="566" t="inlineStr">
        <is>
          <t>Aplicador Chumbador Químico Selante Silicone Apl300 + Brinde</t>
        </is>
      </c>
      <c r="E60" s="492" t="n"/>
      <c r="F60" s="607" t="n">
        <v>154.28</v>
      </c>
      <c r="G60" s="447">
        <f>F60*12%</f>
        <v/>
      </c>
      <c r="H60" s="831" t="n">
        <v>-4.28</v>
      </c>
      <c r="I60" s="492" t="n">
        <v>20.75</v>
      </c>
      <c r="J60" s="340">
        <f>F60*18%</f>
        <v/>
      </c>
      <c r="K60" s="340">
        <f>(F60-J60)*1.65%</f>
        <v/>
      </c>
      <c r="L60" s="340">
        <f>(F60-J60)*7.6%</f>
        <v/>
      </c>
      <c r="M60" s="1097" t="n">
        <v>9.09</v>
      </c>
      <c r="N60" s="785">
        <f>(G60+I60)*(9.25%)</f>
        <v/>
      </c>
      <c r="O60" s="708" t="n">
        <v>78.16</v>
      </c>
      <c r="P60" s="1016">
        <f>(F60 - (G60+I60+O60+(J60+K60+L60))) - (H60-M60-N60)</f>
        <v/>
      </c>
      <c r="Q60" s="328">
        <f>P60/F60</f>
        <v/>
      </c>
      <c r="R60" s="904" t="inlineStr">
        <is>
          <t>Ativo</t>
        </is>
      </c>
      <c r="S60" s="651" t="n"/>
      <c r="T60" s="569" t="n"/>
      <c r="U60" s="1030" t="n"/>
      <c r="V60" s="1030" t="n"/>
      <c r="W60" s="1030" t="n"/>
    </row>
    <row r="61" ht="15.75" customHeight="1" s="1349">
      <c r="A61" s="489" t="inlineStr">
        <is>
          <t>4048387055</t>
        </is>
      </c>
      <c r="B61" s="1263" t="n">
        <v>10034034166747</v>
      </c>
      <c r="C61" s="1292" t="inlineStr">
        <is>
          <t>ÂNCORA</t>
        </is>
      </c>
      <c r="D61" s="491" t="inlineStr">
        <is>
          <t>Aplicador Duplo Apl400 Ancora Manual Profissional Epoxi400</t>
        </is>
      </c>
      <c r="E61" s="492" t="n">
        <v>299</v>
      </c>
      <c r="F61" s="607" t="n">
        <v>249</v>
      </c>
      <c r="G61" s="447">
        <f>F61*12%</f>
        <v/>
      </c>
      <c r="H61" s="831" t="n">
        <v>-4.74</v>
      </c>
      <c r="I61" s="492" t="n">
        <v>24.65</v>
      </c>
      <c r="J61" s="340">
        <f>F61*18%</f>
        <v/>
      </c>
      <c r="K61" s="340">
        <f>(F61-J61)*1.65%</f>
        <v/>
      </c>
      <c r="L61" s="340">
        <f>(F61-J61)*7.6%</f>
        <v/>
      </c>
      <c r="M61" s="1097" t="n">
        <v>17.05</v>
      </c>
      <c r="N61" s="785">
        <f>(G61+I61)*(9.25%)</f>
        <v/>
      </c>
      <c r="O61" s="708" t="n">
        <v>139.27</v>
      </c>
      <c r="P61" s="1016">
        <f>(F61 - (G61+I61+O61+(J61+K61+L61))) - (H61-M61-N61)</f>
        <v/>
      </c>
      <c r="Q61" s="328">
        <f>P61/F61</f>
        <v/>
      </c>
      <c r="R61" s="904" t="inlineStr">
        <is>
          <t>Ativo</t>
        </is>
      </c>
      <c r="S61" s="904" t="inlineStr">
        <is>
          <t>desconto travado</t>
        </is>
      </c>
      <c r="T61" s="569" t="n"/>
      <c r="U61" s="1030" t="n"/>
      <c r="V61" s="1030" t="n"/>
      <c r="W61" s="1030" t="n"/>
    </row>
    <row r="62" ht="15.75" customHeight="1" s="1349">
      <c r="A62" s="1265" t="inlineStr">
        <is>
          <t>4134105843</t>
        </is>
      </c>
      <c r="B62" s="713" t="n">
        <v>0</v>
      </c>
      <c r="C62" s="1292" t="inlineStr">
        <is>
          <t>ÂNCORA</t>
        </is>
      </c>
      <c r="D62" s="491" t="inlineStr">
        <is>
          <t>Arame Galvanizado Drywall Cercado Artesanato Bwg14 C/ 36,8m</t>
        </is>
      </c>
      <c r="E62" s="492" t="n"/>
      <c r="F62" s="607" t="n">
        <v>33</v>
      </c>
      <c r="G62" s="447">
        <f>F62*16.5%</f>
        <v/>
      </c>
      <c r="H62" s="831" t="n"/>
      <c r="I62" s="904">
        <f>IFS(
  F62&lt;12.5, F62/2,
  F62&lt;29, 6.25,
  F62&lt;50, 6.5,
  F62&lt;=79, 6.75,
  TRUE, 25
)</f>
        <v/>
      </c>
      <c r="J62" s="340">
        <f>F62*18%</f>
        <v/>
      </c>
      <c r="K62" s="340">
        <f>(F62-J62)*1.65%</f>
        <v/>
      </c>
      <c r="L62" s="340">
        <f>(F62-J62)*7.6%</f>
        <v/>
      </c>
      <c r="M62" s="1097" t="n">
        <v>1.58</v>
      </c>
      <c r="N62" s="785">
        <f>(G62+I62)*(9.25%)</f>
        <v/>
      </c>
      <c r="O62" s="708" t="n">
        <v>12.7</v>
      </c>
      <c r="P62" s="1016">
        <f>(F62 - (G62+I62+O62+(J62+K62+L62))) - (H62-M62-N62)</f>
        <v/>
      </c>
      <c r="Q62" s="328">
        <f>P62/F62</f>
        <v/>
      </c>
      <c r="R62" s="904" t="inlineStr">
        <is>
          <t>sem estoque</t>
        </is>
      </c>
      <c r="S62" s="651" t="n"/>
      <c r="T62" s="569" t="n">
        <v>0</v>
      </c>
      <c r="U62" s="1030" t="n"/>
      <c r="V62" s="1030" t="n"/>
      <c r="W62" s="1030" t="n"/>
    </row>
    <row r="63" ht="15.75" customHeight="1" s="1349">
      <c r="A63" s="638" t="inlineStr">
        <is>
          <t>5572924280</t>
        </is>
      </c>
      <c r="B63" s="639" t="n">
        <v>10034034167008</v>
      </c>
      <c r="C63" s="1292" t="inlineStr">
        <is>
          <t>Vinilseg</t>
        </is>
      </c>
      <c r="D63" s="640">
        <f>HYPERLINK("https://produto.mercadolivre.com.br/MLB-5572924280-avental-branco-pvc-forrado-impermeavel-uso-geral-com-tira-_JM","Avental Branco Pvc Forrado Impermeável Uso Geral Com Tira")</f>
        <v/>
      </c>
      <c r="E63" s="641" t="n"/>
      <c r="F63" s="856" t="n">
        <v>19.01</v>
      </c>
      <c r="G63" s="447">
        <f>F63*11.5%</f>
        <v/>
      </c>
      <c r="H63" s="833" t="n">
        <v>-0.89</v>
      </c>
      <c r="I63" s="904">
        <f>IFS(
F63&lt;12.5, F63/2,
F63&lt;29, 6.25,
F63&lt;50, 6.5,
F63&lt;=79, 6.75,
TRUE, 
25)</f>
        <v/>
      </c>
      <c r="J63" s="340">
        <f>F63*18%</f>
        <v/>
      </c>
      <c r="K63" s="340">
        <f>(F63-J63)*1.65%</f>
        <v/>
      </c>
      <c r="L63" s="340">
        <f>(F63-J63)*7.6%</f>
        <v/>
      </c>
      <c r="M63" s="1097" t="n">
        <v>0.26</v>
      </c>
      <c r="N63" s="785">
        <f>(G63+I63)*(9.25%)</f>
        <v/>
      </c>
      <c r="O63" s="718" t="n">
        <v>6.75</v>
      </c>
      <c r="P63" s="1016">
        <f>(F63 - (G63+I63+O63+(J63+K63+L63))) - (H63-M63-N63)</f>
        <v/>
      </c>
      <c r="Q63" s="328">
        <f>P63/F63</f>
        <v/>
      </c>
      <c r="R63" s="904" t="inlineStr">
        <is>
          <t>Ativo</t>
        </is>
      </c>
      <c r="S63" s="651" t="n"/>
      <c r="T63" s="569" t="n"/>
      <c r="U63" s="1030" t="n"/>
      <c r="V63" s="1030" t="n"/>
      <c r="W63" s="1030" t="n"/>
    </row>
    <row r="64" ht="15.75" customHeight="1" s="1349">
      <c r="A64" s="643" t="inlineStr">
        <is>
          <t>4143175933</t>
        </is>
      </c>
      <c r="B64" s="644" t="n">
        <v>10034034166804</v>
      </c>
      <c r="C64" s="1292" t="inlineStr">
        <is>
          <t>EPI</t>
        </is>
      </c>
      <c r="D64" s="645" t="inlineStr">
        <is>
          <t>bafador Ouvido Antirruído Acoplável Capacete Universal 30db</t>
        </is>
      </c>
      <c r="E64" s="646" t="n"/>
      <c r="F64" s="856" t="n">
        <v>190</v>
      </c>
      <c r="G64" s="447">
        <f>F64*12%</f>
        <v/>
      </c>
      <c r="H64" s="833" t="n"/>
      <c r="I64" s="904" t="n">
        <v>22.45</v>
      </c>
      <c r="J64" s="340">
        <f>F64*18%</f>
        <v/>
      </c>
      <c r="K64" s="340">
        <f>(F64-J64)*1.65%</f>
        <v/>
      </c>
      <c r="L64" s="340">
        <f>(F64-J64)*7.6%</f>
        <v/>
      </c>
      <c r="M64" s="577" t="n"/>
      <c r="N64" s="543">
        <f>(G64+I64)*(9.25%)</f>
        <v/>
      </c>
      <c r="O64" s="648" t="n">
        <v>86.69</v>
      </c>
      <c r="P64" s="1016">
        <f>(F64 - (G64+I64+O64+(J64+K64+L64))) - (H64-M64-N64)</f>
        <v/>
      </c>
      <c r="Q64" s="328">
        <f>P64/F64</f>
        <v/>
      </c>
      <c r="R64" s="904" t="inlineStr">
        <is>
          <t>sem estoque</t>
        </is>
      </c>
      <c r="S64" s="651" t="n"/>
      <c r="T64" s="569" t="n"/>
      <c r="U64" s="1030" t="n"/>
      <c r="V64" s="1030" t="n"/>
      <c r="W64" s="1030" t="n"/>
    </row>
    <row r="65" ht="15.75" customHeight="1" s="1349">
      <c r="A65" s="643" t="inlineStr">
        <is>
          <t>4135293235</t>
        </is>
      </c>
      <c r="B65" s="644" t="n">
        <v>0</v>
      </c>
      <c r="C65" s="1292" t="inlineStr">
        <is>
          <t>EPI</t>
        </is>
      </c>
      <c r="D65" s="649" t="inlineStr">
        <is>
          <t>Capacete Segurança Ultra Safe Pro Corazza Alpinista Resgate</t>
        </is>
      </c>
      <c r="E65" s="650" t="n"/>
      <c r="F65" s="856" t="n">
        <v>218.5</v>
      </c>
      <c r="G65" s="447">
        <f>F65*12%</f>
        <v/>
      </c>
      <c r="H65" s="833" t="n"/>
      <c r="I65" s="904" t="n">
        <v>24.95</v>
      </c>
      <c r="J65" s="340">
        <f>F65*18%</f>
        <v/>
      </c>
      <c r="K65" s="340">
        <f>(F65-J65)*1.65%</f>
        <v/>
      </c>
      <c r="L65" s="340">
        <f>(F65-J65)*7.6%</f>
        <v/>
      </c>
      <c r="M65" s="577" t="n"/>
      <c r="N65" s="543">
        <f>(G65+I65)*(9.25%)</f>
        <v/>
      </c>
      <c r="O65" s="648" t="n">
        <v>123.38</v>
      </c>
      <c r="P65" s="1016">
        <f>(F65 - (G65+I65+O65+(J65+K65+L65))) - (H65-M65-N65)</f>
        <v/>
      </c>
      <c r="Q65" s="328">
        <f>P65/F65</f>
        <v/>
      </c>
      <c r="R65" s="904" t="inlineStr">
        <is>
          <t>sem estoque</t>
        </is>
      </c>
      <c r="S65" s="651" t="n">
        <v>0.08</v>
      </c>
      <c r="T65" s="569" t="n"/>
      <c r="U65" s="1030" t="n"/>
      <c r="V65" s="1030" t="n"/>
      <c r="W65" s="1030" t="n"/>
    </row>
    <row r="66" ht="15.75" customHeight="1" s="1349">
      <c r="A66" s="628" t="inlineStr">
        <is>
          <t>5538257962</t>
        </is>
      </c>
      <c r="B66" s="629" t="n">
        <v>0</v>
      </c>
      <c r="C66" s="1292" t="inlineStr">
        <is>
          <t>EPI</t>
        </is>
      </c>
      <c r="D66" s="652" t="inlineStr">
        <is>
          <t>Bateria De Lítio Recarregável P/ Pistola De Fixação Fga850n</t>
        </is>
      </c>
      <c r="E66" s="631" t="n"/>
      <c r="F66" s="856" t="n">
        <v>1725.74</v>
      </c>
      <c r="G66" s="447">
        <f>F66*17%</f>
        <v/>
      </c>
      <c r="H66" s="833" t="n">
        <v>-27.32</v>
      </c>
      <c r="I66" s="904" t="n">
        <v>28.45</v>
      </c>
      <c r="J66" s="340">
        <f>F66*18%</f>
        <v/>
      </c>
      <c r="K66" s="340">
        <f>(F66-J66)*1.65%</f>
        <v/>
      </c>
      <c r="L66" s="340">
        <f>(F66-J66)*7.6%</f>
        <v/>
      </c>
      <c r="M66" s="577" t="n"/>
      <c r="N66" s="543">
        <f>(G66+I66)*(9.25%)</f>
        <v/>
      </c>
      <c r="O66" s="718" t="n">
        <v>917.79</v>
      </c>
      <c r="P66" s="1016">
        <f>(F66 - (G66+I66+O66+(J66+K66+L66))) - (H66-M66-N66)</f>
        <v/>
      </c>
      <c r="Q66" s="328">
        <f>P66/F66</f>
        <v/>
      </c>
      <c r="R66" s="904" t="inlineStr">
        <is>
          <t>Ativo</t>
        </is>
      </c>
      <c r="S66" s="651" t="n"/>
      <c r="T66" s="569" t="n"/>
      <c r="U66" s="1030" t="n"/>
      <c r="V66" s="1030" t="n"/>
      <c r="W66" s="1030" t="n"/>
    </row>
    <row r="67" ht="15.75" customHeight="1" s="1349">
      <c r="A67" s="489" t="inlineStr">
        <is>
          <t>3946113239</t>
        </is>
      </c>
      <c r="B67" s="713" t="n">
        <v>10034034166471</v>
      </c>
      <c r="C67" s="1292" t="inlineStr">
        <is>
          <t>Irwin</t>
        </is>
      </c>
      <c r="D67" s="194" t="inlineStr">
        <is>
          <t>Bolsa Mala Ferramentas Alça 12 Polegada 4 Bolsos Reforçada</t>
        </is>
      </c>
      <c r="E67" s="654" t="n"/>
      <c r="F67" s="607" t="n">
        <v>139.9</v>
      </c>
      <c r="G67" s="447">
        <f>F67*12%</f>
        <v/>
      </c>
      <c r="H67" s="831" t="n"/>
      <c r="I67" s="492" t="n">
        <v>18.76</v>
      </c>
      <c r="J67" s="340">
        <f>F67*18%</f>
        <v/>
      </c>
      <c r="K67" s="340">
        <f>(F67-J67)*1.65%</f>
        <v/>
      </c>
      <c r="L67" s="340">
        <f>(F67-J67)*7.6%</f>
        <v/>
      </c>
      <c r="M67" s="1097" t="n">
        <v>22.3</v>
      </c>
      <c r="N67" s="785">
        <f>(G67+I67)*(9.25%)</f>
        <v/>
      </c>
      <c r="O67" s="708" t="n">
        <v>87.17</v>
      </c>
      <c r="P67" s="1016">
        <f>(F67 - (G67+I67+O67+(J67+K67+L67))) - (H67-M67-N67)</f>
        <v/>
      </c>
      <c r="Q67" s="328">
        <f>P67/F67</f>
        <v/>
      </c>
      <c r="R67" s="904" t="inlineStr">
        <is>
          <t>Ativo</t>
        </is>
      </c>
      <c r="S67" s="651" t="n"/>
      <c r="T67" s="569" t="n">
        <v>6</v>
      </c>
      <c r="U67" s="1030" t="n"/>
      <c r="V67" s="1030" t="n"/>
      <c r="W67" s="1030" t="n"/>
    </row>
    <row r="68" ht="15.75" customHeight="1" s="1349">
      <c r="A68" s="711" t="inlineStr">
        <is>
          <t>5961293905106576</t>
        </is>
      </c>
      <c r="B68" s="470" t="inlineStr">
        <is>
          <t>CCP501 SF .42</t>
        </is>
      </c>
      <c r="C68" s="1292" t="inlineStr">
        <is>
          <t>Calfor</t>
        </is>
      </c>
      <c r="D68" s="625">
        <f>hyperlink("https://produto.mercadolivre.com.br/MLB-3892497388-bota-galocha-impermeavel-cano-curto-conforto-duravel-leve-_JM","Bota Galocha Impermeável Cano Curto Conforto Durável Leve")</f>
        <v/>
      </c>
      <c r="E68" s="685" t="n"/>
      <c r="F68" s="856" t="n">
        <v>58.1</v>
      </c>
      <c r="G68" s="447">
        <f>F68*12%</f>
        <v/>
      </c>
      <c r="H68" s="833" t="n">
        <v>-2.08</v>
      </c>
      <c r="I68" s="904" t="n">
        <v>8.550000000000001</v>
      </c>
      <c r="J68" s="340">
        <f>F68*18%</f>
        <v/>
      </c>
      <c r="K68" s="340">
        <f>(F68-J68)*1.65%</f>
        <v/>
      </c>
      <c r="L68" s="340">
        <f>(F68-J68)*7.6%</f>
        <v/>
      </c>
      <c r="M68" s="1097" t="n">
        <v>7</v>
      </c>
      <c r="N68" s="785">
        <f>(G68+I68)*(9.25%)</f>
        <v/>
      </c>
      <c r="O68" s="701" t="n">
        <v>34.78</v>
      </c>
      <c r="P68" s="1016">
        <f>(F68 - (G68+I68+O68+(J68+K68+L68))) - (H68-M68-N68)</f>
        <v/>
      </c>
      <c r="Q68" s="328">
        <f>P68/F68</f>
        <v/>
      </c>
      <c r="R68" s="904" t="inlineStr">
        <is>
          <t>Ativo</t>
        </is>
      </c>
      <c r="S68" s="651" t="n"/>
      <c r="T68" s="569" t="n"/>
      <c r="U68" s="1030" t="n"/>
      <c r="V68" s="1030" t="n"/>
      <c r="W68" s="1030" t="n"/>
    </row>
    <row r="69" ht="15.75" customHeight="1" s="1349">
      <c r="A69" s="1265" t="inlineStr">
        <is>
          <t>600440819847956</t>
        </is>
      </c>
      <c r="B69" s="1263" t="n">
        <v>10034034167099</v>
      </c>
      <c r="C69" s="904" t="inlineStr">
        <is>
          <t>Calfor</t>
        </is>
      </c>
      <c r="D69" s="712" t="inlineStr">
        <is>
          <t>Bota Galocha Pvc Calfor Supermax Longo Ca28489 Impermeável</t>
        </is>
      </c>
      <c r="E69" s="654" t="n"/>
      <c r="F69" s="607" t="n">
        <v>61.11</v>
      </c>
      <c r="G69" s="447">
        <f>F69*12%</f>
        <v/>
      </c>
      <c r="H69" s="831" t="n">
        <v>-1.88</v>
      </c>
      <c r="I69" s="904" t="n">
        <v>9.75</v>
      </c>
      <c r="J69" s="340">
        <f>F69*18%</f>
        <v/>
      </c>
      <c r="K69" s="340">
        <f>(F69-J69)*1.65%</f>
        <v/>
      </c>
      <c r="L69" s="340">
        <f>(F69-J69)*7.6%</f>
        <v/>
      </c>
      <c r="M69" s="1097" t="n">
        <v>6.93</v>
      </c>
      <c r="N69" s="785">
        <f>(G69+I69)*(9.25%)</f>
        <v/>
      </c>
      <c r="O69" s="708" t="n">
        <v>34.41</v>
      </c>
      <c r="P69" s="1016">
        <f>(F69 - (G69+I69+O69+(J69+K69+L69))) - (H69-M69-N69)</f>
        <v/>
      </c>
      <c r="Q69" s="328">
        <f>P69/F69</f>
        <v/>
      </c>
      <c r="R69" s="904" t="inlineStr">
        <is>
          <t>Ativo</t>
        </is>
      </c>
      <c r="S69" s="651" t="n"/>
      <c r="T69" s="569" t="n">
        <v>331</v>
      </c>
      <c r="U69" s="1030" t="n"/>
      <c r="V69" s="1030" t="n"/>
      <c r="W69" s="1030" t="n"/>
    </row>
    <row r="70" ht="15.75" customHeight="1" s="1349">
      <c r="A70" s="1265" t="n"/>
      <c r="B70" s="1263" t="n"/>
      <c r="C70" s="904" t="n"/>
      <c r="D70" s="712" t="inlineStr">
        <is>
          <t>Kit Galocha Supermax PVC Longo Capa Reforcada Capuz</t>
        </is>
      </c>
      <c r="E70" s="654" t="n"/>
      <c r="F70" s="607" t="n">
        <v>96.2</v>
      </c>
      <c r="G70" s="447">
        <f>F70*12%</f>
        <v/>
      </c>
      <c r="H70" s="831" t="n"/>
      <c r="I70" s="904" t="n">
        <v>7.75</v>
      </c>
      <c r="J70" s="340">
        <f>F70*18%</f>
        <v/>
      </c>
      <c r="K70" s="340">
        <f>(F70-J70)*1.65%</f>
        <v/>
      </c>
      <c r="L70" s="340">
        <f>(F70-J70)*7.6%</f>
        <v/>
      </c>
      <c r="M70" s="1097" t="n">
        <v>10.87</v>
      </c>
      <c r="N70" s="785">
        <f>(G70+I70)*(9.25%)</f>
        <v/>
      </c>
      <c r="O70" s="708" t="n">
        <v>53.96</v>
      </c>
      <c r="P70" s="1016">
        <f>(F70 - (G70+I70+O70+(J70+K70+L70))) - (H70-M70-N70)</f>
        <v/>
      </c>
      <c r="Q70" s="328">
        <f>P70/F70</f>
        <v/>
      </c>
      <c r="R70" s="904" t="n"/>
      <c r="S70" s="651" t="n"/>
      <c r="T70" s="569" t="n"/>
      <c r="U70" s="1030" t="n"/>
      <c r="V70" s="1030" t="n"/>
      <c r="W70" s="1030" t="n"/>
    </row>
    <row r="71" ht="15.75" customHeight="1" s="1349">
      <c r="A71" s="1265" t="n"/>
      <c r="B71" s="1263" t="n"/>
      <c r="C71" s="904" t="inlineStr">
        <is>
          <t>Calfor</t>
        </is>
      </c>
      <c r="D71" s="654" t="inlineStr">
        <is>
          <t>34/35</t>
        </is>
      </c>
      <c r="E71" s="654" t="n"/>
      <c r="F71" s="607" t="n">
        <v>51.34</v>
      </c>
      <c r="G71" s="447">
        <f>F71*12%</f>
        <v/>
      </c>
      <c r="H71" s="831" t="n">
        <v>-2.76</v>
      </c>
      <c r="I71" s="904" t="n">
        <v>9.75</v>
      </c>
      <c r="J71" s="340">
        <f>F71*18%</f>
        <v/>
      </c>
      <c r="K71" s="340">
        <f>(F71-J71)*1.65%</f>
        <v/>
      </c>
      <c r="L71" s="340">
        <f>(F71-J71)*7.6%</f>
        <v/>
      </c>
      <c r="M71" s="1097" t="n">
        <v>6.93</v>
      </c>
      <c r="N71" s="785">
        <f>(G71+I71)*(9.25%)</f>
        <v/>
      </c>
      <c r="O71" s="708" t="n">
        <v>34.41</v>
      </c>
      <c r="P71" s="1016">
        <f>(F71 - (G71+I71+O71+(J71+K71+L71))) - (H71-M71-N71)</f>
        <v/>
      </c>
      <c r="Q71" s="328">
        <f>P71/F71</f>
        <v/>
      </c>
      <c r="R71" s="904" t="inlineStr">
        <is>
          <t>Estoque encalhado</t>
        </is>
      </c>
      <c r="S71" s="651" t="n"/>
      <c r="T71" s="569" t="n"/>
      <c r="U71" s="1030" t="n"/>
      <c r="V71" s="1030" t="n"/>
      <c r="W71" s="1030" t="n"/>
    </row>
    <row r="72" ht="15.75" customHeight="1" s="1349">
      <c r="A72" s="1265" t="inlineStr">
        <is>
          <t>3089049051164369</t>
        </is>
      </c>
      <c r="B72" s="1263" t="inlineStr">
        <is>
          <t>CELSF503 38/9</t>
        </is>
      </c>
      <c r="C72" s="904" t="inlineStr">
        <is>
          <t>Calfor</t>
        </is>
      </c>
      <c r="D72" s="491" t="inlineStr">
        <is>
          <t>Bota Galocha Borracha Pvc Supermax Cano Extra Longo 39cm</t>
        </is>
      </c>
      <c r="E72" s="654" t="n"/>
      <c r="F72" s="607" t="n">
        <v>67.41</v>
      </c>
      <c r="G72" s="447">
        <f>F72*12%</f>
        <v/>
      </c>
      <c r="H72" s="833" t="n"/>
      <c r="I72" s="904" t="n">
        <v>8.550000000000001</v>
      </c>
      <c r="J72" s="340">
        <f>F72*18%</f>
        <v/>
      </c>
      <c r="K72" s="340">
        <f>(F72-J72)*1.65%</f>
        <v/>
      </c>
      <c r="L72" s="340">
        <f>(F72-J72)*7.6%</f>
        <v/>
      </c>
      <c r="M72" s="1097" t="n">
        <v>7.38</v>
      </c>
      <c r="N72" s="785">
        <f>(G72+I72)*(9.25%)</f>
        <v/>
      </c>
      <c r="O72" s="655" t="n">
        <v>36.65</v>
      </c>
      <c r="P72" s="1016">
        <f>(F72 - (G72+I72+O72+(J72+K72+L72))) - (H72-M72-N72)</f>
        <v/>
      </c>
      <c r="Q72" s="328">
        <f>P72/F72</f>
        <v/>
      </c>
      <c r="R72" s="904" t="inlineStr">
        <is>
          <t>Ativo</t>
        </is>
      </c>
      <c r="S72" s="651" t="n"/>
      <c r="T72" s="569" t="n"/>
      <c r="U72" s="1030" t="n"/>
      <c r="V72" s="1030" t="n"/>
      <c r="W72" s="1030" t="n"/>
      <c r="X72" s="579" t="n"/>
      <c r="Y72" s="579" t="n"/>
      <c r="Z72" s="579" t="n"/>
      <c r="AA72" s="579" t="n"/>
      <c r="AB72" s="579" t="n"/>
      <c r="AC72" s="579" t="n"/>
      <c r="AD72" s="579" t="n"/>
      <c r="AE72" s="579" t="n"/>
      <c r="AF72" s="579" t="n"/>
    </row>
    <row r="73" ht="15.75" customHeight="1" s="1349">
      <c r="A73" s="1265" t="inlineStr">
        <is>
          <t>5321143910</t>
        </is>
      </c>
      <c r="B73" s="713" t="inlineStr">
        <is>
          <t>5135813632757073</t>
        </is>
      </c>
      <c r="C73" s="1292" t="inlineStr">
        <is>
          <t>Bracol</t>
        </is>
      </c>
      <c r="D73" s="194" t="inlineStr">
        <is>
          <t>Bota Motosafe Motociclista Pvc Antiderrapante Motoboy Chuva</t>
        </is>
      </c>
      <c r="E73" s="654" t="n"/>
      <c r="F73" s="607" t="n">
        <v>76.62</v>
      </c>
      <c r="G73" s="447">
        <f>F73*12%</f>
        <v/>
      </c>
      <c r="H73" s="831" t="n">
        <v>-4.23</v>
      </c>
      <c r="I73" s="904" t="n">
        <v>8.550000000000001</v>
      </c>
      <c r="J73" s="340">
        <f>F73*18%</f>
        <v/>
      </c>
      <c r="K73" s="340">
        <f>(F73-J73)*1.65%</f>
        <v/>
      </c>
      <c r="L73" s="340">
        <f>(F73-J73)*7.6%</f>
        <v/>
      </c>
      <c r="M73" s="1097" t="n">
        <v>10.54</v>
      </c>
      <c r="N73" s="785">
        <f>(G73+I73)*(9.25%)</f>
        <v/>
      </c>
      <c r="O73" s="197" t="n">
        <v>52.33</v>
      </c>
      <c r="P73" s="1016">
        <f>(F73 - (G73+I73+O73+(J73+K73+L73))) - (H73-M73-N73)</f>
        <v/>
      </c>
      <c r="Q73" s="328">
        <f>P73/F73</f>
        <v/>
      </c>
      <c r="R73" s="904" t="inlineStr">
        <is>
          <t>Ativo</t>
        </is>
      </c>
      <c r="S73" s="651" t="n"/>
      <c r="T73" s="569" t="n"/>
      <c r="U73" s="1030" t="n"/>
      <c r="V73" s="1030" t="n"/>
      <c r="W73" s="1030" t="n"/>
    </row>
    <row r="74" ht="15.75" customHeight="1" s="1349">
      <c r="A74" s="489" t="inlineStr">
        <is>
          <t>2172485273004403</t>
        </is>
      </c>
      <c r="B74" s="1263" t="n">
        <v>10034034166533</v>
      </c>
      <c r="C74" s="1292" t="inlineStr">
        <is>
          <t>Innpro</t>
        </is>
      </c>
      <c r="D74" s="566" t="inlineStr">
        <is>
          <t>Bota Pvc Antiderrapante Impermeável Cano Longo Conforto Ca</t>
        </is>
      </c>
      <c r="E74" s="654" t="n"/>
      <c r="F74" s="607" t="n">
        <v>56.26</v>
      </c>
      <c r="G74" s="447">
        <f>F74*12%</f>
        <v/>
      </c>
      <c r="H74" s="831" t="n">
        <v>-2.27</v>
      </c>
      <c r="I74" s="904" t="n">
        <v>9.75</v>
      </c>
      <c r="J74" s="340">
        <f>F74*18%</f>
        <v/>
      </c>
      <c r="K74" s="340">
        <f>(F74-J74)*1.65%</f>
        <v/>
      </c>
      <c r="L74" s="340">
        <f>(F74-J74)*7.6%</f>
        <v/>
      </c>
      <c r="M74" s="1097" t="n">
        <v>5.79</v>
      </c>
      <c r="N74" s="785">
        <f>(G74+I74)*(9.25%)</f>
        <v/>
      </c>
      <c r="O74" s="708" t="n">
        <v>28.76</v>
      </c>
      <c r="P74" s="1016">
        <f>(F74 - (G74+I74+O74+(J74+K74+L74))) - (H74-M74-N74)</f>
        <v/>
      </c>
      <c r="Q74" s="328">
        <f>P74/F74</f>
        <v/>
      </c>
      <c r="R74" s="904" t="inlineStr">
        <is>
          <t>Ativo</t>
        </is>
      </c>
      <c r="S74" s="651" t="n"/>
      <c r="T74" s="569" t="n"/>
      <c r="U74" s="1030" t="n"/>
      <c r="V74" s="1030" t="n"/>
      <c r="W74" s="1030" t="n"/>
      <c r="X74" s="579" t="n"/>
      <c r="Y74" s="579" t="n"/>
      <c r="Z74" s="579" t="n"/>
      <c r="AA74" s="579" t="n"/>
      <c r="AB74" s="579" t="n"/>
      <c r="AC74" s="579" t="n"/>
      <c r="AD74" s="579" t="n"/>
      <c r="AE74" s="579" t="n"/>
      <c r="AF74" s="579" t="n"/>
    </row>
    <row r="75" ht="15.75" customHeight="1" s="1349">
      <c r="A75" s="687" t="inlineStr">
        <is>
          <t>2172485273004403</t>
        </is>
      </c>
      <c r="B75" s="657" t="n">
        <v>10034034166541</v>
      </c>
      <c r="C75" s="658" t="inlineStr">
        <is>
          <t>Innpro</t>
        </is>
      </c>
      <c r="D75" s="660" t="inlineStr">
        <is>
          <t>45 PR, 34 PR</t>
        </is>
      </c>
      <c r="E75" s="660" t="n"/>
      <c r="F75" s="747" t="n">
        <v>48.4</v>
      </c>
      <c r="G75" s="34">
        <f>F75*12%</f>
        <v/>
      </c>
      <c r="H75" s="661" t="n">
        <v>-2.9</v>
      </c>
      <c r="I75" s="850" t="n">
        <v>10.55</v>
      </c>
      <c r="J75" s="663">
        <f>F75*18%</f>
        <v/>
      </c>
      <c r="K75" s="663">
        <f>(F75-J75)*1.65%</f>
        <v/>
      </c>
      <c r="L75" s="663">
        <f>(F75-J75)*7.6%</f>
        <v/>
      </c>
      <c r="M75" s="784" t="n">
        <v>5.79</v>
      </c>
      <c r="N75" s="785">
        <f>(G75+I75)*(9.25%)</f>
        <v/>
      </c>
      <c r="O75" s="674" t="n">
        <v>28.76</v>
      </c>
      <c r="P75" s="1016">
        <f>(F75 - (G75+I75+O75+(J75+K75+L75))) - (H75-M75-N75)</f>
        <v/>
      </c>
      <c r="Q75" s="664">
        <f>P75/F75</f>
        <v/>
      </c>
      <c r="R75" s="665" t="inlineStr">
        <is>
          <t>Estoque encalhado</t>
        </is>
      </c>
      <c r="S75" s="666" t="n"/>
      <c r="T75" s="855" t="n"/>
      <c r="U75" s="668" t="n"/>
      <c r="V75" s="668" t="n"/>
      <c r="W75" s="668" t="n"/>
    </row>
    <row r="76" ht="15.75" customHeight="1" s="1349">
      <c r="A76" s="1265" t="inlineStr">
        <is>
          <t>8897078871307024 20605732472915</t>
        </is>
      </c>
      <c r="B76" s="1263" t="n">
        <v>10034034166569</v>
      </c>
      <c r="C76" s="904" t="inlineStr">
        <is>
          <t>Innpro</t>
        </is>
      </c>
      <c r="D76" s="194" t="inlineStr">
        <is>
          <t>Bota Pvc Galocha Cano Médio Conforto Impermeável Resistente</t>
        </is>
      </c>
      <c r="E76" s="654" t="n"/>
      <c r="F76" s="607" t="n">
        <v>54.9</v>
      </c>
      <c r="G76" s="447">
        <f>F76*12%</f>
        <v/>
      </c>
      <c r="H76" s="833" t="n"/>
      <c r="I76" s="904" t="n">
        <v>8.550000000000001</v>
      </c>
      <c r="J76" s="340">
        <f>F76*18%</f>
        <v/>
      </c>
      <c r="K76" s="340">
        <f>(F76-J76)*1.65%</f>
        <v/>
      </c>
      <c r="L76" s="340">
        <f>(F76-J76)*7.6%</f>
        <v/>
      </c>
      <c r="M76" s="1097" t="n">
        <v>4.83</v>
      </c>
      <c r="N76" s="785">
        <f>(G76+I76)*(9.25%)</f>
        <v/>
      </c>
      <c r="O76" s="708" t="n">
        <v>32</v>
      </c>
      <c r="P76" s="1016">
        <f>(F76 - (G76+I76+O76+(J76+K76+L76))) - (H76-M76-N76)</f>
        <v/>
      </c>
      <c r="Q76" s="328">
        <f>P76/F76</f>
        <v/>
      </c>
      <c r="R76" s="904" t="inlineStr">
        <is>
          <t>Ativo</t>
        </is>
      </c>
      <c r="S76" s="904" t="inlineStr">
        <is>
          <t>de 25,97 para 37</t>
        </is>
      </c>
      <c r="T76" s="569" t="n"/>
      <c r="U76" s="1030" t="n"/>
      <c r="V76" s="1030" t="n"/>
      <c r="W76" s="1030" t="n"/>
    </row>
    <row r="77" ht="15.75" customHeight="1" s="1349">
      <c r="A77" s="669" t="inlineStr">
        <is>
          <t>8897078871307024</t>
        </is>
      </c>
      <c r="B77" s="670" t="n">
        <v>10034034166569</v>
      </c>
      <c r="C77" s="604" t="inlineStr">
        <is>
          <t>Innpro</t>
        </is>
      </c>
      <c r="D77" s="671" t="inlineStr">
        <is>
          <t>PR 38, BRA 40, PR 35</t>
        </is>
      </c>
      <c r="E77" s="806" t="n"/>
      <c r="F77" s="747" t="n">
        <v>48.4</v>
      </c>
      <c r="G77" s="672">
        <f>F77*12%</f>
        <v/>
      </c>
      <c r="H77" s="673" t="n">
        <v>-2.9</v>
      </c>
      <c r="I77" s="887" t="n">
        <v>8.550000000000001</v>
      </c>
      <c r="J77" s="61">
        <f>F77*18%</f>
        <v/>
      </c>
      <c r="K77" s="61">
        <f>(F77-J77)*1.65%</f>
        <v/>
      </c>
      <c r="L77" s="61">
        <f>(F77-J77)*7.6%</f>
        <v/>
      </c>
      <c r="M77" s="784" t="n">
        <v>4.83</v>
      </c>
      <c r="N77" s="785">
        <f>(G77+I77)*(9.25%)</f>
        <v/>
      </c>
      <c r="O77" s="674" t="n">
        <v>28.97</v>
      </c>
      <c r="P77" s="1016">
        <f>(F77 - (G77+I77+O77+(J77+K77+L77))) - (H77-M77-N77)</f>
        <v/>
      </c>
      <c r="Q77" s="675">
        <f>P77/F77</f>
        <v/>
      </c>
      <c r="R77" s="676" t="inlineStr">
        <is>
          <t>Estoque encalhado</t>
        </is>
      </c>
      <c r="S77" s="139" t="n"/>
      <c r="T77" s="806" t="n"/>
      <c r="U77" s="595" t="n"/>
      <c r="V77" s="595" t="n"/>
      <c r="W77" s="595" t="n"/>
    </row>
    <row r="78" ht="15.75" customHeight="1" s="1349">
      <c r="A78" s="687" t="inlineStr">
        <is>
          <t>4141615623</t>
        </is>
      </c>
      <c r="B78" s="657" t="n">
        <v>10034034166539</v>
      </c>
      <c r="C78" s="1292" t="inlineStr">
        <is>
          <t>MARLUVAS</t>
        </is>
      </c>
      <c r="D78" s="677">
        <f>HYPERLINK("https://produto.mercadolivre.com.br/MLB-4141615623-bota-pvc-cano-medio-impermeavel-antiderrapante-confortavel-_JM", "Bota Pvc Cano Médio Impermeável Antiderrapante Confortável")</f>
        <v/>
      </c>
      <c r="E78" s="678" t="n"/>
      <c r="F78" s="856" t="n">
        <v>57.13</v>
      </c>
      <c r="G78" s="447">
        <f>F78*17%</f>
        <v/>
      </c>
      <c r="H78" s="833" t="n">
        <v>-2.18</v>
      </c>
      <c r="I78" s="904" t="n">
        <v>8.550000000000001</v>
      </c>
      <c r="J78" s="340">
        <f>F78*18%</f>
        <v/>
      </c>
      <c r="K78" s="340">
        <f>(F78-J78)*1.65%</f>
        <v/>
      </c>
      <c r="L78" s="340">
        <f>(F78-J78)*7.6%</f>
        <v/>
      </c>
      <c r="M78" s="1097" t="n">
        <v>5.84</v>
      </c>
      <c r="N78" s="785">
        <f>(G78+I78)*(9.25%)</f>
        <v/>
      </c>
      <c r="O78" s="679" t="n">
        <v>29.01</v>
      </c>
      <c r="P78" s="1016">
        <f>(F78 - (G78+I78+O78+(J78+K78+L78))) - (H78-M78-N78)</f>
        <v/>
      </c>
      <c r="Q78" s="328">
        <f>P78/F78</f>
        <v/>
      </c>
      <c r="R78" s="904" t="inlineStr">
        <is>
          <t>Ativo</t>
        </is>
      </c>
      <c r="S78" s="651" t="n"/>
      <c r="T78" s="569" t="n"/>
      <c r="U78" s="1030" t="n"/>
      <c r="V78" s="1030" t="n"/>
      <c r="W78" s="1030" t="n"/>
    </row>
    <row r="79" ht="15.75" customHeight="1" s="1349">
      <c r="A79" s="1265" t="inlineStr">
        <is>
          <t>228405876693927</t>
        </is>
      </c>
      <c r="B79" s="1263" t="n">
        <v>10034034166627</v>
      </c>
      <c r="C79" s="1292" t="inlineStr">
        <is>
          <t>Bracol</t>
        </is>
      </c>
      <c r="D79" s="194">
        <f>hyperlink("https://produto.mercadolivre.com.br/MLB-3981014557-bota-tnis-seguranca-tridensidade-bico-pvc-bracol-jordan-ca-_JM","Bota Tênis Segurança Tridensidade Bico Pvc Bracol Jordan Ca")</f>
        <v/>
      </c>
      <c r="E79" s="654" t="n"/>
      <c r="F79" s="680" t="n">
        <v>241.72</v>
      </c>
      <c r="G79" s="447">
        <f>F79*12%</f>
        <v/>
      </c>
      <c r="H79" s="833" t="n">
        <v>-7.48</v>
      </c>
      <c r="I79" s="904" t="n">
        <v>26.25</v>
      </c>
      <c r="J79" s="340">
        <f>F79*18%</f>
        <v/>
      </c>
      <c r="K79" s="340">
        <f>(F79-J79)*1.65%</f>
        <v/>
      </c>
      <c r="L79" s="340">
        <f>(F79-J79)*7.6%</f>
        <v/>
      </c>
      <c r="M79" s="1097" t="n">
        <v>28.12</v>
      </c>
      <c r="N79" s="785">
        <f>(G79+I79)*(9.25%)</f>
        <v/>
      </c>
      <c r="O79" s="197" t="n">
        <v>139.63</v>
      </c>
      <c r="P79" s="1016">
        <f>(F79 - (G79+I79+O79+(J79+K79+L79))) - (H79-M79-N79)</f>
        <v/>
      </c>
      <c r="Q79" s="328">
        <f>P79/F79</f>
        <v/>
      </c>
      <c r="R79" s="904" t="inlineStr">
        <is>
          <t>Ativo</t>
        </is>
      </c>
      <c r="S79" s="651" t="n"/>
      <c r="T79" s="569" t="n">
        <v>114</v>
      </c>
      <c r="U79" s="1030" t="n"/>
      <c r="V79" s="1030" t="n"/>
      <c r="W79" s="1030" t="n"/>
    </row>
    <row r="80" ht="15.75" customHeight="1" s="1349">
      <c r="A80" s="1265" t="n"/>
      <c r="B80" s="1263" t="n"/>
      <c r="C80" s="904" t="inlineStr">
        <is>
          <t>Bracol</t>
        </is>
      </c>
      <c r="D80" s="681" t="inlineStr">
        <is>
          <t>detroit 40</t>
        </is>
      </c>
      <c r="E80" s="654" t="n"/>
      <c r="F80" s="856" t="n">
        <v>224.56</v>
      </c>
      <c r="G80" s="447">
        <f>F80*12%</f>
        <v/>
      </c>
      <c r="H80" s="833" t="n">
        <v>-7.44</v>
      </c>
      <c r="I80" s="904" t="n">
        <v>24.95</v>
      </c>
      <c r="J80" s="340">
        <f>F80*18%</f>
        <v/>
      </c>
      <c r="K80" s="340">
        <f>(F80-J80)*1.65%</f>
        <v/>
      </c>
      <c r="L80" s="340">
        <f>(F80-J80)*7.6%</f>
        <v/>
      </c>
      <c r="M80" s="1097" t="n">
        <v>28.12</v>
      </c>
      <c r="N80" s="785">
        <f>(G80+I80)*(9.25%)</f>
        <v/>
      </c>
      <c r="O80" s="197" t="n">
        <v>139.63</v>
      </c>
      <c r="P80" s="1016">
        <f>(F80 - (G80+I80+O80+(J80+K80+L80))) - (H80-M80-N80)</f>
        <v/>
      </c>
      <c r="Q80" s="328">
        <f>P80/F80</f>
        <v/>
      </c>
      <c r="R80" s="904" t="inlineStr">
        <is>
          <t>Ativo</t>
        </is>
      </c>
      <c r="S80" s="651" t="n"/>
      <c r="T80" s="569" t="n"/>
      <c r="U80" s="1030" t="n"/>
      <c r="V80" s="1030" t="n"/>
      <c r="W80" s="1030" t="n"/>
    </row>
    <row r="81" ht="15.75" customHeight="1" s="1349">
      <c r="A81" s="1265" t="inlineStr">
        <is>
          <t>7891881113530599</t>
        </is>
      </c>
      <c r="B81" s="1263" t="n">
        <v>10034034166621</v>
      </c>
      <c r="C81" s="904" t="inlineStr">
        <is>
          <t>Bracol</t>
        </is>
      </c>
      <c r="D81" s="491" t="inlineStr">
        <is>
          <t>Botina Tênis Detroit Pro Tridensidade Trabalho Segurança Epi</t>
        </is>
      </c>
      <c r="E81" s="492" t="n">
        <v>299</v>
      </c>
      <c r="F81" s="607" t="n">
        <v>222.03</v>
      </c>
      <c r="G81" s="447">
        <f>F81*12%</f>
        <v/>
      </c>
      <c r="H81" s="833" t="n">
        <v>-10.59</v>
      </c>
      <c r="I81" s="904" t="n">
        <v>26.25</v>
      </c>
      <c r="J81" s="340">
        <f>F81*18%</f>
        <v/>
      </c>
      <c r="K81" s="340">
        <f>(F81-J81)*1.65%</f>
        <v/>
      </c>
      <c r="L81" s="340">
        <f>(F81-J81)*7.6%</f>
        <v/>
      </c>
      <c r="M81" s="1097" t="n">
        <v>28.12</v>
      </c>
      <c r="N81" s="785">
        <f>(G81+I81)*(9.25%)</f>
        <v/>
      </c>
      <c r="O81" s="197" t="n">
        <v>139.63</v>
      </c>
      <c r="P81" s="1016">
        <f>(F81 - (G81+I81+O81+(J81+K81+L81))) - (H81-M81-N81)</f>
        <v/>
      </c>
      <c r="Q81" s="328">
        <f>P81/F81</f>
        <v/>
      </c>
      <c r="R81" s="904" t="inlineStr">
        <is>
          <t>Ativo</t>
        </is>
      </c>
      <c r="S81" s="651" t="n"/>
      <c r="T81" s="569" t="n"/>
      <c r="U81" s="1030" t="n"/>
      <c r="V81" s="1030" t="n"/>
      <c r="W81" s="1030" t="n"/>
    </row>
    <row r="82" ht="15.75" customHeight="1" s="1349">
      <c r="A82" s="628" t="inlineStr">
        <is>
          <t>4141545095</t>
        </is>
      </c>
      <c r="B82" s="629" t="n">
        <v>10034034167254</v>
      </c>
      <c r="C82" s="1292" t="inlineStr">
        <is>
          <t>MARLUVAS</t>
        </is>
      </c>
      <c r="D82" s="683">
        <f>HYPERLINK("https://produto.mercadolivre.com.br/MLB-4141545095-botina-composite-marluvas-antiperfuro-eletrica-ca-40952-epi-_JM","Botina Composite Marluvas Antiperfuro Eletrica Ca 40952 Epi")</f>
        <v/>
      </c>
      <c r="E82" s="684" t="n"/>
      <c r="F82" s="856" t="n">
        <v>198.85</v>
      </c>
      <c r="G82" s="447">
        <f>F82*12%</f>
        <v/>
      </c>
      <c r="H82" s="833" t="n">
        <v>-3.96</v>
      </c>
      <c r="I82" s="904" t="n">
        <v>26.95</v>
      </c>
      <c r="J82" s="340">
        <f>F82*18%</f>
        <v/>
      </c>
      <c r="K82" s="340">
        <f>(F82-J82)*1.65%</f>
        <v/>
      </c>
      <c r="L82" s="340">
        <f>(F82-J82)*7.6%</f>
        <v/>
      </c>
      <c r="M82" s="1097" t="n">
        <v>22.93</v>
      </c>
      <c r="N82" s="785">
        <f>(G82+I82)*(9.25%)</f>
        <v/>
      </c>
      <c r="O82" s="701" t="n">
        <v>113.87</v>
      </c>
      <c r="P82" s="1016">
        <f>(F82 - (G82+I82+O82+(J82+K82+L82))) - (H82-M82-N82)</f>
        <v/>
      </c>
      <c r="Q82" s="328">
        <f>P82/F82</f>
        <v/>
      </c>
      <c r="R82" s="904" t="inlineStr">
        <is>
          <t>Ativo</t>
        </is>
      </c>
      <c r="S82" s="651" t="n"/>
      <c r="T82" s="569" t="n"/>
      <c r="U82" s="1030" t="n"/>
      <c r="V82" s="1030" t="n"/>
      <c r="W82" s="1030" t="n"/>
    </row>
    <row r="83" ht="15.75" customHeight="1" s="1349">
      <c r="A83" s="711" t="inlineStr">
        <is>
          <t>3850771154046994</t>
        </is>
      </c>
      <c r="B83" s="470" t="n">
        <v>10034034168221</v>
      </c>
      <c r="C83" s="1292" t="inlineStr">
        <is>
          <t>MARLUVAS</t>
        </is>
      </c>
      <c r="D83" s="685" t="inlineStr">
        <is>
          <t>Botina Couro Premier Marluvas Antitorção Biqueira Plástico</t>
        </is>
      </c>
      <c r="E83" s="685" t="n"/>
      <c r="F83" s="856" t="n">
        <v>276.45</v>
      </c>
      <c r="G83" s="447">
        <f>F83*12%</f>
        <v/>
      </c>
      <c r="H83" s="833" t="n">
        <v>-7.26</v>
      </c>
      <c r="I83" s="904" t="n">
        <v>28.35</v>
      </c>
      <c r="J83" s="340">
        <f>F83*18%</f>
        <v/>
      </c>
      <c r="K83" s="340">
        <f>(F83-J83)*1.65%</f>
        <v/>
      </c>
      <c r="L83" s="340">
        <f>(F83-J83)*7.6%</f>
        <v/>
      </c>
      <c r="M83" s="1097" t="n">
        <v>36.03</v>
      </c>
      <c r="N83" s="785">
        <f>(G83+I83)*(9.25%)</f>
        <v/>
      </c>
      <c r="O83" s="701" t="n">
        <v>178.91</v>
      </c>
      <c r="P83" s="1016">
        <f>(F83 - (G83+I83+O83+(J83+K83+L83))) - (H83-M83-N83)</f>
        <v/>
      </c>
      <c r="Q83" s="328">
        <f>P83/F83</f>
        <v/>
      </c>
      <c r="R83" s="904" t="inlineStr">
        <is>
          <t>Ativo</t>
        </is>
      </c>
      <c r="S83" s="651" t="n"/>
      <c r="T83" s="569" t="n"/>
      <c r="U83" s="1030" t="n"/>
      <c r="V83" s="1030" t="n"/>
      <c r="W83" s="1030" t="n"/>
    </row>
    <row r="84" ht="15.75" customHeight="1" s="1349">
      <c r="A84" s="1265" t="inlineStr">
        <is>
          <t>6175046035061968</t>
        </is>
      </c>
      <c r="B84" s="1263" t="n">
        <v>10034034166666</v>
      </c>
      <c r="C84" s="1292" t="inlineStr">
        <is>
          <t>Delta plus</t>
        </is>
      </c>
      <c r="D84" s="566" t="inlineStr">
        <is>
          <t>Botina Impermeável Composite Antiperfurante Eletricista C/ca</t>
        </is>
      </c>
      <c r="E84" s="492" t="n"/>
      <c r="F84" s="607" t="n">
        <v>241.53</v>
      </c>
      <c r="G84" s="447">
        <f>F84*12%</f>
        <v/>
      </c>
      <c r="H84" s="831" t="n">
        <v>-14.9</v>
      </c>
      <c r="I84" s="492" t="n">
        <v>30.75</v>
      </c>
      <c r="J84" s="340">
        <f>F84*18%</f>
        <v/>
      </c>
      <c r="K84" s="340">
        <f>(F84-J84)*1.65%</f>
        <v/>
      </c>
      <c r="L84" s="340">
        <f>(F84-J84)*7.6%</f>
        <v/>
      </c>
      <c r="M84" s="1097" t="n">
        <v>28.65</v>
      </c>
      <c r="N84" s="785">
        <f>(G84+I84)*(9.25%)</f>
        <v/>
      </c>
      <c r="O84" s="197" t="n">
        <v>142.25</v>
      </c>
      <c r="P84" s="1016">
        <f>(F84 - (G84+I84+O84+(J84+K84+L84))) - (H84-M84-N84)</f>
        <v/>
      </c>
      <c r="Q84" s="328">
        <f>P84/F84</f>
        <v/>
      </c>
      <c r="R84" s="904" t="inlineStr">
        <is>
          <t>Ativo</t>
        </is>
      </c>
      <c r="S84" s="904" t="inlineStr">
        <is>
          <t>brasilia</t>
        </is>
      </c>
      <c r="T84" s="569" t="n"/>
      <c r="U84" s="1030" t="n"/>
      <c r="V84" s="1030" t="n"/>
      <c r="W84" s="1030" t="n"/>
    </row>
    <row r="85" ht="15.75" customHeight="1" s="1349">
      <c r="A85" s="1265" t="inlineStr">
        <is>
          <t>6175046035061968</t>
        </is>
      </c>
      <c r="B85" s="1263" t="n">
        <v>10034034166666</v>
      </c>
      <c r="C85" s="1292" t="inlineStr">
        <is>
          <t>Delta plus</t>
        </is>
      </c>
      <c r="D85" s="686" t="n">
        <v>35.36</v>
      </c>
      <c r="E85" s="492" t="n"/>
      <c r="F85" s="607" t="n">
        <v>229</v>
      </c>
      <c r="G85" s="447">
        <f>F85*12%</f>
        <v/>
      </c>
      <c r="H85" s="831" t="n"/>
      <c r="I85" s="492" t="n">
        <v>26.25</v>
      </c>
      <c r="J85" s="340">
        <f>F85*18%</f>
        <v/>
      </c>
      <c r="K85" s="340">
        <f>(F85-J85)*1.65%</f>
        <v/>
      </c>
      <c r="L85" s="340">
        <f>(F85-J85)*7.6%</f>
        <v/>
      </c>
      <c r="M85" s="1097" t="n">
        <v>28.65</v>
      </c>
      <c r="N85" s="785">
        <f>(G85+I85)*(9.25%)</f>
        <v/>
      </c>
      <c r="O85" s="197" t="n">
        <v>142.25</v>
      </c>
      <c r="P85" s="1016">
        <f>(F85 - (G85+I85+O85+(J85+K85+L85))) - (H85-M85-N85)</f>
        <v/>
      </c>
      <c r="Q85" s="328">
        <f>P85/F85</f>
        <v/>
      </c>
      <c r="R85" s="904" t="inlineStr">
        <is>
          <t>Estoque encalhado</t>
        </is>
      </c>
      <c r="S85" s="904" t="inlineStr">
        <is>
          <t>brasilia</t>
        </is>
      </c>
      <c r="T85" s="569" t="n"/>
      <c r="U85" s="1030" t="n"/>
      <c r="V85" s="1030" t="n"/>
      <c r="W85" s="1030" t="n"/>
    </row>
    <row r="86" ht="15.75" customHeight="1" s="1349">
      <c r="A86" s="1265" t="inlineStr">
        <is>
          <t>5338840990 3990254681</t>
        </is>
      </c>
      <c r="B86" s="1263" t="inlineStr">
        <is>
          <t>800100P</t>
        </is>
      </c>
      <c r="C86" s="1292" t="inlineStr">
        <is>
          <t>Camper</t>
        </is>
      </c>
      <c r="D86" s="491" t="inlineStr">
        <is>
          <t>Capacete Epi Segurança Camper Carneira E Jugular Cor Branco</t>
        </is>
      </c>
      <c r="E86" s="492" t="n"/>
      <c r="F86" s="607" t="n">
        <v>24.9</v>
      </c>
      <c r="G86" s="447">
        <f>F86*12%</f>
        <v/>
      </c>
      <c r="H86" s="831" t="n"/>
      <c r="I86" s="904" t="n">
        <v>7.95</v>
      </c>
      <c r="J86" s="340">
        <f>F86*18%</f>
        <v/>
      </c>
      <c r="K86" s="340">
        <f>(F86-J86)*1.65%</f>
        <v/>
      </c>
      <c r="L86" s="340">
        <f>(F86-J86)*7.6%</f>
        <v/>
      </c>
      <c r="M86" s="1097" t="n">
        <v>1.66</v>
      </c>
      <c r="N86" s="785">
        <f>(G86+I86)*(9.25%)</f>
        <v/>
      </c>
      <c r="O86" s="708" t="n">
        <v>8.24</v>
      </c>
      <c r="P86" s="1016">
        <f>(F86 - (G86+I86+O86+(J86+K86+L86))) - (H86-M86-N86)</f>
        <v/>
      </c>
      <c r="Q86" s="328">
        <f>P86/F86</f>
        <v/>
      </c>
      <c r="R86" s="904" t="inlineStr">
        <is>
          <t>Ativo</t>
        </is>
      </c>
      <c r="S86" s="904" t="inlineStr">
        <is>
          <t>(C) todas as cores</t>
        </is>
      </c>
      <c r="T86" s="569" t="n">
        <v>67</v>
      </c>
      <c r="U86" s="1030" t="n"/>
      <c r="V86" s="1030" t="n"/>
      <c r="W86" s="1030" t="n"/>
    </row>
    <row r="87" ht="15.75" customHeight="1" s="1349">
      <c r="A87" s="1265" t="inlineStr">
        <is>
          <t>3990218859 6595015714</t>
        </is>
      </c>
      <c r="B87" s="1263" t="inlineStr">
        <is>
          <t>800100P</t>
        </is>
      </c>
      <c r="C87" s="1292" t="inlineStr">
        <is>
          <t>Camper</t>
        </is>
      </c>
      <c r="D87" s="491" t="inlineStr">
        <is>
          <t>Capacete De Segurança Branco Jugular Obra Proteção Trabalho</t>
        </is>
      </c>
      <c r="E87" s="492" t="n"/>
      <c r="F87" s="607" t="n">
        <v>24.9</v>
      </c>
      <c r="G87" s="447">
        <f>F87*17%</f>
        <v/>
      </c>
      <c r="H87" s="831" t="n">
        <v>-1.49</v>
      </c>
      <c r="I87" s="904" t="n">
        <v>6.95</v>
      </c>
      <c r="J87" s="340">
        <f>F87*18%</f>
        <v/>
      </c>
      <c r="K87" s="340">
        <f>(F87-J87)*1.65%</f>
        <v/>
      </c>
      <c r="L87" s="340">
        <f>(F87-J87)*7.6%</f>
        <v/>
      </c>
      <c r="M87" s="1097" t="n">
        <v>1.66</v>
      </c>
      <c r="N87" s="785">
        <f>(G87+I87)*(9.25%)</f>
        <v/>
      </c>
      <c r="O87" s="708" t="n">
        <v>8.24</v>
      </c>
      <c r="P87" s="1016">
        <f>(F87 - (G87+I87+O87+(J87+K87+L87))) - (H87-M87-N87)</f>
        <v/>
      </c>
      <c r="Q87" s="328">
        <f>P87/F87</f>
        <v/>
      </c>
      <c r="R87" s="904" t="inlineStr">
        <is>
          <t>DELETAR</t>
        </is>
      </c>
      <c r="S87" s="904" t="n"/>
      <c r="T87" s="569" t="n"/>
      <c r="U87" s="1030" t="n"/>
      <c r="V87" s="1030" t="n"/>
      <c r="W87" s="1030" t="n"/>
      <c r="X87" s="579" t="n"/>
      <c r="Y87" s="579" t="n"/>
      <c r="Z87" s="579" t="n"/>
      <c r="AA87" s="579" t="n"/>
      <c r="AB87" s="579" t="n"/>
      <c r="AC87" s="579" t="n"/>
      <c r="AD87" s="579" t="n"/>
      <c r="AE87" s="579" t="n"/>
      <c r="AF87" s="579" t="n"/>
    </row>
    <row r="88" ht="15.75" customHeight="1" s="1349">
      <c r="A88" s="1265" t="inlineStr">
        <is>
          <t>7711976237812623</t>
        </is>
      </c>
      <c r="B88" s="1263" t="n">
        <v>10034034168324</v>
      </c>
      <c r="C88" s="904" t="inlineStr">
        <is>
          <t>Camper</t>
        </is>
      </c>
      <c r="D88" s="491" t="inlineStr">
        <is>
          <t>Kit Capacete Camper Avant + Carneira + Jugular Epi Segurança</t>
        </is>
      </c>
      <c r="E88" s="492" t="n"/>
      <c r="F88" s="607" t="n">
        <v>26.09</v>
      </c>
      <c r="G88" s="447">
        <f>F88*17%</f>
        <v/>
      </c>
      <c r="H88" s="831" t="n"/>
      <c r="I88" s="904">
        <f>IFS(
  F88&lt;12.5, F88/2,
  F88&lt;29, 6.25,
  F88&lt;50, 6.5,
  F88&lt;=79, 6.75,
  TRUE, 25
)</f>
        <v/>
      </c>
      <c r="J88" s="340">
        <f>F88*18%</f>
        <v/>
      </c>
      <c r="K88" s="340">
        <f>(F88-J88)*1.65%</f>
        <v/>
      </c>
      <c r="L88" s="340">
        <f>(F88-J88)*7.6%</f>
        <v/>
      </c>
      <c r="M88" s="1097">
        <f>1.66+0.42</f>
        <v/>
      </c>
      <c r="N88" s="785">
        <f>(G88+I88)*(9.25%)</f>
        <v/>
      </c>
      <c r="O88" s="708">
        <f>8.24+2.09</f>
        <v/>
      </c>
      <c r="P88" s="1016">
        <f>(F88 - (G88+I88+O88+(J88+K88+L88))) - (H88-M88-N88)</f>
        <v/>
      </c>
      <c r="Q88" s="328">
        <f>P88/F88</f>
        <v/>
      </c>
      <c r="R88" s="904" t="inlineStr">
        <is>
          <t>Ativo</t>
        </is>
      </c>
      <c r="S88" s="904" t="n"/>
      <c r="T88" s="569" t="n"/>
      <c r="U88" s="1030" t="n"/>
      <c r="V88" s="1030" t="n"/>
      <c r="W88" s="1030" t="n"/>
    </row>
    <row r="89" ht="15.75" customHeight="1" s="1349">
      <c r="A89" s="1265" t="inlineStr">
        <is>
          <t>8810736502505038</t>
        </is>
      </c>
      <c r="B89" s="1263" t="n">
        <v>10034034166216</v>
      </c>
      <c r="C89" s="1292" t="inlineStr">
        <is>
          <t>Delta plus</t>
        </is>
      </c>
      <c r="D89" s="194" t="inlineStr">
        <is>
          <t>Botina Londrina Bota Segurança Amarrar Couro Nobuck Com Ca</t>
        </is>
      </c>
      <c r="E89" s="654" t="n"/>
      <c r="F89" s="607" t="n">
        <v>179</v>
      </c>
      <c r="G89" s="447">
        <f>F89*12%</f>
        <v/>
      </c>
      <c r="H89" s="831" t="n"/>
      <c r="I89" s="492" t="n">
        <v>22.45</v>
      </c>
      <c r="J89" s="340">
        <f>F89*18%</f>
        <v/>
      </c>
      <c r="K89" s="340">
        <f>(F89-J89)*1.65%</f>
        <v/>
      </c>
      <c r="L89" s="340">
        <f>(F89-J89)*7.6%</f>
        <v/>
      </c>
      <c r="M89" s="1097" t="n">
        <v>18.79</v>
      </c>
      <c r="N89" s="785">
        <f>(G89+I89)*(9.25%)</f>
        <v/>
      </c>
      <c r="O89" s="708" t="n">
        <v>103.68</v>
      </c>
      <c r="P89" s="1016">
        <f>(F89 - (G89+I89+O89+(J89+K89+L89))) - (H89-M89-N89)</f>
        <v/>
      </c>
      <c r="Q89" s="328">
        <f>P89/F89</f>
        <v/>
      </c>
      <c r="R89" s="904" t="inlineStr">
        <is>
          <t>TRAVADO</t>
        </is>
      </c>
      <c r="S89" s="651" t="n"/>
      <c r="T89" s="569" t="n">
        <v>283</v>
      </c>
      <c r="U89" s="1030" t="n"/>
      <c r="V89" s="1030" t="n"/>
      <c r="W89" s="1030" t="n"/>
    </row>
    <row r="90" ht="15.75" customHeight="1" s="1349">
      <c r="A90" s="687" t="inlineStr">
        <is>
          <t>8810736502505038</t>
        </is>
      </c>
      <c r="B90" s="688" t="n">
        <v>10034034166216</v>
      </c>
      <c r="C90" s="689" t="inlineStr">
        <is>
          <t>Delta plus</t>
        </is>
      </c>
      <c r="D90" s="690" t="inlineStr">
        <is>
          <t>PR 39</t>
        </is>
      </c>
      <c r="E90" s="855" t="n"/>
      <c r="F90" s="747" t="n">
        <v>159.9</v>
      </c>
      <c r="G90" s="34">
        <f>F90*12%</f>
        <v/>
      </c>
      <c r="H90" s="759" t="n"/>
      <c r="I90" s="761" t="n">
        <v>22.45</v>
      </c>
      <c r="J90" s="663">
        <f>F90*18%</f>
        <v/>
      </c>
      <c r="K90" s="663">
        <f>(F90-J90)*1.65%</f>
        <v/>
      </c>
      <c r="L90" s="663">
        <f>(F90-J90)*7.6%</f>
        <v/>
      </c>
      <c r="M90" s="784" t="n">
        <v>18.79</v>
      </c>
      <c r="N90" s="785">
        <f>(G90+I90)*(9.25%)</f>
        <v/>
      </c>
      <c r="O90" s="674" t="n">
        <v>93.28</v>
      </c>
      <c r="P90" s="1016">
        <f>(F90 - (G90+I90+O90+(J90+K90+L90))) - (H90-M90-N90)</f>
        <v/>
      </c>
      <c r="Q90" s="694">
        <f>P90/F90</f>
        <v/>
      </c>
      <c r="R90" s="665" t="inlineStr">
        <is>
          <t>Estoque encalhado</t>
        </is>
      </c>
      <c r="S90" s="666" t="n"/>
      <c r="T90" s="695" t="n">
        <v>283</v>
      </c>
      <c r="U90" s="1170" t="n"/>
      <c r="V90" s="1170" t="n"/>
      <c r="W90" s="1170" t="n"/>
    </row>
    <row r="91" ht="15.75" customHeight="1" s="1349">
      <c r="A91" s="1265" t="inlineStr">
        <is>
          <t>4549433040</t>
        </is>
      </c>
      <c r="B91" s="1263" t="n">
        <v>100100100505</v>
      </c>
      <c r="C91" s="1292" t="inlineStr">
        <is>
          <t>Vinilseg</t>
        </is>
      </c>
      <c r="D91" s="566" t="inlineStr">
        <is>
          <t>Capa De Chuva Com Forro Soft Pvc Amarela Capuz Resistente</t>
        </is>
      </c>
      <c r="E91" s="492" t="n"/>
      <c r="F91" s="607" t="n">
        <v>29.99</v>
      </c>
      <c r="G91" s="447">
        <f>F91*12%</f>
        <v/>
      </c>
      <c r="H91" s="831" t="n">
        <v>-0.5</v>
      </c>
      <c r="I91" s="904" t="n">
        <v>6.65</v>
      </c>
      <c r="J91" s="340">
        <f>F91*18%</f>
        <v/>
      </c>
      <c r="K91" s="340">
        <f>(F91-J91)*1.65%</f>
        <v/>
      </c>
      <c r="L91" s="340">
        <f>(F91-J91)*7.6%</f>
        <v/>
      </c>
      <c r="M91" s="1097" t="n">
        <v>2.97</v>
      </c>
      <c r="N91" s="785">
        <f>(G91+I91)*(9.25%)</f>
        <v/>
      </c>
      <c r="O91" s="708" t="n">
        <v>14.75</v>
      </c>
      <c r="P91" s="1016">
        <f>(F91 - (G91+I91+O91+(J91+K91+L91))) - (H91-M91-N91)</f>
        <v/>
      </c>
      <c r="Q91" s="328">
        <f>P91/F91</f>
        <v/>
      </c>
      <c r="R91" s="904" t="inlineStr">
        <is>
          <t>Ativo</t>
        </is>
      </c>
      <c r="S91" s="651" t="n"/>
      <c r="T91" s="569" t="n">
        <v>138</v>
      </c>
      <c r="U91" s="1030" t="n"/>
      <c r="V91" s="1030" t="n"/>
      <c r="W91" s="1030" t="n"/>
    </row>
    <row r="92" ht="15.75" customHeight="1" s="1349">
      <c r="A92" s="1265" t="inlineStr">
        <is>
          <t>2914359248</t>
        </is>
      </c>
      <c r="B92" s="1263" t="n">
        <v>100700703135</v>
      </c>
      <c r="C92" s="904" t="inlineStr">
        <is>
          <t>Trevira</t>
        </is>
      </c>
      <c r="D92" s="566" t="inlineStr">
        <is>
          <t>Capa De Chuva Forrada Trevira Amarela Resistente Impermeável</t>
        </is>
      </c>
      <c r="E92" s="571" t="n"/>
      <c r="F92" s="607" t="n">
        <v>38.97</v>
      </c>
      <c r="G92" s="447">
        <f>F92*12%</f>
        <v/>
      </c>
      <c r="H92" s="831" t="n">
        <v>-0.5</v>
      </c>
      <c r="I92" s="904" t="n">
        <v>6.75</v>
      </c>
      <c r="J92" s="340">
        <f>F92*18%</f>
        <v/>
      </c>
      <c r="K92" s="340">
        <f>(F92-J92)*1.65%</f>
        <v/>
      </c>
      <c r="L92" s="340">
        <f>(F92-J92)*7.6%</f>
        <v/>
      </c>
      <c r="M92" s="1097" t="n">
        <v>3.94</v>
      </c>
      <c r="N92" s="785">
        <f>(G92+I92)*(9.25%)</f>
        <v/>
      </c>
      <c r="O92" s="708" t="n">
        <v>19.55</v>
      </c>
      <c r="P92" s="1016">
        <f>(F92 - (G92+I92+O92+(J92+K92+L92))) - (H92-M92-N92)</f>
        <v/>
      </c>
      <c r="Q92" s="328">
        <f>P92/F92</f>
        <v/>
      </c>
      <c r="R92" s="904" t="inlineStr">
        <is>
          <t>Ativo</t>
        </is>
      </c>
      <c r="S92" s="651" t="n"/>
      <c r="T92" s="569" t="n">
        <v>277</v>
      </c>
      <c r="U92" s="1030" t="n"/>
      <c r="V92" s="1030" t="n"/>
      <c r="W92" s="1030" t="n"/>
    </row>
    <row r="93" ht="15.75" customHeight="1" s="1349">
      <c r="A93" s="1265" t="inlineStr">
        <is>
          <t>3775290531</t>
        </is>
      </c>
      <c r="B93" s="1263" t="n">
        <v>10034034166276</v>
      </c>
      <c r="C93" s="1292" t="inlineStr">
        <is>
          <t>Camper</t>
        </is>
      </c>
      <c r="D93" s="566" t="inlineStr">
        <is>
          <t>Capacete C/ Suporte E Jugular + Abafador Ouvido Acoplar 18db</t>
        </is>
      </c>
      <c r="E93" s="571" t="n"/>
      <c r="F93" s="607" t="n">
        <v>53.35</v>
      </c>
      <c r="G93" s="447">
        <f>F93*12%</f>
        <v/>
      </c>
      <c r="H93" s="831" t="n">
        <v>-1.65</v>
      </c>
      <c r="I93" s="904">
        <f>IFS(
  F93&lt;12.5, F93/2,
  F93&lt;29, 6.25,
  F93&lt;50, 6.5,
  F93&lt;=79, 6.75,
  TRUE, 25
)</f>
        <v/>
      </c>
      <c r="J93" s="340">
        <f>F93*18%</f>
        <v/>
      </c>
      <c r="K93" s="340">
        <f>(F93-J93)*1.65%</f>
        <v/>
      </c>
      <c r="L93" s="340">
        <f>(F93-J93)*7.6%</f>
        <v/>
      </c>
      <c r="M93" s="1097">
        <f>3.44 + 1.66 + 0.42</f>
        <v/>
      </c>
      <c r="N93" s="785">
        <f>(G93+I93)*(9.25%)</f>
        <v/>
      </c>
      <c r="O93" s="708">
        <f>18.77 + 8.24 + 2.09</f>
        <v/>
      </c>
      <c r="P93" s="1016">
        <f>(F93 - (G93+I93+O93+(J93+K93+L93))) - (H93-M93-N93)</f>
        <v/>
      </c>
      <c r="Q93" s="328">
        <f>P93/F93</f>
        <v/>
      </c>
      <c r="R93" s="904" t="inlineStr">
        <is>
          <t>Ativo</t>
        </is>
      </c>
      <c r="S93" s="651" t="n"/>
      <c r="T93" s="569" t="n"/>
      <c r="U93" s="1030" t="n"/>
      <c r="V93" s="1030" t="n"/>
      <c r="W93" s="1030" t="n"/>
    </row>
    <row r="94" ht="15.75" customHeight="1" s="1349">
      <c r="A94" s="245" t="inlineStr">
        <is>
          <t>3291642506 5335589630 5335501126 4100208353</t>
        </is>
      </c>
      <c r="B94" s="697" t="n">
        <v>117266</v>
      </c>
      <c r="C94" s="904" t="n"/>
      <c r="D94" s="636" t="inlineStr">
        <is>
          <t>Capacete Msa V-gard Branco Engenheiro Push Key Jugular</t>
        </is>
      </c>
      <c r="E94" s="904" t="n"/>
      <c r="F94" s="607" t="n">
        <v>74.72</v>
      </c>
      <c r="G94" s="447">
        <f>F94*12%</f>
        <v/>
      </c>
      <c r="H94" s="831" t="n">
        <v>-2.81</v>
      </c>
      <c r="I94" s="904" t="n">
        <v>8.550000000000001</v>
      </c>
      <c r="J94" s="340">
        <f>F94*18%</f>
        <v/>
      </c>
      <c r="K94" s="340">
        <f>(F94-J94)*1.65%</f>
        <v/>
      </c>
      <c r="L94" s="340">
        <f>(F94-J94)*7.6%</f>
        <v/>
      </c>
      <c r="M94" s="1097" t="n">
        <v>13.05</v>
      </c>
      <c r="N94" s="785">
        <f>(G94+I94)*(9.25%)</f>
        <v/>
      </c>
      <c r="O94" s="708" t="n">
        <v>51</v>
      </c>
      <c r="P94" s="1016">
        <f>(F94 - (G94+I94+O94+(J94+K94+L94))) - (H94-M94-N94)</f>
        <v/>
      </c>
      <c r="Q94" s="328">
        <f>P94/F94</f>
        <v/>
      </c>
      <c r="R94" s="904" t="inlineStr">
        <is>
          <t>Ativo</t>
        </is>
      </c>
      <c r="S94" s="904" t="inlineStr">
        <is>
          <t>(catalogo)</t>
        </is>
      </c>
      <c r="T94" s="569" t="n">
        <v>33</v>
      </c>
      <c r="U94" s="1030" t="n"/>
      <c r="V94" s="1030" t="n"/>
      <c r="W94" s="1030" t="n"/>
    </row>
    <row r="95" ht="15.75" customHeight="1" s="1349">
      <c r="A95" s="1265" t="inlineStr">
        <is>
          <t>2424399251869394</t>
        </is>
      </c>
      <c r="B95" s="1263" t="n">
        <v>10034034166235</v>
      </c>
      <c r="C95" s="1292" t="inlineStr">
        <is>
          <t>Delta plus</t>
        </is>
      </c>
      <c r="D95" s="491" t="inlineStr">
        <is>
          <t>Capacete Segurança Faixa Refletiva Carneira E Jugular Epi Ca</t>
        </is>
      </c>
      <c r="E95" s="492" t="n"/>
      <c r="F95" s="607" t="n">
        <v>57.46</v>
      </c>
      <c r="G95" s="447">
        <f>F95*12%</f>
        <v/>
      </c>
      <c r="H95" s="831" t="n">
        <v>-2.44</v>
      </c>
      <c r="I95" s="904" t="n">
        <v>8.85</v>
      </c>
      <c r="J95" s="340">
        <f>F95*18%</f>
        <v/>
      </c>
      <c r="K95" s="340">
        <f>(F95-J95)*1.65%</f>
        <v/>
      </c>
      <c r="L95" s="340">
        <f>(F95-J95)*7.6%</f>
        <v/>
      </c>
      <c r="M95" s="1097" t="n">
        <v>7.44</v>
      </c>
      <c r="N95" s="785">
        <f>(G95+I95)*(9.25%)</f>
        <v/>
      </c>
      <c r="O95" s="708" t="n">
        <v>33.3</v>
      </c>
      <c r="P95" s="1016">
        <f>(F95 - (G95+I95+O95+(J95+K95+L95))) - (H95-M95-N95)</f>
        <v/>
      </c>
      <c r="Q95" s="328">
        <f>P95/F95</f>
        <v/>
      </c>
      <c r="R95" s="904" t="inlineStr">
        <is>
          <t>Desativado</t>
        </is>
      </c>
      <c r="S95" s="904" t="inlineStr">
        <is>
          <t>diamond</t>
        </is>
      </c>
      <c r="T95" s="569" t="n">
        <v>175</v>
      </c>
      <c r="U95" s="1030" t="n"/>
      <c r="V95" s="1030" t="n"/>
      <c r="W95" s="1030" t="n"/>
    </row>
    <row r="96" ht="15.75" customHeight="1" s="1349">
      <c r="A96" s="1265" t="inlineStr">
        <is>
          <t>5384684960</t>
        </is>
      </c>
      <c r="B96" s="1263" t="n">
        <v>10034034166964</v>
      </c>
      <c r="C96" s="1292" t="inlineStr">
        <is>
          <t>Outros</t>
        </is>
      </c>
      <c r="D96" s="194">
        <f>hyperlink("https://produto.mercadolivre.com.br/MLB-5384684960-cascola-adesivo-cola-contato-sem-toluol-tradicional-33lt-_JM","Cascola Adesivo Cola Contato Sem Toluol Tradicional 3,3lt")</f>
        <v/>
      </c>
      <c r="E96" s="654" t="n"/>
      <c r="F96" s="607" t="n">
        <v>205.83</v>
      </c>
      <c r="G96" s="447">
        <f>F96*11.5%</f>
        <v/>
      </c>
      <c r="H96" s="831" t="n">
        <v>-9.31</v>
      </c>
      <c r="I96" s="492" t="n">
        <v>28.35</v>
      </c>
      <c r="J96" s="340">
        <f>F96*18%</f>
        <v/>
      </c>
      <c r="K96" s="340">
        <f>(F96-J96)*1.65%</f>
        <v/>
      </c>
      <c r="L96" s="340">
        <f>(F96-J96)*7.6%</f>
        <v/>
      </c>
      <c r="M96" s="1097" t="n">
        <v>35.31</v>
      </c>
      <c r="N96" s="785">
        <f>(G96+I96)*(9.25%)</f>
        <v/>
      </c>
      <c r="O96" s="708" t="n">
        <v>138</v>
      </c>
      <c r="P96" s="1016">
        <f>(F96 - (G96+I96+O96+(J96+K96+L96))) - (H96-M96-N96)</f>
        <v/>
      </c>
      <c r="Q96" s="328">
        <f>P96/F96</f>
        <v/>
      </c>
      <c r="R96" s="904" t="inlineStr">
        <is>
          <t>Ativo</t>
        </is>
      </c>
      <c r="S96" s="651" t="n"/>
      <c r="T96" s="569" t="n">
        <v>1</v>
      </c>
      <c r="U96" s="1030" t="n"/>
      <c r="V96" s="1030" t="n"/>
      <c r="W96" s="1030" t="n"/>
    </row>
    <row r="97" ht="15.75" customHeight="1" s="1349">
      <c r="A97" s="489" t="inlineStr">
        <is>
          <t>6392028364</t>
        </is>
      </c>
      <c r="B97" s="713" t="n">
        <v>10034034168195</v>
      </c>
      <c r="C97" s="904" t="inlineStr">
        <is>
          <t>ÂNCORA</t>
        </is>
      </c>
      <c r="D97" s="491" t="inlineStr">
        <is>
          <t>Kit 3 Chumbador Pba 1/2 X 4 10cm C/ Porca E Arruela Parabolt</t>
        </is>
      </c>
      <c r="E97" s="492" t="n"/>
      <c r="F97" s="607" t="n">
        <v>24.73</v>
      </c>
      <c r="G97" s="447">
        <f>F97*17%</f>
        <v/>
      </c>
      <c r="H97" s="831" t="n">
        <v>-0.77</v>
      </c>
      <c r="I97" s="904" t="n">
        <v>6.55</v>
      </c>
      <c r="J97" s="340">
        <f>F97*18%</f>
        <v/>
      </c>
      <c r="K97" s="340">
        <f>(F97-J97)*1.65%</f>
        <v/>
      </c>
      <c r="L97" s="340">
        <f>(F97-J97)*7.6%</f>
        <v/>
      </c>
      <c r="M97" s="1097">
        <f>0.21*3</f>
        <v/>
      </c>
      <c r="N97" s="785">
        <f>(G97+I97)*(9.25%)</f>
        <v/>
      </c>
      <c r="O97" s="708">
        <f>1.74*4</f>
        <v/>
      </c>
      <c r="P97" s="1016">
        <f>(F97 - (G97+I97+O97+(J97+K97+L97))) - (H97-M97-N97)</f>
        <v/>
      </c>
      <c r="Q97" s="328">
        <f>P97/F97</f>
        <v/>
      </c>
      <c r="R97" s="904" t="inlineStr">
        <is>
          <t>Ativo</t>
        </is>
      </c>
      <c r="S97" s="904" t="inlineStr">
        <is>
          <t>kit 3</t>
        </is>
      </c>
      <c r="T97" s="569" t="n"/>
      <c r="U97" s="1030" t="n"/>
      <c r="V97" s="1030" t="n"/>
      <c r="W97" s="1030" t="n"/>
    </row>
    <row r="98" ht="15.75" customHeight="1" s="1349">
      <c r="A98" s="489" t="inlineStr">
        <is>
          <t>5245212836</t>
        </is>
      </c>
      <c r="B98" s="713" t="n">
        <v>10034034167553</v>
      </c>
      <c r="C98" s="1292" t="inlineStr">
        <is>
          <t>ÂNCORA</t>
        </is>
      </c>
      <c r="D98" s="491" t="inlineStr">
        <is>
          <t>Chumbador Pba 1/2 X 4 10cm C/ Porca E Arruela Parabolt 10un</t>
        </is>
      </c>
      <c r="E98" s="492" t="n"/>
      <c r="F98" s="607" t="n">
        <v>52.95</v>
      </c>
      <c r="G98" s="447">
        <f>F98*12%</f>
        <v/>
      </c>
      <c r="H98" s="831" t="n">
        <v>-1.64</v>
      </c>
      <c r="I98" s="904">
        <f>IFS(
  F98&lt;12.5, F98/2,
  F98&lt;29, 6.25,
  F98&lt;50, 6.5,
  F98&lt;=79, 6.75,
  TRUE, 25
)</f>
        <v/>
      </c>
      <c r="J98" s="340">
        <f>F98*18%</f>
        <v/>
      </c>
      <c r="K98" s="340">
        <f>(F98-J98)*1.65%</f>
        <v/>
      </c>
      <c r="L98" s="340">
        <f>(F98-J98)*7.6%</f>
        <v/>
      </c>
      <c r="M98" s="1097">
        <f>0.21*10</f>
        <v/>
      </c>
      <c r="N98" s="785">
        <f>(G98+I98)*(9.25%)</f>
        <v/>
      </c>
      <c r="O98" s="708">
        <f>1.74*10</f>
        <v/>
      </c>
      <c r="P98" s="1016">
        <f>(F98 - (G98+I98+O98+(J98+K98+L98))) - (H98-M98-N98)</f>
        <v/>
      </c>
      <c r="Q98" s="328">
        <f>P98/F98</f>
        <v/>
      </c>
      <c r="R98" s="904" t="inlineStr">
        <is>
          <t>Ativo</t>
        </is>
      </c>
      <c r="S98" s="904" t="inlineStr">
        <is>
          <t>kit 10</t>
        </is>
      </c>
      <c r="T98" s="569" t="n">
        <v>37</v>
      </c>
      <c r="U98" s="1030" t="n"/>
      <c r="V98" s="1030" t="n"/>
      <c r="W98" s="1030" t="n"/>
    </row>
    <row r="99" ht="15.75" customHeight="1" s="1349">
      <c r="A99" s="1265" t="inlineStr">
        <is>
          <t>5344243526</t>
        </is>
      </c>
      <c r="B99" s="1263" t="n">
        <v>10034034166748</v>
      </c>
      <c r="C99" s="1292" t="inlineStr">
        <is>
          <t>ÂNCORA</t>
        </is>
      </c>
      <c r="D99" s="194" t="inlineStr">
        <is>
          <t>Chumbador Químico 410 Ancora Aqi380pro C/ Aplicador Origina</t>
        </is>
      </c>
      <c r="E99" s="654" t="n"/>
      <c r="F99" s="607" t="n">
        <v>126.09</v>
      </c>
      <c r="G99" s="447">
        <f>F99*12%</f>
        <v/>
      </c>
      <c r="H99" s="831" t="n">
        <v>-7.56</v>
      </c>
      <c r="I99" s="492" t="n">
        <v>18.45</v>
      </c>
      <c r="J99" s="340">
        <f>F99*18%</f>
        <v/>
      </c>
      <c r="K99" s="340">
        <f>(F99-J99)*1.65%</f>
        <v/>
      </c>
      <c r="L99" s="340">
        <f>(F99-J99)*7.6%</f>
        <v/>
      </c>
      <c r="M99" s="1097" t="n">
        <v>8.859999999999999</v>
      </c>
      <c r="N99" s="785">
        <f>(G99+I99)*(9.25%)</f>
        <v/>
      </c>
      <c r="O99" s="708" t="n">
        <v>69.56999999999999</v>
      </c>
      <c r="P99" s="1016">
        <f>(F99 - (G99+I99+O99+(J99+K99+L99))) - (H99-M99-N99)</f>
        <v/>
      </c>
      <c r="Q99" s="328">
        <f>P99/F99</f>
        <v/>
      </c>
      <c r="R99" s="904" t="inlineStr">
        <is>
          <t>Ativo</t>
        </is>
      </c>
      <c r="S99" s="651" t="n"/>
      <c r="T99" s="569" t="n">
        <v>245</v>
      </c>
      <c r="U99" s="1030" t="n"/>
      <c r="V99" s="1030" t="n"/>
      <c r="W99" s="1030" t="n"/>
    </row>
    <row r="100" ht="15.75" customHeight="1" s="1349">
      <c r="A100" s="1265" t="inlineStr">
        <is>
          <t>5926115140</t>
        </is>
      </c>
      <c r="B100" s="1263" t="n">
        <v>10034034168163</v>
      </c>
      <c r="C100" s="904" t="inlineStr">
        <is>
          <t>ÂNCORA</t>
        </is>
      </c>
      <c r="D100" s="491" t="inlineStr">
        <is>
          <t>Kit 100 Chumbador Parabolt Pba 3/8 X 2.1/4 C Porca E Arruela</t>
        </is>
      </c>
      <c r="E100" s="492" t="n"/>
      <c r="F100" s="607" t="n">
        <v>189.49</v>
      </c>
      <c r="G100" s="447">
        <f>F100*12%</f>
        <v/>
      </c>
      <c r="H100" s="831" t="n">
        <v>-3.09</v>
      </c>
      <c r="I100" s="492" t="n">
        <v>26.25</v>
      </c>
      <c r="J100" s="340">
        <f>F100*18%</f>
        <v/>
      </c>
      <c r="K100" s="340">
        <f>(F100-J100)*1.65%</f>
        <v/>
      </c>
      <c r="L100" s="340">
        <f>(F100-J100)*7.6%</f>
        <v/>
      </c>
      <c r="M100" s="577" t="n"/>
      <c r="N100" s="543">
        <f>(G100+I100)*(9.25%)</f>
        <v/>
      </c>
      <c r="O100" s="698" t="n"/>
      <c r="P100" s="1016">
        <f>(F100 - (G100+I100+O100+(J100+K100+L100))) - (H100-M100-N100)</f>
        <v/>
      </c>
      <c r="Q100" s="328">
        <f>P100/F100</f>
        <v/>
      </c>
      <c r="R100" s="904" t="n"/>
      <c r="S100" s="651" t="n"/>
      <c r="T100" s="569" t="n"/>
      <c r="U100" s="1030" t="n"/>
      <c r="V100" s="1030" t="n"/>
      <c r="W100" s="1030" t="n"/>
    </row>
    <row r="101" ht="15.75" customHeight="1" s="1349">
      <c r="A101" s="1265" t="inlineStr">
        <is>
          <t>4071792781</t>
        </is>
      </c>
      <c r="B101" s="1263" t="n">
        <v>10034034166746</v>
      </c>
      <c r="C101" s="1292" t="inlineStr">
        <is>
          <t>ÂNCORA</t>
        </is>
      </c>
      <c r="D101" s="566" t="inlineStr">
        <is>
          <t>Chumbador Quimico Epoxi Bi Componente Injecao Qep400 Ancora</t>
        </is>
      </c>
      <c r="E101" s="492" t="n">
        <v>247.9</v>
      </c>
      <c r="F101" s="607" t="n">
        <v>193.99</v>
      </c>
      <c r="G101" s="447">
        <f>F101*12%</f>
        <v/>
      </c>
      <c r="H101" s="831" t="n">
        <v>-5.39</v>
      </c>
      <c r="I101" s="492" t="n">
        <v>23.65</v>
      </c>
      <c r="J101" s="340">
        <f>F101*18%</f>
        <v/>
      </c>
      <c r="K101" s="340">
        <f>(F101-J101)*1.65%</f>
        <v/>
      </c>
      <c r="L101" s="340">
        <f>(F101-J101)*7.6%</f>
        <v/>
      </c>
      <c r="M101" s="1097" t="n">
        <v>13.26</v>
      </c>
      <c r="N101" s="785">
        <f>(G101+I101)*(9.25%)</f>
        <v/>
      </c>
      <c r="O101" s="708" t="n">
        <v>102.93</v>
      </c>
      <c r="P101" s="1016">
        <f>(F101 - (G101+I101+O101+(J101+K101+L101))) - (H101-M101-N101)</f>
        <v/>
      </c>
      <c r="Q101" s="328">
        <f>P101/F101</f>
        <v/>
      </c>
      <c r="R101" s="904" t="inlineStr">
        <is>
          <t>Ativo</t>
        </is>
      </c>
      <c r="S101" s="651" t="n"/>
      <c r="T101" s="569" t="n">
        <v>17</v>
      </c>
      <c r="U101" s="1030" t="n"/>
      <c r="V101" s="1030" t="n"/>
      <c r="W101" s="1030" t="n"/>
    </row>
    <row r="102" ht="15.75" customHeight="1" s="1349">
      <c r="A102" s="1265" t="inlineStr">
        <is>
          <t>5378169546</t>
        </is>
      </c>
      <c r="B102" s="1263" t="n">
        <v>10034034166750</v>
      </c>
      <c r="C102" s="1292" t="inlineStr">
        <is>
          <t>ÂNCORA</t>
        </is>
      </c>
      <c r="D102" s="566" t="inlineStr">
        <is>
          <t>Chumbador Químico Poliester Qpo300 C/ Aplicador Seca Rapido</t>
        </is>
      </c>
      <c r="E102" s="492" t="n">
        <v>119.99</v>
      </c>
      <c r="F102" s="607" t="n">
        <v>99</v>
      </c>
      <c r="G102" s="447">
        <f>F102*11.5%</f>
        <v/>
      </c>
      <c r="H102" s="831" t="n"/>
      <c r="I102" s="492" t="n">
        <v>13.85</v>
      </c>
      <c r="J102" s="340">
        <f>F102*18%</f>
        <v/>
      </c>
      <c r="K102" s="340">
        <f>(F102-J102)*1.65%</f>
        <v/>
      </c>
      <c r="L102" s="340">
        <f>(F102-J102)*7.6%</f>
        <v/>
      </c>
      <c r="M102" s="1097" t="n">
        <v>6.91</v>
      </c>
      <c r="N102" s="785">
        <f>(G102+I102)*(9.25%)</f>
        <v/>
      </c>
      <c r="O102" s="708" t="n">
        <v>53.65</v>
      </c>
      <c r="P102" s="1016">
        <f>(F102 - (G102+I102+O102+(J102+K102+L102))) - (H102-M102-N102)</f>
        <v/>
      </c>
      <c r="Q102" s="328">
        <f>P102/F102</f>
        <v/>
      </c>
      <c r="R102" s="904" t="inlineStr">
        <is>
          <t>Ativo</t>
        </is>
      </c>
      <c r="S102" s="651" t="n"/>
      <c r="T102" s="569" t="n">
        <v>72</v>
      </c>
      <c r="U102" s="1030" t="n"/>
      <c r="V102" s="1030" t="n"/>
      <c r="W102" s="1030" t="n"/>
    </row>
    <row r="103" ht="15.75" customHeight="1" s="1349">
      <c r="A103" s="1265" t="inlineStr">
        <is>
          <t>4073492065</t>
        </is>
      </c>
      <c r="B103" s="1263" t="n">
        <v>10034034167071</v>
      </c>
      <c r="C103" s="1292" t="inlineStr">
        <is>
          <t>TekBond</t>
        </is>
      </c>
      <c r="D103" s="194" t="inlineStr">
        <is>
          <t>Cola Branca Líquida Pva Extra Tekbond 500g Colar Cor Branca</t>
        </is>
      </c>
      <c r="E103" s="654" t="n"/>
      <c r="F103" s="607" t="n">
        <v>26.9</v>
      </c>
      <c r="G103" s="447">
        <f>F103*11.5%</f>
        <v/>
      </c>
      <c r="H103" s="831" t="n"/>
      <c r="I103" s="904" t="n">
        <v>6.85</v>
      </c>
      <c r="J103" s="340">
        <f>F103*18%</f>
        <v/>
      </c>
      <c r="K103" s="340">
        <f>(F103-J103)*1.65%</f>
        <v/>
      </c>
      <c r="L103" s="340">
        <f>(F103-J103)*7.6%</f>
        <v/>
      </c>
      <c r="M103" s="1097" t="n">
        <v>2.51</v>
      </c>
      <c r="N103" s="785">
        <f>(G103+I103)*(9.25%)</f>
        <v/>
      </c>
      <c r="O103" s="708" t="n">
        <v>9.81</v>
      </c>
      <c r="P103" s="1016">
        <f>(F103 - (G103+I103+O103+(J103+K103+L103))) - (H103-M103-N103)</f>
        <v/>
      </c>
      <c r="Q103" s="328">
        <f>P103/F103</f>
        <v/>
      </c>
      <c r="R103" s="904" t="inlineStr">
        <is>
          <t>Ativo</t>
        </is>
      </c>
      <c r="S103" s="904" t="n"/>
      <c r="T103" s="569" t="n">
        <v>6</v>
      </c>
      <c r="U103" s="1030" t="n"/>
      <c r="V103" s="1030" t="n"/>
      <c r="W103" s="1030" t="n"/>
    </row>
    <row r="104" ht="15.75" customHeight="1" s="1349">
      <c r="A104" s="1265" t="inlineStr">
        <is>
          <t>4073312543</t>
        </is>
      </c>
      <c r="B104" s="1263" t="n">
        <v>10034034167070</v>
      </c>
      <c r="C104" s="1292" t="inlineStr">
        <is>
          <t>TekBond</t>
        </is>
      </c>
      <c r="D104" s="194" t="inlineStr">
        <is>
          <t>Cola Branca Líquida Pva Extra Tekbond Seca Rapido Artesa 1kg</t>
        </is>
      </c>
      <c r="E104" s="654" t="n"/>
      <c r="F104" s="607" t="n">
        <v>32.7</v>
      </c>
      <c r="G104" s="447">
        <f>F104*16.5%</f>
        <v/>
      </c>
      <c r="H104" s="831" t="n">
        <v>-1.96</v>
      </c>
      <c r="I104" s="904" t="n">
        <v>6.85</v>
      </c>
      <c r="J104" s="340">
        <f>F104*18%</f>
        <v/>
      </c>
      <c r="K104" s="340">
        <f>(F104-J104)*1.65%</f>
        <v/>
      </c>
      <c r="L104" s="340">
        <f>(F104-J104)*7.6%</f>
        <v/>
      </c>
      <c r="M104" s="1097" t="n">
        <v>4.47</v>
      </c>
      <c r="N104" s="785">
        <f>(G104+I104)*(9.25%)</f>
        <v/>
      </c>
      <c r="O104" s="708" t="n">
        <v>17.45</v>
      </c>
      <c r="P104" s="1016">
        <f>(F104 - (G104+I104+O104+(J104+K104+L104))) - (H104-M104-N104)</f>
        <v/>
      </c>
      <c r="Q104" s="328">
        <f>P104/F104</f>
        <v/>
      </c>
      <c r="R104" s="904" t="inlineStr">
        <is>
          <t>Ativo</t>
        </is>
      </c>
      <c r="S104" s="651" t="n"/>
      <c r="T104" s="569" t="n"/>
      <c r="U104" s="1030" t="n"/>
      <c r="V104" s="1030" t="n"/>
      <c r="W104" s="1030" t="n"/>
    </row>
    <row r="105" ht="15.75" customHeight="1" s="1349">
      <c r="A105" s="1265" t="inlineStr">
        <is>
          <t>3346096201</t>
        </is>
      </c>
      <c r="B105" s="1263" t="n">
        <v>299</v>
      </c>
      <c r="C105" s="904" t="inlineStr">
        <is>
          <t>VOLK</t>
        </is>
      </c>
      <c r="D105" s="491" t="inlineStr">
        <is>
          <t>Macacão Proteção Pintura Quimico Impermeável C/ Capuz Volk</t>
        </is>
      </c>
      <c r="E105" s="492" t="n"/>
      <c r="F105" s="607" t="n">
        <v>23.9</v>
      </c>
      <c r="G105" s="447">
        <f>F105*14%</f>
        <v/>
      </c>
      <c r="H105" s="831" t="n"/>
      <c r="I105" s="904">
        <f>IFS(
  F105&lt;12.5, F105/2,
  F105&lt;29, 6.25,
  F105&lt;50, 6.5,
  F105&lt;=79, 6.75,
  TRUE, 25
)</f>
        <v/>
      </c>
      <c r="J105" s="340">
        <f>F105*18%</f>
        <v/>
      </c>
      <c r="K105" s="340">
        <f>(F105-J105)*1.65%</f>
        <v/>
      </c>
      <c r="L105" s="340">
        <f>(F105-J105)*7.6%</f>
        <v/>
      </c>
      <c r="M105" s="1097" t="n">
        <v>0.9</v>
      </c>
      <c r="N105" s="785">
        <f>(G105+I105)*(9.25%)</f>
        <v/>
      </c>
      <c r="O105" s="708" t="n">
        <v>6.99</v>
      </c>
      <c r="P105" s="1016">
        <f>(F105 - (G105+I105+O105+(J105+K105+L105))) - (H105-M105-N105)</f>
        <v/>
      </c>
      <c r="Q105" s="328">
        <f>P105/F105</f>
        <v/>
      </c>
      <c r="R105" s="904" t="inlineStr">
        <is>
          <t>Ativo</t>
        </is>
      </c>
      <c r="S105" s="651" t="n"/>
      <c r="T105" s="569" t="n">
        <v>433</v>
      </c>
      <c r="U105" s="1030" t="n"/>
      <c r="V105" s="1030" t="n"/>
      <c r="W105" s="1030" t="n"/>
    </row>
    <row r="106" ht="15.75" customHeight="1" s="1349">
      <c r="A106" s="1265" t="inlineStr">
        <is>
          <t>5370122586</t>
        </is>
      </c>
      <c r="B106" s="1263" t="n">
        <v>10034034166825</v>
      </c>
      <c r="C106" s="1292" t="inlineStr">
        <is>
          <t>EPI</t>
        </is>
      </c>
      <c r="D106" s="491" t="inlineStr">
        <is>
          <t>Cola Silicone Selante Fix All High Tack 420gr Fixa Até 320kg</t>
        </is>
      </c>
      <c r="E106" s="492" t="n"/>
      <c r="F106" s="607" t="n">
        <v>67.90000000000001</v>
      </c>
      <c r="G106" s="447">
        <f>F106*11.5%</f>
        <v/>
      </c>
      <c r="H106" s="831" t="n">
        <v>-2.72</v>
      </c>
      <c r="I106" s="904">
        <f>IFS(
F106&lt;12.5, F106/2,
F106&lt;29, 6.25,
F106&lt;50, 6.5,
F106&lt;=79, 6.75,
TRUE, 
25)</f>
        <v/>
      </c>
      <c r="J106" s="340">
        <f>F106*18%</f>
        <v/>
      </c>
      <c r="K106" s="340">
        <f>(F106-J106)*1.65%</f>
        <v/>
      </c>
      <c r="L106" s="340">
        <f>(F106-J106)*7.6%</f>
        <v/>
      </c>
      <c r="M106" s="577" t="n"/>
      <c r="N106" s="543">
        <f>(G106+I106)*(9.25%)</f>
        <v/>
      </c>
      <c r="O106" s="492" t="n">
        <v>34.53</v>
      </c>
      <c r="P106" s="1016">
        <f>(F106 - (G106+I106+O106+(J106+K106+L106))) - (H106-M106-N106)</f>
        <v/>
      </c>
      <c r="Q106" s="328">
        <f>P106/F106</f>
        <v/>
      </c>
      <c r="R106" s="904" t="inlineStr">
        <is>
          <t>Ativo</t>
        </is>
      </c>
      <c r="S106" s="651" t="n"/>
      <c r="T106" s="569" t="n">
        <v>10</v>
      </c>
      <c r="U106" s="1030" t="n"/>
      <c r="V106" s="1030" t="n"/>
      <c r="W106" s="1030" t="n"/>
    </row>
    <row r="107" ht="15.75" customHeight="1" s="1349">
      <c r="A107" s="1265" t="inlineStr">
        <is>
          <t>3346476913</t>
        </is>
      </c>
      <c r="B107" s="1263" t="n">
        <v>268</v>
      </c>
      <c r="C107" s="1292" t="inlineStr">
        <is>
          <t>VOLK</t>
        </is>
      </c>
      <c r="D107" s="491" t="inlineStr">
        <is>
          <t>Colete Refletivo Fluorescente Blusão Segurança Sinalização</t>
        </is>
      </c>
      <c r="E107" s="492" t="n"/>
      <c r="F107" s="607" t="n">
        <v>27.45</v>
      </c>
      <c r="G107" s="447">
        <f>F107*14%</f>
        <v/>
      </c>
      <c r="H107" s="831" t="n"/>
      <c r="I107" s="904" t="n">
        <v>6.75</v>
      </c>
      <c r="J107" s="340">
        <f>F107*18%</f>
        <v/>
      </c>
      <c r="K107" s="340">
        <f>(F107-J107)*1.65%</f>
        <v/>
      </c>
      <c r="L107" s="340">
        <f>(F107-J107)*7.6%</f>
        <v/>
      </c>
      <c r="M107" s="1097" t="n">
        <v>1.31</v>
      </c>
      <c r="N107" s="785">
        <f>(G107+I107)*(9.25%)</f>
        <v/>
      </c>
      <c r="O107" s="708" t="n">
        <v>10.15</v>
      </c>
      <c r="P107" s="1016">
        <f>(F107 - (G107+I107+O107+(J107+K107+L107))) - (H107-M107-N107)</f>
        <v/>
      </c>
      <c r="Q107" s="328">
        <f>P107/F107</f>
        <v/>
      </c>
      <c r="R107" s="904" t="inlineStr">
        <is>
          <t>Ajustar Envio</t>
        </is>
      </c>
      <c r="S107" s="651" t="n"/>
      <c r="T107" s="569" t="n">
        <v>1719</v>
      </c>
      <c r="U107" s="1030">
        <f>10.15-1.31</f>
        <v/>
      </c>
      <c r="V107" s="1030" t="n"/>
      <c r="W107" s="1030" t="n"/>
    </row>
    <row r="108" ht="15.75" customHeight="1" s="1349">
      <c r="A108" s="1265" t="inlineStr">
        <is>
          <t>3576410115</t>
        </is>
      </c>
      <c r="B108" s="1263" t="n">
        <v>10034034167284</v>
      </c>
      <c r="C108" s="1292" t="inlineStr">
        <is>
          <t>EPI</t>
        </is>
      </c>
      <c r="D108" s="194" t="inlineStr">
        <is>
          <t>Corda 12mm Poliamida Trançada Nr18 Obra Bombeiro Rapel 100m</t>
        </is>
      </c>
      <c r="E108" s="654" t="n"/>
      <c r="F108" s="607" t="n">
        <v>499</v>
      </c>
      <c r="G108" s="447">
        <f>F108*11.5%</f>
        <v/>
      </c>
      <c r="H108" s="831" t="n"/>
      <c r="I108" s="492" t="n">
        <v>44.45</v>
      </c>
      <c r="J108" s="340">
        <f>F108*18%</f>
        <v/>
      </c>
      <c r="K108" s="340">
        <f>(F108-J108)*1.65%</f>
        <v/>
      </c>
      <c r="L108" s="340">
        <f>(F108-J108)*7.6%</f>
        <v/>
      </c>
      <c r="M108" s="1097" t="n">
        <v>53.37</v>
      </c>
      <c r="N108" s="785">
        <f>(G108+I108)*(9.25%)</f>
        <v/>
      </c>
      <c r="O108" s="197" t="n">
        <v>265</v>
      </c>
      <c r="P108" s="1016">
        <f>(F108 - (G108+I108+O108+(J108+K108+L108))) - (H108-M108-N108)</f>
        <v/>
      </c>
      <c r="Q108" s="328">
        <f>P108/F108</f>
        <v/>
      </c>
      <c r="R108" s="904" t="inlineStr">
        <is>
          <t>Ativo</t>
        </is>
      </c>
      <c r="S108" s="651" t="n"/>
      <c r="T108" s="569" t="n"/>
      <c r="U108" s="1030" t="n"/>
      <c r="V108" s="1030" t="n"/>
      <c r="W108" s="1030" t="n"/>
    </row>
    <row r="109" ht="15.75" customHeight="1" s="1349">
      <c r="A109" s="1265" t="inlineStr">
        <is>
          <t>4022487143</t>
        </is>
      </c>
      <c r="B109" s="1263" t="n">
        <v>10034034167283</v>
      </c>
      <c r="C109" s="1292" t="inlineStr">
        <is>
          <t>EPI</t>
        </is>
      </c>
      <c r="D109" s="194" t="inlineStr">
        <is>
          <t>Corda Poliamida 12mm C/ Alma Nr18 Bombeiro Rapel Altura 50m</t>
        </is>
      </c>
      <c r="E109" s="654" t="n"/>
      <c r="F109" s="607" t="n">
        <v>311.12</v>
      </c>
      <c r="G109" s="447">
        <f>F109*16.5%</f>
        <v/>
      </c>
      <c r="H109" s="831" t="n"/>
      <c r="I109" s="492" t="n">
        <v>24.95</v>
      </c>
      <c r="J109" s="340">
        <f>F109*18%</f>
        <v/>
      </c>
      <c r="K109" s="340">
        <f>(F109-J109)*1.65%</f>
        <v/>
      </c>
      <c r="L109" s="340">
        <f>(F109-J109)*7.6%</f>
        <v/>
      </c>
      <c r="M109" s="577" t="n"/>
      <c r="N109" s="543">
        <f>(G109+I109)*(9.25%)</f>
        <v/>
      </c>
      <c r="O109" s="904">
        <f>2.65*50</f>
        <v/>
      </c>
      <c r="P109" s="1016">
        <f>(F109 - (G109+I109+O109+(J109+K109+L109))) - (H109-M109-N109)</f>
        <v/>
      </c>
      <c r="Q109" s="328">
        <f>P109/F109</f>
        <v/>
      </c>
      <c r="R109" s="904" t="inlineStr">
        <is>
          <t>sem estoque</t>
        </is>
      </c>
      <c r="S109" s="651" t="n"/>
      <c r="T109" s="569" t="n"/>
      <c r="U109" s="1030" t="n"/>
      <c r="V109" s="1030" t="n"/>
      <c r="W109" s="1030" t="n"/>
    </row>
    <row r="110" ht="15.75" customHeight="1" s="1349">
      <c r="A110" s="1265" t="inlineStr">
        <is>
          <t>10034034167319 4093623665</t>
        </is>
      </c>
      <c r="B110" s="1263" t="n">
        <v>10034034167319</v>
      </c>
      <c r="C110" s="1292" t="inlineStr">
        <is>
          <t>Nutriex</t>
        </is>
      </c>
      <c r="D110" s="194" t="inlineStr">
        <is>
          <t>Creme Desodorante Hidratante Nutriex Profissional Regederme G3 Frasco 200g</t>
        </is>
      </c>
      <c r="E110" s="654" t="n"/>
      <c r="F110" s="572" t="n">
        <v>18.81</v>
      </c>
      <c r="G110" s="447">
        <f>F110*12%</f>
        <v/>
      </c>
      <c r="H110" s="831" t="n">
        <v>-0.91</v>
      </c>
      <c r="I110" s="904">
        <f>IFS(
  F110&lt;12.5, F110/2,
  F110&lt;29, 6.25,
  F110&lt;50, 6.5,
  F110&lt;=79, 6.75,
  TRUE, 25
)</f>
        <v/>
      </c>
      <c r="J110" s="340">
        <f>F110*18%</f>
        <v/>
      </c>
      <c r="K110" s="450" t="n">
        <v>0</v>
      </c>
      <c r="L110" s="450" t="n">
        <v>0</v>
      </c>
      <c r="M110" s="1097" t="n">
        <v>0.84</v>
      </c>
      <c r="N110" s="699" t="n"/>
      <c r="O110" s="701" t="n">
        <v>7.99</v>
      </c>
      <c r="P110" s="1016">
        <f>(F110 - (G110+I110+O110+(J110+K110+L110))) - (H110-M110-N110)</f>
        <v/>
      </c>
      <c r="Q110" s="328">
        <f>P110/F110</f>
        <v/>
      </c>
      <c r="R110" s="904" t="inlineStr">
        <is>
          <t>Ativo</t>
        </is>
      </c>
      <c r="S110" s="904" t="inlineStr">
        <is>
          <t>(catalogo)</t>
        </is>
      </c>
      <c r="T110" s="569" t="n">
        <v>4</v>
      </c>
      <c r="U110" s="1030" t="n"/>
      <c r="V110" s="1030" t="n"/>
      <c r="W110" s="1030" t="n"/>
    </row>
    <row r="111" ht="15.75" customHeight="1" s="1349">
      <c r="A111" s="1265" t="inlineStr">
        <is>
          <t>4134963641</t>
        </is>
      </c>
      <c r="B111" s="1263" t="n">
        <v>912308</v>
      </c>
      <c r="C111" s="1292" t="inlineStr">
        <is>
          <t>Nutriex</t>
        </is>
      </c>
      <c r="D111" s="491" t="inlineStr">
        <is>
          <t>Creme Protetor Para Pele Luva Qúimica Grupo 3 Nutriex 1l</t>
        </is>
      </c>
      <c r="E111" s="492" t="n"/>
      <c r="F111" s="607" t="n">
        <v>42.97</v>
      </c>
      <c r="G111" s="447">
        <f>F111*12%</f>
        <v/>
      </c>
      <c r="H111" s="831" t="n">
        <v>-2.41</v>
      </c>
      <c r="I111" s="904">
        <f>IFS(
F111&lt;12.5, F111/2,
F111&lt;29, 6.25,
F111&lt;50, 6.5,
F111&lt;=79, 6.75,
TRUE, 
25)</f>
        <v/>
      </c>
      <c r="J111" s="340">
        <f>F111*18%</f>
        <v/>
      </c>
      <c r="K111" s="340">
        <f>(F111-J111)*1.65%</f>
        <v/>
      </c>
      <c r="L111" s="340">
        <f>(F111-J111)*7.6%</f>
        <v/>
      </c>
      <c r="M111" s="1097" t="n">
        <v>2.32</v>
      </c>
      <c r="N111" s="700" t="n">
        <v>9.25</v>
      </c>
      <c r="O111" s="701" t="n">
        <v>22.11</v>
      </c>
      <c r="P111" s="1016">
        <f>(F111 - (G111+I111+O111+(J111+K111+L111))) - (H111-M111-N111)</f>
        <v/>
      </c>
      <c r="Q111" s="328">
        <f>P111/F111</f>
        <v/>
      </c>
      <c r="R111" s="904" t="inlineStr">
        <is>
          <t>Ativo</t>
        </is>
      </c>
      <c r="S111" s="651" t="n"/>
      <c r="T111" s="569" t="n">
        <v>43</v>
      </c>
      <c r="U111" s="1030" t="n"/>
      <c r="V111" s="1030" t="n"/>
      <c r="W111" s="1030" t="n"/>
    </row>
    <row r="112" ht="15.75" customHeight="1" s="1349">
      <c r="A112" s="1265" t="inlineStr">
        <is>
          <t>5556906020 4133086507</t>
        </is>
      </c>
      <c r="B112" s="1263" t="n">
        <v>10034034166919</v>
      </c>
      <c r="C112" s="1292" t="inlineStr">
        <is>
          <t>EPI</t>
        </is>
      </c>
      <c r="D112" s="491" t="inlineStr">
        <is>
          <t>Disco Diamantado Desbaste 4.1/2 115 X M14 Hessen 32892 Turbo</t>
        </is>
      </c>
      <c r="E112" s="492" t="n"/>
      <c r="F112" s="607" t="n">
        <v>61.24</v>
      </c>
      <c r="G112" s="447">
        <f>F112*12%</f>
        <v/>
      </c>
      <c r="H112" s="831" t="n">
        <v>-1.77</v>
      </c>
      <c r="I112" s="904">
        <f>IFS(
F112&lt;12.5, F112/2,
F112&lt;29, 6.25,
F112&lt;50, 6.5,
F112&lt;=79, 6.75,
TRUE, 
25)</f>
        <v/>
      </c>
      <c r="J112" s="340">
        <f>F112*18%</f>
        <v/>
      </c>
      <c r="K112" s="340">
        <f>(F112-J112)*1.65%</f>
        <v/>
      </c>
      <c r="L112" s="340">
        <f>(F112-J112)*7.6%</f>
        <v/>
      </c>
      <c r="M112" s="577" t="n"/>
      <c r="N112" s="543">
        <f>(G112+I112)*(9.25%)</f>
        <v/>
      </c>
      <c r="O112" s="718" t="n">
        <v>42.94</v>
      </c>
      <c r="P112" s="1016">
        <f>(F112 - (G112+I112+O112+(J112+K112+L112))) - (H112-M112-N112)</f>
        <v/>
      </c>
      <c r="Q112" s="328">
        <f>P112/F112</f>
        <v/>
      </c>
      <c r="R112" s="904" t="inlineStr">
        <is>
          <t>Ativo</t>
        </is>
      </c>
      <c r="S112" s="904" t="inlineStr">
        <is>
          <t>sincronizado</t>
        </is>
      </c>
      <c r="T112" s="569" t="n">
        <v>0</v>
      </c>
      <c r="U112" s="1030" t="n"/>
      <c r="V112" s="1030" t="n"/>
      <c r="W112" s="1030" t="n"/>
    </row>
    <row r="113" ht="15.75" customHeight="1" s="1349">
      <c r="A113" s="245" t="inlineStr">
        <is>
          <t>6953613790</t>
        </is>
      </c>
      <c r="B113" s="1263" t="inlineStr">
        <is>
          <t>XC22S</t>
        </is>
      </c>
      <c r="C113" s="1292" t="inlineStr">
        <is>
          <t>ÂNCORA</t>
        </is>
      </c>
      <c r="D113" s="491" t="inlineStr">
        <is>
          <t>Fincapino Calibre 22 Gesso Concreto Ponta Vermelha 100un</t>
        </is>
      </c>
      <c r="E113" s="492" t="n"/>
      <c r="F113" s="607" t="n">
        <v>61.61</v>
      </c>
      <c r="G113" s="447">
        <f>F113*12%</f>
        <v/>
      </c>
      <c r="H113" s="831" t="n"/>
      <c r="I113" s="904" t="n">
        <v>7.75</v>
      </c>
      <c r="J113" s="340">
        <f>F113*18%</f>
        <v/>
      </c>
      <c r="K113" s="340">
        <f>(F113-J113)*1.65%</f>
        <v/>
      </c>
      <c r="L113" s="340">
        <f>(F113-J113)*7.6%</f>
        <v/>
      </c>
      <c r="M113" s="1097" t="n">
        <v>3.7</v>
      </c>
      <c r="N113" s="785">
        <f>(G113+I113)*(9.25%)</f>
        <v/>
      </c>
      <c r="O113" s="708" t="n">
        <v>29.76</v>
      </c>
      <c r="P113" s="1016">
        <f>(F113 - (G113+I113+O113+(J113+K113+L113))) - (H113-M113-N113)</f>
        <v/>
      </c>
      <c r="Q113" s="328">
        <f>P113/F113</f>
        <v/>
      </c>
      <c r="R113" s="904" t="inlineStr">
        <is>
          <t>Ativo</t>
        </is>
      </c>
      <c r="S113" s="651" t="n"/>
      <c r="T113" s="569" t="n">
        <v>3961</v>
      </c>
      <c r="U113" s="1030" t="n"/>
      <c r="V113" s="1030" t="n"/>
      <c r="W113" s="1030" t="n"/>
    </row>
    <row r="114" ht="15.75" customHeight="1" s="1349">
      <c r="A114" s="1265" t="inlineStr">
        <is>
          <t>4510783193</t>
        </is>
      </c>
      <c r="B114" s="1263" t="n">
        <v>10034034167091</v>
      </c>
      <c r="C114" s="1292" t="inlineStr">
        <is>
          <t>TekBond</t>
        </is>
      </c>
      <c r="D114" s="194" t="inlineStr">
        <is>
          <t>Fita Adesiva Antiderrapante Transparente 50mmx5m Tekbond</t>
        </is>
      </c>
      <c r="E114" s="654" t="n"/>
      <c r="F114" s="607" t="n">
        <v>54.9</v>
      </c>
      <c r="G114" s="447">
        <f>F114*16.5%</f>
        <v/>
      </c>
      <c r="H114" s="831" t="n"/>
      <c r="I114" s="904" t="n">
        <v>7.95</v>
      </c>
      <c r="J114" s="340">
        <f>F114*18%</f>
        <v/>
      </c>
      <c r="K114" s="340">
        <f>(F114-J114)*1.65%</f>
        <v/>
      </c>
      <c r="L114" s="340">
        <f>(F114-J114)*7.6%</f>
        <v/>
      </c>
      <c r="M114" s="1097" t="n">
        <v>7.83</v>
      </c>
      <c r="N114" s="785">
        <f>(G114+I114)*(9.25%)</f>
        <v/>
      </c>
      <c r="O114" s="197" t="n">
        <v>30.62</v>
      </c>
      <c r="P114" s="1016">
        <f>(F114 - (G114+I114+O114+(J114+K114+L114))) - (H114-M114-N114)</f>
        <v/>
      </c>
      <c r="Q114" s="328">
        <f>P114/F114</f>
        <v/>
      </c>
      <c r="R114" s="904" t="inlineStr">
        <is>
          <t>Ativo</t>
        </is>
      </c>
      <c r="S114" s="651" t="n"/>
      <c r="T114" s="569" t="n">
        <v>0</v>
      </c>
      <c r="U114" s="1030" t="n"/>
      <c r="V114" s="1030" t="n"/>
      <c r="W114" s="1030" t="n"/>
    </row>
    <row r="115" ht="15.75" customHeight="1" s="1349">
      <c r="A115" s="494" t="inlineStr">
        <is>
          <t>5395742280</t>
        </is>
      </c>
      <c r="B115" s="495" t="n">
        <v>10034034167098</v>
      </c>
      <c r="C115" s="1292" t="inlineStr">
        <is>
          <t>EPI</t>
        </is>
      </c>
      <c r="D115" s="778" t="inlineStr">
        <is>
          <t>Fita Adesiva Silver Tape Tekbond Multiuso 48mm X 5m - Preta</t>
        </is>
      </c>
      <c r="E115" s="778" t="n"/>
      <c r="F115" s="607" t="n">
        <v>24</v>
      </c>
      <c r="G115" s="447">
        <f>F115*11.5%</f>
        <v/>
      </c>
      <c r="H115" s="831" t="n"/>
      <c r="I115" s="904">
        <f>IFS(
  F115&lt;12.5, F115/2,
  F115&lt;29, 6.25,
  F115&lt;50, 6.5,
  F115&lt;=79, 6.75,
  TRUE, 25
)</f>
        <v/>
      </c>
      <c r="J115" s="340">
        <f>F115*18%</f>
        <v/>
      </c>
      <c r="K115" s="340">
        <f>(F115-J115)*1.65%</f>
        <v/>
      </c>
      <c r="L115" s="340">
        <f>(F115-J115)*7.6%</f>
        <v/>
      </c>
      <c r="M115" s="577" t="n"/>
      <c r="N115" s="543">
        <f>(G115+I115)*(9.25%)</f>
        <v/>
      </c>
      <c r="O115" s="1050" t="n">
        <v>6.96</v>
      </c>
      <c r="P115" s="1016">
        <f>(F115 - (G115+I115+O115+(J115+K115+L115))) - (H115-M115-N115)</f>
        <v/>
      </c>
      <c r="Q115" s="328">
        <f>P115/F115</f>
        <v/>
      </c>
      <c r="R115" s="904" t="inlineStr">
        <is>
          <t>sem estoque</t>
        </is>
      </c>
      <c r="S115" s="651" t="n"/>
      <c r="T115" s="569" t="n">
        <v>9</v>
      </c>
      <c r="U115" s="1030" t="n"/>
      <c r="V115" s="1030" t="n"/>
      <c r="W115" s="1030" t="n"/>
    </row>
    <row r="116" ht="15.75" customHeight="1" s="1349">
      <c r="A116" s="1265" t="inlineStr">
        <is>
          <t>5519731050</t>
        </is>
      </c>
      <c r="B116" s="1263" t="n">
        <v>10034034166955</v>
      </c>
      <c r="C116" s="1292" t="inlineStr">
        <is>
          <t>Koretech</t>
        </is>
      </c>
      <c r="D116" s="194" t="inlineStr">
        <is>
          <t>Fita Adesiva Transparente Dupla Face 12mm X 20m Extra Forte</t>
        </is>
      </c>
      <c r="E116" s="654" t="n"/>
      <c r="F116" s="607" t="n">
        <v>29</v>
      </c>
      <c r="G116" s="447">
        <f>F116*11.5%</f>
        <v/>
      </c>
      <c r="H116" s="831" t="n">
        <v>-1.2</v>
      </c>
      <c r="I116" s="904" t="n">
        <v>6.65</v>
      </c>
      <c r="J116" s="340">
        <f>F116*18%</f>
        <v/>
      </c>
      <c r="K116" s="340">
        <f>(F116-J116)*1.65%</f>
        <v/>
      </c>
      <c r="L116" s="340">
        <f>(F116-J116)*7.6%</f>
        <v/>
      </c>
      <c r="M116" s="1097" t="n">
        <v>4.26</v>
      </c>
      <c r="N116" s="785">
        <f>(G116+I116)*(9.25%)</f>
        <v/>
      </c>
      <c r="O116" s="701" t="n">
        <v>16.65</v>
      </c>
      <c r="P116" s="1016">
        <f>(F116 - (G116+I116+O116+(J116+K116+L116))) - (H116-M116-N116)</f>
        <v/>
      </c>
      <c r="Q116" s="328">
        <f>P116/F116</f>
        <v/>
      </c>
      <c r="R116" s="904" t="inlineStr">
        <is>
          <t>Ativo</t>
        </is>
      </c>
      <c r="S116" s="651" t="n"/>
      <c r="T116" s="569" t="n">
        <v>3</v>
      </c>
      <c r="U116" s="1030" t="n"/>
      <c r="V116" s="1030" t="n"/>
      <c r="W116" s="1030" t="n"/>
    </row>
    <row r="117" ht="15.75" customHeight="1" s="1349">
      <c r="A117" s="489" t="inlineStr">
        <is>
          <t>5244097542</t>
        </is>
      </c>
      <c r="B117" s="713" t="n">
        <v>10034034167381</v>
      </c>
      <c r="C117" s="1292" t="inlineStr">
        <is>
          <t>Koretech</t>
        </is>
      </c>
      <c r="D117" s="194" t="inlineStr">
        <is>
          <t>Fita Crepe Automotiva Polimento Amarela 18mm X 40m C/ 5un</t>
        </is>
      </c>
      <c r="E117" s="654" t="n"/>
      <c r="F117" s="607" t="n">
        <v>42.1</v>
      </c>
      <c r="G117" s="447">
        <f>F117*11.5%</f>
        <v/>
      </c>
      <c r="H117" s="831" t="n"/>
      <c r="I117" s="904">
        <f>IFS(
  F117&lt;12.5, F117/2,
  F117&lt;29, 6.25,
  F117&lt;50, 6.5,
  F117&lt;=79, 6.75,
  TRUE, 25
)</f>
        <v/>
      </c>
      <c r="J117" s="340">
        <f>F117*18%</f>
        <v/>
      </c>
      <c r="K117" s="340">
        <f>(F117-J117)*1.65%</f>
        <v/>
      </c>
      <c r="L117" s="340">
        <f>(F117-J117)*7.6%</f>
        <v/>
      </c>
      <c r="M117" s="1097">
        <f>1.16*5</f>
        <v/>
      </c>
      <c r="N117" s="785">
        <f>(G117+I117)*(9.25%)</f>
        <v/>
      </c>
      <c r="O117" s="708">
        <f>4.53*5</f>
        <v/>
      </c>
      <c r="P117" s="1016">
        <f>(F117 - (G117+I117+O117+(J117+K117+L117))) - (H117-M117-N117)</f>
        <v/>
      </c>
      <c r="Q117" s="328">
        <f>P117/F117</f>
        <v/>
      </c>
      <c r="R117" s="904" t="inlineStr">
        <is>
          <t>Ativo</t>
        </is>
      </c>
      <c r="S117" s="651" t="n"/>
      <c r="T117" s="569" t="n">
        <v>2</v>
      </c>
      <c r="U117" s="1030" t="n"/>
      <c r="V117" s="1030" t="n"/>
      <c r="W117" s="1030" t="n"/>
    </row>
    <row r="118" ht="15.75" customHeight="1" s="1349">
      <c r="A118" s="489" t="inlineStr">
        <is>
          <t>5242228180</t>
        </is>
      </c>
      <c r="B118" s="713" t="n">
        <v>10034034167434</v>
      </c>
      <c r="C118" s="1292" t="inlineStr">
        <is>
          <t>Koretech</t>
        </is>
      </c>
      <c r="D118" s="491" t="inlineStr">
        <is>
          <t>Fita Crepe Grossa 48mm X 45m Profissional Uso Geral Kit 2un</t>
        </is>
      </c>
      <c r="E118" s="492" t="n"/>
      <c r="F118" s="607" t="n">
        <v>32</v>
      </c>
      <c r="G118" s="447">
        <f>F118*11.5%</f>
        <v/>
      </c>
      <c r="H118" s="831" t="n"/>
      <c r="I118" s="904">
        <f>IFS(
F118&lt;12.5, F118/2,
F118&lt;29, 6.25,
F118&lt;50, 6.5,
F118&lt;=79, 6.75,
TRUE, 
25)</f>
        <v/>
      </c>
      <c r="J118" s="340">
        <f>F118*18%</f>
        <v/>
      </c>
      <c r="K118" s="340">
        <f>(F118-J118)*1.65%</f>
        <v/>
      </c>
      <c r="L118" s="340">
        <f>(F118-J118)*7.6%</f>
        <v/>
      </c>
      <c r="M118" s="1097">
        <f>0.85*2</f>
        <v/>
      </c>
      <c r="N118" s="543">
        <f>(G118+I118)*(9.25%)</f>
        <v/>
      </c>
      <c r="O118" s="1050">
        <f>6.57*2</f>
        <v/>
      </c>
      <c r="P118" s="1016">
        <f>(F118 - (G118+I118+O118+(J118+K118+L118))) - (H118-M118-N118)</f>
        <v/>
      </c>
      <c r="Q118" s="328">
        <f>P118/F118</f>
        <v/>
      </c>
      <c r="R118" s="904" t="inlineStr">
        <is>
          <t>Ativo</t>
        </is>
      </c>
      <c r="S118" s="651" t="n"/>
      <c r="T118" s="569" t="n">
        <v>130</v>
      </c>
      <c r="U118" s="1030" t="n"/>
      <c r="V118" s="1030" t="n"/>
      <c r="W118" s="1030" t="n"/>
    </row>
    <row r="119" ht="15.75" customHeight="1" s="1349">
      <c r="A119" s="489" t="inlineStr">
        <is>
          <t>5240385680</t>
        </is>
      </c>
      <c r="B119" s="1263" t="n">
        <v>10034034167386</v>
      </c>
      <c r="C119" s="1292" t="inlineStr">
        <is>
          <t>Koretech</t>
        </is>
      </c>
      <c r="D119" s="194" t="inlineStr">
        <is>
          <t>Fita Crepe Premium Profissional Uso Geral 24mm X 45m Kit 4un</t>
        </is>
      </c>
      <c r="E119" s="654" t="n"/>
      <c r="F119" s="607" t="n">
        <v>34.9</v>
      </c>
      <c r="G119" s="447">
        <f>F119*11.5%</f>
        <v/>
      </c>
      <c r="H119" s="831" t="n"/>
      <c r="I119" s="904">
        <f>IFS(
F119&lt;12.5, F119/2,
F119&lt;29, 6.25,
F119&lt;50, 6.5,
F119&lt;=79, 6.75,
TRUE, 
25)</f>
        <v/>
      </c>
      <c r="J119" s="340">
        <f>F119*18%</f>
        <v/>
      </c>
      <c r="K119" s="340">
        <f>(F119-J119)*1.65%</f>
        <v/>
      </c>
      <c r="L119" s="340">
        <f>(F119-J119)*7.6%</f>
        <v/>
      </c>
      <c r="M119" s="577" t="n"/>
      <c r="N119" s="543">
        <f>(G119+I119)*(9.25%)</f>
        <v/>
      </c>
      <c r="O119" s="1050">
        <f>3.38*4</f>
        <v/>
      </c>
      <c r="P119" s="1016">
        <f>(F119 - (G119+I119+O119+(J119+K119+L119))) - (H119-M119-N119)</f>
        <v/>
      </c>
      <c r="Q119" s="328">
        <f>P119/F119</f>
        <v/>
      </c>
      <c r="R119" s="904" t="inlineStr">
        <is>
          <t>Ativo</t>
        </is>
      </c>
      <c r="S119" s="651" t="n"/>
      <c r="T119" s="569" t="n">
        <v>9</v>
      </c>
      <c r="U119" s="1030" t="n"/>
      <c r="V119" s="1030" t="n"/>
      <c r="W119" s="1030" t="n"/>
    </row>
    <row r="120" ht="15.75" customHeight="1" s="1349">
      <c r="A120" s="489" t="inlineStr">
        <is>
          <t>5761318032</t>
        </is>
      </c>
      <c r="B120" s="713" t="n">
        <v>10034034166760</v>
      </c>
      <c r="C120" s="1292" t="inlineStr">
        <is>
          <t>ÂNCORA</t>
        </is>
      </c>
      <c r="D120" s="491" t="inlineStr">
        <is>
          <t>Fita Drywall Âncora Drypaper 150mm X 50m Tratamento Junta</t>
        </is>
      </c>
      <c r="E120" s="492" t="n"/>
      <c r="F120" s="607" t="n">
        <v>54.13</v>
      </c>
      <c r="G120" s="447">
        <f>F120*12%</f>
        <v/>
      </c>
      <c r="H120" s="831" t="n">
        <v>-2.48</v>
      </c>
      <c r="I120" s="904">
        <f>IFS(
F120&lt;12.5, F120/2,
F120&lt;29, 6.25,
F120&lt;50, 6.5,
F120&lt;=79, 6.75,
TRUE, 
25)</f>
        <v/>
      </c>
      <c r="J120" s="340">
        <f>F120*18%</f>
        <v/>
      </c>
      <c r="K120" s="340">
        <f>(F120-J120)*1.65%</f>
        <v/>
      </c>
      <c r="L120" s="340">
        <f>(F120-J120)*7.6%</f>
        <v/>
      </c>
      <c r="M120" s="1097" t="n">
        <v>3.61</v>
      </c>
      <c r="N120" s="785">
        <f>(G120+I120)*(9.25%)</f>
        <v/>
      </c>
      <c r="O120" s="701" t="n">
        <v>28.96</v>
      </c>
      <c r="P120" s="1016">
        <f>(F120 - (G120+I120+O120+(J120+K120+L120))) - (H120-M120-N120)</f>
        <v/>
      </c>
      <c r="Q120" s="328">
        <f>P120/F120</f>
        <v/>
      </c>
      <c r="R120" s="904" t="inlineStr">
        <is>
          <t>TRAVADO</t>
        </is>
      </c>
      <c r="S120" s="651" t="n"/>
      <c r="T120" s="569" t="n"/>
      <c r="U120" s="1030" t="n"/>
      <c r="V120" s="1030" t="n"/>
      <c r="W120" s="1030" t="n"/>
    </row>
    <row r="121" ht="15.75" customHeight="1" s="1349">
      <c r="A121" s="1265" t="inlineStr">
        <is>
          <t>3943414937</t>
        </is>
      </c>
      <c r="B121" s="1263" t="n">
        <v>10034034167482</v>
      </c>
      <c r="C121" s="1292" t="inlineStr">
        <is>
          <t>EPI</t>
        </is>
      </c>
      <c r="D121" s="194" t="inlineStr">
        <is>
          <t>Fita Telada Azul Drywall Premium Autoadesiva 45m X 48mm Obra</t>
        </is>
      </c>
      <c r="E121" s="654" t="n"/>
      <c r="F121" s="607" t="n">
        <v>26.09</v>
      </c>
      <c r="G121" s="447">
        <f>F121*12%</f>
        <v/>
      </c>
      <c r="H121" s="831" t="n">
        <v>-0.89</v>
      </c>
      <c r="I121" s="904" t="n">
        <v>6.65</v>
      </c>
      <c r="J121" s="340">
        <f>F121*18%</f>
        <v/>
      </c>
      <c r="K121" s="340">
        <f>(F121-J121)*1.65%</f>
        <v/>
      </c>
      <c r="L121" s="340">
        <f>(F121-J121)*7.6%</f>
        <v/>
      </c>
      <c r="M121" s="1097" t="n">
        <v>1.69</v>
      </c>
      <c r="N121" s="785">
        <f>(G121+I121)*(9.25%)</f>
        <v/>
      </c>
      <c r="O121" s="703" t="n">
        <v>11.91</v>
      </c>
      <c r="P121" s="1016">
        <f>(F121 - (G121+I121+O121+(J121+K121+L121))) - (H121-M121-N121)</f>
        <v/>
      </c>
      <c r="Q121" s="328">
        <f>P121/F121</f>
        <v/>
      </c>
      <c r="R121" s="904" t="inlineStr">
        <is>
          <t>Ativo</t>
        </is>
      </c>
      <c r="S121" s="651" t="n"/>
      <c r="T121" s="569" t="n"/>
      <c r="U121" s="1030" t="n"/>
      <c r="V121" s="1030" t="n"/>
      <c r="W121" s="1030" t="n"/>
    </row>
    <row r="122" ht="15.75" customHeight="1" s="1349">
      <c r="A122" s="489" t="inlineStr">
        <is>
          <t>5660136210747983</t>
        </is>
      </c>
      <c r="B122" s="1263" t="n">
        <v>10034034167167</v>
      </c>
      <c r="C122" s="1292" t="inlineStr">
        <is>
          <t>Camper</t>
        </is>
      </c>
      <c r="D122" s="194" t="inlineStr">
        <is>
          <t>Galocha Pvc Bota Infantil Kids Pampeana C/ Amarra Conforto</t>
        </is>
      </c>
      <c r="E122" s="654" t="n"/>
      <c r="F122" s="607" t="n">
        <v>63.85</v>
      </c>
      <c r="G122" s="447">
        <f>(F122*14%)</f>
        <v/>
      </c>
      <c r="H122" s="831" t="n">
        <v>-1.51</v>
      </c>
      <c r="I122" s="904">
        <f>IFS(
  F122&lt;12.5, F122/2,
  F122&lt;29, 6.25,
  F122&lt;50, 6.5,
  F122&lt;=79, 6.75,
  TRUE, 25
)</f>
        <v/>
      </c>
      <c r="J122" s="340">
        <f>F122*18%</f>
        <v/>
      </c>
      <c r="K122" s="340">
        <f>(F122-J122)*1.65%</f>
        <v/>
      </c>
      <c r="L122" s="340">
        <f>(F122-J122)*7.6%</f>
        <v/>
      </c>
      <c r="M122" s="1097" t="n">
        <v>6.77</v>
      </c>
      <c r="N122" s="785">
        <f>(G122+I122)*(9.25%)</f>
        <v/>
      </c>
      <c r="O122" s="708" t="n">
        <v>33.59</v>
      </c>
      <c r="P122" s="1016">
        <f>(F122 - (G122+I122+O122+(J122+K122+L122))) - (H122-M122-N122)</f>
        <v/>
      </c>
      <c r="Q122" s="328">
        <f>P122/F122</f>
        <v/>
      </c>
      <c r="R122" s="904" t="inlineStr">
        <is>
          <t>Ativo</t>
        </is>
      </c>
      <c r="S122" s="651" t="n"/>
      <c r="T122" s="569" t="n"/>
      <c r="U122" s="1030" t="n"/>
      <c r="V122" s="1030" t="n"/>
      <c r="W122" s="1030" t="n"/>
    </row>
    <row r="123" ht="15.75" customHeight="1" s="1349">
      <c r="A123" s="489" t="inlineStr">
        <is>
          <t>3477876047</t>
        </is>
      </c>
      <c r="B123" s="1263" t="n">
        <v>10034034166294</v>
      </c>
      <c r="C123" s="1292" t="inlineStr">
        <is>
          <t>Vonder</t>
        </is>
      </c>
      <c r="D123" s="491" t="inlineStr">
        <is>
          <t>Gaveteiro Expositor Organizador N3 8x10,4x16cm Azul 6un</t>
        </is>
      </c>
      <c r="E123" s="492" t="n"/>
      <c r="F123" s="607" t="n">
        <v>23.1</v>
      </c>
      <c r="G123" s="447">
        <f>F123*12%</f>
        <v/>
      </c>
      <c r="H123" s="748" t="n"/>
      <c r="I123" s="904">
        <f>IFS(
F123&lt;12.5, F123/2,
F123&lt;29, 6.25,
F123&lt;50, 6.5,
F123&lt;=79, 6.75,
TRUE, 
25)</f>
        <v/>
      </c>
      <c r="J123" s="340">
        <f>F123*18%</f>
        <v/>
      </c>
      <c r="K123" s="340">
        <f>(F123-J123)*1.65%</f>
        <v/>
      </c>
      <c r="L123" s="340">
        <f>(F123-J123)*7.6%</f>
        <v/>
      </c>
      <c r="M123" s="1097" t="n">
        <v>2.28</v>
      </c>
      <c r="N123" s="785">
        <f>(G123+I123)*(9.25%)</f>
        <v/>
      </c>
      <c r="O123" s="197">
        <f>1.49*6</f>
        <v/>
      </c>
      <c r="P123" s="1016">
        <f>(F123 - (G123+I123+O123+(J123+K123+L123))) - (H123-M123-N123)</f>
        <v/>
      </c>
      <c r="Q123" s="328">
        <f>P123/F123</f>
        <v/>
      </c>
      <c r="R123" s="904" t="inlineStr">
        <is>
          <t>Ativo</t>
        </is>
      </c>
      <c r="S123" s="651" t="n"/>
      <c r="T123" s="569" t="n">
        <v>234</v>
      </c>
      <c r="U123" s="1030" t="n"/>
      <c r="V123" s="1030" t="n"/>
      <c r="W123" s="1030" t="n"/>
    </row>
    <row r="124" ht="15.75" customHeight="1" s="1349">
      <c r="A124" s="1265" t="inlineStr">
        <is>
          <t>3417703535 4495307950</t>
        </is>
      </c>
      <c r="B124" s="1263" t="n">
        <v>10034034166411</v>
      </c>
      <c r="C124" s="1292" t="inlineStr">
        <is>
          <t>GERDAU</t>
        </is>
      </c>
      <c r="D124" s="566" t="inlineStr">
        <is>
          <t>Prego 17x21 Com Cabeça Aço Polido Resistente A Corrosão 1kg</t>
        </is>
      </c>
      <c r="E124" s="571" t="n"/>
      <c r="F124" s="607" t="n">
        <v>24.7</v>
      </c>
      <c r="G124" s="447">
        <f>F124*11.5%</f>
        <v/>
      </c>
      <c r="H124" s="831" t="n"/>
      <c r="I124" s="904" t="n">
        <v>6.85</v>
      </c>
      <c r="J124" s="340">
        <f>F124*18%</f>
        <v/>
      </c>
      <c r="K124" s="340">
        <f>(F124-J124)*1.65%</f>
        <v/>
      </c>
      <c r="L124" s="340">
        <f>(F124-J124)*7.6%</f>
        <v/>
      </c>
      <c r="M124" s="1097" t="n">
        <v>0.91</v>
      </c>
      <c r="N124" s="785">
        <f>(G124+I124)*(9.25%)</f>
        <v/>
      </c>
      <c r="O124" s="703" t="n">
        <v>9.73</v>
      </c>
      <c r="P124" s="1016">
        <f>(F124 - (G124+I124+O124+(J124+K124+L124))) - (H124-M124-N124)</f>
        <v/>
      </c>
      <c r="Q124" s="328">
        <f>P124/F124</f>
        <v/>
      </c>
      <c r="R124" s="904" t="inlineStr">
        <is>
          <t>TRAVADO</t>
        </is>
      </c>
      <c r="S124" s="904" t="inlineStr">
        <is>
          <t>sincronizado</t>
        </is>
      </c>
      <c r="T124" s="569" t="n">
        <v>326</v>
      </c>
      <c r="U124" s="1030" t="n"/>
      <c r="V124" s="1030" t="n"/>
      <c r="W124" s="1030" t="n"/>
    </row>
    <row r="125" ht="15.75" customHeight="1" s="1349">
      <c r="A125" s="1265" t="inlineStr">
        <is>
          <t>4056339485</t>
        </is>
      </c>
      <c r="B125" s="1263" t="n">
        <v>10034034167139</v>
      </c>
      <c r="C125" s="1292" t="inlineStr">
        <is>
          <t>Irwin</t>
        </is>
      </c>
      <c r="D125" s="491" t="inlineStr">
        <is>
          <t>Jogo Giz De Linha Marcação Strait-line Irwin Speedline 30m</t>
        </is>
      </c>
      <c r="E125" s="492" t="n"/>
      <c r="F125" s="607" t="n">
        <v>89.2</v>
      </c>
      <c r="G125" s="447">
        <f>F125*12%</f>
        <v/>
      </c>
      <c r="H125" s="833" t="n"/>
      <c r="I125" s="904" t="n">
        <v>13.25</v>
      </c>
      <c r="J125" s="340">
        <f>F125*18%</f>
        <v/>
      </c>
      <c r="K125" s="340">
        <f>(F125-J125)*1.65%</f>
        <v/>
      </c>
      <c r="L125" s="340">
        <f>(F125-J125)*7.6%</f>
        <v/>
      </c>
      <c r="M125" s="1097" t="n">
        <v>4.08</v>
      </c>
      <c r="N125" s="785">
        <f>(G125+I125)*(9.25%)</f>
        <v/>
      </c>
      <c r="O125" s="701" t="n">
        <v>44.12</v>
      </c>
      <c r="P125" s="1016">
        <f>(F125 - (G125+I125+O125+(J125+K125+L125))) - (H125-M125-N125)</f>
        <v/>
      </c>
      <c r="Q125" s="328">
        <f>P125/F125</f>
        <v/>
      </c>
      <c r="R125" s="904" t="inlineStr">
        <is>
          <t>Ativo</t>
        </is>
      </c>
      <c r="S125" s="651" t="n"/>
      <c r="T125" s="569" t="n">
        <v>58</v>
      </c>
      <c r="U125" s="1030" t="n"/>
      <c r="V125" s="1030" t="n"/>
      <c r="W125" s="1030" t="n"/>
    </row>
    <row r="126" ht="15.75" customHeight="1" s="1349">
      <c r="A126" s="1265" t="inlineStr">
        <is>
          <t>5862718178</t>
        </is>
      </c>
      <c r="B126" s="1263" t="n">
        <v>10034034166493</v>
      </c>
      <c r="C126" s="904" t="inlineStr">
        <is>
          <t>Irwin</t>
        </is>
      </c>
      <c r="D126" s="491" t="inlineStr">
        <is>
          <t>Cinturão Para Ferramentas Irwin 10 Bolsos Lona Iw14086 Cinto</t>
        </is>
      </c>
      <c r="E126" s="492" t="n"/>
      <c r="F126" s="607" t="n">
        <v>176</v>
      </c>
      <c r="G126" s="447">
        <f>F126*12%</f>
        <v/>
      </c>
      <c r="H126" s="833" t="n"/>
      <c r="I126" s="904" t="n">
        <v>23.45</v>
      </c>
      <c r="J126" s="340">
        <f>F126*18%</f>
        <v/>
      </c>
      <c r="K126" s="340">
        <f>(F126-J126)*1.65%</f>
        <v/>
      </c>
      <c r="L126" s="340">
        <f>(F126-J126)*7.6%</f>
        <v/>
      </c>
      <c r="M126" s="577" t="n"/>
      <c r="N126" s="543">
        <f>(G126+I126)*(9.25%)</f>
        <v/>
      </c>
      <c r="O126" s="904" t="n">
        <v>151.13</v>
      </c>
      <c r="P126" s="1016">
        <f>(F126 - (G126+I126+O126+(J126+K126+L126))) - (H126-M126-N126)</f>
        <v/>
      </c>
      <c r="Q126" s="328">
        <f>P126/F126</f>
        <v/>
      </c>
      <c r="R126" s="904" t="inlineStr">
        <is>
          <t>sem estoque</t>
        </is>
      </c>
      <c r="S126" s="651" t="n"/>
      <c r="T126" s="569" t="n">
        <v>0</v>
      </c>
      <c r="U126" s="1030" t="n"/>
      <c r="V126" s="1030" t="n"/>
      <c r="W126" s="1030" t="n"/>
    </row>
    <row r="127" ht="15.75" customHeight="1" s="1349">
      <c r="A127" s="1265" t="inlineStr">
        <is>
          <t>5298522816</t>
        </is>
      </c>
      <c r="B127" s="1263" t="n">
        <v>10034034166681</v>
      </c>
      <c r="C127" s="1292" t="inlineStr">
        <is>
          <t>EPI</t>
        </is>
      </c>
      <c r="D127" s="566" t="inlineStr">
        <is>
          <t>Kit 10 Capacete De Segurança Camper Ca34414 Epi C/ Jugular</t>
        </is>
      </c>
      <c r="E127" s="654" t="n"/>
      <c r="F127" s="607" t="n">
        <v>166.83</v>
      </c>
      <c r="G127" s="447">
        <f>F127*12%</f>
        <v/>
      </c>
      <c r="H127" s="831" t="n">
        <v>-7.31</v>
      </c>
      <c r="I127" s="492" t="n">
        <v>67.45</v>
      </c>
      <c r="J127" s="340">
        <f>F127*18%</f>
        <v/>
      </c>
      <c r="K127" s="340">
        <f>(F127-J127)*1.65%</f>
        <v/>
      </c>
      <c r="L127" s="340">
        <f>(F127-J127)*7.6%</f>
        <v/>
      </c>
      <c r="M127" s="1097" t="n">
        <v>16.6</v>
      </c>
      <c r="N127" s="785">
        <f>(G127+I127)*(9.25%)</f>
        <v/>
      </c>
      <c r="O127" s="701" t="n">
        <v>82.40000000000001</v>
      </c>
      <c r="P127" s="1016">
        <f>(F127 - (G127+I127+O127+(J127+K127+L127))) - (H127-M127-N127)</f>
        <v/>
      </c>
      <c r="Q127" s="328">
        <f>P127/F127</f>
        <v/>
      </c>
      <c r="R127" s="904" t="inlineStr">
        <is>
          <t>Desativado</t>
        </is>
      </c>
      <c r="S127" s="651" t="n"/>
      <c r="T127" s="569" t="n"/>
      <c r="U127" s="1030" t="n"/>
      <c r="V127" s="1030" t="n"/>
      <c r="W127" s="1030" t="n"/>
    </row>
    <row r="128" ht="15.75" customHeight="1" s="1349">
      <c r="A128" s="1265" t="inlineStr">
        <is>
          <t>3253402516785679</t>
        </is>
      </c>
      <c r="B128" s="1263" t="n"/>
      <c r="C128" s="904" t="inlineStr">
        <is>
          <t>Avant</t>
        </is>
      </c>
      <c r="D128" s="566" t="inlineStr">
        <is>
          <t>Kit 5 Capacete De Segurança Camper Ca34414 Epi C/ Jugular</t>
        </is>
      </c>
      <c r="E128" s="654" t="n"/>
      <c r="F128" s="607" t="n">
        <v>113.34</v>
      </c>
      <c r="G128" s="447">
        <f>F128*17%</f>
        <v/>
      </c>
      <c r="H128" s="831" t="n">
        <v>-3.51</v>
      </c>
      <c r="I128" s="492" t="n">
        <v>21.05</v>
      </c>
      <c r="J128" s="340">
        <f>F128*18%</f>
        <v/>
      </c>
      <c r="K128" s="340">
        <f>(F128-J128)*1.65%</f>
        <v/>
      </c>
      <c r="L128" s="340">
        <f>(F128-J128)*7.6%</f>
        <v/>
      </c>
      <c r="M128" s="1097" t="n">
        <v>3.32</v>
      </c>
      <c r="N128" s="785">
        <f>(G128+I128)*(9.25%)</f>
        <v/>
      </c>
      <c r="O128" s="701" t="n">
        <v>41.2</v>
      </c>
      <c r="P128" s="1016">
        <f>(F128 - (G128+I128+O128+(J128+K128+L128))) - (H128-M128-N128)</f>
        <v/>
      </c>
      <c r="Q128" s="328">
        <f>P128/F128</f>
        <v/>
      </c>
      <c r="R128" s="904" t="n"/>
      <c r="S128" s="651" t="n"/>
      <c r="T128" s="569" t="n"/>
      <c r="U128" s="1030" t="n"/>
      <c r="V128" s="1030" t="n"/>
      <c r="W128" s="1030" t="n"/>
    </row>
    <row r="129" ht="15.75" customHeight="1" s="1349">
      <c r="A129" s="711" t="inlineStr">
        <is>
          <t>5661243274</t>
        </is>
      </c>
      <c r="B129" s="470" t="n">
        <v>10034034167554</v>
      </c>
      <c r="C129" s="1292" t="inlineStr">
        <is>
          <t>Vonder</t>
        </is>
      </c>
      <c r="D129" s="704" t="inlineStr">
        <is>
          <t>Kit 10 Disco Lixa 180mm 7 Pol Lixadeira Politriz G80 8 Furos</t>
        </is>
      </c>
      <c r="E129" s="685" t="n"/>
      <c r="F129" s="856" t="n">
        <v>73.90000000000001</v>
      </c>
      <c r="G129" s="447">
        <f>F129*12%</f>
        <v/>
      </c>
      <c r="H129" s="833" t="n"/>
      <c r="I129" s="904">
        <f>IFS(
  F129&lt;12.5, F129/2,
  F129&lt;29, 6.25,
  F129&lt;50, 6.5,
  F129&lt;=79, 6.75,
  TRUE, 25
)</f>
        <v/>
      </c>
      <c r="J129" s="340">
        <f>F129*18%</f>
        <v/>
      </c>
      <c r="K129" s="340">
        <f>(F129-J129)*1.65%</f>
        <v/>
      </c>
      <c r="L129" s="340">
        <f>(F129-J129)*7.6%</f>
        <v/>
      </c>
      <c r="M129" s="577" t="n"/>
      <c r="N129" s="543">
        <f>(G129+I129)*(9.25%)</f>
        <v/>
      </c>
      <c r="O129" s="718" t="n">
        <v>35.96</v>
      </c>
      <c r="P129" s="1016">
        <f>(F129 - (G129+I129+O129+(J129+K129+L129))) - (H129-M129-N129)</f>
        <v/>
      </c>
      <c r="Q129" s="328">
        <f>P129/F129</f>
        <v/>
      </c>
      <c r="R129" s="904" t="inlineStr">
        <is>
          <t>Ativo</t>
        </is>
      </c>
      <c r="S129" s="651" t="n"/>
      <c r="T129" s="569" t="n">
        <v>6</v>
      </c>
      <c r="U129" s="1030" t="n"/>
      <c r="V129" s="1030" t="n"/>
      <c r="W129" s="1030" t="n"/>
    </row>
    <row r="130" ht="15.75" customHeight="1" s="1349">
      <c r="A130" s="1265" t="inlineStr">
        <is>
          <t>5244771272</t>
        </is>
      </c>
      <c r="B130" s="1263" t="n">
        <v>10034034167444</v>
      </c>
      <c r="C130" s="1292" t="inlineStr">
        <is>
          <t>EPI</t>
        </is>
      </c>
      <c r="D130" s="566" t="inlineStr">
        <is>
          <t>Kit 10 Lente Vidro Retangular 51x108mm Mascara Solda Ton 10</t>
        </is>
      </c>
      <c r="E130" s="654" t="n"/>
      <c r="F130" s="607" t="n">
        <v>29.7</v>
      </c>
      <c r="G130" s="447">
        <f>F130*12%</f>
        <v/>
      </c>
      <c r="H130" s="831" t="n"/>
      <c r="I130" s="904">
        <f>IFS(
F130&lt;12.5, F130/2,
F130&lt;29, 6.25,
F130&lt;50, 6.5,
F130&lt;=79, 6.75,
TRUE, 
25)</f>
        <v/>
      </c>
      <c r="J130" s="340">
        <f>F130*18%</f>
        <v/>
      </c>
      <c r="K130" s="340">
        <f>(F130-J130)*1.65%</f>
        <v/>
      </c>
      <c r="L130" s="340">
        <f>(F130-J130)*7.6%</f>
        <v/>
      </c>
      <c r="M130" s="577" t="n"/>
      <c r="N130" s="543">
        <f>(G130+I130)*(9.25%)</f>
        <v/>
      </c>
      <c r="O130" s="492" t="n">
        <v>11.71</v>
      </c>
      <c r="P130" s="1016">
        <f>(F130 - (G130+I130+O130+(J130+K130+L130))) - (H130-M130-N130)</f>
        <v/>
      </c>
      <c r="Q130" s="328">
        <f>P130/F130</f>
        <v/>
      </c>
      <c r="R130" s="904" t="inlineStr">
        <is>
          <t>Ativo</t>
        </is>
      </c>
      <c r="S130" s="651" t="n"/>
      <c r="T130" s="569" t="n"/>
      <c r="U130" s="1030" t="n"/>
      <c r="V130" s="1030" t="n"/>
      <c r="W130" s="1030" t="n"/>
    </row>
    <row r="131" ht="15.75" customHeight="1" s="1349">
      <c r="A131" s="489" t="inlineStr">
        <is>
          <t>5483980908</t>
        </is>
      </c>
      <c r="B131" s="1263" t="n">
        <v>10034034167369</v>
      </c>
      <c r="C131" s="1292" t="inlineStr">
        <is>
          <t>Camper</t>
        </is>
      </c>
      <c r="D131" s="194" t="inlineStr">
        <is>
          <t>Kit 10 Protetor Auricular Silicone Cordão Spot Plug Pro 17db</t>
        </is>
      </c>
      <c r="E131" s="654" t="n"/>
      <c r="F131" s="607" t="n">
        <v>31.91</v>
      </c>
      <c r="G131" s="447">
        <f>F131*17%</f>
        <v/>
      </c>
      <c r="H131" s="831" t="n">
        <v>-1.8</v>
      </c>
      <c r="I131" s="904" t="n">
        <v>7.95</v>
      </c>
      <c r="J131" s="340">
        <f>F131*18%</f>
        <v/>
      </c>
      <c r="K131" s="340">
        <f>(F131-J131)*1.65%</f>
        <v/>
      </c>
      <c r="L131" s="340">
        <f>(F131-J131)*7.6%</f>
        <v/>
      </c>
      <c r="M131" s="1097">
        <f>0.22*10</f>
        <v/>
      </c>
      <c r="N131" s="785">
        <f>(G131+I131)*(9.25%)</f>
        <v/>
      </c>
      <c r="O131" s="701">
        <f>1.22*10</f>
        <v/>
      </c>
      <c r="P131" s="1016">
        <f>(F131 - (G131+I131+O131+(J131+K131+L131))) - (H131-M131-N131)</f>
        <v/>
      </c>
      <c r="Q131" s="328">
        <f>P131/F131</f>
        <v/>
      </c>
      <c r="R131" s="904" t="inlineStr">
        <is>
          <t>Ativo</t>
        </is>
      </c>
      <c r="S131" s="651" t="n"/>
      <c r="T131" s="569" t="n"/>
      <c r="U131" s="1030" t="n"/>
      <c r="V131" s="1030" t="n"/>
      <c r="W131" s="1030" t="n"/>
    </row>
    <row r="132" ht="15.75" customHeight="1" s="1349">
      <c r="A132" s="489" t="inlineStr">
        <is>
          <t>5357595970</t>
        </is>
      </c>
      <c r="B132" s="713" t="n">
        <v>206</v>
      </c>
      <c r="C132" s="1292" t="inlineStr">
        <is>
          <t>New Lacre</t>
        </is>
      </c>
      <c r="D132" s="566" t="inlineStr">
        <is>
          <t>Kit 100 Abraçadeira Nylon Cintas Plásticas Reforçada 4,8x300</t>
        </is>
      </c>
      <c r="E132" s="654" t="n"/>
      <c r="F132" s="607" t="n">
        <v>31.33</v>
      </c>
      <c r="G132" s="447">
        <f>F132*12%</f>
        <v/>
      </c>
      <c r="H132" s="831" t="n">
        <v>-0.97</v>
      </c>
      <c r="I132" s="904">
        <f>IFS(
  F132&lt;12.5, F132/2,
  F132&lt;29, 6.25,
  F132&lt;50, 6.5,
  F132&lt;=79, 6.75,
  TRUE, 25
)</f>
        <v/>
      </c>
      <c r="J132" s="340">
        <f>F132*18%</f>
        <v/>
      </c>
      <c r="K132" s="340">
        <f>(F132-J132)*1.65%</f>
        <v/>
      </c>
      <c r="L132" s="340">
        <f>(F132-J132)*7.6%</f>
        <v/>
      </c>
      <c r="M132" s="1097" t="n">
        <v>1.16</v>
      </c>
      <c r="N132" s="785">
        <f>(G132+I132)*(9.25%)</f>
        <v/>
      </c>
      <c r="O132" s="708" t="n">
        <v>12.5</v>
      </c>
      <c r="P132" s="1016">
        <f>(F132 - (G132+I132+O132+(J132+K132+L132))) - (H132-M132-N132)</f>
        <v/>
      </c>
      <c r="Q132" s="328">
        <f>P132/F132</f>
        <v/>
      </c>
      <c r="R132" s="904" t="inlineStr">
        <is>
          <t>Ativo</t>
        </is>
      </c>
      <c r="S132" s="651" t="n"/>
      <c r="T132" s="569" t="n">
        <v>23</v>
      </c>
      <c r="U132" s="1030" t="n"/>
      <c r="V132" s="1030" t="n"/>
      <c r="W132" s="1030" t="n"/>
    </row>
    <row r="133" ht="15.75" customHeight="1" s="1349">
      <c r="A133" s="489" t="inlineStr">
        <is>
          <t>5367677618</t>
        </is>
      </c>
      <c r="B133" s="713" t="n">
        <v>10034034167379</v>
      </c>
      <c r="C133" s="904" t="inlineStr">
        <is>
          <t>New Lacre</t>
        </is>
      </c>
      <c r="D133" s="194" t="inlineStr">
        <is>
          <t>Kit 1000 Abraçadeira Nylon Cinta Plásticas Reforçada 4,8x300</t>
        </is>
      </c>
      <c r="E133" s="654" t="n"/>
      <c r="F133" s="607" t="n">
        <v>237.67</v>
      </c>
      <c r="G133" s="447">
        <f>F133*17%</f>
        <v/>
      </c>
      <c r="H133" s="831" t="n">
        <v>-7.35</v>
      </c>
      <c r="I133" s="492" t="n">
        <v>26.25</v>
      </c>
      <c r="J133" s="340">
        <f>F133*18%</f>
        <v/>
      </c>
      <c r="K133" s="340">
        <f>(F133-J133)*1.65%</f>
        <v/>
      </c>
      <c r="L133" s="340">
        <f>(F133-J133)*7.6%</f>
        <v/>
      </c>
      <c r="M133" s="1097" t="n">
        <v>11.6</v>
      </c>
      <c r="N133" s="785">
        <f>(G133+I133)*(9.25%)</f>
        <v/>
      </c>
      <c r="O133" s="701" t="n">
        <v>125</v>
      </c>
      <c r="P133" s="1016">
        <f>(F133 - (G133+I133+O133+(J133+K133+L133))) - (H133-M133-N133)</f>
        <v/>
      </c>
      <c r="Q133" s="328">
        <f>P133/F133</f>
        <v/>
      </c>
      <c r="R133" s="904" t="inlineStr">
        <is>
          <t>Ativo</t>
        </is>
      </c>
      <c r="S133" s="651" t="n"/>
      <c r="T133" s="569" t="n"/>
      <c r="U133" s="1030">
        <f>125-11.6</f>
        <v/>
      </c>
      <c r="V133" s="1030" t="n"/>
      <c r="W133" s="1030" t="n"/>
    </row>
    <row r="134" ht="15.75" customHeight="1" s="1349">
      <c r="A134" s="489" t="inlineStr">
        <is>
          <t>5367672936</t>
        </is>
      </c>
      <c r="B134" s="713" t="n">
        <v>10034034167378</v>
      </c>
      <c r="C134" s="1292" t="inlineStr">
        <is>
          <t>New Lacre</t>
        </is>
      </c>
      <c r="D134" s="566" t="inlineStr">
        <is>
          <t>Kit 1000 Abraçadeira Nylon Cinta Plásticas Reforçada 7,2x400</t>
        </is>
      </c>
      <c r="E134" s="654" t="n"/>
      <c r="F134" s="607" t="n">
        <v>465.6</v>
      </c>
      <c r="G134" s="447">
        <f>F134*12%</f>
        <v/>
      </c>
      <c r="H134" s="831" t="n">
        <v>-1.44</v>
      </c>
      <c r="I134" s="492" t="n">
        <v>30.75</v>
      </c>
      <c r="J134" s="340">
        <f>F134*18%</f>
        <v/>
      </c>
      <c r="K134" s="340">
        <f>(F134-J134)*1.65%</f>
        <v/>
      </c>
      <c r="L134" s="340">
        <f>(F134-J134)*7.6%</f>
        <v/>
      </c>
      <c r="M134" s="1097">
        <f>2.7*10</f>
        <v/>
      </c>
      <c r="N134" s="785">
        <f>(G134+I134)*(9.25%)</f>
        <v/>
      </c>
      <c r="O134" s="701" t="n">
        <v>292</v>
      </c>
      <c r="P134" s="1016">
        <f>(F134 - (G134+I134+O134+(J134+K134+L134))) - (H134-M134-N134)</f>
        <v/>
      </c>
      <c r="Q134" s="328">
        <f>P134/F134</f>
        <v/>
      </c>
      <c r="R134" s="904" t="inlineStr">
        <is>
          <t>sem estoque</t>
        </is>
      </c>
      <c r="S134" s="651" t="n"/>
      <c r="T134" s="569" t="n"/>
      <c r="U134" s="1030" t="n"/>
      <c r="V134" s="1030" t="n"/>
      <c r="W134" s="1030" t="n"/>
    </row>
    <row r="135" ht="15.75" customHeight="1" s="1349">
      <c r="A135" s="711" t="inlineStr">
        <is>
          <t>4193676017</t>
        </is>
      </c>
      <c r="B135" s="470" t="n">
        <v>10034034167566</v>
      </c>
      <c r="C135" s="1292" t="inlineStr">
        <is>
          <t>ÂNCORA</t>
        </is>
      </c>
      <c r="D135" s="704">
        <f>HYPERLINK("https://produto.mercadolivre.com.br/MLB-4193676017-kit-1000-pino-liso-indireta-eco-14x28-arruela-cnica-23mm-_JM#polycard_client=search-nordic&amp;search_layout=grid&amp;position=4&amp;type=item&amp;tracking_id=ccc1b969-38c9-4235-9dc4-c290a061bc21&amp;wid=MLB4193676017&amp;sid=se"&amp;"arch","Kit 1000 Pino Liso Indireta Eco 1/4x28 Arruela Cônica")</f>
        <v/>
      </c>
      <c r="E135" s="685" t="n"/>
      <c r="F135" s="705" t="n">
        <v>357.23</v>
      </c>
      <c r="G135" s="447">
        <f>F135*12%</f>
        <v/>
      </c>
      <c r="H135" s="833" t="n">
        <v>-13.91</v>
      </c>
      <c r="I135" s="904" t="n">
        <v>68.65000000000001</v>
      </c>
      <c r="J135" s="340">
        <f>F135*18%</f>
        <v/>
      </c>
      <c r="K135" s="340">
        <f>(F135-J135)*1.65%</f>
        <v/>
      </c>
      <c r="L135" s="340">
        <f>(F135-J135)*7.6%</f>
        <v/>
      </c>
      <c r="M135" s="1097">
        <f>1.73*10</f>
        <v/>
      </c>
      <c r="N135" s="785">
        <f>(G135+I135)*(9.25%)</f>
        <v/>
      </c>
      <c r="O135" s="708">
        <f>14.27*10</f>
        <v/>
      </c>
      <c r="P135" s="1016">
        <f>(F135 - (G135+I135+O135+(J135+K135+L135))) - (H135-M135-N135)</f>
        <v/>
      </c>
      <c r="Q135" s="328">
        <f>P135/F135</f>
        <v/>
      </c>
      <c r="R135" s="904" t="inlineStr">
        <is>
          <t>Ativo</t>
        </is>
      </c>
      <c r="S135" s="651" t="n"/>
      <c r="T135" s="569" t="n"/>
      <c r="U135" s="1030" t="n"/>
      <c r="V135" s="1030" t="n"/>
      <c r="W135" s="1030" t="n"/>
    </row>
    <row r="136" ht="15.75" customHeight="1" s="1349">
      <c r="A136" s="1265" t="inlineStr">
        <is>
          <t>3946065753</t>
        </is>
      </c>
      <c r="B136" s="1263" t="n">
        <v>10034034167476</v>
      </c>
      <c r="C136" s="1292" t="inlineStr">
        <is>
          <t>VOLK</t>
        </is>
      </c>
      <c r="D136" s="194" t="inlineStr">
        <is>
          <t>Kit 12 Luva Multitato Tricotada Pu Mecanico Antiestática Epi</t>
        </is>
      </c>
      <c r="E136" s="654" t="n"/>
      <c r="F136" s="607" t="n">
        <v>53.51</v>
      </c>
      <c r="G136" s="447">
        <f>F136*12%</f>
        <v/>
      </c>
      <c r="H136" s="831" t="n">
        <v>-0.63</v>
      </c>
      <c r="I136" s="904">
        <f>IFS(
  F136&lt;12.5, F136/2,
  F136&lt;29, 6.25,
  F136&lt;50, 6.5,
  F136&lt;=79, 6.75,
  TRUE, 25
)</f>
        <v/>
      </c>
      <c r="J136" s="340">
        <f>F136*18%</f>
        <v/>
      </c>
      <c r="K136" s="340">
        <f>(F136-J136)*1.65%</f>
        <v/>
      </c>
      <c r="L136" s="340">
        <f>(F136-J136)*7.6%</f>
        <v/>
      </c>
      <c r="M136" s="706">
        <f>0.248584*12</f>
        <v/>
      </c>
      <c r="N136" s="707">
        <f>(G136+I136)*(9.25%)</f>
        <v/>
      </c>
      <c r="O136" s="708">
        <f>1.93*12</f>
        <v/>
      </c>
      <c r="P136" s="1016">
        <f>(F136 - (G136+I136+O136+(J136+K136+L136))) - (H136-M136-N136)</f>
        <v/>
      </c>
      <c r="Q136" s="328">
        <f>P136/F136</f>
        <v/>
      </c>
      <c r="R136" s="904" t="inlineStr">
        <is>
          <t>Ativo</t>
        </is>
      </c>
      <c r="S136" s="651" t="n"/>
      <c r="T136" s="569" t="n"/>
      <c r="U136" s="1030" t="n"/>
      <c r="V136" s="1030" t="n"/>
      <c r="W136" s="1030" t="n"/>
    </row>
    <row r="137" ht="15.75" customHeight="1" s="1349">
      <c r="A137" s="709" t="inlineStr">
        <is>
          <t>4145600053</t>
        </is>
      </c>
      <c r="B137" s="710" t="n">
        <v>10034034167601</v>
      </c>
      <c r="C137" s="1292" t="inlineStr">
        <is>
          <t>VOLK</t>
        </is>
      </c>
      <c r="D137" s="566" t="inlineStr">
        <is>
          <t>Kit 12 Luva Multiuso Amarela Látex Antiderrapante Faxina Epi</t>
        </is>
      </c>
      <c r="E137" s="571" t="n"/>
      <c r="F137" s="856" t="n">
        <v>65.13</v>
      </c>
      <c r="G137" s="447">
        <f>F137*13%</f>
        <v/>
      </c>
      <c r="H137" s="831" t="n">
        <v>-2.27</v>
      </c>
      <c r="I137" s="904" t="n">
        <v>8.550000000000001</v>
      </c>
      <c r="J137" s="340">
        <f>F137*18%</f>
        <v/>
      </c>
      <c r="K137" s="340">
        <f>(F137-J137)*1.65%</f>
        <v/>
      </c>
      <c r="L137" s="340">
        <f>(F137-J137)*7.6%</f>
        <v/>
      </c>
      <c r="M137" s="1097">
        <f>0.32*12</f>
        <v/>
      </c>
      <c r="N137" s="785">
        <f>(G137+I137)*(9.25%)</f>
        <v/>
      </c>
      <c r="O137" s="701">
        <f>2.49*12</f>
        <v/>
      </c>
      <c r="P137" s="1016">
        <f>(F137 - (G137+I137+O137+(J137+K137+L137))) - (H137-M137-N137)</f>
        <v/>
      </c>
      <c r="Q137" s="328">
        <f>P137/F137</f>
        <v/>
      </c>
      <c r="R137" s="904" t="inlineStr">
        <is>
          <t>Ativo</t>
        </is>
      </c>
      <c r="S137" s="904" t="inlineStr">
        <is>
          <t>Slim</t>
        </is>
      </c>
      <c r="T137" s="569" t="n"/>
      <c r="U137" s="1030" t="n"/>
      <c r="V137" s="1030" t="n"/>
      <c r="W137" s="1030" t="n"/>
    </row>
    <row r="138" ht="15.75" customHeight="1" s="1349">
      <c r="A138" s="711" t="inlineStr">
        <is>
          <t>5694503296</t>
        </is>
      </c>
      <c r="B138" s="639" t="n">
        <v>10034034167575</v>
      </c>
      <c r="C138" s="1292" t="inlineStr">
        <is>
          <t>Vinilseg</t>
        </is>
      </c>
      <c r="D138" s="640">
        <f>HYPERLINK("https://produto.mercadolivre.com.br/MLB-5694503296-kit-2-aventais-branco-pvc-forrado-impermeavel-com-tira-cca-_JM","Kit 2 Aventais Branco Pvc Forrado Impermeável Com Tira C/ca")</f>
        <v/>
      </c>
      <c r="E138" s="641" t="n"/>
      <c r="F138" s="856" t="n">
        <v>28.9</v>
      </c>
      <c r="G138" s="447">
        <f>F138*11.5%</f>
        <v/>
      </c>
      <c r="H138" s="833" t="n"/>
      <c r="I138" s="904" t="n">
        <v>6.75</v>
      </c>
      <c r="J138" s="340">
        <f>F138*18%</f>
        <v/>
      </c>
      <c r="K138" s="340">
        <f>(F138-J138)*1.65%</f>
        <v/>
      </c>
      <c r="L138" s="340">
        <f>(F138-J138)*7.6%</f>
        <v/>
      </c>
      <c r="M138" s="1097">
        <f>1.92*2</f>
        <v/>
      </c>
      <c r="N138" s="785">
        <f>(G138+I138)*(9.25%)</f>
        <v/>
      </c>
      <c r="O138" s="701">
        <f>7.5*2</f>
        <v/>
      </c>
      <c r="P138" s="1016">
        <f>(F138 - (G138+I138+O138+(J138+K138+L138))) - (H138-M138-N138)</f>
        <v/>
      </c>
      <c r="Q138" s="328">
        <f>P138/F138</f>
        <v/>
      </c>
      <c r="R138" s="904" t="inlineStr">
        <is>
          <t>Ativo</t>
        </is>
      </c>
      <c r="S138" s="651" t="n"/>
      <c r="T138" s="569" t="n"/>
      <c r="U138" s="1030" t="n"/>
      <c r="V138" s="1030" t="n"/>
      <c r="W138" s="1030" t="n"/>
    </row>
    <row r="139" ht="15.75" customHeight="1" s="1349">
      <c r="A139" s="489" t="inlineStr">
        <is>
          <t>5249766570</t>
        </is>
      </c>
      <c r="B139" s="713" t="n">
        <v>10034034167380</v>
      </c>
      <c r="C139" s="1292" t="inlineStr">
        <is>
          <t>EPI</t>
        </is>
      </c>
      <c r="D139" s="194" t="inlineStr">
        <is>
          <t>Kit 2 Fitas Automotiva Amarela 18mm X 40m Estetica Polimento</t>
        </is>
      </c>
      <c r="E139" s="654" t="n"/>
      <c r="F139" s="607" t="n">
        <v>22.79</v>
      </c>
      <c r="G139" s="447">
        <f>F139*11.5%</f>
        <v/>
      </c>
      <c r="H139" s="831" t="n">
        <v>-0.72</v>
      </c>
      <c r="I139" s="904">
        <f>IFS(
  F139&lt;12.5, F139/2,
  F139&lt;29, 6.25,
  F139&lt;50, 6.5,
  F139&lt;=79, 6.75,
  TRUE, 25
)</f>
        <v/>
      </c>
      <c r="J139" s="340">
        <f>F139*18%</f>
        <v/>
      </c>
      <c r="K139" s="340">
        <f>(F139-J139)*1.65%</f>
        <v/>
      </c>
      <c r="L139" s="340">
        <f>(F139-J139)*7.6%</f>
        <v/>
      </c>
      <c r="M139" s="577" t="n"/>
      <c r="N139" s="543">
        <f>(G139+I139)*(9.25%)</f>
        <v/>
      </c>
      <c r="O139" s="1050">
        <f>3.77*2</f>
        <v/>
      </c>
      <c r="P139" s="1016">
        <f>(F139 - (G139+I139+O139+(J139+K139+L139))) - (H139-M139-N139)</f>
        <v/>
      </c>
      <c r="Q139" s="328">
        <f>P139/F139</f>
        <v/>
      </c>
      <c r="R139" s="904" t="inlineStr">
        <is>
          <t>Ativo</t>
        </is>
      </c>
      <c r="S139" s="651" t="n"/>
      <c r="T139" s="569" t="n"/>
      <c r="U139" s="1030" t="n"/>
      <c r="V139" s="1030" t="n"/>
      <c r="W139" s="1030" t="n"/>
    </row>
    <row r="140" ht="15.75" customHeight="1" s="1349">
      <c r="A140" s="489" t="inlineStr">
        <is>
          <t>3945666897</t>
        </is>
      </c>
      <c r="B140" s="1263" t="n">
        <v>10034034167485</v>
      </c>
      <c r="C140" s="1292" t="inlineStr">
        <is>
          <t>Danny</t>
        </is>
      </c>
      <c r="D140" s="566" t="inlineStr">
        <is>
          <t>Kit 2 Luva Proteção Anti Corte Cut Oil Palma Impermeável Epi</t>
        </is>
      </c>
      <c r="E140" s="654" t="n"/>
      <c r="F140" s="607" t="n">
        <v>63.4</v>
      </c>
      <c r="G140" s="447">
        <f>F140*12%</f>
        <v/>
      </c>
      <c r="H140" s="831" t="n">
        <v>-0.66</v>
      </c>
      <c r="I140" s="904" t="n">
        <v>6.55</v>
      </c>
      <c r="J140" s="340">
        <f>F140*18%</f>
        <v/>
      </c>
      <c r="K140" s="340">
        <f>(F140-J140)*1.65%</f>
        <v/>
      </c>
      <c r="L140" s="340">
        <f>(F140-J140)*7.6%</f>
        <v/>
      </c>
      <c r="M140" s="1097">
        <f>2.2*2</f>
        <v/>
      </c>
      <c r="N140" s="785">
        <f>(G140+I140)*(9.25%)</f>
        <v/>
      </c>
      <c r="O140" s="708">
        <f>17.11*2</f>
        <v/>
      </c>
      <c r="P140" s="1016">
        <f>(F140 - (G140+I140+O140+(J140+K140+L140))) - (H140-M140-N140)</f>
        <v/>
      </c>
      <c r="Q140" s="328">
        <f>P140/F140</f>
        <v/>
      </c>
      <c r="R140" s="904" t="inlineStr">
        <is>
          <t>Ativo</t>
        </is>
      </c>
      <c r="S140" s="651" t="n"/>
      <c r="T140" s="569" t="n"/>
      <c r="U140" s="1030" t="n"/>
      <c r="V140" s="1030" t="n"/>
      <c r="W140" s="1030" t="n"/>
    </row>
    <row r="141" ht="15.75" customHeight="1" s="1349">
      <c r="A141" s="489" t="inlineStr">
        <is>
          <t>5263571162</t>
        </is>
      </c>
      <c r="B141" s="1263" t="n">
        <v>10034034167480</v>
      </c>
      <c r="C141" s="1292" t="inlineStr">
        <is>
          <t>VOLK</t>
        </is>
      </c>
      <c r="D141" s="566" t="inlineStr">
        <is>
          <t>Kit 2 Luva Proteção Anticorte Cut Oil Palma Impermeável C/ca</t>
        </is>
      </c>
      <c r="E141" s="492" t="n"/>
      <c r="F141" s="607" t="n">
        <v>66.93000000000001</v>
      </c>
      <c r="G141" s="447">
        <f>F141*12%</f>
        <v/>
      </c>
      <c r="H141" s="831" t="n">
        <v>-4.01</v>
      </c>
      <c r="I141" s="904">
        <f>IFS(
  F141&lt;12.5, F141/2,
  F141&lt;29, 6.25,
  F141&lt;50, 6.5,
  F141&lt;=79, 6.75,
  TRUE, 25
)</f>
        <v/>
      </c>
      <c r="J141" s="340">
        <f>F141*18%</f>
        <v/>
      </c>
      <c r="K141" s="340">
        <f>(F141-J141)*1.65%</f>
        <v/>
      </c>
      <c r="L141" s="340">
        <f>(F141-J141)*7.6%</f>
        <v/>
      </c>
      <c r="M141" s="1097">
        <f>2.2*2</f>
        <v/>
      </c>
      <c r="N141" s="543">
        <f>(G141+I141)*(9.25%)</f>
        <v/>
      </c>
      <c r="O141" s="492" t="n">
        <v>33.6</v>
      </c>
      <c r="P141" s="1016">
        <f>(F141 - (G141+I141+O141+(J141+K141+L141))) - (H141-M141-N141)</f>
        <v/>
      </c>
      <c r="Q141" s="328">
        <f>P141/F141</f>
        <v/>
      </c>
      <c r="R141" s="904" t="inlineStr">
        <is>
          <t>Ativo</t>
        </is>
      </c>
      <c r="S141" s="651" t="n"/>
      <c r="T141" s="569" t="n"/>
      <c r="U141" s="1030" t="n"/>
      <c r="V141" s="1030" t="n"/>
      <c r="W141" s="1030" t="n"/>
    </row>
    <row r="142" ht="15.75" customHeight="1" s="1349">
      <c r="A142" s="711" t="inlineStr">
        <is>
          <t>4164055799</t>
        </is>
      </c>
      <c r="B142" s="470" t="n">
        <v>10034034167530</v>
      </c>
      <c r="C142" s="1292" t="inlineStr">
        <is>
          <t>MUCAMBO</t>
        </is>
      </c>
      <c r="D142" s="511" t="inlineStr">
        <is>
          <t>Kit 2 Pares Luva Latex Natural Preta Segurança Pro 157 Epi</t>
        </is>
      </c>
      <c r="E142" s="512" t="n"/>
      <c r="F142" s="856" t="n">
        <v>38.8</v>
      </c>
      <c r="G142" s="447">
        <f>F142*12%</f>
        <v/>
      </c>
      <c r="H142" s="833" t="n">
        <v>-0.12</v>
      </c>
      <c r="I142" s="904">
        <f>IFS(
F142&lt;12.5, F142/2,
F142&lt;29, 6.25,
F142&lt;50, 6.5,
F142&lt;=79, 6.75,
TRUE, 
25)</f>
        <v/>
      </c>
      <c r="J142" s="340">
        <f>F142*18%</f>
        <v/>
      </c>
      <c r="K142" s="340">
        <f>(F142-J142)*1.65%</f>
        <v/>
      </c>
      <c r="L142" s="340">
        <f>(F142-J142)*7.6%</f>
        <v/>
      </c>
      <c r="M142" s="577" t="n"/>
      <c r="N142" s="543">
        <f>(G142+I142)*(9.25%)</f>
        <v/>
      </c>
      <c r="O142" s="904" t="n">
        <v>9.279999999999999</v>
      </c>
      <c r="P142" s="1016">
        <f>(F142 - (G142+I142+O142+(J142+K142+L142))) - (H142-M142-N142)</f>
        <v/>
      </c>
      <c r="Q142" s="328">
        <f>P142/F142</f>
        <v/>
      </c>
      <c r="R142" s="904" t="inlineStr">
        <is>
          <t>Ativo</t>
        </is>
      </c>
      <c r="S142" s="651" t="n"/>
      <c r="T142" s="569" t="n">
        <v>149</v>
      </c>
      <c r="U142" s="1030" t="n"/>
      <c r="V142" s="1030" t="n"/>
      <c r="W142" s="1030" t="n"/>
    </row>
    <row r="143" ht="15.75" customHeight="1" s="1349">
      <c r="A143" s="1265" t="inlineStr">
        <is>
          <t>4026109987</t>
        </is>
      </c>
      <c r="B143" s="1263" t="n">
        <v>10034034166902</v>
      </c>
      <c r="C143" s="1292" t="inlineStr">
        <is>
          <t>Avant</t>
        </is>
      </c>
      <c r="D143" s="566" t="inlineStr">
        <is>
          <t>Painel Plafon 24w Avant Redondo Sobrepor Alta Durabilidade</t>
        </is>
      </c>
      <c r="E143" s="492" t="n"/>
      <c r="F143" s="607" t="n">
        <v>40.74</v>
      </c>
      <c r="G143" s="447">
        <f>F143*11.5%</f>
        <v/>
      </c>
      <c r="H143" s="831" t="n">
        <v>-2.44</v>
      </c>
      <c r="I143" s="904" t="n">
        <v>8.050000000000001</v>
      </c>
      <c r="J143" s="340">
        <f>F143*18%</f>
        <v/>
      </c>
      <c r="K143" s="340">
        <f>(F143-J143)*1.65%</f>
        <v/>
      </c>
      <c r="L143" s="340">
        <f>(F143-J143)*7.6%</f>
        <v/>
      </c>
      <c r="M143" s="1097" t="n">
        <v>2.2</v>
      </c>
      <c r="N143" s="785">
        <f>(G143+I143)*(9.25%)</f>
        <v/>
      </c>
      <c r="O143" s="701" t="n">
        <v>18.71</v>
      </c>
      <c r="P143" s="1016">
        <f>(F143 - (G143+I143+O143+(J143+K143+L143))) - (H143-M143-N143)</f>
        <v/>
      </c>
      <c r="Q143" s="328">
        <f>P143/F143</f>
        <v/>
      </c>
      <c r="R143" s="904" t="inlineStr">
        <is>
          <t>Ativo</t>
        </is>
      </c>
      <c r="S143" s="651" t="n"/>
      <c r="T143" s="569" t="n">
        <v>14</v>
      </c>
      <c r="U143" s="1030" t="n"/>
      <c r="V143" s="1030" t="n"/>
      <c r="W143" s="1030" t="n"/>
    </row>
    <row r="144" ht="15.75" customHeight="1" s="1349">
      <c r="A144" s="1265" t="inlineStr">
        <is>
          <t>5487225650</t>
        </is>
      </c>
      <c r="B144" s="1263" t="n">
        <v>10034034168161</v>
      </c>
      <c r="C144" s="1292" t="inlineStr">
        <is>
          <t>Avant</t>
        </is>
      </c>
      <c r="D144" s="194" t="inlineStr">
        <is>
          <t>Kit 2 Plafon Avant 24w Redondo Sobrepor Alta Durabilidade</t>
        </is>
      </c>
      <c r="E144" s="712" t="n">
        <v>93</v>
      </c>
      <c r="F144" s="607" t="n">
        <v>78.98999999999999</v>
      </c>
      <c r="G144" s="447">
        <f>F144*11.5%</f>
        <v/>
      </c>
      <c r="H144" s="831" t="n">
        <v>-1.39</v>
      </c>
      <c r="I144" s="904" t="n">
        <v>8.050000000000001</v>
      </c>
      <c r="J144" s="340">
        <f>F144*18%</f>
        <v/>
      </c>
      <c r="K144" s="340">
        <f>(F144-J144)*1.65%</f>
        <v/>
      </c>
      <c r="L144" s="340">
        <f>(F144-J144)*7.6%</f>
        <v/>
      </c>
      <c r="M144" s="1097">
        <f>2.2*2</f>
        <v/>
      </c>
      <c r="N144" s="785">
        <f>(G144+I144)*(9.25%)</f>
        <v/>
      </c>
      <c r="O144" s="701">
        <f>18.71*2</f>
        <v/>
      </c>
      <c r="P144" s="1016">
        <f>(F144 - (G144+I144+O144+(J144+K144+L144))) - (H144-M144-N144)</f>
        <v/>
      </c>
      <c r="Q144" s="328">
        <f>P144/F144</f>
        <v/>
      </c>
      <c r="R144" s="904" t="inlineStr">
        <is>
          <t>Ativo</t>
        </is>
      </c>
      <c r="S144" s="651" t="n"/>
      <c r="T144" s="569" t="n"/>
      <c r="U144" s="1030" t="n"/>
      <c r="V144" s="1030" t="n"/>
      <c r="W144" s="1030" t="n"/>
    </row>
    <row r="145" ht="15.75" customHeight="1" s="1349">
      <c r="A145" s="489" t="inlineStr">
        <is>
          <t>2785525387</t>
        </is>
      </c>
      <c r="B145" s="713" t="n">
        <v>10034034166366</v>
      </c>
      <c r="C145" s="1292" t="inlineStr">
        <is>
          <t>Delta plus</t>
        </is>
      </c>
      <c r="D145" s="194" t="inlineStr">
        <is>
          <t>Kit 20 Óculos Proteção Uvb/uva Delta Plus Summer Incolor</t>
        </is>
      </c>
      <c r="E145" s="654" t="n"/>
      <c r="F145" s="607" t="n">
        <v>78.98999999999999</v>
      </c>
      <c r="G145" s="447">
        <f>F145*12%</f>
        <v/>
      </c>
      <c r="H145" s="831" t="n"/>
      <c r="I145" s="904">
        <f>IFS(
  F145&lt;12.5, F145/2,
  F145&lt;29, 6.25,
  F145&lt;50, 6.5,
  F145&lt;=79, 6.75,
  TRUE, 25
)</f>
        <v/>
      </c>
      <c r="J145" s="340">
        <f>F145*18%</f>
        <v/>
      </c>
      <c r="K145" s="340">
        <f>(F145-J145)*1.65%</f>
        <v/>
      </c>
      <c r="L145" s="340">
        <f>(F145-J145)*7.6%</f>
        <v/>
      </c>
      <c r="M145" s="1097" t="n">
        <v>0.48</v>
      </c>
      <c r="N145" s="785">
        <f>(G145+I145)*(9.25%)</f>
        <v/>
      </c>
      <c r="O145" s="197">
        <f>1.93*20</f>
        <v/>
      </c>
      <c r="P145" s="1016">
        <f>(F145 - (G145+I145+O145+(J145+K145+L145))) - (H145-M145-N145)</f>
        <v/>
      </c>
      <c r="Q145" s="328">
        <f>P145/F145</f>
        <v/>
      </c>
      <c r="R145" s="904" t="inlineStr">
        <is>
          <t>TRAVADO</t>
        </is>
      </c>
      <c r="S145" s="651" t="n"/>
      <c r="T145" s="569" t="n">
        <v>150</v>
      </c>
      <c r="U145" s="1030" t="n"/>
      <c r="V145" s="1030" t="n"/>
      <c r="W145" s="1030" t="n"/>
    </row>
    <row r="146" ht="15.75" customHeight="1" s="1349">
      <c r="A146" s="1265" t="inlineStr">
        <is>
          <t>5299327176</t>
        </is>
      </c>
      <c r="B146" s="1263" t="n">
        <v>10034034167449</v>
      </c>
      <c r="C146" s="1292" t="inlineStr">
        <is>
          <t>Delta plus</t>
        </is>
      </c>
      <c r="D146" s="194" t="inlineStr">
        <is>
          <t>Kit 20 Óculos Segurança Proteção Uv Sky Fume Incolor Ca39878</t>
        </is>
      </c>
      <c r="E146" s="654" t="n"/>
      <c r="F146" s="607" t="n">
        <v>73.5</v>
      </c>
      <c r="G146" s="447">
        <f>F146*12%</f>
        <v/>
      </c>
      <c r="H146" s="831" t="n">
        <v>-0.87</v>
      </c>
      <c r="I146" s="904" t="n">
        <v>8.85</v>
      </c>
      <c r="J146" s="340">
        <f>F146*18%</f>
        <v/>
      </c>
      <c r="K146" s="340">
        <f>(F146-J146)*1.65%</f>
        <v/>
      </c>
      <c r="L146" s="340">
        <f>(F146-J146)*7.6%</f>
        <v/>
      </c>
      <c r="M146" s="1097">
        <f>0.25*20</f>
        <v/>
      </c>
      <c r="N146" s="785">
        <f>(G146+I146)*(9.25%)</f>
        <v/>
      </c>
      <c r="O146" s="197">
        <f>2.03*20</f>
        <v/>
      </c>
      <c r="P146" s="1016">
        <f>(F146 - (G146+I146+O146+(J146+K146+L146))) - (H146-M146-N146)</f>
        <v/>
      </c>
      <c r="Q146" s="328">
        <f>P146/F146</f>
        <v/>
      </c>
      <c r="R146" s="904" t="inlineStr">
        <is>
          <t>Ativo</t>
        </is>
      </c>
      <c r="S146" s="651" t="n"/>
      <c r="T146" s="569" t="n"/>
      <c r="U146" s="1030" t="n"/>
      <c r="V146" s="1030" t="n"/>
      <c r="W146" s="1030" t="n"/>
    </row>
    <row r="147" ht="15.75" customHeight="1" s="1349">
      <c r="A147" s="489" t="inlineStr">
        <is>
          <t>5484030456</t>
        </is>
      </c>
      <c r="B147" s="713" t="n">
        <v>10034034167368</v>
      </c>
      <c r="C147" s="1292" t="inlineStr">
        <is>
          <t>Camper</t>
        </is>
      </c>
      <c r="D147" s="194" t="inlineStr">
        <is>
          <t>Kit 20 Spot Plug Pro Silicone Protetor Auditivo Cordão 17db</t>
        </is>
      </c>
      <c r="E147" s="654" t="n"/>
      <c r="F147" s="607" t="n">
        <v>59.99</v>
      </c>
      <c r="G147" s="447">
        <f>F147*17%</f>
        <v/>
      </c>
      <c r="H147" s="831" t="n">
        <v>-1.9</v>
      </c>
      <c r="I147" s="904" t="n">
        <v>7.95</v>
      </c>
      <c r="J147" s="340">
        <f>F147*18%</f>
        <v/>
      </c>
      <c r="K147" s="340">
        <f>(F147-J147)*1.65%</f>
        <v/>
      </c>
      <c r="L147" s="340">
        <f>(F147-J147)*7.6%</f>
        <v/>
      </c>
      <c r="M147" s="1097">
        <f>0.22*20</f>
        <v/>
      </c>
      <c r="N147" s="785">
        <f>(G147+I147)*(9.25%)</f>
        <v/>
      </c>
      <c r="O147" s="197">
        <f>1.22*20</f>
        <v/>
      </c>
      <c r="P147" s="1016">
        <f>(F147 - (G147+I147+O147+(J147+K147+L147))) - (H147-M147-N147)</f>
        <v/>
      </c>
      <c r="Q147" s="328">
        <f>P147/F147</f>
        <v/>
      </c>
      <c r="R147" s="904" t="inlineStr">
        <is>
          <t>Ativo</t>
        </is>
      </c>
      <c r="S147" s="651" t="n"/>
      <c r="T147" s="569" t="n"/>
      <c r="U147" s="1030" t="n"/>
      <c r="V147" s="1030" t="n"/>
      <c r="W147" s="1030" t="n"/>
    </row>
    <row r="148" ht="15.75" customHeight="1" s="1349">
      <c r="A148" s="489" t="inlineStr">
        <is>
          <t>4076061275</t>
        </is>
      </c>
      <c r="B148" s="713" t="n">
        <v>10034034167374</v>
      </c>
      <c r="C148" s="1292" t="inlineStr">
        <is>
          <t>ÂNCORA</t>
        </is>
      </c>
      <c r="D148" s="194" t="inlineStr">
        <is>
          <t>Kit 20 Tela Amarração Alvenaria Blocos Tel120 12cm X 50cm</t>
        </is>
      </c>
      <c r="E148" s="654" t="n"/>
      <c r="F148" s="607" t="n">
        <v>45.9</v>
      </c>
      <c r="G148" s="447">
        <f>F148*17%</f>
        <v/>
      </c>
      <c r="H148" s="831" t="n"/>
      <c r="I148" s="904" t="n">
        <v>7.75</v>
      </c>
      <c r="J148" s="340">
        <f>F148*18%</f>
        <v/>
      </c>
      <c r="K148" s="340">
        <f>(F148-J148)*1.65%</f>
        <v/>
      </c>
      <c r="L148" s="340">
        <f>(F148-J148)*7.6%</f>
        <v/>
      </c>
      <c r="M148" s="1097">
        <f>11.59/5</f>
        <v/>
      </c>
      <c r="N148" s="785">
        <f>(G148+I148)*(9.25%)</f>
        <v/>
      </c>
      <c r="O148" s="708">
        <f>89.96/5</f>
        <v/>
      </c>
      <c r="P148" s="1016">
        <f>(F148 - (G148+I148+O148+(J148+K148+L148))) - (H148-M148-N148)</f>
        <v/>
      </c>
      <c r="Q148" s="328">
        <f>P148/F148</f>
        <v/>
      </c>
      <c r="R148" s="904" t="inlineStr">
        <is>
          <t>Ativo</t>
        </is>
      </c>
      <c r="S148" s="651" t="n"/>
      <c r="T148" s="569" t="n"/>
      <c r="U148" s="1030" t="n"/>
      <c r="V148" s="1030" t="n"/>
      <c r="W148" s="1030" t="n"/>
    </row>
    <row r="149" ht="15.75" customHeight="1" s="1349">
      <c r="A149" s="711" t="inlineStr">
        <is>
          <t>4164341959</t>
        </is>
      </c>
      <c r="B149" s="470" t="n">
        <v>10034034167535</v>
      </c>
      <c r="C149" s="1292" t="inlineStr">
        <is>
          <t>EPI</t>
        </is>
      </c>
      <c r="D149" s="625">
        <f>HYPERLINK("https://produto.mercadolivre.com.br/MLB-4164341959-kit-3-luvas-latex-multiuso-profissional-pro-157-reforcada-_JM","Kit 3 Luvas Latex Multiuso Profissional Pro 157 Reforçada Mucambo")</f>
        <v/>
      </c>
      <c r="E149" s="685" t="n"/>
      <c r="F149" s="856" t="n">
        <v>60</v>
      </c>
      <c r="G149" s="447">
        <f>F149*12%</f>
        <v/>
      </c>
      <c r="H149" s="833" t="n"/>
      <c r="I149" s="904">
        <f>IFS(
  F149&lt;12.5, F149/2,
  F149&lt;29, 6.25,
  F149&lt;50, 6.5,
  F149&lt;=79, 6.75,
  TRUE, 25
)</f>
        <v/>
      </c>
      <c r="J149" s="340">
        <f>F149*18%</f>
        <v/>
      </c>
      <c r="K149" s="340">
        <f>(F149-J149)*1.65%</f>
        <v/>
      </c>
      <c r="L149" s="340">
        <f>(F149-J149)*7.6%</f>
        <v/>
      </c>
      <c r="M149" s="1097">
        <f>0.43*3</f>
        <v/>
      </c>
      <c r="N149" s="543">
        <f>(G149+I149)*(9.25%)</f>
        <v/>
      </c>
      <c r="O149" s="708">
        <f>4.64*3</f>
        <v/>
      </c>
      <c r="P149" s="1016">
        <f>(F149 - (G149+I149+O149+(J149+K149+L149))) - (H149-M149-N149)</f>
        <v/>
      </c>
      <c r="Q149" s="328">
        <f>P149/F149</f>
        <v/>
      </c>
      <c r="R149" s="904" t="inlineStr">
        <is>
          <t>Ativo</t>
        </is>
      </c>
      <c r="S149" s="651" t="n"/>
      <c r="T149" s="569" t="n"/>
      <c r="U149" s="1030" t="n"/>
      <c r="V149" s="1030" t="n"/>
      <c r="W149" s="1030" t="n"/>
    </row>
    <row r="150" ht="15.75" customHeight="1" s="1349">
      <c r="A150" s="1265" t="inlineStr">
        <is>
          <t>5298614678</t>
        </is>
      </c>
      <c r="B150" s="1263" t="n">
        <v>10034034167390</v>
      </c>
      <c r="C150" s="1292" t="inlineStr">
        <is>
          <t>Camper</t>
        </is>
      </c>
      <c r="D150" s="566" t="inlineStr">
        <is>
          <t>Kit 4 Capacete De Segurança Camper Ca 34414 Epi C/ Jugular</t>
        </is>
      </c>
      <c r="E150" s="654" t="n"/>
      <c r="F150" s="607" t="n">
        <v>71.77</v>
      </c>
      <c r="G150" s="447">
        <f>F150*17%</f>
        <v/>
      </c>
      <c r="H150" s="831" t="n">
        <v>-2.67</v>
      </c>
      <c r="I150" s="904" t="n">
        <v>8.949999999999999</v>
      </c>
      <c r="J150" s="340">
        <f>F150*18%</f>
        <v/>
      </c>
      <c r="K150" s="340">
        <f>(F150-J150)*1.65%</f>
        <v/>
      </c>
      <c r="L150" s="340">
        <f>(F150-J150)*7.6%</f>
        <v/>
      </c>
      <c r="M150" s="1097">
        <f>(1.65*4) + (0.42*4)</f>
        <v/>
      </c>
      <c r="N150" s="785">
        <f>(G150+I150)*(9.25%)</f>
        <v/>
      </c>
      <c r="O150" s="701">
        <f>(8.24*4) + (2.09*4)</f>
        <v/>
      </c>
      <c r="P150" s="1016">
        <f>(F150 - (G150+I150+O150+(J150+K150+L150))) - (H150-M150-N150)</f>
        <v/>
      </c>
      <c r="Q150" s="328">
        <f>P150/F150</f>
        <v/>
      </c>
      <c r="R150" s="904" t="inlineStr">
        <is>
          <t>Ativo</t>
        </is>
      </c>
      <c r="S150" s="651" t="n"/>
      <c r="T150" s="569" t="n"/>
      <c r="U150" s="1030" t="n"/>
      <c r="V150" s="1030" t="n"/>
      <c r="W150" s="1030" t="n"/>
    </row>
    <row r="151" ht="15.75" customHeight="1" s="1349">
      <c r="A151" s="489" t="inlineStr">
        <is>
          <t>5244549660</t>
        </is>
      </c>
      <c r="B151" s="713" t="n">
        <v>10034034167324</v>
      </c>
      <c r="C151" s="1292" t="inlineStr">
        <is>
          <t>Nutriex</t>
        </is>
      </c>
      <c r="D151" s="566" t="inlineStr">
        <is>
          <t>Kit 4 Creme Protetor De Mãos Luva Química Plus Grupo 3 200g</t>
        </is>
      </c>
      <c r="E151" s="571" t="n"/>
      <c r="F151" s="607" t="n">
        <v>34.89</v>
      </c>
      <c r="G151" s="447">
        <f>F151*12%</f>
        <v/>
      </c>
      <c r="H151" s="831" t="n">
        <v>-1.01</v>
      </c>
      <c r="I151" s="904" t="n">
        <v>6.85</v>
      </c>
      <c r="J151" s="340">
        <f>F151*18%</f>
        <v/>
      </c>
      <c r="K151" s="450" t="n">
        <v>0</v>
      </c>
      <c r="L151" s="450" t="n">
        <v>0</v>
      </c>
      <c r="M151" s="1097">
        <f>0.9*4</f>
        <v/>
      </c>
      <c r="N151" s="785">
        <f>(G151+I151)*(9.25%)</f>
        <v/>
      </c>
      <c r="O151" s="708">
        <f>5.1*4</f>
        <v/>
      </c>
      <c r="P151" s="1016">
        <f>(F151 - (G151+I151+O151+(J151+K151+L151))) - (H151-M151-N151)</f>
        <v/>
      </c>
      <c r="Q151" s="328">
        <f>P151/F151</f>
        <v/>
      </c>
      <c r="R151" s="904" t="inlineStr">
        <is>
          <t>Ativo</t>
        </is>
      </c>
      <c r="S151" s="651" t="n"/>
      <c r="T151" s="569" t="n">
        <v>45</v>
      </c>
      <c r="U151" s="1030" t="n"/>
      <c r="V151" s="1030" t="n"/>
      <c r="W151" s="1030" t="n"/>
    </row>
    <row r="152" ht="15.75" customHeight="1" s="1349">
      <c r="A152" s="1265" t="inlineStr">
        <is>
          <t>4095171015</t>
        </is>
      </c>
      <c r="B152" s="1263" t="n">
        <v>10034034167422</v>
      </c>
      <c r="C152" s="1292" t="inlineStr">
        <is>
          <t>VOLK</t>
        </is>
      </c>
      <c r="D152" s="194" t="inlineStr">
        <is>
          <t>Kit 4 Luva Poliamida Banho Pu Multitato Mecanico Oficina Ca</t>
        </is>
      </c>
      <c r="E152" s="654" t="n"/>
      <c r="F152" s="607" t="n">
        <v>23.17</v>
      </c>
      <c r="G152" s="447">
        <f>F152*12%</f>
        <v/>
      </c>
      <c r="H152" s="831" t="n">
        <v>-0.78</v>
      </c>
      <c r="I152" s="904" t="n">
        <v>6.85</v>
      </c>
      <c r="J152" s="340">
        <f>F152*18%</f>
        <v/>
      </c>
      <c r="K152" s="340">
        <f>(F152-J152)*1.65%</f>
        <v/>
      </c>
      <c r="L152" s="340">
        <f>(F152-J152)*7.6%</f>
        <v/>
      </c>
      <c r="M152" s="1097">
        <f>0.25*4</f>
        <v/>
      </c>
      <c r="N152" s="785">
        <f>(G152+I152)*(9.25%)</f>
        <v/>
      </c>
      <c r="O152" s="701">
        <f>1.93*4</f>
        <v/>
      </c>
      <c r="P152" s="1016">
        <f>(F152 - (G152+I152+O152+(J152+K152+L152))) - (H152-M152-N152)</f>
        <v/>
      </c>
      <c r="Q152" s="328">
        <f>P152/F152</f>
        <v/>
      </c>
      <c r="R152" s="904" t="inlineStr">
        <is>
          <t>Ativo</t>
        </is>
      </c>
      <c r="S152" s="904" t="inlineStr">
        <is>
          <t>tatil black</t>
        </is>
      </c>
      <c r="T152" s="569" t="n">
        <v>9</v>
      </c>
      <c r="U152" s="1030" t="n"/>
      <c r="V152" s="1030" t="n"/>
      <c r="W152" s="1030" t="n"/>
    </row>
    <row r="153" ht="15.75" customHeight="1" s="1349">
      <c r="A153" s="489" t="inlineStr">
        <is>
          <t>7376790325070226</t>
        </is>
      </c>
      <c r="B153" s="713" t="n">
        <v>10034034167422</v>
      </c>
      <c r="C153" s="1292" t="inlineStr">
        <is>
          <t>VOLK</t>
        </is>
      </c>
      <c r="D153" s="491" t="inlineStr">
        <is>
          <t>Kit 4 Luva Poliamida Pu Multitato Mecanico Oficina Uso Geral</t>
        </is>
      </c>
      <c r="E153" s="492" t="n"/>
      <c r="F153" s="607" t="n">
        <v>24.99</v>
      </c>
      <c r="G153" s="447">
        <f>F153*17%</f>
        <v/>
      </c>
      <c r="H153" s="831" t="n"/>
      <c r="I153" s="904" t="n">
        <v>7.95</v>
      </c>
      <c r="J153" s="340">
        <f>F153*18%</f>
        <v/>
      </c>
      <c r="K153" s="340">
        <f>(F153-J153)*1.65%</f>
        <v/>
      </c>
      <c r="L153" s="340">
        <f>(F153-J153)*7.6%</f>
        <v/>
      </c>
      <c r="M153" s="1097">
        <f>0.22*4</f>
        <v/>
      </c>
      <c r="N153" s="785">
        <f>(G153+I153)*(9.25%)</f>
        <v/>
      </c>
      <c r="O153" s="701">
        <f>1.93*4</f>
        <v/>
      </c>
      <c r="P153" s="1016">
        <f>(F153 - (G153+I153+O153+(J153+K153+L153))) - (H153-M153-N153)</f>
        <v/>
      </c>
      <c r="Q153" s="328">
        <f>P153/F153</f>
        <v/>
      </c>
      <c r="R153" s="904" t="inlineStr">
        <is>
          <t>Ativo</t>
        </is>
      </c>
      <c r="S153" s="904" t="inlineStr">
        <is>
          <t>tatil black</t>
        </is>
      </c>
      <c r="T153" s="569" t="n">
        <v>9</v>
      </c>
      <c r="U153" s="1030" t="n"/>
      <c r="V153" s="1030" t="n"/>
      <c r="W153" s="1030" t="n"/>
    </row>
    <row r="154" ht="15.75" customHeight="1" s="1349">
      <c r="A154" s="1265" t="inlineStr">
        <is>
          <t>5391831098</t>
        </is>
      </c>
      <c r="B154" s="713" t="n"/>
      <c r="C154" s="1292" t="inlineStr">
        <is>
          <t>Danny</t>
        </is>
      </c>
      <c r="D154" s="194" t="inlineStr">
        <is>
          <t>Kit 4 Luva Proteção Química Max Orange Reforçada Látex C/ca</t>
        </is>
      </c>
      <c r="E154" s="654" t="n"/>
      <c r="F154" s="607" t="n">
        <v>48.84</v>
      </c>
      <c r="G154" s="447">
        <f>F154*12%</f>
        <v/>
      </c>
      <c r="H154" s="831" t="n">
        <v>-2.93</v>
      </c>
      <c r="I154" s="904" t="n">
        <v>8.949999999999999</v>
      </c>
      <c r="J154" s="340">
        <f>F154*18%</f>
        <v/>
      </c>
      <c r="K154" s="340">
        <f>(F154-J154)*1.65%</f>
        <v/>
      </c>
      <c r="L154" s="340">
        <f>(F154-J154)*7.6%</f>
        <v/>
      </c>
      <c r="M154" s="1097">
        <f>0.8*4</f>
        <v/>
      </c>
      <c r="N154" s="785">
        <f>(G154+I154)*(9.25%)</f>
        <v/>
      </c>
      <c r="O154" s="701">
        <f>6.24*4</f>
        <v/>
      </c>
      <c r="P154" s="1016">
        <f>(F154 - (G154+I154+O154+(J154+K154+L154))) - (H154-M154-N154)</f>
        <v/>
      </c>
      <c r="Q154" s="328">
        <f>P154/F154</f>
        <v/>
      </c>
      <c r="R154" s="904" t="inlineStr">
        <is>
          <t>Ativo</t>
        </is>
      </c>
      <c r="S154" s="651" t="n"/>
      <c r="T154" s="569" t="n"/>
      <c r="U154" s="1030" t="n"/>
      <c r="V154" s="1030" t="n"/>
      <c r="W154" s="1030" t="n"/>
    </row>
    <row r="155" ht="15.75" customHeight="1" s="1349">
      <c r="A155" s="489" t="inlineStr">
        <is>
          <t>5514438820</t>
        </is>
      </c>
      <c r="B155" s="713" t="n">
        <v>10034034167588</v>
      </c>
      <c r="C155" s="1292" t="inlineStr">
        <is>
          <t>EPI</t>
        </is>
      </c>
      <c r="D155" s="491" t="inlineStr">
        <is>
          <t>Kit 4 Luva Tricotada Poliamida Pigmentada Poliflex Danny Ca</t>
        </is>
      </c>
      <c r="E155" s="492" t="n"/>
      <c r="F155" s="607" t="n">
        <v>62.95</v>
      </c>
      <c r="G155" s="447">
        <f>F155*17%</f>
        <v/>
      </c>
      <c r="H155" s="831" t="n">
        <v>-1.95</v>
      </c>
      <c r="I155" s="904" t="n">
        <v>8.949999999999999</v>
      </c>
      <c r="J155" s="340">
        <f>F155*18%</f>
        <v/>
      </c>
      <c r="K155" s="340">
        <f>(F155-J155)*1.65%</f>
        <v/>
      </c>
      <c r="L155" s="340">
        <f>(F155-J155)*7.6%</f>
        <v/>
      </c>
      <c r="M155" s="1097">
        <f>0.9*4</f>
        <v/>
      </c>
      <c r="N155" s="785">
        <f>(G155+I155)*(9.25%)</f>
        <v/>
      </c>
      <c r="O155" s="701">
        <f>6.99*4</f>
        <v/>
      </c>
      <c r="P155" s="1016">
        <f>(F155 - (G155+I155+O155+(J155+K155+L155))) - (H155-M155-N155)</f>
        <v/>
      </c>
      <c r="Q155" s="328">
        <f>P155/F155</f>
        <v/>
      </c>
      <c r="R155" s="904" t="inlineStr">
        <is>
          <t>Ativo</t>
        </is>
      </c>
      <c r="S155" s="651" t="n"/>
      <c r="T155" s="569" t="n"/>
      <c r="U155" s="1030" t="n"/>
      <c r="V155" s="1030" t="n"/>
      <c r="W155" s="1030" t="n"/>
    </row>
    <row r="156" ht="15.75" customHeight="1" s="1349">
      <c r="A156" s="489" t="inlineStr">
        <is>
          <t>5762841026</t>
        </is>
      </c>
      <c r="B156" s="713" t="n">
        <v>10034034167383</v>
      </c>
      <c r="C156" s="1292" t="inlineStr">
        <is>
          <t>EPI</t>
        </is>
      </c>
      <c r="D156" s="566" t="inlineStr">
        <is>
          <t>Kit 50 Chumbador Parabolt Pba 1/4 X 2.1/4 C/ Porca E Arruela</t>
        </is>
      </c>
      <c r="E156" s="654" t="n"/>
      <c r="F156" s="607" t="n">
        <v>55.9</v>
      </c>
      <c r="G156" s="447">
        <f>F156*14%</f>
        <v/>
      </c>
      <c r="H156" s="831" t="n">
        <v>-2.3</v>
      </c>
      <c r="I156" s="904" t="n">
        <v>8.050000000000001</v>
      </c>
      <c r="J156" s="340">
        <f>F156*18%</f>
        <v/>
      </c>
      <c r="K156" s="340">
        <f>(F156-J156)*1.65%</f>
        <v/>
      </c>
      <c r="L156" s="340">
        <f>(F156-J156)*7.6%</f>
        <v/>
      </c>
      <c r="M156" s="577">
        <f>0.06*50</f>
        <v/>
      </c>
      <c r="N156" s="543">
        <f>(G156+I156)*(9.25%)</f>
        <v/>
      </c>
      <c r="O156" s="1297">
        <f>0.49*50</f>
        <v/>
      </c>
      <c r="P156" s="1016">
        <f>(F156 - (G156+I156+O156+(J156+K156+L156))) - (H156-M156-N156)</f>
        <v/>
      </c>
      <c r="Q156" s="328">
        <f>P156/F156</f>
        <v/>
      </c>
      <c r="R156" s="904" t="inlineStr">
        <is>
          <t>Ativo</t>
        </is>
      </c>
      <c r="S156" s="651" t="n"/>
      <c r="T156" s="569" t="n"/>
      <c r="U156" s="1030" t="n"/>
      <c r="V156" s="1030" t="n"/>
      <c r="W156" s="1030" t="n"/>
    </row>
    <row r="157" ht="15.75" customHeight="1" s="1349">
      <c r="A157" s="494" t="inlineStr">
        <is>
          <t>4097684635</t>
        </is>
      </c>
      <c r="B157" s="495" t="n">
        <v>10034034168089</v>
      </c>
      <c r="C157" s="1292" t="inlineStr">
        <is>
          <t>VOLK</t>
        </is>
      </c>
      <c r="D157" s="636" t="inlineStr">
        <is>
          <t>Kit 50 Mangote Manga Plástica Com Elástico Descartável 50cm</t>
        </is>
      </c>
      <c r="E157" s="904" t="n"/>
      <c r="F157" s="607" t="n">
        <v>29.49</v>
      </c>
      <c r="G157" s="447">
        <f>F157*12%</f>
        <v/>
      </c>
      <c r="H157" s="831" t="n">
        <v>-0.91</v>
      </c>
      <c r="I157" s="904" t="n">
        <v>6.55</v>
      </c>
      <c r="J157" s="340">
        <f>F157*18%</f>
        <v/>
      </c>
      <c r="K157" s="340">
        <f>(F157-J157)*1.65%</f>
        <v/>
      </c>
      <c r="L157" s="340">
        <f>(F157-J157)*7.6%</f>
        <v/>
      </c>
      <c r="M157" s="715" t="n">
        <v>1.39</v>
      </c>
      <c r="N157" s="716">
        <f>(G157+I157)*(9.25%)</f>
        <v/>
      </c>
      <c r="O157" s="701" t="n">
        <v>11.18</v>
      </c>
      <c r="P157" s="1016">
        <f>(F157 - (G157+I157+O157+(J157+K157+L157))) - (H157-M157-N157)</f>
        <v/>
      </c>
      <c r="Q157" s="328">
        <f>P157/F157</f>
        <v/>
      </c>
      <c r="R157" s="904" t="inlineStr">
        <is>
          <t>Ativo</t>
        </is>
      </c>
      <c r="S157" s="651" t="n"/>
      <c r="T157" s="569" t="n">
        <v>13</v>
      </c>
      <c r="U157" s="1030" t="n"/>
      <c r="V157" s="1030" t="n"/>
      <c r="W157" s="1030" t="n"/>
    </row>
    <row r="158" ht="15.75" customHeight="1" s="1349">
      <c r="A158" s="489" t="inlineStr">
        <is>
          <t>2785525384</t>
        </is>
      </c>
      <c r="B158" s="713" t="n">
        <v>10034034167402</v>
      </c>
      <c r="C158" s="1292" t="inlineStr">
        <is>
          <t>Delta plus</t>
        </is>
      </c>
      <c r="D158" s="491" t="inlineStr">
        <is>
          <t>Kit 50 Óculos De Proteção Epi Incolor Resistente Proteção</t>
        </is>
      </c>
      <c r="E158" s="492" t="n"/>
      <c r="F158" s="607" t="n">
        <v>181.98</v>
      </c>
      <c r="G158" s="447">
        <f>F158*12%</f>
        <v/>
      </c>
      <c r="H158" s="831" t="n">
        <v>-3.29</v>
      </c>
      <c r="I158" s="492" t="n">
        <v>22.45</v>
      </c>
      <c r="J158" s="340">
        <f>F158*18%</f>
        <v/>
      </c>
      <c r="K158" s="340">
        <f>(F158-J158)*1.65%</f>
        <v/>
      </c>
      <c r="L158" s="340">
        <f>(F158-J158)*7.6%</f>
        <v/>
      </c>
      <c r="M158" s="1097">
        <f>0.48*50</f>
        <v/>
      </c>
      <c r="N158" s="785">
        <f>(G158+I158)*(9.25%)</f>
        <v/>
      </c>
      <c r="O158" s="708">
        <f>1.93*50</f>
        <v/>
      </c>
      <c r="P158" s="1016">
        <f>(F158 - (G158+I158+O158+(J158+K158+L158))) - (H158-M158-N158)</f>
        <v/>
      </c>
      <c r="Q158" s="328">
        <f>P158/F158</f>
        <v/>
      </c>
      <c r="R158" s="904" t="inlineStr">
        <is>
          <t>Ativo</t>
        </is>
      </c>
      <c r="S158" s="651" t="n"/>
      <c r="T158" s="569" t="n"/>
      <c r="U158" s="1030" t="n"/>
      <c r="V158" s="1030" t="n"/>
      <c r="W158" s="1030" t="n"/>
    </row>
    <row r="159" ht="15.75" customHeight="1" s="1349">
      <c r="A159" s="489" t="inlineStr">
        <is>
          <t>5299456820</t>
        </is>
      </c>
      <c r="B159" s="1263" t="n">
        <v>10034034167400</v>
      </c>
      <c r="C159" s="1292" t="inlineStr">
        <is>
          <t>Delta plus</t>
        </is>
      </c>
      <c r="D159" s="566" t="inlineStr">
        <is>
          <t>Kit 50 Óculos Sky Proteção Segurança Fume Ou Incolor Ca39878</t>
        </is>
      </c>
      <c r="E159" s="654" t="n"/>
      <c r="F159" s="607" t="n">
        <v>169</v>
      </c>
      <c r="G159" s="447">
        <f>F159*12%</f>
        <v/>
      </c>
      <c r="H159" s="831" t="n">
        <v>-6.1</v>
      </c>
      <c r="I159" s="492" t="n">
        <v>24.65</v>
      </c>
      <c r="J159" s="340">
        <f>F159*18%</f>
        <v/>
      </c>
      <c r="K159" s="340">
        <f>(F159-J159)*1.65%</f>
        <v/>
      </c>
      <c r="L159" s="340">
        <f>(F159-J159)*7.6%</f>
        <v/>
      </c>
      <c r="M159" s="1097">
        <f>0.51*50</f>
        <v/>
      </c>
      <c r="N159" s="785">
        <f>(G159+I159)*(9.25%)</f>
        <v/>
      </c>
      <c r="O159" s="701">
        <f>2.04*50</f>
        <v/>
      </c>
      <c r="P159" s="1016">
        <f>(F159 - (G159+I159+O159+(J159+K159+L159))) - (H159-M159-N159)</f>
        <v/>
      </c>
      <c r="Q159" s="328">
        <f>P159/F159</f>
        <v/>
      </c>
      <c r="R159" s="904" t="inlineStr">
        <is>
          <t>Ativo</t>
        </is>
      </c>
      <c r="S159" s="651" t="n"/>
      <c r="T159" s="569" t="n"/>
      <c r="U159" s="1030" t="n"/>
      <c r="V159" s="1030" t="n"/>
      <c r="W159" s="1030" t="n"/>
    </row>
    <row r="160" ht="15.75" customHeight="1" s="1349">
      <c r="A160" s="1265" t="inlineStr">
        <is>
          <t>5299544448</t>
        </is>
      </c>
      <c r="B160" s="1263" t="n">
        <v>10034034167406</v>
      </c>
      <c r="C160" s="1292" t="inlineStr">
        <is>
          <t>Delta plus</t>
        </is>
      </c>
      <c r="D160" s="194" t="inlineStr">
        <is>
          <t>Kit 10 Óculos Sky Fume Incolor Proteção Lateral Segurança</t>
        </is>
      </c>
      <c r="E160" s="654" t="n"/>
      <c r="F160" s="607" t="n">
        <v>46.07</v>
      </c>
      <c r="G160" s="447">
        <f>F160*17%</f>
        <v/>
      </c>
      <c r="H160" s="831" t="n">
        <v>-1.15</v>
      </c>
      <c r="I160" s="904" t="n">
        <v>8.550000000000001</v>
      </c>
      <c r="J160" s="340">
        <f>F160*18%</f>
        <v/>
      </c>
      <c r="K160" s="340">
        <f>(F160-J160)*1.65%</f>
        <v/>
      </c>
      <c r="L160" s="340">
        <f>(F160-J160)*7.6%</f>
        <v/>
      </c>
      <c r="M160" s="784">
        <f>0.51*10</f>
        <v/>
      </c>
      <c r="N160" s="785">
        <f>(G160+I160)*(9.25%)</f>
        <v/>
      </c>
      <c r="O160" s="786">
        <f>2.04*10</f>
        <v/>
      </c>
      <c r="P160" s="1016">
        <f>(F160 - (G160+I160+O160+(J160+K160+L160))) - (H160-M160-N160)</f>
        <v/>
      </c>
      <c r="Q160" s="328">
        <f>P160/F160</f>
        <v/>
      </c>
      <c r="R160" s="904" t="inlineStr">
        <is>
          <t>Ativo</t>
        </is>
      </c>
      <c r="S160" s="651" t="n"/>
      <c r="T160" s="569" t="n"/>
      <c r="U160" s="1030" t="n"/>
      <c r="V160" s="1030" t="n"/>
      <c r="W160" s="1030" t="n"/>
    </row>
    <row r="161" ht="15.75" customHeight="1" s="1349">
      <c r="A161" s="489" t="inlineStr">
        <is>
          <t>5405540980</t>
        </is>
      </c>
      <c r="B161" s="713" t="n">
        <v>10034034167373</v>
      </c>
      <c r="C161" s="1292" t="inlineStr">
        <is>
          <t>ÂNCORA</t>
        </is>
      </c>
      <c r="D161" s="194" t="inlineStr">
        <is>
          <t>Kit 50 Tela Amarração Alvenaria Ancora Tel120 12 X 50 Bloco</t>
        </is>
      </c>
      <c r="E161" s="654" t="n"/>
      <c r="F161" s="607" t="n">
        <v>145.4</v>
      </c>
      <c r="G161" s="447">
        <f>F161*12%</f>
        <v/>
      </c>
      <c r="H161" s="831" t="n"/>
      <c r="I161" s="492" t="n">
        <v>25.55</v>
      </c>
      <c r="J161" s="340">
        <f>F161*18%</f>
        <v/>
      </c>
      <c r="K161" s="340">
        <f>(F161-J161)*1.65%</f>
        <v/>
      </c>
      <c r="L161" s="340">
        <f>(F161-J161)*7.6%</f>
        <v/>
      </c>
      <c r="M161" s="1097">
        <f>11.59/2</f>
        <v/>
      </c>
      <c r="N161" s="785">
        <f>(G161+I161)*(9.25%)</f>
        <v/>
      </c>
      <c r="O161" s="708">
        <f>89.96/2</f>
        <v/>
      </c>
      <c r="P161" s="1016">
        <f>(F161 - (G161+I161+O161+(J161+K161+L161))) - (H161-M161-N161)</f>
        <v/>
      </c>
      <c r="Q161" s="328">
        <f>P161/F161</f>
        <v/>
      </c>
      <c r="R161" s="904" t="inlineStr">
        <is>
          <t>Ativo</t>
        </is>
      </c>
      <c r="S161" s="651" t="n"/>
      <c r="T161" s="569" t="n"/>
      <c r="U161" s="1030" t="n"/>
      <c r="V161" s="1030" t="n"/>
      <c r="W161" s="1030" t="n"/>
    </row>
    <row r="162" ht="15.75" customHeight="1" s="1349">
      <c r="A162" s="489" t="inlineStr">
        <is>
          <t>2785555162</t>
        </is>
      </c>
      <c r="B162" s="713" t="n">
        <v>10034034167323</v>
      </c>
      <c r="C162" s="1292" t="inlineStr">
        <is>
          <t>Delta plus</t>
        </is>
      </c>
      <c r="D162" s="491" t="inlineStr">
        <is>
          <t>Kit 50 Unidades Óculos De Proteção Uv Delta Plus Summer Fume</t>
        </is>
      </c>
      <c r="E162" s="492" t="n"/>
      <c r="F162" s="607" t="n">
        <v>193.03</v>
      </c>
      <c r="G162" s="447">
        <f>F162*12%</f>
        <v/>
      </c>
      <c r="H162" s="831" t="n">
        <v>-1.85</v>
      </c>
      <c r="I162" s="492" t="n">
        <v>23.65</v>
      </c>
      <c r="J162" s="340">
        <f>F162*18%</f>
        <v/>
      </c>
      <c r="K162" s="340">
        <f>(F162-J162)*1.65%</f>
        <v/>
      </c>
      <c r="L162" s="340">
        <f>(F162-J162)*7.6%</f>
        <v/>
      </c>
      <c r="M162" s="1097">
        <f>0.48*48</f>
        <v/>
      </c>
      <c r="N162" s="785">
        <f>(G162+I162)*(9.25%)</f>
        <v/>
      </c>
      <c r="O162" s="708">
        <f>1.93*48</f>
        <v/>
      </c>
      <c r="P162" s="1016">
        <f>(F162 - (G162+I162+O162+(J162+K162+L162))) - (H162-M162-N162)</f>
        <v/>
      </c>
      <c r="Q162" s="328">
        <f>P162/F162</f>
        <v/>
      </c>
      <c r="R162" s="904" t="inlineStr">
        <is>
          <t>Ativo</t>
        </is>
      </c>
      <c r="S162" s="651" t="n"/>
      <c r="T162" s="569" t="n">
        <v>204</v>
      </c>
      <c r="U162" s="1030" t="n"/>
      <c r="V162" s="1030" t="n"/>
      <c r="W162" s="1030" t="n"/>
    </row>
    <row r="163" ht="15.75" customHeight="1" s="1349">
      <c r="A163" s="489" t="inlineStr">
        <is>
          <t>5367567226</t>
        </is>
      </c>
      <c r="B163" s="1263" t="n">
        <v>10034034167376</v>
      </c>
      <c r="C163" s="1292" t="inlineStr">
        <is>
          <t>New Lacre</t>
        </is>
      </c>
      <c r="D163" s="566" t="inlineStr">
        <is>
          <t>Kit 500 Abraçadeira Nylon Cintas Plásticas Reforçada 4,8x300</t>
        </is>
      </c>
      <c r="E163" s="654" t="n"/>
      <c r="F163" s="607" t="n">
        <v>139.2</v>
      </c>
      <c r="G163" s="447">
        <f>F163*12%</f>
        <v/>
      </c>
      <c r="H163" s="831" t="n"/>
      <c r="I163" s="492" t="n">
        <v>17.96</v>
      </c>
      <c r="J163" s="340">
        <f>F163*18%</f>
        <v/>
      </c>
      <c r="K163" s="340">
        <f>(F163-J163)*1.65%</f>
        <v/>
      </c>
      <c r="L163" s="340">
        <f>(F163-J163)*7.6%</f>
        <v/>
      </c>
      <c r="M163" s="1097" t="n">
        <v>0</v>
      </c>
      <c r="N163" s="785">
        <f>(G163+I163)*(9.25%)</f>
        <v/>
      </c>
      <c r="O163" s="718">
        <f>12.5*5</f>
        <v/>
      </c>
      <c r="P163" s="1016">
        <f>(F163 - (G163+I163+O163+(J163+K163+L163))) - (H163-M163-N163)</f>
        <v/>
      </c>
      <c r="Q163" s="328">
        <f>P163/F163</f>
        <v/>
      </c>
      <c r="R163" s="904" t="inlineStr">
        <is>
          <t>Ativo</t>
        </is>
      </c>
      <c r="S163" s="651" t="n"/>
      <c r="T163" s="569" t="n"/>
      <c r="U163" s="1030" t="n"/>
      <c r="V163" s="1030" t="n"/>
      <c r="W163" s="1030" t="n"/>
    </row>
    <row r="164" ht="15.75" customHeight="1" s="1349">
      <c r="A164" s="489" t="inlineStr">
        <is>
          <t>5367518286</t>
        </is>
      </c>
      <c r="B164" s="1263" t="n">
        <v>10034034167377</v>
      </c>
      <c r="C164" s="1292" t="inlineStr">
        <is>
          <t>EPI</t>
        </is>
      </c>
      <c r="D164" s="566" t="inlineStr">
        <is>
          <t>Kit 500 Abraçadeira Nylon Cintas Plásticas Reforçada 7,2x400</t>
        </is>
      </c>
      <c r="E164" s="654" t="n"/>
      <c r="F164" s="607" t="n">
        <v>299</v>
      </c>
      <c r="G164" s="447">
        <f>F164*17%</f>
        <v/>
      </c>
      <c r="H164" s="831" t="n"/>
      <c r="I164" s="492" t="n">
        <v>22.45</v>
      </c>
      <c r="J164" s="340">
        <f>F164*18%</f>
        <v/>
      </c>
      <c r="K164" s="340">
        <f>(F164-J164)*1.65%</f>
        <v/>
      </c>
      <c r="L164" s="340">
        <f>(F164-J164)*7.6%</f>
        <v/>
      </c>
      <c r="M164" s="577" t="n"/>
      <c r="N164" s="543">
        <f>(G164+I164)*(9.25%)</f>
        <v/>
      </c>
      <c r="O164" s="718">
        <f>29.2*5</f>
        <v/>
      </c>
      <c r="P164" s="1016">
        <f>(F164 - (G164+I164+O164+(J164+K164+L164))) - (H164-M164-N164)</f>
        <v/>
      </c>
      <c r="Q164" s="328">
        <f>P164/F164</f>
        <v/>
      </c>
      <c r="R164" s="904" t="inlineStr">
        <is>
          <t>sem estoque</t>
        </is>
      </c>
      <c r="S164" s="651" t="n"/>
      <c r="T164" s="569" t="n"/>
      <c r="U164" s="1030" t="n"/>
      <c r="V164" s="1030" t="n"/>
      <c r="W164" s="1030" t="n"/>
    </row>
    <row r="165" ht="15.75" customHeight="1" s="1349">
      <c r="A165" s="1265" t="inlineStr">
        <is>
          <t>4060988207</t>
        </is>
      </c>
      <c r="B165" s="1263" t="n">
        <v>10034034167408</v>
      </c>
      <c r="C165" s="1292" t="inlineStr">
        <is>
          <t>EPI</t>
        </is>
      </c>
      <c r="D165" s="194" t="inlineStr">
        <is>
          <t>Kit 6 Luva Proteção Nitrílica C/ Forro Reforçada Nitrasolv</t>
        </is>
      </c>
      <c r="E165" s="654" t="n"/>
      <c r="F165" s="607" t="n">
        <v>67.8</v>
      </c>
      <c r="G165" s="447">
        <f>F165*12%</f>
        <v/>
      </c>
      <c r="H165" s="831" t="n">
        <v>-1.11</v>
      </c>
      <c r="I165" s="904" t="n">
        <v>8.949999999999999</v>
      </c>
      <c r="J165" s="340">
        <f>F165*18%</f>
        <v/>
      </c>
      <c r="K165" s="340">
        <f>(F165-J165)*1.65%</f>
        <v/>
      </c>
      <c r="L165" s="340">
        <f>(F165-J165)*7.6%</f>
        <v/>
      </c>
      <c r="M165" s="1097">
        <f>0.86*6</f>
        <v/>
      </c>
      <c r="N165" s="785">
        <f>(G165+I165)*(9.25%)</f>
        <v/>
      </c>
      <c r="O165" s="701">
        <f>6.64*6</f>
        <v/>
      </c>
      <c r="P165" s="1016">
        <f>(F165 - (G165+I165+O165+(J165+K165+L165))) - (H165-M165-N165)</f>
        <v/>
      </c>
      <c r="Q165" s="328">
        <f>P165/F165</f>
        <v/>
      </c>
      <c r="R165" s="904" t="inlineStr">
        <is>
          <t>Ativo</t>
        </is>
      </c>
      <c r="S165" s="651" t="n"/>
      <c r="T165" s="569" t="n"/>
      <c r="U165" s="1030" t="n"/>
      <c r="V165" s="1030" t="n"/>
      <c r="W165" s="1030" t="n"/>
    </row>
    <row r="166" ht="15.75" customHeight="1" s="1349">
      <c r="A166" s="489" t="inlineStr">
        <is>
          <t>5249338012</t>
        </is>
      </c>
      <c r="B166" s="713" t="n">
        <v>10034034167321</v>
      </c>
      <c r="C166" s="1292" t="inlineStr">
        <is>
          <t>Camper</t>
        </is>
      </c>
      <c r="D166" s="491" t="inlineStr">
        <is>
          <t>Kit 8 Protetor Auditivo Auricular Acoplar Capacete 17db C/ca</t>
        </is>
      </c>
      <c r="E166" s="492" t="n"/>
      <c r="F166" s="607" t="n">
        <v>522.5</v>
      </c>
      <c r="G166" s="447">
        <f>F166*12%</f>
        <v/>
      </c>
      <c r="H166" s="831" t="n"/>
      <c r="I166" s="492" t="n">
        <v>26.95</v>
      </c>
      <c r="J166" s="340">
        <f>F166*18%</f>
        <v/>
      </c>
      <c r="K166" s="340">
        <f>(F166-J166)*1.65%</f>
        <v/>
      </c>
      <c r="L166" s="340">
        <f>(F166-J166)*7.6%</f>
        <v/>
      </c>
      <c r="M166" s="577" t="n"/>
      <c r="N166" s="543">
        <f>(G166+I166)*(9.25%)</f>
        <v/>
      </c>
      <c r="O166" s="492" t="n">
        <v>304.96</v>
      </c>
      <c r="P166" s="1016">
        <f>(F166 - (G166+I166+O166+(J166+K166+L166))) - (H166-M166-N166)</f>
        <v/>
      </c>
      <c r="Q166" s="328">
        <f>P166/F166</f>
        <v/>
      </c>
      <c r="R166" s="904" t="inlineStr">
        <is>
          <t>Ativo</t>
        </is>
      </c>
      <c r="S166" s="651" t="n"/>
      <c r="T166" s="569" t="n">
        <v>45</v>
      </c>
      <c r="U166" s="1030" t="n"/>
      <c r="V166" s="1030" t="n"/>
      <c r="W166" s="1030" t="n"/>
    </row>
    <row r="167" ht="15.75" customHeight="1" s="1349">
      <c r="A167" s="1265" t="inlineStr">
        <is>
          <t>5263490942</t>
        </is>
      </c>
      <c r="B167" s="1263" t="n">
        <v>10034034167491</v>
      </c>
      <c r="C167" s="1292" t="inlineStr">
        <is>
          <t>EPI</t>
        </is>
      </c>
      <c r="D167" s="194" t="inlineStr">
        <is>
          <t>Kit C/8 Luva Petroleira Ss1006 C/banho Nitrílico Supersafety</t>
        </is>
      </c>
      <c r="E167" s="654" t="n"/>
      <c r="F167" s="607" t="n">
        <v>76.62</v>
      </c>
      <c r="G167" s="447">
        <f>F167*17%</f>
        <v/>
      </c>
      <c r="H167" s="831" t="n">
        <v>-0.45</v>
      </c>
      <c r="I167" s="904">
        <f>IFS(
  F167&lt;12.5, F167/2,
  F167&lt;29, 6.25,
  F167&lt;50, 6.5,
  F167&lt;=79, 6.75,
  TRUE, 25
)</f>
        <v/>
      </c>
      <c r="J167" s="340">
        <f>F167*18%</f>
        <v/>
      </c>
      <c r="K167" s="340">
        <f>(F167-J167)*1.65%</f>
        <v/>
      </c>
      <c r="L167" s="340">
        <f>(F167-J167)*7.6%</f>
        <v/>
      </c>
      <c r="M167" s="577">
        <f>0.52*8</f>
        <v/>
      </c>
      <c r="N167" s="543">
        <f>(G167+I167)*(9.25%)</f>
        <v/>
      </c>
      <c r="O167" s="197">
        <f>4.06*8</f>
        <v/>
      </c>
      <c r="P167" s="1016">
        <f>(F167 - (G167+I167+O167+(J167+K167+L167))) - (H167-M167-N167)</f>
        <v/>
      </c>
      <c r="Q167" s="328">
        <f>P167/F167</f>
        <v/>
      </c>
      <c r="R167" s="904" t="inlineStr">
        <is>
          <t>Ativo</t>
        </is>
      </c>
      <c r="S167" s="651" t="n"/>
      <c r="T167" s="569" t="n"/>
      <c r="U167" s="1030" t="n"/>
      <c r="V167" s="1030" t="n"/>
      <c r="W167" s="1030" t="n"/>
    </row>
    <row r="168" ht="15.75" customHeight="1" s="1349">
      <c r="A168" s="1265" t="inlineStr">
        <is>
          <t>5278348231665761</t>
        </is>
      </c>
      <c r="B168" s="713" t="n">
        <v>139</v>
      </c>
      <c r="C168" s="904" t="inlineStr">
        <is>
          <t>Athenas</t>
        </is>
      </c>
      <c r="D168" s="492" t="inlineStr">
        <is>
          <t>Kit Cinto Paraquedista 1 Ponto + Talabarte Y Duplo Athenas</t>
        </is>
      </c>
      <c r="E168" s="492" t="n"/>
      <c r="F168" s="607" t="n">
        <v>280.33</v>
      </c>
      <c r="G168" s="447">
        <f>F168*11.5%</f>
        <v/>
      </c>
      <c r="H168" s="831" t="n">
        <v>-16.81</v>
      </c>
      <c r="I168" s="492" t="n">
        <v>30.75</v>
      </c>
      <c r="J168" s="340">
        <f>F168*18%</f>
        <v/>
      </c>
      <c r="K168" s="340">
        <f>(F168-J168)*1.65%</f>
        <v/>
      </c>
      <c r="L168" s="340">
        <f>(F168-J168)*7.6%</f>
        <v/>
      </c>
      <c r="M168" s="1097" t="n">
        <v>27.4</v>
      </c>
      <c r="N168" s="785">
        <f>(G168+I168)*(9.25%)</f>
        <v/>
      </c>
      <c r="O168" s="701">
        <f>60.73+119.45</f>
        <v/>
      </c>
      <c r="P168" s="1016">
        <f>(F168 - (G168+I168+O168+(J168+K168+L168))) - (H168-M168-N168)</f>
        <v/>
      </c>
      <c r="Q168" s="328">
        <f>P168/F168</f>
        <v/>
      </c>
      <c r="R168" s="904" t="inlineStr">
        <is>
          <t>Ativo</t>
        </is>
      </c>
      <c r="S168" s="651" t="n"/>
      <c r="T168" s="569" t="n"/>
      <c r="U168" s="1030" t="n"/>
      <c r="V168" s="1030" t="n"/>
      <c r="W168" s="1030" t="n"/>
    </row>
    <row r="169" ht="15.75" customHeight="1" s="1349">
      <c r="A169" s="489" t="n"/>
      <c r="B169" s="719" t="e">
        <v>#N/A</v>
      </c>
      <c r="C169" s="904" t="inlineStr">
        <is>
          <t>Athenas</t>
        </is>
      </c>
      <c r="D169" s="492" t="inlineStr">
        <is>
          <t>cinto</t>
        </is>
      </c>
      <c r="E169" s="492" t="n"/>
      <c r="F169" s="607" t="n">
        <v>119</v>
      </c>
      <c r="G169" s="447">
        <f>F169*11.5%</f>
        <v/>
      </c>
      <c r="H169" s="831" t="n"/>
      <c r="I169" s="492" t="n">
        <v>16.45</v>
      </c>
      <c r="J169" s="340">
        <f>F169*18%</f>
        <v/>
      </c>
      <c r="K169" s="340">
        <f>(F169-J169)*1.65%</f>
        <v/>
      </c>
      <c r="L169" s="340">
        <f>(F169-J169)*7.6%</f>
        <v/>
      </c>
      <c r="M169" s="1097" t="n">
        <v>9.24</v>
      </c>
      <c r="N169" s="785">
        <f>(G169+I169)*(9.25%)</f>
        <v/>
      </c>
      <c r="O169" s="701" t="n">
        <v>60.73</v>
      </c>
      <c r="P169" s="1016">
        <f>(F169 - (G169+I169+O169+(J169+K169+L169))) - (H169-M169-N169)</f>
        <v/>
      </c>
      <c r="Q169" s="328">
        <f>P169/F169</f>
        <v/>
      </c>
      <c r="R169" s="904" t="inlineStr">
        <is>
          <t>Ativo</t>
        </is>
      </c>
      <c r="S169" s="651" t="n"/>
      <c r="T169" s="569" t="n"/>
      <c r="U169" s="1030" t="n"/>
      <c r="V169" s="1030" t="n"/>
      <c r="W169" s="1030" t="n"/>
    </row>
    <row r="170" ht="15.75" customHeight="1" s="1349">
      <c r="A170" s="489" t="n"/>
      <c r="B170" s="719" t="e">
        <v>#N/A</v>
      </c>
      <c r="C170" s="904" t="inlineStr">
        <is>
          <t>Athenas</t>
        </is>
      </c>
      <c r="D170" s="492" t="inlineStr">
        <is>
          <t>talabarte</t>
        </is>
      </c>
      <c r="E170" s="492" t="n"/>
      <c r="F170" s="607" t="n">
        <v>219</v>
      </c>
      <c r="G170" s="447">
        <f>F170*11.5%</f>
        <v/>
      </c>
      <c r="H170" s="831" t="n"/>
      <c r="I170" s="492" t="n">
        <v>21.65</v>
      </c>
      <c r="J170" s="340">
        <f>F170*18%</f>
        <v/>
      </c>
      <c r="K170" s="340">
        <f>(F170-J170)*1.65%</f>
        <v/>
      </c>
      <c r="L170" s="340">
        <f>(F170-J170)*7.6%</f>
        <v/>
      </c>
      <c r="M170" s="1097" t="n">
        <v>18.16</v>
      </c>
      <c r="N170" s="785">
        <f>(G170+I170)*(9.25%)</f>
        <v/>
      </c>
      <c r="O170" s="701" t="n">
        <v>119.4</v>
      </c>
      <c r="P170" s="1016">
        <f>(F170 - (G170+I170+O170+(J170+K170+L170))) - (H170-M170-N170)</f>
        <v/>
      </c>
      <c r="Q170" s="328">
        <f>P170/F170</f>
        <v/>
      </c>
      <c r="R170" s="904" t="inlineStr">
        <is>
          <t>Ativo</t>
        </is>
      </c>
      <c r="S170" s="651" t="n"/>
      <c r="T170" s="569" t="n"/>
      <c r="U170" s="1030" t="n"/>
      <c r="V170" s="1030" t="n"/>
      <c r="W170" s="1030" t="n"/>
    </row>
    <row r="171" ht="15.75" customHeight="1" s="1349">
      <c r="A171" s="489" t="inlineStr">
        <is>
          <t>5385004104</t>
        </is>
      </c>
      <c r="B171" s="713" t="n">
        <v>10034034166517</v>
      </c>
      <c r="C171" s="1292" t="inlineStr">
        <is>
          <t>Atlas</t>
        </is>
      </c>
      <c r="D171" s="194" t="inlineStr">
        <is>
          <t>Kit Completo Pintor Pintura Anti Gota Rolo E Pincel 6 Peças</t>
        </is>
      </c>
      <c r="E171" s="654" t="n"/>
      <c r="F171" s="607" t="n">
        <v>57.9</v>
      </c>
      <c r="G171" s="447">
        <f>F171*16.5%</f>
        <v/>
      </c>
      <c r="H171" s="831" t="n">
        <v>-3.22</v>
      </c>
      <c r="I171" s="904" t="n">
        <v>8.15</v>
      </c>
      <c r="J171" s="340">
        <f>F171*18%</f>
        <v/>
      </c>
      <c r="K171" s="340">
        <f>(F171-J171)*1.65%</f>
        <v/>
      </c>
      <c r="L171" s="340">
        <f>(F171-J171)*7.6%</f>
        <v/>
      </c>
      <c r="M171" s="1097" t="n">
        <v>8.06</v>
      </c>
      <c r="N171" s="785">
        <f>(G171+I171)*(9.25%)</f>
        <v/>
      </c>
      <c r="O171" s="197" t="n">
        <v>31.5</v>
      </c>
      <c r="P171" s="1016">
        <f>(F171 - (G171+I171+O171+(J171+K171+L171))) - (H171-M171-N171)</f>
        <v/>
      </c>
      <c r="Q171" s="328">
        <f>P171/F171</f>
        <v/>
      </c>
      <c r="R171" s="904" t="inlineStr">
        <is>
          <t>Ativo</t>
        </is>
      </c>
      <c r="S171" s="651" t="n"/>
      <c r="T171" s="569" t="n"/>
      <c r="U171" s="1030" t="n"/>
      <c r="V171" s="1030" t="n"/>
      <c r="W171" s="1030" t="n"/>
    </row>
    <row r="172" ht="15.75" customHeight="1" s="1349">
      <c r="A172" s="489" t="inlineStr">
        <is>
          <t>5385908714</t>
        </is>
      </c>
      <c r="B172" s="713" t="n">
        <v>10034034166516</v>
      </c>
      <c r="C172" s="1292" t="inlineStr">
        <is>
          <t>Atlas</t>
        </is>
      </c>
      <c r="D172" s="194" t="inlineStr">
        <is>
          <t>Kit Completo Pintura Decoração Pintor Atlas At 1016 7 Peças</t>
        </is>
      </c>
      <c r="E172" s="654" t="n"/>
      <c r="F172" s="607" t="n">
        <v>55.11</v>
      </c>
      <c r="G172" s="447">
        <f>F172*16.5%</f>
        <v/>
      </c>
      <c r="H172" s="831" t="n">
        <v>-1.01</v>
      </c>
      <c r="I172" s="904" t="n">
        <v>8.550000000000001</v>
      </c>
      <c r="J172" s="340">
        <f>F172*18%</f>
        <v/>
      </c>
      <c r="K172" s="340">
        <f>(F172-J172)*1.65%</f>
        <v/>
      </c>
      <c r="L172" s="340">
        <f>(F172-J172)*7.6%</f>
        <v/>
      </c>
      <c r="M172" s="1097" t="n">
        <v>7.24</v>
      </c>
      <c r="N172" s="785">
        <f>(G172+I172)*(9.25%)</f>
        <v/>
      </c>
      <c r="O172" s="197" t="n">
        <v>28.29</v>
      </c>
      <c r="P172" s="1016">
        <f>(F172 - (G172+I172+O172+(J172+K172+L172))) - (H172-M172-N172)</f>
        <v/>
      </c>
      <c r="Q172" s="328">
        <f>P172/F172</f>
        <v/>
      </c>
      <c r="R172" s="904" t="inlineStr">
        <is>
          <t>Ativo</t>
        </is>
      </c>
      <c r="S172" s="651" t="n"/>
      <c r="T172" s="569" t="n"/>
      <c r="U172" s="1030" t="n"/>
      <c r="V172" s="1030" t="n"/>
      <c r="W172" s="1030" t="n"/>
    </row>
    <row r="173" ht="15.75" customHeight="1" s="1349">
      <c r="A173" s="711" t="inlineStr">
        <is>
          <t>4190881417</t>
        </is>
      </c>
      <c r="B173" s="470" t="n">
        <v>10034034167563</v>
      </c>
      <c r="C173" s="1292" t="inlineStr">
        <is>
          <t>Nutriex</t>
        </is>
      </c>
      <c r="D173" s="625">
        <f>HYPERLINK("https://produto.mercadolivre.com.br/MLB-4190881417-kit-condicionador-shampoo-minions-kids-infantil-500ml-_JM","Kit Condicionador + Shampoo Minions Kids Infantil 500ml")</f>
        <v/>
      </c>
      <c r="E173" s="685" t="n"/>
      <c r="F173" s="856" t="n">
        <v>38.9</v>
      </c>
      <c r="G173" s="447">
        <f>F173*14%</f>
        <v/>
      </c>
      <c r="H173" s="833" t="n"/>
      <c r="I173" s="904" t="n">
        <v>6.85</v>
      </c>
      <c r="J173" s="340">
        <f>F173*18%</f>
        <v/>
      </c>
      <c r="K173" s="450" t="n">
        <v>0</v>
      </c>
      <c r="L173" s="450" t="n">
        <v>0</v>
      </c>
      <c r="M173" s="1097" t="n">
        <v>2.39</v>
      </c>
      <c r="N173" s="785">
        <f>(G173+I173)*(9.25%)</f>
        <v/>
      </c>
      <c r="O173" s="701" t="n">
        <v>19.9</v>
      </c>
      <c r="P173" s="1016">
        <f>(F173 - (G173+I173+O173+(J173+K173+L173))) - (H173-M173-N173)</f>
        <v/>
      </c>
      <c r="Q173" s="328">
        <f>P173/F173</f>
        <v/>
      </c>
      <c r="R173" s="904" t="inlineStr">
        <is>
          <t>Ativo</t>
        </is>
      </c>
      <c r="S173" s="651" t="n"/>
      <c r="T173" s="569" t="n">
        <v>43</v>
      </c>
      <c r="U173" s="1030" t="n"/>
      <c r="V173" s="1030" t="n"/>
      <c r="W173" s="1030" t="n"/>
    </row>
    <row r="174" ht="15.75" customHeight="1" s="1349">
      <c r="A174" s="621" t="inlineStr">
        <is>
          <t>8970904202453967</t>
        </is>
      </c>
      <c r="B174" s="599" t="n">
        <v>10034034166381</v>
      </c>
      <c r="C174" s="1292" t="inlineStr">
        <is>
          <t>Camper</t>
        </is>
      </c>
      <c r="D174" s="618" t="inlineStr">
        <is>
          <t>Kit Obra Epi Capacete + Luva + Protetor + Mascara + 2 Óculos</t>
        </is>
      </c>
      <c r="E174" s="616" t="n"/>
      <c r="F174" s="607" t="n">
        <v>40.59</v>
      </c>
      <c r="G174" s="285">
        <f>F174*12%</f>
        <v/>
      </c>
      <c r="H174" s="831" t="n"/>
      <c r="I174" s="904" t="n">
        <v>7.95</v>
      </c>
      <c r="J174" s="340">
        <f>F174*18%</f>
        <v/>
      </c>
      <c r="K174" s="340">
        <f>(F174-J174)*1.65%</f>
        <v/>
      </c>
      <c r="L174" s="340">
        <f>(F174-J174)*7.6%</f>
        <v/>
      </c>
      <c r="M174" s="1097">
        <f>1.66 + 0.42 + 0.18 + (0.48*2) + 0.2</f>
        <v/>
      </c>
      <c r="N174" s="785">
        <f>(G174+I174)*(9.25%)</f>
        <v/>
      </c>
      <c r="O174" s="708">
        <f>10 + 2.09 + 0.89 + (1.93*2) + 1.52</f>
        <v/>
      </c>
      <c r="P174" s="1016">
        <f>(F174 - (G174+I174+O174+(J174+K174+L174))) - (H174-M174-N174)</f>
        <v/>
      </c>
      <c r="Q174" s="328">
        <f>P174/F174</f>
        <v/>
      </c>
      <c r="R174" s="904" t="inlineStr">
        <is>
          <t>Ativo</t>
        </is>
      </c>
      <c r="S174" s="651" t="n"/>
      <c r="T174" s="569" t="n"/>
      <c r="U174" s="1030" t="n"/>
      <c r="V174" s="1030" t="n"/>
      <c r="W174" s="1030" t="n"/>
    </row>
    <row r="175" ht="15.75" customHeight="1" s="1349">
      <c r="A175" s="628" t="inlineStr">
        <is>
          <t>5530183628</t>
        </is>
      </c>
      <c r="B175" s="629" t="n">
        <v>0</v>
      </c>
      <c r="C175" s="1292" t="inlineStr">
        <is>
          <t>EPI</t>
        </is>
      </c>
      <c r="D175" s="652" t="inlineStr">
        <is>
          <t>Kit Roçador Capacete Protetor Facial Malha De Aço + Abafador</t>
        </is>
      </c>
      <c r="E175" s="631" t="n"/>
      <c r="F175" s="856" t="n">
        <v>126.58</v>
      </c>
      <c r="G175" s="447">
        <f>F175*12%</f>
        <v/>
      </c>
      <c r="H175" s="833" t="n">
        <v>-3.92</v>
      </c>
      <c r="I175" s="904" t="n">
        <v>21.1</v>
      </c>
      <c r="J175" s="340">
        <f>F175*18%</f>
        <v/>
      </c>
      <c r="K175" s="340">
        <f>(F175-J175)*1.65%</f>
        <v/>
      </c>
      <c r="L175" s="340">
        <f>(F175-J175)*7.6%</f>
        <v/>
      </c>
      <c r="M175" s="577" t="n"/>
      <c r="N175" s="543">
        <f>(G175+I175)*(9.25%)</f>
        <v/>
      </c>
      <c r="O175" s="904" t="n">
        <v>65.37</v>
      </c>
      <c r="P175" s="1016">
        <f>(F175 - (G175+I175+O175+(J175+K175+L175))) - (H175-M175-N175)</f>
        <v/>
      </c>
      <c r="Q175" s="328">
        <f>P175/F175</f>
        <v/>
      </c>
      <c r="R175" s="904" t="inlineStr">
        <is>
          <t>sem estoque</t>
        </is>
      </c>
      <c r="S175" s="651" t="n"/>
      <c r="T175" s="569" t="n"/>
      <c r="U175" s="1030" t="n"/>
      <c r="V175" s="1030" t="n"/>
      <c r="W175" s="1030" t="n"/>
    </row>
    <row r="176" ht="15.75" customHeight="1" s="1349">
      <c r="A176" s="711" t="inlineStr">
        <is>
          <t>4192425827</t>
        </is>
      </c>
      <c r="B176" s="470" t="n">
        <v>10034034167557</v>
      </c>
      <c r="C176" s="1292" t="inlineStr">
        <is>
          <t>Nutriex</t>
        </is>
      </c>
      <c r="D176" s="511" t="inlineStr">
        <is>
          <t>Kit Shampoo Condicionador Minnie Mouse Banho Feliz + Brinde</t>
        </is>
      </c>
      <c r="E176" s="512" t="n"/>
      <c r="F176" s="856" t="n">
        <v>29.09</v>
      </c>
      <c r="G176" s="447">
        <f>F176*14%</f>
        <v/>
      </c>
      <c r="H176" s="833" t="n">
        <v>-1.09</v>
      </c>
      <c r="I176" s="904" t="n">
        <v>6.75</v>
      </c>
      <c r="J176" s="340">
        <f>F176*18%</f>
        <v/>
      </c>
      <c r="K176" s="450" t="n">
        <v>0</v>
      </c>
      <c r="L176" s="450" t="n">
        <v>0</v>
      </c>
      <c r="M176" s="1097" t="n">
        <v>1.68</v>
      </c>
      <c r="N176" s="785">
        <f>(G176+I176)*(9.25%)</f>
        <v/>
      </c>
      <c r="O176" s="701" t="n">
        <v>14</v>
      </c>
      <c r="P176" s="1016">
        <f>(F176 - (G176+I176+O176+(J176+K176+L176))) - (H176-M176-N176)</f>
        <v/>
      </c>
      <c r="Q176" s="328">
        <f>P176/F176</f>
        <v/>
      </c>
      <c r="R176" s="904" t="inlineStr">
        <is>
          <t>Ativo</t>
        </is>
      </c>
      <c r="S176" s="651" t="n"/>
      <c r="T176" s="569" t="n">
        <v>36</v>
      </c>
      <c r="U176" s="1030" t="n"/>
      <c r="V176" s="1030" t="n"/>
      <c r="W176" s="1030" t="n"/>
    </row>
    <row r="177" ht="15.75" customHeight="1" s="1349">
      <c r="A177" s="711" t="inlineStr">
        <is>
          <t>4198324181</t>
        </is>
      </c>
      <c r="B177" s="470" t="n">
        <v>10034034167560</v>
      </c>
      <c r="C177" s="1292" t="inlineStr">
        <is>
          <t>Nutriex</t>
        </is>
      </c>
      <c r="D177" s="704">
        <f>hyperlink("https://produto.mercadolivre.com.br/MLB-4198324181-kit-shampoo-condicionador-moranguinho-kids-nutriex-suave-_JM","Kit Shampoo + Condicionador Moranguinho Kids Nutriex Suave")</f>
        <v/>
      </c>
      <c r="E177" s="685" t="n"/>
      <c r="F177" s="705" t="n">
        <v>36.8</v>
      </c>
      <c r="G177" s="447">
        <f>F177*14%</f>
        <v/>
      </c>
      <c r="H177" s="833" t="n"/>
      <c r="I177" s="904" t="n">
        <v>6.75</v>
      </c>
      <c r="J177" s="340">
        <f>F177*18%</f>
        <v/>
      </c>
      <c r="K177" s="450" t="n">
        <v>0</v>
      </c>
      <c r="L177" s="450" t="n">
        <v>0</v>
      </c>
      <c r="M177" s="1097" t="n">
        <v>2.39</v>
      </c>
      <c r="N177" s="785">
        <f>(G177+I177)*(9.25%)</f>
        <v/>
      </c>
      <c r="O177" s="701" t="n">
        <v>19.9</v>
      </c>
      <c r="P177" s="1016">
        <f>(F177 - (G177+I177+O177+(J177+K177+L177))) - (H177-M177-N177)</f>
        <v/>
      </c>
      <c r="Q177" s="328">
        <f>P177/F177</f>
        <v/>
      </c>
      <c r="R177" s="904" t="inlineStr">
        <is>
          <t>Ativo</t>
        </is>
      </c>
      <c r="S177" s="651" t="n"/>
      <c r="T177" s="569" t="n">
        <v>18</v>
      </c>
      <c r="U177" s="1030" t="n"/>
      <c r="V177" s="1030" t="n"/>
      <c r="W177" s="1030" t="n"/>
    </row>
    <row r="178" ht="15.75" customHeight="1" s="1349">
      <c r="A178" s="711" t="inlineStr">
        <is>
          <t>4193793823</t>
        </is>
      </c>
      <c r="B178" s="470" t="n">
        <v>10034034167559</v>
      </c>
      <c r="C178" s="1292" t="inlineStr">
        <is>
          <t>Nutriex</t>
        </is>
      </c>
      <c r="D178" s="511" t="inlineStr">
        <is>
          <t>Kit Shampoo E Sabonete Líquido Kids Toy Story Banho Feliz</t>
        </is>
      </c>
      <c r="E178" s="512" t="n"/>
      <c r="F178" s="856" t="n">
        <v>37.2</v>
      </c>
      <c r="G178" s="447">
        <f>F178*14%</f>
        <v/>
      </c>
      <c r="H178" s="833" t="n"/>
      <c r="I178" s="904">
        <f>IFS(
  F178&lt;12.5, F178/2,
  F178&lt;29, 6.25,
  F178&lt;50, 6.5,
  F178&lt;=79, 6.75,
  TRUE, 25
)</f>
        <v/>
      </c>
      <c r="J178" s="340">
        <f>F178*18%</f>
        <v/>
      </c>
      <c r="K178" s="450" t="n">
        <v>0</v>
      </c>
      <c r="L178" s="450" t="n">
        <v>0</v>
      </c>
      <c r="M178" s="1097" t="n">
        <v>1.664</v>
      </c>
      <c r="N178" s="785">
        <f>(G178+I178)*(9.25%)</f>
        <v/>
      </c>
      <c r="O178" s="701" t="n">
        <v>13.83</v>
      </c>
      <c r="P178" s="1016">
        <f>(F178 - (G178+I178+O178+(J178+K178+L178))) - (H178-M178-N178)</f>
        <v/>
      </c>
      <c r="Q178" s="328">
        <f>P178/F178</f>
        <v/>
      </c>
      <c r="R178" s="904" t="inlineStr">
        <is>
          <t>sem estoque</t>
        </is>
      </c>
      <c r="S178" s="651" t="n"/>
      <c r="T178" s="569" t="n">
        <v>39</v>
      </c>
      <c r="U178" s="1030" t="n"/>
      <c r="V178" s="1030" t="n"/>
      <c r="W178" s="1030" t="n"/>
    </row>
    <row r="179" ht="15.75" customHeight="1" s="1349">
      <c r="A179" s="1265" t="inlineStr">
        <is>
          <t>7594600672547830</t>
        </is>
      </c>
      <c r="B179" s="1263" t="n">
        <v>10034034167486</v>
      </c>
      <c r="C179" s="904" t="inlineStr">
        <is>
          <t>ÂNCORA</t>
        </is>
      </c>
      <c r="D179" s="491" t="inlineStr">
        <is>
          <t>Kit Tela De Alvenaria + Pino Liso 1/4x28 + Fincapino Am27 TEL60(100)</t>
        </is>
      </c>
      <c r="E179" s="492" t="n"/>
      <c r="F179" s="607" t="n">
        <v>258.02</v>
      </c>
      <c r="G179" s="447">
        <f>F179*12%</f>
        <v/>
      </c>
      <c r="H179" s="831" t="n">
        <v>-7.98</v>
      </c>
      <c r="I179" s="904" t="n">
        <v>49.35</v>
      </c>
      <c r="J179" s="340">
        <f>F179*18%</f>
        <v/>
      </c>
      <c r="K179" s="340">
        <f>(F179-J179)*1.65%</f>
        <v/>
      </c>
      <c r="L179" s="340">
        <f>(F179-J179)*7.6%</f>
        <v/>
      </c>
      <c r="M179" s="1097">
        <f>15.33/2 + (1.37 + 3.86)</f>
        <v/>
      </c>
      <c r="N179" s="785">
        <f>(G179+I179)*(9.25%)</f>
        <v/>
      </c>
      <c r="O179" s="708">
        <f>(119.56/2) + (14.27 + 31.95)</f>
        <v/>
      </c>
      <c r="P179" s="1016">
        <f>(F179 - (G179+I179+O179+(J179+K179+L179))) - (H179-M179-N179)</f>
        <v/>
      </c>
      <c r="Q179" s="328">
        <f>P179/F179</f>
        <v/>
      </c>
      <c r="R179" s="904" t="inlineStr">
        <is>
          <t>Ativo</t>
        </is>
      </c>
      <c r="S179" s="904" t="inlineStr">
        <is>
          <t>TEL60 100un</t>
        </is>
      </c>
      <c r="T179" s="569" t="n"/>
      <c r="U179" s="1030" t="n"/>
      <c r="V179" s="1030" t="n"/>
      <c r="W179" s="1030" t="n"/>
    </row>
    <row r="180" ht="15.75" customHeight="1" s="1349">
      <c r="A180" s="1265" t="inlineStr">
        <is>
          <t>7594600672547830</t>
        </is>
      </c>
      <c r="B180" s="1263" t="n">
        <v>10034034167488</v>
      </c>
      <c r="C180" s="904" t="inlineStr">
        <is>
          <t>ÂNCORA</t>
        </is>
      </c>
      <c r="D180" s="491" t="inlineStr">
        <is>
          <t>Kit Tela De Alvenaria + Pino Liso 1/4x28 + Fincapino Am27 TEL75(100)</t>
        </is>
      </c>
      <c r="E180" s="492" t="n"/>
      <c r="F180" s="607" t="n">
        <v>299</v>
      </c>
      <c r="G180" s="447">
        <f>F180*12%</f>
        <v/>
      </c>
      <c r="H180" s="831" t="n"/>
      <c r="I180" s="492" t="n">
        <v>48.05</v>
      </c>
      <c r="J180" s="340">
        <f>F180*18%</f>
        <v/>
      </c>
      <c r="K180" s="340">
        <f>(F180-J180)*1.65%</f>
        <v/>
      </c>
      <c r="L180" s="340">
        <f>(F180-J180)*7.6%</f>
        <v/>
      </c>
      <c r="M180" s="1097">
        <f>(11.59 / 3) *2 + (1.37 + 3.86)</f>
        <v/>
      </c>
      <c r="N180" s="785">
        <f>(G180+I180)*(9.25%)</f>
        <v/>
      </c>
      <c r="O180" s="708">
        <f>(91.81 / 3) *2  + (14.27 + 31.95)</f>
        <v/>
      </c>
      <c r="P180" s="1016">
        <f>(F180 - (G180+I180+O180+(J180+K180+L180))) - (H180-M180-N180)</f>
        <v/>
      </c>
      <c r="Q180" s="328">
        <f>P180/F180</f>
        <v/>
      </c>
      <c r="R180" s="904" t="inlineStr">
        <is>
          <t>Ativo</t>
        </is>
      </c>
      <c r="S180" s="904" t="inlineStr">
        <is>
          <t>TEL75 100un</t>
        </is>
      </c>
      <c r="T180" s="569" t="n"/>
      <c r="U180" s="1030" t="n"/>
      <c r="V180" s="1030" t="n"/>
      <c r="W180" s="1030" t="n"/>
    </row>
    <row r="181" ht="15.75" customHeight="1" s="1349">
      <c r="A181" s="1265" t="inlineStr">
        <is>
          <t>7594600672547830</t>
        </is>
      </c>
      <c r="B181" s="1263" t="n">
        <v>10034034167489</v>
      </c>
      <c r="C181" s="904" t="inlineStr">
        <is>
          <t>ÂNCORA</t>
        </is>
      </c>
      <c r="D181" s="491" t="inlineStr">
        <is>
          <t>Kit Tela De Alvenaria + Pino Liso 1/4x28 + Fincapino Am27 TEL105</t>
        </is>
      </c>
      <c r="E181" s="492" t="n"/>
      <c r="F181" s="607" t="n">
        <v>287.13</v>
      </c>
      <c r="G181" s="447">
        <f>F181*12%</f>
        <v/>
      </c>
      <c r="H181" s="831" t="n">
        <v>-7.48</v>
      </c>
      <c r="I181" s="492" t="n">
        <v>48.05</v>
      </c>
      <c r="J181" s="340">
        <f>F181*18%</f>
        <v/>
      </c>
      <c r="K181" s="340">
        <f>(F181-J181)*1.65%</f>
        <v/>
      </c>
      <c r="L181" s="340">
        <f>(F181-J181)*7.6%</f>
        <v/>
      </c>
      <c r="M181" s="1097">
        <f>10.44 + (1.37 + 3.86)</f>
        <v/>
      </c>
      <c r="N181" s="785">
        <f>(G181+I181)*(9.25%)</f>
        <v/>
      </c>
      <c r="O181" s="708">
        <f>81.05  + (14.27 + 31.95)</f>
        <v/>
      </c>
      <c r="P181" s="1016">
        <f>(F181 - (G181+I181+O181+(J181+K181+L181))) - (H181-M181-N181)</f>
        <v/>
      </c>
      <c r="Q181" s="328">
        <f>P181/F181</f>
        <v/>
      </c>
      <c r="R181" s="904" t="inlineStr">
        <is>
          <t>Ativo</t>
        </is>
      </c>
      <c r="S181" s="904" t="inlineStr">
        <is>
          <t>TEL105 100un</t>
        </is>
      </c>
      <c r="T181" s="569" t="n"/>
      <c r="U181" s="1030" t="n"/>
      <c r="V181" s="1030" t="n"/>
      <c r="W181" s="1030" t="n"/>
    </row>
    <row r="182" ht="22.5" customHeight="1" s="1349">
      <c r="A182" s="489" t="inlineStr">
        <is>
          <t>7594600672547830</t>
        </is>
      </c>
      <c r="B182" s="1263" t="n">
        <v>10034034167487</v>
      </c>
      <c r="C182" s="904" t="inlineStr">
        <is>
          <t>ÂNCORA</t>
        </is>
      </c>
      <c r="D182" s="566" t="inlineStr">
        <is>
          <t>Kit Tela De Alvenaria + Pino Liso 1/4x28 + Fincapino Am27 TEL120</t>
        </is>
      </c>
      <c r="E182" s="492" t="n"/>
      <c r="F182" s="607" t="n">
        <v>320</v>
      </c>
      <c r="G182" s="447">
        <f>F182*12%</f>
        <v/>
      </c>
      <c r="H182" s="831" t="n"/>
      <c r="I182" s="492" t="n">
        <v>49.35</v>
      </c>
      <c r="J182" s="340">
        <f>F182*18%</f>
        <v/>
      </c>
      <c r="K182" s="340">
        <f>(F182-J182)*1.65%</f>
        <v/>
      </c>
      <c r="L182" s="340">
        <f>(F182-J182)*7.6%</f>
        <v/>
      </c>
      <c r="M182" s="1097">
        <f>11.59 + (1.37 + 3.86)</f>
        <v/>
      </c>
      <c r="N182" s="785">
        <f>(G182+I182)*(9.25%)</f>
        <v/>
      </c>
      <c r="O182" s="708">
        <f>90.88 + (14.27 + 31.95)</f>
        <v/>
      </c>
      <c r="P182" s="1016">
        <f>(F182 - (G182+I182+O182+(J182+K182+L182))) - (H182-M182-N182)</f>
        <v/>
      </c>
      <c r="Q182" s="328">
        <f>P182/F182</f>
        <v/>
      </c>
      <c r="R182" s="904" t="inlineStr">
        <is>
          <t>Ativo</t>
        </is>
      </c>
      <c r="S182" s="904" t="inlineStr">
        <is>
          <t>TEL120 100un</t>
        </is>
      </c>
      <c r="T182" s="569" t="n"/>
      <c r="U182" s="1030" t="n"/>
      <c r="V182" s="1030" t="n"/>
      <c r="W182" s="1030" t="n"/>
    </row>
    <row r="183" ht="22.5" customHeight="1" s="1349">
      <c r="A183" s="489" t="inlineStr">
        <is>
          <t>4022813129</t>
        </is>
      </c>
      <c r="B183" s="713" t="n">
        <v>10034034166961</v>
      </c>
      <c r="C183" s="1292" t="inlineStr">
        <is>
          <t>EPI</t>
        </is>
      </c>
      <c r="D183" s="491" t="inlineStr">
        <is>
          <t>Lona Plástica Preta Reforçada Grossa Construção 4x100m 20kg</t>
        </is>
      </c>
      <c r="E183" s="492" t="n"/>
      <c r="F183" s="607" t="n">
        <v>499</v>
      </c>
      <c r="G183" s="447">
        <f>F183*11.5%</f>
        <v/>
      </c>
      <c r="H183" s="831" t="n"/>
      <c r="I183" s="492" t="n">
        <v>85.95</v>
      </c>
      <c r="J183" s="340">
        <f>F183*18%</f>
        <v/>
      </c>
      <c r="K183" s="340">
        <f>(F183-J183)*1.65%</f>
        <v/>
      </c>
      <c r="L183" s="340">
        <f>(F183-J183)*7.6%</f>
        <v/>
      </c>
      <c r="M183" s="577" t="n"/>
      <c r="N183" s="543">
        <f>(G183+I183)*(9.25%)</f>
        <v/>
      </c>
      <c r="O183" s="904" t="n">
        <v>233.09</v>
      </c>
      <c r="P183" s="1016">
        <f>(F183 - (G183+I183+O183+(J183+K183+L183))) - (H183-M183-N183)</f>
        <v/>
      </c>
      <c r="Q183" s="328">
        <f>P183/F183</f>
        <v/>
      </c>
      <c r="R183" s="904" t="inlineStr">
        <is>
          <t>sem estoque</t>
        </is>
      </c>
      <c r="S183" s="904" t="inlineStr">
        <is>
          <t>TRAVADO</t>
        </is>
      </c>
      <c r="T183" s="569" t="n"/>
      <c r="U183" s="1030" t="n"/>
      <c r="V183" s="1030" t="n"/>
      <c r="W183" s="1030" t="n"/>
    </row>
    <row r="184" ht="15.75" customHeight="1" s="1349">
      <c r="A184" s="494" t="inlineStr">
        <is>
          <t>5347045590</t>
        </is>
      </c>
      <c r="B184" s="495" t="n">
        <v>10034034166914</v>
      </c>
      <c r="C184" s="1292" t="inlineStr">
        <is>
          <t>Avant</t>
        </is>
      </c>
      <c r="D184" s="721" t="inlineStr">
        <is>
          <t>Luminária Plafon Led Sobrepor Quadrada 18w Potente Garantia</t>
        </is>
      </c>
      <c r="E184" s="778" t="n"/>
      <c r="F184" s="856" t="n">
        <v>32.1</v>
      </c>
      <c r="G184" s="447">
        <f>F184*16.5%</f>
        <v/>
      </c>
      <c r="H184" s="833" t="n">
        <v>-0.16</v>
      </c>
      <c r="I184" s="904" t="n">
        <v>6.95</v>
      </c>
      <c r="J184" s="340">
        <f>F184*18%</f>
        <v/>
      </c>
      <c r="K184" s="340">
        <f>(F184-J184)*1.65%</f>
        <v/>
      </c>
      <c r="L184" s="340">
        <f>(F184-J184)*7.6%</f>
        <v/>
      </c>
      <c r="M184" s="1097" t="n">
        <v>1.42</v>
      </c>
      <c r="N184" s="785">
        <f>(G184+I184)*(9.25%)</f>
        <v/>
      </c>
      <c r="O184" s="701" t="n">
        <v>12.07</v>
      </c>
      <c r="P184" s="1016">
        <f>(F184 - (G184+I184+O184+(J184+K184+L184))) - (H184-M184-N184)</f>
        <v/>
      </c>
      <c r="Q184" s="328">
        <f>P184/F184</f>
        <v/>
      </c>
      <c r="R184" s="904" t="inlineStr">
        <is>
          <t>Ativo</t>
        </is>
      </c>
      <c r="S184" s="651" t="n"/>
      <c r="T184" s="569" t="n"/>
      <c r="U184" s="1030" t="n"/>
      <c r="V184" s="1030" t="n"/>
      <c r="W184" s="1030" t="n"/>
    </row>
    <row r="185" ht="15.75" customHeight="1" s="1349">
      <c r="A185" s="489" t="inlineStr">
        <is>
          <t>3436747679</t>
        </is>
      </c>
      <c r="B185" s="1263" t="n">
        <v>10034034166352</v>
      </c>
      <c r="C185" s="1292" t="inlineStr">
        <is>
          <t>VOLK</t>
        </is>
      </c>
      <c r="D185" s="566" t="inlineStr">
        <is>
          <t>Luva Anticorte Alta Temperatura 250° Volk Black Tractor 8un</t>
        </is>
      </c>
      <c r="E185" s="492" t="n"/>
      <c r="F185" s="607" t="n">
        <v>115.43</v>
      </c>
      <c r="G185" s="447">
        <f>F185*12%</f>
        <v/>
      </c>
      <c r="H185" s="831" t="n">
        <v>-3.57</v>
      </c>
      <c r="I185" s="492" t="n">
        <v>21.05</v>
      </c>
      <c r="J185" s="340">
        <f>F185*18%</f>
        <v/>
      </c>
      <c r="K185" s="340">
        <f>(F185-J185)*1.65%</f>
        <v/>
      </c>
      <c r="L185" s="340">
        <f>(F185-J185)*7.6%</f>
        <v/>
      </c>
      <c r="M185" s="1097">
        <f>0.86*8</f>
        <v/>
      </c>
      <c r="N185" s="785">
        <f>(G185+I185)*(9.25%)</f>
        <v/>
      </c>
      <c r="O185" s="708">
        <f>6.69*8</f>
        <v/>
      </c>
      <c r="P185" s="1016">
        <f>(F185 - (G185+I185+O185+(J185+K185+L185))) - (H185-M185-N185)</f>
        <v/>
      </c>
      <c r="Q185" s="328">
        <f>P185/F185</f>
        <v/>
      </c>
      <c r="R185" s="904" t="inlineStr">
        <is>
          <t>Ativo</t>
        </is>
      </c>
      <c r="S185" s="651" t="n"/>
      <c r="T185" s="569" t="n">
        <v>230</v>
      </c>
      <c r="U185" s="1030" t="n"/>
      <c r="V185" s="1030" t="n"/>
      <c r="W185" s="1030" t="n"/>
    </row>
    <row r="186" ht="15.75" customHeight="1" s="1349">
      <c r="A186" s="489" t="n"/>
      <c r="B186" s="713" t="n"/>
      <c r="C186" s="904" t="n"/>
      <c r="D186" s="566" t="inlineStr">
        <is>
          <t>Kit 144un Luva Anticorte Temperatura 250° Volk Black Tractor</t>
        </is>
      </c>
      <c r="E186" s="492" t="n">
        <v>2000</v>
      </c>
      <c r="F186" s="607" t="n">
        <v>1723.3</v>
      </c>
      <c r="G186" s="447">
        <f>F186*12%</f>
        <v/>
      </c>
      <c r="H186" s="831" t="n"/>
      <c r="I186" s="492" t="n">
        <v>91.15000000000001</v>
      </c>
      <c r="J186" s="340">
        <f>F186*18%</f>
        <v/>
      </c>
      <c r="K186" s="340">
        <f>(F186-J186)*1.65%</f>
        <v/>
      </c>
      <c r="L186" s="340">
        <f>(F186-J186)*7.6%</f>
        <v/>
      </c>
      <c r="M186" s="1097">
        <f>0.86*144</f>
        <v/>
      </c>
      <c r="N186" s="785">
        <f>(G186+I186)*(9.25%)</f>
        <v/>
      </c>
      <c r="O186" s="708">
        <f>6.69*144</f>
        <v/>
      </c>
      <c r="P186" s="1016">
        <f>(F186 - (G186+I186+O186+(J186+K186+L186))) - (H186-M186-N186)</f>
        <v/>
      </c>
      <c r="Q186" s="328">
        <f>P186/F186</f>
        <v/>
      </c>
      <c r="R186" s="904" t="inlineStr">
        <is>
          <t>Temporário</t>
        </is>
      </c>
      <c r="S186" s="651" t="n"/>
      <c r="T186" s="569" t="n"/>
      <c r="U186" s="1030" t="n"/>
      <c r="V186" s="1030" t="n"/>
      <c r="W186" s="1030" t="n"/>
    </row>
    <row r="187" ht="15.75" customHeight="1" s="1349">
      <c r="A187" s="711" t="inlineStr">
        <is>
          <t>4169740319 6762515196</t>
        </is>
      </c>
      <c r="B187" s="470" t="n">
        <v>10034034166256</v>
      </c>
      <c r="C187" s="1292" t="inlineStr">
        <is>
          <t>VOLK</t>
        </is>
      </c>
      <c r="D187" s="625">
        <f>HYPERLINK("https://produto.mercadolivre.com.br/MLB-4169740319-luva-banhada-nitrila-punho-malha-azul-volk-proteco-quimica-_JM","Luva Banhada Nitrila Punho Malha Azul Volk Proteção Química")</f>
        <v/>
      </c>
      <c r="E187" s="685" t="n"/>
      <c r="F187" s="856" t="n">
        <v>24.25</v>
      </c>
      <c r="G187" s="447">
        <f>F187*17%</f>
        <v/>
      </c>
      <c r="H187" s="833" t="n">
        <v>-0.75</v>
      </c>
      <c r="I187" s="904" t="n">
        <v>6.25</v>
      </c>
      <c r="J187" s="340">
        <f>F187*18%</f>
        <v/>
      </c>
      <c r="K187" s="340">
        <f>(F187-J187)*1.65%</f>
        <v/>
      </c>
      <c r="L187" s="340">
        <f>(F187-J187)*7.6%</f>
        <v/>
      </c>
      <c r="M187" s="1097" t="n">
        <v>0.92</v>
      </c>
      <c r="N187" s="785">
        <f>(G187+I187)*(9.25%)</f>
        <v/>
      </c>
      <c r="O187" s="701" t="n">
        <v>7.14</v>
      </c>
      <c r="P187" s="1016">
        <f>(F187 - (G187+I187+O187+(J187+K187+L187))) - (H187-M187-N187)</f>
        <v/>
      </c>
      <c r="Q187" s="328">
        <f>P187/F187</f>
        <v/>
      </c>
      <c r="R187" s="904" t="inlineStr">
        <is>
          <t>Ativo</t>
        </is>
      </c>
      <c r="S187" s="651" t="n"/>
      <c r="T187" s="569" t="n">
        <v>0</v>
      </c>
      <c r="U187" s="1030" t="n"/>
      <c r="V187" s="1030" t="n"/>
      <c r="W187" s="1030" t="n"/>
    </row>
    <row r="188" ht="15.75" customHeight="1" s="1349">
      <c r="A188" s="494" t="inlineStr">
        <is>
          <t>5259490860</t>
        </is>
      </c>
      <c r="B188" s="495" t="n">
        <v>324</v>
      </c>
      <c r="C188" s="1292" t="inlineStr">
        <is>
          <t>EPI</t>
        </is>
      </c>
      <c r="D188" s="636" t="inlineStr">
        <is>
          <t>Luva Esgoto Saneamento Pvc 46cm Proteção Química Térmica Epi</t>
        </is>
      </c>
      <c r="E188" s="904" t="n"/>
      <c r="F188" s="856" t="n">
        <v>35.9</v>
      </c>
      <c r="G188" s="447">
        <f>F188*17%</f>
        <v/>
      </c>
      <c r="H188" s="833" t="n"/>
      <c r="I188" s="904">
        <f>IFS(
  F188&lt;12.5, F188/2,
  F188&lt;29, 6.25,
  F188&lt;50, 6.5,
  F188&lt;=79, 6.75,
  TRUE, 25
)</f>
        <v/>
      </c>
      <c r="J188" s="340">
        <f>F188*18%</f>
        <v/>
      </c>
      <c r="K188" s="340">
        <f>(F188-J188)*1.65%</f>
        <v/>
      </c>
      <c r="L188" s="340">
        <f>(F188-J188)*7.6%</f>
        <v/>
      </c>
      <c r="M188" s="1097" t="n">
        <v>1.76</v>
      </c>
      <c r="N188" s="785">
        <f>(G188+I188)*(9.25%)</f>
        <v/>
      </c>
      <c r="O188" s="701" t="n">
        <v>14.08</v>
      </c>
      <c r="P188" s="1016">
        <f>(F188 - (G188+I188+O188+(J188+K188+L188))) - (H188-M188-N188)</f>
        <v/>
      </c>
      <c r="Q188" s="328">
        <f>P188/F188</f>
        <v/>
      </c>
      <c r="R188" s="904" t="inlineStr">
        <is>
          <t>Desativado</t>
        </is>
      </c>
      <c r="S188" s="651" t="n"/>
      <c r="T188" s="569" t="n">
        <v>0</v>
      </c>
      <c r="U188" s="1030" t="n"/>
      <c r="V188" s="1030" t="n"/>
      <c r="W188" s="1030" t="n"/>
    </row>
    <row r="189" ht="15.75" customHeight="1" s="1349">
      <c r="A189" s="711" t="inlineStr">
        <is>
          <t>4160453917</t>
        </is>
      </c>
      <c r="B189" s="470" t="n">
        <v>10034034167157</v>
      </c>
      <c r="C189" s="1292" t="inlineStr">
        <is>
          <t>VOLK</t>
        </is>
      </c>
      <c r="D189" s="685" t="inlineStr">
        <is>
          <t>Luva Gorila Martele Antivibração Reforçada Volk Epi Ca 38257</t>
        </is>
      </c>
      <c r="E189" s="685" t="n"/>
      <c r="F189" s="856" t="n">
        <v>78.2</v>
      </c>
      <c r="G189" s="447">
        <f>F189*12%</f>
        <v/>
      </c>
      <c r="H189" s="833" t="n"/>
      <c r="I189" s="904">
        <f>IFS(
F189&lt;12.5, F189/2,
F189&lt;29, 6.25,
F189&lt;50, 6.5,
F189&lt;=79, 6.75,
TRUE, 
25)</f>
        <v/>
      </c>
      <c r="J189" s="340">
        <f>F189*18%</f>
        <v/>
      </c>
      <c r="K189" s="340">
        <f>(F189-J189)*1.65%</f>
        <v/>
      </c>
      <c r="L189" s="340">
        <f>(F189-J189)*7.6%</f>
        <v/>
      </c>
      <c r="M189" s="1097" t="n">
        <v>6.14</v>
      </c>
      <c r="N189" s="785">
        <f>(G189+I189)*(9.25%)</f>
        <v/>
      </c>
      <c r="O189" s="701" t="n">
        <v>47.67</v>
      </c>
      <c r="P189" s="1016">
        <f>(F189 - (G189+I189+O189+(J189+K189+L189))) - (H189-M189-N189)</f>
        <v/>
      </c>
      <c r="Q189" s="328">
        <f>P189/F189</f>
        <v/>
      </c>
      <c r="R189" s="904" t="inlineStr">
        <is>
          <t>Ativo</t>
        </is>
      </c>
      <c r="S189" s="651" t="n"/>
      <c r="T189" s="569" t="n">
        <v>0</v>
      </c>
      <c r="U189" s="1030" t="n"/>
      <c r="V189" s="1030" t="n"/>
      <c r="W189" s="1030" t="n"/>
    </row>
    <row r="190" ht="15.75" customHeight="1" s="1349">
      <c r="A190" s="711" t="inlineStr">
        <is>
          <t>5580515260</t>
        </is>
      </c>
      <c r="B190" s="470" t="n">
        <v>283</v>
      </c>
      <c r="C190" s="1292" t="inlineStr">
        <is>
          <t>MUCAMBO</t>
        </is>
      </c>
      <c r="D190" s="625">
        <f>HYPERLINK("https://produto.mercadolivre.com.br/MLB-5580515260-luva-latex-natural-preta-antiderrapante-pro-157-reforcada-_JM?attributes=COLOR_SECONDARY_COLOR%3AUHJldG8%3D%2CSIZE%3ANyAtIE0%3D&amp;quantity=1&amp;picker=true","Luva Latex Natural Preta Antiderrapante Pro 157 Uso Geral")</f>
        <v/>
      </c>
      <c r="E190" s="685" t="n"/>
      <c r="F190" s="856" t="n">
        <v>19</v>
      </c>
      <c r="G190" s="447">
        <f>F190*12%</f>
        <v/>
      </c>
      <c r="H190" s="833" t="n"/>
      <c r="I190" s="904">
        <f>IFS(
F190&lt;12.5, F190/2,
F190&lt;29, 6.25,
F190&lt;50, 6.5,
F190&lt;=79, 6.75,
TRUE, 
25)</f>
        <v/>
      </c>
      <c r="J190" s="340">
        <f>F190*18%</f>
        <v/>
      </c>
      <c r="K190" s="340">
        <f>(F190-J190)*1.65%</f>
        <v/>
      </c>
      <c r="L190" s="340">
        <f>(F190-J190)*7.6%</f>
        <v/>
      </c>
      <c r="M190" s="1097" t="n">
        <v>0.93</v>
      </c>
      <c r="N190" s="785">
        <f>(G190+I190)*(9.25%)</f>
        <v/>
      </c>
      <c r="O190" s="708" t="n">
        <v>4.64</v>
      </c>
      <c r="P190" s="1016">
        <f>(F190 - (G190+I190+O190+(J190+K190+L190))) - (H190-M190-N190)</f>
        <v/>
      </c>
      <c r="Q190" s="328">
        <f>P190/F190</f>
        <v/>
      </c>
      <c r="R190" s="904" t="inlineStr">
        <is>
          <t>Ativo</t>
        </is>
      </c>
      <c r="S190" s="651" t="n"/>
      <c r="T190" s="569" t="n">
        <v>10</v>
      </c>
      <c r="U190" s="1030" t="n"/>
      <c r="V190" s="1030" t="n"/>
      <c r="W190" s="1030" t="n"/>
    </row>
    <row r="191" ht="15.75" customHeight="1" s="1349">
      <c r="A191" s="1265" t="inlineStr">
        <is>
          <t>3436767961</t>
        </is>
      </c>
      <c r="B191" s="1263" t="n">
        <v>335</v>
      </c>
      <c r="C191" s="1292" t="inlineStr">
        <is>
          <t>VOLK</t>
        </is>
      </c>
      <c r="D191" s="566" t="inlineStr">
        <is>
          <t>Luva Latex Ranhadura Limpeza Quimico Resistente 40cm Rosa</t>
        </is>
      </c>
      <c r="E191" s="571" t="n"/>
      <c r="F191" s="607" t="n">
        <v>20.99</v>
      </c>
      <c r="G191" s="447">
        <f>F191*12%</f>
        <v/>
      </c>
      <c r="H191" s="831" t="n"/>
      <c r="I191" s="904" t="n">
        <v>6.65</v>
      </c>
      <c r="J191" s="340">
        <f>F191*18%</f>
        <v/>
      </c>
      <c r="K191" s="340">
        <f>(F191-J191)*1.65%</f>
        <v/>
      </c>
      <c r="L191" s="340">
        <f>(F191-J191)*7.6%</f>
        <v/>
      </c>
      <c r="M191" s="1097" t="n">
        <v>0.77</v>
      </c>
      <c r="N191" s="785">
        <f>(G191+I191)*(9.25%)</f>
        <v/>
      </c>
      <c r="O191" s="708" t="n">
        <v>5.98</v>
      </c>
      <c r="P191" s="1016">
        <f>(F191 - (G191+I191+O191+(J191+K191+L191))) - (H191-M191-N191)</f>
        <v/>
      </c>
      <c r="Q191" s="328">
        <f>P191/F191</f>
        <v/>
      </c>
      <c r="R191" s="904" t="inlineStr">
        <is>
          <t>Ativo</t>
        </is>
      </c>
      <c r="S191" s="651" t="n"/>
      <c r="T191" s="569" t="n"/>
      <c r="U191" s="1030" t="n"/>
      <c r="V191" s="1030" t="n"/>
      <c r="W191" s="1030" t="n"/>
      <c r="X191" s="579" t="n"/>
      <c r="Y191" s="579" t="n"/>
      <c r="Z191" s="579" t="n"/>
      <c r="AA191" s="579" t="n"/>
      <c r="AB191" s="579" t="n"/>
      <c r="AC191" s="579" t="n"/>
      <c r="AD191" s="579" t="n"/>
      <c r="AE191" s="579" t="n"/>
      <c r="AF191" s="579" t="n"/>
    </row>
    <row r="192" ht="15.75" customHeight="1" s="1349">
      <c r="A192" s="669" t="inlineStr">
        <is>
          <t>7074834099140946</t>
        </is>
      </c>
      <c r="B192" s="670" t="n">
        <v>335</v>
      </c>
      <c r="C192" s="582" t="inlineStr">
        <is>
          <t>VOLK</t>
        </is>
      </c>
      <c r="D192" s="671" t="inlineStr">
        <is>
          <t>Luva Latex Ranhadura Limpeza Confortável Tira Pelo Banho Pet</t>
        </is>
      </c>
      <c r="E192" s="806" t="n"/>
      <c r="F192" s="747" t="n">
        <v>21.9</v>
      </c>
      <c r="G192" s="34">
        <f>F192*12%</f>
        <v/>
      </c>
      <c r="H192" s="609" t="n"/>
      <c r="I192" s="887" t="n">
        <v>6.65</v>
      </c>
      <c r="J192" s="61">
        <f>F192*18%</f>
        <v/>
      </c>
      <c r="K192" s="61">
        <f>(F192-J192)*1.65%</f>
        <v/>
      </c>
      <c r="L192" s="61">
        <f>(F192-J192)*7.6%</f>
        <v/>
      </c>
      <c r="M192" s="1097" t="n">
        <v>0.77</v>
      </c>
      <c r="N192" s="785">
        <f>(G192+I192)*(9.25%)</f>
        <v/>
      </c>
      <c r="O192" s="708" t="n">
        <v>5.98</v>
      </c>
      <c r="P192" s="1016">
        <f>(F192 - (G192+I192+O192+(J192+K192+L192))) - (H192-M192-N192)</f>
        <v/>
      </c>
      <c r="Q192" s="591">
        <f>P192/F192</f>
        <v/>
      </c>
      <c r="R192" s="676" t="inlineStr">
        <is>
          <t>Ativo</t>
        </is>
      </c>
      <c r="S192" s="762" t="inlineStr">
        <is>
          <t>todas as variações</t>
        </is>
      </c>
      <c r="T192" s="806" t="n"/>
      <c r="U192" s="595" t="n"/>
      <c r="V192" s="595" t="n"/>
      <c r="W192" s="595" t="n"/>
    </row>
    <row r="193" ht="15.75" customHeight="1" s="1349">
      <c r="A193" s="1265" t="inlineStr">
        <is>
          <t>3637783430 6634788340</t>
        </is>
      </c>
      <c r="B193" s="713" t="n">
        <v>285</v>
      </c>
      <c r="C193" s="1292" t="inlineStr">
        <is>
          <t>MUCAMBO</t>
        </is>
      </c>
      <c r="D193" s="194">
        <f>hyperlink("https://produto.mercadolivre.com.br/MLB-3637783430-luva-mucambo-mapa-pro-157-latex-reforcada-antiderrapante-_JM]","Luva Mucambo Mapa Pro 157 Latex Reforçada Antiderrapante")</f>
        <v/>
      </c>
      <c r="E193" s="654" t="n"/>
      <c r="F193" s="607" t="n">
        <v>19</v>
      </c>
      <c r="G193" s="447">
        <f>F193*13%</f>
        <v/>
      </c>
      <c r="H193" s="757" t="n"/>
      <c r="I193" s="904" t="n">
        <v>6.55</v>
      </c>
      <c r="J193" s="340">
        <f>F193*18%</f>
        <v/>
      </c>
      <c r="K193" s="340">
        <f>(F193-J193)*1.65%</f>
        <v/>
      </c>
      <c r="L193" s="340">
        <f>(F193-J193)*7.6%</f>
        <v/>
      </c>
      <c r="M193" s="1097" t="n">
        <v>0.93</v>
      </c>
      <c r="N193" s="785">
        <f>(G193+I193)*(9.25%)</f>
        <v/>
      </c>
      <c r="O193" s="708" t="n">
        <v>4.64</v>
      </c>
      <c r="P193" s="1016">
        <f>(F193 - (G193+I193+O193+(J193+K193+L193))) - (H193-M193-N193)</f>
        <v/>
      </c>
      <c r="Q193" s="328">
        <f>P193/F193</f>
        <v/>
      </c>
      <c r="R193" s="904" t="inlineStr">
        <is>
          <t>Ativo</t>
        </is>
      </c>
      <c r="S193" s="651" t="n"/>
      <c r="T193" s="569" t="n">
        <v>144</v>
      </c>
      <c r="U193" s="1030" t="n"/>
      <c r="V193" s="1030" t="n"/>
      <c r="W193" s="1030" t="n"/>
    </row>
    <row r="194" ht="15.75" customHeight="1" s="1349">
      <c r="A194" s="1265" t="inlineStr">
        <is>
          <t>3955981385</t>
        </is>
      </c>
      <c r="B194" s="1263" t="n">
        <v>62</v>
      </c>
      <c r="C194" s="1292" t="inlineStr">
        <is>
          <t>VOLK</t>
        </is>
      </c>
      <c r="D194" s="491" t="inlineStr">
        <is>
          <t>Luva Proteção Anticorte Fibra Pu Cut Smart Proteção Térmica</t>
        </is>
      </c>
      <c r="E194" s="492" t="n"/>
      <c r="F194" s="607" t="n">
        <v>32.3</v>
      </c>
      <c r="G194" s="447">
        <f>F194*17%</f>
        <v/>
      </c>
      <c r="H194" s="831" t="n">
        <v>-0.76</v>
      </c>
      <c r="I194" s="904">
        <f>IFS(
  F194&lt;12.5, F194/2,
  F194&lt;29, 6.25,
  F194&lt;50, 6.5,
  F194&lt;=79, 6.75,
  TRUE, 25
)</f>
        <v/>
      </c>
      <c r="J194" s="340">
        <f>F194*18%</f>
        <v/>
      </c>
      <c r="K194" s="340">
        <f>(F194-J194)*1.65%</f>
        <v/>
      </c>
      <c r="L194" s="340">
        <f>(F194-J194)*7.6%</f>
        <v/>
      </c>
      <c r="M194" s="1097" t="n">
        <v>1.76</v>
      </c>
      <c r="N194" s="785">
        <f>(G194+I194)*(9.25%)</f>
        <v/>
      </c>
      <c r="O194" s="708" t="n">
        <v>13.66</v>
      </c>
      <c r="P194" s="1016">
        <f>(F194 - (G194+I194+O194+(J194+K194+L194))) - (H194-M194-N194)</f>
        <v/>
      </c>
      <c r="Q194" s="328">
        <f>P194/F194</f>
        <v/>
      </c>
      <c r="R194" s="904" t="inlineStr">
        <is>
          <t>Ativo</t>
        </is>
      </c>
      <c r="S194" s="651" t="n"/>
      <c r="T194" s="569" t="n">
        <v>0</v>
      </c>
      <c r="U194" s="1030" t="n"/>
      <c r="V194" s="1030" t="n"/>
      <c r="W194" s="1030" t="n"/>
    </row>
    <row r="195" ht="15.75" customHeight="1" s="1349">
      <c r="A195" s="711" t="inlineStr">
        <is>
          <t> </t>
        </is>
      </c>
      <c r="B195" s="470" t="inlineStr">
        <is>
          <t>WELD_MASTER_DIR</t>
        </is>
      </c>
      <c r="C195" s="1292" t="inlineStr">
        <is>
          <t>VOLK</t>
        </is>
      </c>
      <c r="D195" s="721" t="inlineStr">
        <is>
          <t>Luva Solda Weld Master Esquerda / Direita Unidade Punho 41cm</t>
        </is>
      </c>
      <c r="E195" s="904" t="n"/>
      <c r="F195" s="856" t="n">
        <v>63.05</v>
      </c>
      <c r="G195" s="447">
        <f>F195*17%</f>
        <v/>
      </c>
      <c r="H195" s="833" t="n">
        <v>-0.24</v>
      </c>
      <c r="I195" s="904">
        <f>IFS(
F195&lt;12.5, F195/2,
F195&lt;29, 6.25,
F195&lt;50, 6.5,
F195&lt;=79, 6.75,
TRUE, 
25)</f>
        <v/>
      </c>
      <c r="J195" s="340">
        <f>F195*18%</f>
        <v/>
      </c>
      <c r="K195" s="340">
        <f>(F195-J195)*1.65%</f>
        <v/>
      </c>
      <c r="L195" s="340">
        <f>(F195-J195)*7.6%</f>
        <v/>
      </c>
      <c r="M195" s="1097">
        <f>6.52/2</f>
        <v/>
      </c>
      <c r="N195" s="785">
        <f>(G195+I195)*(9.25%)</f>
        <v/>
      </c>
      <c r="O195" s="708">
        <f>50.62/2</f>
        <v/>
      </c>
      <c r="P195" s="1016">
        <f>(F195 - (G195+I195+O195+(J195+K195+L195))) - (H195-M195-N195)</f>
        <v/>
      </c>
      <c r="Q195" s="328">
        <f>P195/F195</f>
        <v/>
      </c>
      <c r="R195" s="904" t="inlineStr">
        <is>
          <t>Ativo</t>
        </is>
      </c>
      <c r="S195" s="651" t="n"/>
      <c r="T195" s="569" t="n"/>
      <c r="U195" s="1030" t="n"/>
      <c r="V195" s="1030" t="n"/>
      <c r="W195" s="1030" t="n"/>
    </row>
    <row r="196" ht="15.75" customHeight="1" s="1349">
      <c r="A196" s="628" t="inlineStr">
        <is>
          <t>5534518906</t>
        </is>
      </c>
      <c r="B196" s="629" t="n">
        <v>104</v>
      </c>
      <c r="C196" s="1292" t="inlineStr">
        <is>
          <t>EPI</t>
        </is>
      </c>
      <c r="D196" s="683">
        <f>hyperlink("https://produto.mercadolivre.com.br/MLB-5534518906-luva-super-pvc-esgoto-saneamento-66cm-forrada-antiderrapante-_JM","Luva Super Pvc Esgoto Saneamento 66cm Forrada Antiderrapante")</f>
        <v/>
      </c>
      <c r="E196" s="684" t="n"/>
      <c r="F196" s="856" t="n">
        <v>78.98999999999999</v>
      </c>
      <c r="G196" s="447">
        <f>F196*17%</f>
        <v/>
      </c>
      <c r="H196" s="833" t="n"/>
      <c r="I196" s="904">
        <f>IFS(
F196&lt;12.5, F196/2,
F196&lt;29, 6.25,
F196&lt;50, 6.5,
F196&lt;=79, 6.75,
TRUE, 
25)</f>
        <v/>
      </c>
      <c r="J196" s="340">
        <f>F196*18%</f>
        <v/>
      </c>
      <c r="K196" s="340">
        <f>(F196-J196)*1.65%</f>
        <v/>
      </c>
      <c r="L196" s="340">
        <f>(F196-J196)*7.6%</f>
        <v/>
      </c>
      <c r="M196" s="577" t="n"/>
      <c r="N196" s="543">
        <f>(G196+I196)*(9.25%)</f>
        <v/>
      </c>
      <c r="O196" s="904" t="n">
        <v>41</v>
      </c>
      <c r="P196" s="1016">
        <f>(F196 - (G196+I196+O196+(J196+K196+L196))) - (H196-M196-N196)</f>
        <v/>
      </c>
      <c r="Q196" s="328">
        <f>P196/F196</f>
        <v/>
      </c>
      <c r="R196" s="904" t="inlineStr">
        <is>
          <t>sem estoque</t>
        </is>
      </c>
      <c r="S196" s="651" t="n"/>
      <c r="T196" s="569" t="n">
        <v>0</v>
      </c>
      <c r="U196" s="1030" t="n"/>
      <c r="V196" s="1030" t="n"/>
      <c r="W196" s="1030" t="n"/>
    </row>
    <row r="197" ht="15.75" customHeight="1" s="1349">
      <c r="A197" s="489" t="inlineStr">
        <is>
          <t>4133144131</t>
        </is>
      </c>
      <c r="B197" s="713" t="n">
        <v>82</v>
      </c>
      <c r="C197" s="1292" t="inlineStr">
        <is>
          <t>Danny</t>
        </is>
      </c>
      <c r="D197" s="194" t="inlineStr">
        <is>
          <t>Luva Tricotada Poliamida Pigmentada Poliflex Resistente C/ca</t>
        </is>
      </c>
      <c r="E197" s="654" t="n"/>
      <c r="F197" s="607" t="n">
        <v>22.2</v>
      </c>
      <c r="G197" s="447">
        <f>F197*17%</f>
        <v/>
      </c>
      <c r="H197" s="831" t="n">
        <v>-0.6899999999999999</v>
      </c>
      <c r="I197" s="904" t="n">
        <v>6.55</v>
      </c>
      <c r="J197" s="340">
        <f>F197*18%</f>
        <v/>
      </c>
      <c r="K197" s="340">
        <f>(F197-J197)*1.65%</f>
        <v/>
      </c>
      <c r="L197" s="340">
        <f>(F197-J197)*7.6%</f>
        <v/>
      </c>
      <c r="M197" s="1097" t="n">
        <v>0.9</v>
      </c>
      <c r="N197" s="785">
        <f>(G197+I197)*(9.25%)</f>
        <v/>
      </c>
      <c r="O197" s="701" t="n">
        <v>6.99</v>
      </c>
      <c r="P197" s="1016">
        <f>(F197 - (G197+I197+O197+(J197+K197+L197))) - (H197-M197-N197)</f>
        <v/>
      </c>
      <c r="Q197" s="328">
        <f>P197/F197</f>
        <v/>
      </c>
      <c r="R197" s="904" t="inlineStr">
        <is>
          <t>Ativo</t>
        </is>
      </c>
      <c r="S197" s="651" t="n"/>
      <c r="T197" s="569" t="n">
        <v>46</v>
      </c>
      <c r="U197" s="1030" t="n"/>
      <c r="V197" s="1030" t="n"/>
      <c r="W197" s="1030" t="n"/>
    </row>
    <row r="198" ht="15.75" customHeight="1" s="1349">
      <c r="A198" s="711" t="inlineStr">
        <is>
          <t>4204172057</t>
        </is>
      </c>
      <c r="B198" s="470" t="n">
        <v>10034034167581</v>
      </c>
      <c r="C198" s="1292" t="inlineStr">
        <is>
          <t>VOLK</t>
        </is>
      </c>
      <c r="D198" s="625">
        <f>HYPERLINK("https://produto.mercadolivre.com.br/MLB-4204172057-luva-vdbnit-nitrila-punho-malha-volk-proteco-quimica-10un-_JM","Luva Vdbnit Nitrila Punho Malha Volk Proteção Química 10un")</f>
        <v/>
      </c>
      <c r="E198" s="685" t="n"/>
      <c r="F198" s="856" t="n">
        <v>132.78</v>
      </c>
      <c r="G198" s="447">
        <f>F198*12%</f>
        <v/>
      </c>
      <c r="H198" s="833" t="n">
        <v>-2.55</v>
      </c>
      <c r="I198" s="904" t="n">
        <v>19.25</v>
      </c>
      <c r="J198" s="340">
        <f>F198*18%</f>
        <v/>
      </c>
      <c r="K198" s="340">
        <f>(F198-J198)*1.65%</f>
        <v/>
      </c>
      <c r="L198" s="340">
        <f>(F198-J198)*7.6%</f>
        <v/>
      </c>
      <c r="M198" s="1097">
        <f>0.92*10</f>
        <v/>
      </c>
      <c r="N198" s="785">
        <f>(G198+I198)*(9.25%)</f>
        <v/>
      </c>
      <c r="O198" s="718">
        <f>7.14*10</f>
        <v/>
      </c>
      <c r="P198" s="1016">
        <f>(F198 - (G198+I198+O198+(J198+K198+L198))) - (H198-M198-N198)</f>
        <v/>
      </c>
      <c r="Q198" s="328">
        <f>P198/F198</f>
        <v/>
      </c>
      <c r="R198" s="904" t="inlineStr">
        <is>
          <t>Ativo</t>
        </is>
      </c>
      <c r="S198" s="904" t="inlineStr">
        <is>
          <t>custo 10 por 9</t>
        </is>
      </c>
      <c r="T198" s="569" t="n"/>
      <c r="U198" s="1030" t="n"/>
      <c r="V198" s="1030" t="n"/>
      <c r="W198" s="1030" t="n"/>
    </row>
    <row r="199" ht="15.75" customHeight="1" s="1349">
      <c r="A199" s="711" t="inlineStr">
        <is>
          <t>5703754984</t>
        </is>
      </c>
      <c r="B199" s="470" t="n">
        <v>10034034167582</v>
      </c>
      <c r="C199" s="1292" t="inlineStr">
        <is>
          <t>VOLK</t>
        </is>
      </c>
      <c r="D199" s="625">
        <f>HYPERLINK("https://produto.mercadolivre.com.br/MLB-4204172057-luva-vdbnit-nitrila-punho-malha-volk-proteco-quimica-10un-_JM","Luva Vdbnit Nitrila Punho Malha Volk Proteção Química 6un")</f>
        <v/>
      </c>
      <c r="E199" s="685" t="n"/>
      <c r="F199" s="856" t="n">
        <v>78.98999999999999</v>
      </c>
      <c r="G199" s="447">
        <f>F199*17%</f>
        <v/>
      </c>
      <c r="H199" s="833" t="n">
        <v>-2.1</v>
      </c>
      <c r="I199" s="904" t="n">
        <v>8</v>
      </c>
      <c r="J199" s="340">
        <f>F199*18%</f>
        <v/>
      </c>
      <c r="K199" s="340">
        <f>(F199-J199)*1.65%</f>
        <v/>
      </c>
      <c r="L199" s="340">
        <f>(F199-J199)*7.6%</f>
        <v/>
      </c>
      <c r="M199" s="1097">
        <f>0.87*6</f>
        <v/>
      </c>
      <c r="N199" s="785">
        <f>(G199+I199)*(9.25%)</f>
        <v/>
      </c>
      <c r="O199" s="718">
        <f>6.75*6</f>
        <v/>
      </c>
      <c r="P199" s="1016">
        <f>(F199 - (G199+I199+O199+(J199+K199+L199))) - (H199-M199-N199)</f>
        <v/>
      </c>
      <c r="Q199" s="328">
        <f>P199/F199</f>
        <v/>
      </c>
      <c r="R199" s="904" t="inlineStr">
        <is>
          <t>TRAVADO</t>
        </is>
      </c>
      <c r="S199" s="904" t="inlineStr">
        <is>
          <t>utilizando custo da xg</t>
        </is>
      </c>
      <c r="T199" s="569" t="n"/>
      <c r="U199" s="1030" t="n"/>
      <c r="V199" s="1030" t="n"/>
      <c r="W199" s="1030" t="n"/>
    </row>
    <row r="200" ht="15.75" customHeight="1" s="1349">
      <c r="A200" s="489" t="inlineStr">
        <is>
          <t>5276515230</t>
        </is>
      </c>
      <c r="B200" s="1263" t="n">
        <v>10034034166505</v>
      </c>
      <c r="C200" s="1292" t="inlineStr">
        <is>
          <t>VOLK</t>
        </is>
      </c>
      <c r="D200" s="194" t="inlineStr">
        <is>
          <t>Luvas Descartáveis Volk Do Brasil Descartável Cor Branco T-g</t>
        </is>
      </c>
      <c r="E200" s="654" t="n"/>
      <c r="F200" s="607" t="n">
        <v>38.85</v>
      </c>
      <c r="G200" s="447">
        <f>F200*12%</f>
        <v/>
      </c>
      <c r="H200" s="831" t="n">
        <v>-1.34</v>
      </c>
      <c r="I200" s="904">
        <f>IFS(
  F200&lt;12.5, F200/2,
  F200&lt;29, 6.25,
  F200&lt;50, 6.5,
  F200&lt;=79, 6.75,
  TRUE, 25
)</f>
        <v/>
      </c>
      <c r="J200" s="340">
        <f>F200*18%</f>
        <v/>
      </c>
      <c r="K200" s="340">
        <f>(F200-J200)*1.65%</f>
        <v/>
      </c>
      <c r="L200" s="340">
        <f>(F200-J200)*7.6%</f>
        <v/>
      </c>
      <c r="M200" s="1097" t="n">
        <v>2.53</v>
      </c>
      <c r="N200" s="785">
        <f>(G200+I200)*(9.25%)</f>
        <v/>
      </c>
      <c r="O200" s="708" t="n">
        <v>19.67</v>
      </c>
      <c r="P200" s="1016">
        <f>(F200 - (G200+I200+O200+(J200+K200+L200))) - (H200-M200-N200)</f>
        <v/>
      </c>
      <c r="Q200" s="328">
        <f>P200/F200</f>
        <v/>
      </c>
      <c r="R200" s="904" t="inlineStr">
        <is>
          <t>Ativo</t>
        </is>
      </c>
      <c r="S200" s="651" t="n"/>
      <c r="T200" s="569" t="n"/>
      <c r="U200" s="1030" t="n"/>
      <c r="V200" s="1030" t="n"/>
      <c r="W200" s="1030" t="n"/>
    </row>
    <row r="201" ht="15.75" customHeight="1" s="1349">
      <c r="A201" s="1265" t="inlineStr">
        <is>
          <t>5725072862</t>
        </is>
      </c>
      <c r="B201" s="1263" t="n">
        <v>10034034166470</v>
      </c>
      <c r="C201" s="1292" t="inlineStr">
        <is>
          <t>Irwin</t>
        </is>
      </c>
      <c r="D201" s="712" t="inlineStr">
        <is>
          <t>Mala Bolsa Ferramentas 16 Irwin Base Emborrachada Standard</t>
        </is>
      </c>
      <c r="E201" s="712" t="n"/>
      <c r="F201" s="607" t="n">
        <v>289</v>
      </c>
      <c r="G201" s="447">
        <f>F201*12%</f>
        <v/>
      </c>
      <c r="H201" s="831" t="n">
        <v>-11.1</v>
      </c>
      <c r="I201" s="492" t="n">
        <v>24.95</v>
      </c>
      <c r="J201" s="340">
        <f>F201*18%</f>
        <v/>
      </c>
      <c r="K201" s="340">
        <f>(F201-J201)*1.65%</f>
        <v/>
      </c>
      <c r="L201" s="340">
        <f>(F201-J201)*7.6%</f>
        <v/>
      </c>
      <c r="M201" s="1097" t="n">
        <v>37.13</v>
      </c>
      <c r="N201" s="785">
        <f>(G201+I201)*(9.25%)</f>
        <v/>
      </c>
      <c r="O201" s="708" t="n">
        <v>184.36</v>
      </c>
      <c r="P201" s="1016">
        <f>(F201 - (G201+I201+O201+(J201+K201+L201))) - (H201-M201-N201)</f>
        <v/>
      </c>
      <c r="Q201" s="328">
        <f>P201/F201</f>
        <v/>
      </c>
      <c r="R201" s="904" t="inlineStr">
        <is>
          <t>Ativo</t>
        </is>
      </c>
      <c r="S201" s="651" t="n"/>
      <c r="T201" s="569" t="n">
        <v>0</v>
      </c>
      <c r="U201" s="1030" t="n"/>
      <c r="V201" s="1030" t="n"/>
      <c r="W201" s="1030" t="n"/>
    </row>
    <row r="202" ht="15.75" customHeight="1" s="1349">
      <c r="A202" s="489" t="inlineStr">
        <is>
          <t>4207091765</t>
        </is>
      </c>
      <c r="B202" s="713" t="n">
        <v>10034034166472</v>
      </c>
      <c r="C202" s="1292" t="inlineStr">
        <is>
          <t>Irwin</t>
        </is>
      </c>
      <c r="D202" s="566" t="inlineStr">
        <is>
          <t>Mala Bolsa Ferramentas Irwin 16 Standard Capacidade 15kg</t>
        </is>
      </c>
      <c r="E202" s="712" t="n"/>
      <c r="F202" s="607" t="n">
        <v>210</v>
      </c>
      <c r="G202" s="447">
        <f>F202*17%</f>
        <v/>
      </c>
      <c r="H202" s="831" t="n"/>
      <c r="I202" s="492" t="n">
        <v>21.65</v>
      </c>
      <c r="J202" s="340">
        <f>F202*18%</f>
        <v/>
      </c>
      <c r="K202" s="340">
        <f>(F202-J202)*1.65%</f>
        <v/>
      </c>
      <c r="L202" s="340">
        <f>(F202-J202)*7.6%</f>
        <v/>
      </c>
      <c r="M202" s="1097" t="n">
        <v>33.38</v>
      </c>
      <c r="N202" s="785">
        <f>(G202+I202)*(9.25%)</f>
        <v/>
      </c>
      <c r="O202" s="708" t="n">
        <v>130.49</v>
      </c>
      <c r="P202" s="1016">
        <f>(F202 - (G202+I202+O202+(J202+K202+L202))) - (H202-M202-N202)</f>
        <v/>
      </c>
      <c r="Q202" s="328">
        <f>P202/F202</f>
        <v/>
      </c>
      <c r="R202" s="904" t="inlineStr">
        <is>
          <t>Ativo</t>
        </is>
      </c>
      <c r="S202" s="651" t="n"/>
      <c r="T202" s="569" t="n"/>
      <c r="U202" s="1030" t="n"/>
      <c r="V202" s="1030" t="n"/>
      <c r="W202" s="1030" t="n"/>
      <c r="X202" s="579" t="n"/>
      <c r="Y202" s="579" t="n"/>
      <c r="Z202" s="579" t="n"/>
      <c r="AA202" s="579" t="n"/>
      <c r="AB202" s="579" t="n"/>
      <c r="AC202" s="579" t="n"/>
      <c r="AD202" s="579" t="n"/>
      <c r="AE202" s="579" t="n"/>
      <c r="AF202" s="579" t="n"/>
    </row>
    <row r="203" ht="15.75" customHeight="1" s="1349">
      <c r="A203" s="1265" t="inlineStr">
        <is>
          <t>5738712090</t>
        </is>
      </c>
      <c r="B203" s="1263" t="n">
        <v>10034034166492</v>
      </c>
      <c r="C203" s="1292" t="inlineStr">
        <is>
          <t>Irwin</t>
        </is>
      </c>
      <c r="D203" s="491" t="inlineStr">
        <is>
          <t>Mochila Bolsa Ferramentas Irwin Azul Marinho 14 Construção</t>
        </is>
      </c>
      <c r="E203" s="492" t="n"/>
      <c r="F203" s="607" t="n">
        <v>280.33</v>
      </c>
      <c r="G203" s="447">
        <f>F203*17%</f>
        <v/>
      </c>
      <c r="H203" s="831" t="n">
        <v>-8.67</v>
      </c>
      <c r="I203" s="492" t="n">
        <v>26.25</v>
      </c>
      <c r="J203" s="340">
        <f>F203*18%</f>
        <v/>
      </c>
      <c r="K203" s="340">
        <f>(F203-J203)*1.65%</f>
        <v/>
      </c>
      <c r="L203" s="340">
        <f>(F203-J203)*7.6%</f>
        <v/>
      </c>
      <c r="M203" s="1097" t="n">
        <v>47.97</v>
      </c>
      <c r="N203" s="785">
        <f>(G203+I203)*(9.25%)</f>
        <v/>
      </c>
      <c r="O203" s="708" t="n">
        <v>187.48</v>
      </c>
      <c r="P203" s="1016">
        <f>(F203 - (G203+I203+O203+(J203+K203+L203))) - (H203-M203-N203)</f>
        <v/>
      </c>
      <c r="Q203" s="328">
        <f>P203/F203</f>
        <v/>
      </c>
      <c r="R203" s="904" t="inlineStr">
        <is>
          <t>Ativo</t>
        </is>
      </c>
      <c r="S203" s="651" t="n"/>
      <c r="T203" s="569" t="n"/>
      <c r="U203" s="1030" t="n"/>
      <c r="V203" s="1030" t="n"/>
      <c r="W203" s="1030" t="n"/>
      <c r="X203" s="579" t="n"/>
      <c r="Y203" s="579" t="n"/>
      <c r="Z203" s="579" t="n"/>
      <c r="AA203" s="579" t="n"/>
      <c r="AB203" s="579" t="n"/>
      <c r="AC203" s="579" t="n"/>
      <c r="AD203" s="579" t="n"/>
      <c r="AE203" s="579" t="n"/>
      <c r="AF203" s="579" t="n"/>
    </row>
    <row r="204" ht="15.75" customHeight="1" s="1349">
      <c r="A204" s="489" t="n"/>
      <c r="B204" s="713" t="n">
        <v>10034034166639</v>
      </c>
      <c r="C204" s="1292" t="inlineStr">
        <is>
          <t>EPI</t>
        </is>
      </c>
      <c r="D204" s="194">
        <f>HYPERLINK("https://produto.mercadolivre.com.br/MLB-5242169150-mascara-de-solda-auto-escurecimento-true-color-vicsa-optech-_JM","Máscara De Solda Auto Escurecimento True Color Vicsa Optech")</f>
        <v/>
      </c>
      <c r="E204" s="654" t="n"/>
      <c r="F204" s="607" t="n">
        <v>402.39</v>
      </c>
      <c r="G204" s="447">
        <f>F204*12%</f>
        <v/>
      </c>
      <c r="H204" s="748" t="n"/>
      <c r="I204" s="1050" t="n">
        <v>24.95</v>
      </c>
      <c r="J204" s="340">
        <f>F204*18%</f>
        <v/>
      </c>
      <c r="K204" s="340">
        <f>(F204-J204)*1.65%</f>
        <v/>
      </c>
      <c r="L204" s="340">
        <f>(F204-J204)*7.6%</f>
        <v/>
      </c>
      <c r="M204" s="577" t="n"/>
      <c r="N204" s="543">
        <f>(G204+I204)*(9.25%)</f>
        <v/>
      </c>
      <c r="O204" s="1050" t="n"/>
      <c r="P204" s="1016">
        <f>(F204 - (G204+I204+O204+(J204+K204+L204))) - (H204-M204-N204)</f>
        <v/>
      </c>
      <c r="Q204" s="328">
        <f>P204/F204</f>
        <v/>
      </c>
      <c r="R204" s="904" t="inlineStr">
        <is>
          <t>sem estoque</t>
        </is>
      </c>
      <c r="S204" s="651" t="n"/>
      <c r="T204" s="569" t="n"/>
      <c r="U204" s="1030" t="n"/>
      <c r="V204" s="1030" t="n"/>
      <c r="W204" s="1030" t="n"/>
      <c r="X204" s="579" t="n"/>
      <c r="Y204" s="579" t="n"/>
      <c r="Z204" s="579" t="n"/>
      <c r="AA204" s="579" t="n"/>
      <c r="AB204" s="579" t="n"/>
      <c r="AC204" s="579" t="n"/>
      <c r="AD204" s="579" t="n"/>
      <c r="AE204" s="579" t="n"/>
      <c r="AF204" s="579" t="n"/>
    </row>
    <row r="205" ht="15.75" customHeight="1" s="1349">
      <c r="A205" s="1265" t="inlineStr">
        <is>
          <t>7475453822747074</t>
        </is>
      </c>
      <c r="B205" s="713" t="n">
        <v>10034034166805</v>
      </c>
      <c r="C205" s="1292" t="inlineStr">
        <is>
          <t>Delta plus</t>
        </is>
      </c>
      <c r="D205" s="566" t="inlineStr">
        <is>
          <t>Mascara Óculos Galeras Ampla Visão Antirisco E Antiembaçante</t>
        </is>
      </c>
      <c r="E205" s="712" t="n"/>
      <c r="F205" s="607" t="n">
        <v>49.99</v>
      </c>
      <c r="G205" s="447">
        <f>F205*17%</f>
        <v/>
      </c>
      <c r="H205" s="831" t="n">
        <v>-2.9</v>
      </c>
      <c r="I205" s="904" t="n">
        <v>8.050000000000001</v>
      </c>
      <c r="J205" s="340">
        <f>F205*18%</f>
        <v/>
      </c>
      <c r="K205" s="340">
        <f>(F205-J205)*1.65%</f>
        <v/>
      </c>
      <c r="L205" s="340">
        <f>(F205-J205)*7.6%</f>
        <v/>
      </c>
      <c r="M205" s="1097" t="n">
        <v>7.1</v>
      </c>
      <c r="N205" s="785">
        <f>(G205+I205)*(9.25%)</f>
        <v/>
      </c>
      <c r="O205" s="708" t="n">
        <v>28.65</v>
      </c>
      <c r="P205" s="1016">
        <f>(F205 - (G205+I205+O205+(J205+K205+L205))) - (H205-M205-N205)</f>
        <v/>
      </c>
      <c r="Q205" s="328">
        <f>P205/F205</f>
        <v/>
      </c>
      <c r="R205" s="904" t="inlineStr">
        <is>
          <t>Ativo</t>
        </is>
      </c>
      <c r="S205" s="651" t="n"/>
      <c r="T205" s="569" t="n">
        <v>0</v>
      </c>
      <c r="U205" s="1030" t="n"/>
      <c r="V205" s="1030" t="n"/>
      <c r="W205" s="1030" t="n"/>
    </row>
    <row r="206" ht="15.75" customHeight="1" s="1349">
      <c r="A206" s="1265" t="inlineStr">
        <is>
          <t>3906130203</t>
        </is>
      </c>
      <c r="B206" s="1263" t="n">
        <v>10034034166805</v>
      </c>
      <c r="C206" s="904" t="inlineStr">
        <is>
          <t>Delta plus</t>
        </is>
      </c>
      <c r="D206" s="491" t="inlineStr">
        <is>
          <t>Óculos Segurança Galeras Parônamico Antiembaçante Antirisco</t>
        </is>
      </c>
      <c r="E206" s="712" t="n">
        <v>78.98999999999999</v>
      </c>
      <c r="F206" s="607" t="n">
        <v>53.9</v>
      </c>
      <c r="G206" s="447">
        <f>F206*17%</f>
        <v/>
      </c>
      <c r="H206" s="831" t="n"/>
      <c r="I206" s="904" t="n">
        <v>7.85</v>
      </c>
      <c r="J206" s="340">
        <f>F206*18%</f>
        <v/>
      </c>
      <c r="K206" s="340">
        <f>(F206-J206)*1.65%</f>
        <v/>
      </c>
      <c r="L206" s="340">
        <f>(F206-J206)*7.6%</f>
        <v/>
      </c>
      <c r="M206" s="1097" t="n">
        <v>7.1</v>
      </c>
      <c r="N206" s="785">
        <f>(G206+I206)*(9.25%)</f>
        <v/>
      </c>
      <c r="O206" s="708" t="n">
        <v>28.65</v>
      </c>
      <c r="P206" s="1016">
        <f>(F206 - (G206+I206+O206+(J206+K206+L206))) - (H206-M206-N206)</f>
        <v/>
      </c>
      <c r="Q206" s="328">
        <f>P206/F206</f>
        <v/>
      </c>
      <c r="R206" s="904" t="inlineStr">
        <is>
          <t>Ativo</t>
        </is>
      </c>
      <c r="S206" s="651" t="n"/>
      <c r="T206" s="569" t="n"/>
      <c r="U206" s="1030" t="n"/>
      <c r="V206" s="1030" t="n"/>
      <c r="W206" s="1030" t="n"/>
    </row>
    <row r="207" ht="15.75" customHeight="1" s="1349">
      <c r="A207" s="1265" t="inlineStr">
        <is>
          <t>676617822443540</t>
        </is>
      </c>
      <c r="B207" s="1263" t="n">
        <v>10034034167492</v>
      </c>
      <c r="C207" s="1292" t="inlineStr">
        <is>
          <t>Vonder</t>
        </is>
      </c>
      <c r="D207" s="194" t="inlineStr">
        <is>
          <t>Mola Aérea P/ Porta Até 45kg Fechamento Automático Alumínio</t>
        </is>
      </c>
      <c r="E207" s="712" t="n">
        <v>145</v>
      </c>
      <c r="F207" s="607" t="n">
        <v>122.9</v>
      </c>
      <c r="G207" s="447">
        <f>F207*11.5%</f>
        <v/>
      </c>
      <c r="H207" s="831" t="n"/>
      <c r="I207" s="492" t="n">
        <v>18.85</v>
      </c>
      <c r="J207" s="340">
        <f>F207*18%</f>
        <v/>
      </c>
      <c r="K207" s="340">
        <f>(F207-J207)*1.65%</f>
        <v/>
      </c>
      <c r="L207" s="340">
        <f>(F207-J207)*7.6%</f>
        <v/>
      </c>
      <c r="M207" s="1097" t="n">
        <v>16.15</v>
      </c>
      <c r="N207" s="785">
        <f>(G207+I207)*(9.25%)</f>
        <v/>
      </c>
      <c r="O207" s="708" t="n">
        <v>67.23999999999999</v>
      </c>
      <c r="P207" s="1016">
        <f>(F207 - (G207+I207+O207+(J207+K207+L207))) - (H207-M207-N207)</f>
        <v/>
      </c>
      <c r="Q207" s="328">
        <f>P207/F207</f>
        <v/>
      </c>
      <c r="R207" s="904" t="inlineStr">
        <is>
          <t>Ativo</t>
        </is>
      </c>
      <c r="S207" s="651" t="n"/>
      <c r="T207" s="569" t="n"/>
      <c r="U207" s="1030" t="n"/>
      <c r="V207" s="1030" t="n"/>
      <c r="W207" s="1030" t="n"/>
    </row>
    <row r="208" ht="15.75" customHeight="1" s="1349">
      <c r="A208" s="669" t="inlineStr">
        <is>
          <t>6666797618</t>
        </is>
      </c>
      <c r="B208" s="670" t="n">
        <v>10034034167492</v>
      </c>
      <c r="C208" s="726" t="inlineStr">
        <is>
          <t>Vonder</t>
        </is>
      </c>
      <c r="D208" s="234" t="inlineStr">
        <is>
          <t>Mola Aérea Hidráulica 45kg Fechamento Automático Potencia 2</t>
        </is>
      </c>
      <c r="E208" s="727" t="n">
        <v>145</v>
      </c>
      <c r="F208" s="747" t="n">
        <v>122.89</v>
      </c>
      <c r="G208" s="34">
        <f>F208*16.5%</f>
        <v/>
      </c>
      <c r="H208" s="609" t="n"/>
      <c r="I208" s="898" t="n">
        <v>18.85</v>
      </c>
      <c r="J208" s="61">
        <f>F208*18%</f>
        <v/>
      </c>
      <c r="K208" s="61">
        <f>(F208-J208)*1.65%</f>
        <v/>
      </c>
      <c r="L208" s="61">
        <f>(F208-J208)*7.6%</f>
        <v/>
      </c>
      <c r="M208" s="784" t="n">
        <v>16.15</v>
      </c>
      <c r="N208" s="785">
        <f>(G208+I208)*(9.25%)</f>
        <v/>
      </c>
      <c r="O208" s="674" t="n">
        <v>67.23999999999999</v>
      </c>
      <c r="P208" s="1016">
        <f>(F208 - (G208+I208+O208+(J208+K208+L208))) - (H208-M208-N208)</f>
        <v/>
      </c>
      <c r="Q208" s="591">
        <f>P208/F208</f>
        <v/>
      </c>
      <c r="R208" s="676" t="inlineStr">
        <is>
          <t>Ativo</t>
        </is>
      </c>
      <c r="S208" s="762" t="inlineStr">
        <is>
          <t>Branco</t>
        </is>
      </c>
      <c r="T208" s="806" t="n"/>
      <c r="U208" s="595" t="n"/>
      <c r="V208" s="595" t="n"/>
      <c r="W208" s="595" t="n"/>
    </row>
    <row r="209" ht="15.75" customHeight="1" s="1349">
      <c r="A209" s="669" t="inlineStr">
        <is>
          <t>6666797618</t>
        </is>
      </c>
      <c r="B209" s="670" t="n"/>
      <c r="C209" s="726" t="inlineStr">
        <is>
          <t>Vonder</t>
        </is>
      </c>
      <c r="D209" s="234" t="inlineStr">
        <is>
          <t>Mola Aérea Amortecedor 45kg Porta Pivotante Regulagem Preto</t>
        </is>
      </c>
      <c r="E209" s="727" t="n">
        <v>145</v>
      </c>
      <c r="F209" s="747" t="n">
        <v>122.89</v>
      </c>
      <c r="G209" s="34">
        <f>F209*16.5%</f>
        <v/>
      </c>
      <c r="H209" s="609" t="n"/>
      <c r="I209" s="898" t="n">
        <v>18.85</v>
      </c>
      <c r="J209" s="61">
        <f>F209*18%</f>
        <v/>
      </c>
      <c r="K209" s="61">
        <f>(F209-J209)*1.65%</f>
        <v/>
      </c>
      <c r="L209" s="61">
        <f>(F209-J209)*7.6%</f>
        <v/>
      </c>
      <c r="M209" s="784" t="n">
        <v>16.15</v>
      </c>
      <c r="N209" s="785">
        <f>(G209+I209)*(9.25%)</f>
        <v/>
      </c>
      <c r="O209" s="674" t="n">
        <v>67.23999999999999</v>
      </c>
      <c r="P209" s="1016">
        <f>(F209 - (G209+I209+O209+(J209+K209+L209))) - (H209-M209-N209)</f>
        <v/>
      </c>
      <c r="Q209" s="591">
        <f>P209/F209</f>
        <v/>
      </c>
      <c r="R209" s="676" t="inlineStr">
        <is>
          <t>Ativo</t>
        </is>
      </c>
      <c r="S209" s="762" t="inlineStr">
        <is>
          <t>Preto</t>
        </is>
      </c>
      <c r="T209" s="806" t="n"/>
      <c r="U209" s="595" t="n"/>
      <c r="V209" s="595" t="n"/>
      <c r="W209" s="595" t="n"/>
    </row>
    <row r="210" ht="15.75" customHeight="1" s="1349">
      <c r="A210" s="489" t="inlineStr">
        <is>
          <t>5113842660</t>
        </is>
      </c>
      <c r="B210" s="713" t="n">
        <v>10034034166942</v>
      </c>
      <c r="C210" s="1292" t="inlineStr">
        <is>
          <t>Nutriex</t>
        </is>
      </c>
      <c r="D210" s="194" t="inlineStr">
        <is>
          <t>Nutriex Profissional Protetor Solar Fps 30 Ação Repelente Em Creme 1l</t>
        </is>
      </c>
      <c r="E210" s="654" t="n"/>
      <c r="F210" s="607" t="n">
        <v>148.99</v>
      </c>
      <c r="G210" s="447">
        <f>F210*14%</f>
        <v/>
      </c>
      <c r="H210" s="831" t="n"/>
      <c r="I210" s="492" t="n">
        <v>17.96</v>
      </c>
      <c r="J210" s="340">
        <f>F210*18%</f>
        <v/>
      </c>
      <c r="K210" s="340">
        <f>(F210-J210)*1.65%</f>
        <v/>
      </c>
      <c r="L210" s="340">
        <f>(F210-J210)*7.6%</f>
        <v/>
      </c>
      <c r="M210" s="577" t="n"/>
      <c r="N210" s="543">
        <f>(G210+I210)*(9.25%)</f>
        <v/>
      </c>
      <c r="O210" s="729" t="n">
        <v>80</v>
      </c>
      <c r="P210" s="1016">
        <f>(F210 - (G210+I210+O210+(J210+K210+L210))) - (H210-M210-N210)</f>
        <v/>
      </c>
      <c r="Q210" s="328">
        <f>P210/F210</f>
        <v/>
      </c>
      <c r="R210" s="904" t="inlineStr">
        <is>
          <t>sem estoque</t>
        </is>
      </c>
      <c r="S210" s="904" t="inlineStr">
        <is>
          <t>catalogo</t>
        </is>
      </c>
      <c r="T210" s="569" t="n">
        <v>25</v>
      </c>
      <c r="U210" s="1030" t="n"/>
      <c r="V210" s="1030" t="n"/>
      <c r="W210" s="1030" t="n"/>
    </row>
    <row r="211" ht="15.75" customHeight="1" s="1349">
      <c r="A211" s="489" t="inlineStr">
        <is>
          <t>5441165658</t>
        </is>
      </c>
      <c r="B211" s="713" t="n">
        <v>10034034166257</v>
      </c>
      <c r="C211" s="1292" t="inlineStr">
        <is>
          <t>VOLK</t>
        </is>
      </c>
      <c r="D211" s="491" t="inlineStr">
        <is>
          <t>Óculos Ampla Visão Vvision Sobrepor Anti-risco Antiembaçante</t>
        </is>
      </c>
      <c r="E211" s="492" t="n"/>
      <c r="F211" s="607" t="n">
        <v>37.05</v>
      </c>
      <c r="G211" s="447">
        <f>F211*12%</f>
        <v/>
      </c>
      <c r="H211" s="831" t="n"/>
      <c r="I211" s="904">
        <f>IFS(
  F211&lt;12.5, F211/2,
  F211&lt;29, 6.25,
  F211&lt;50, 6.5,
  F211&lt;=79, 6.75,
  TRUE, 25
)</f>
        <v/>
      </c>
      <c r="J211" s="340">
        <f>F211*18%</f>
        <v/>
      </c>
      <c r="K211" s="340">
        <f>(F211-J211)*1.65%</f>
        <v/>
      </c>
      <c r="L211" s="340">
        <f>(F211-J211)*7.6%</f>
        <v/>
      </c>
      <c r="M211" s="577" t="n"/>
      <c r="N211" s="543">
        <f>(G211+I211)*(9.25%)</f>
        <v/>
      </c>
      <c r="O211" s="904" t="n">
        <v>15.52</v>
      </c>
      <c r="P211" s="1016">
        <f>(F211 - (G211+I211+O211+(J211+K211+L211))) - (H211-M211-N211)</f>
        <v/>
      </c>
      <c r="Q211" s="328">
        <f>P211/F211</f>
        <v/>
      </c>
      <c r="R211" s="904" t="inlineStr">
        <is>
          <t>sem estoque</t>
        </is>
      </c>
      <c r="S211" s="651" t="n"/>
      <c r="T211" s="569" t="n">
        <v>17</v>
      </c>
      <c r="U211" s="1030" t="n"/>
      <c r="V211" s="1030" t="n"/>
      <c r="W211" s="1030" t="n"/>
    </row>
    <row r="212" ht="15.75" customHeight="1" s="1349">
      <c r="A212" s="489" t="inlineStr">
        <is>
          <t>4099342931</t>
        </is>
      </c>
      <c r="B212" s="713" t="n">
        <v>10034034166810</v>
      </c>
      <c r="C212" s="1292" t="inlineStr">
        <is>
          <t>EPI</t>
        </is>
      </c>
      <c r="D212" s="194" t="inlineStr">
        <is>
          <t>Óculos Proteção De Sobrepor Hekla2 Antiembaçante Antirrisco</t>
        </is>
      </c>
      <c r="E212" s="712" t="n">
        <v>33</v>
      </c>
      <c r="F212" s="607" t="n">
        <v>29.9</v>
      </c>
      <c r="G212" s="447">
        <f>F212*12%</f>
        <v/>
      </c>
      <c r="H212" s="831" t="n">
        <v>-0.9</v>
      </c>
      <c r="I212" s="904" t="n">
        <v>6.75</v>
      </c>
      <c r="J212" s="340">
        <f>F212*18%</f>
        <v/>
      </c>
      <c r="K212" s="340">
        <f>(F212-J212)*1.65%</f>
        <v/>
      </c>
      <c r="L212" s="340">
        <f>(F212-J212)*7.6%</f>
        <v/>
      </c>
      <c r="M212" s="1097" t="n">
        <v>3.52</v>
      </c>
      <c r="N212" s="785">
        <f>(G212+I212)*(9.25%)</f>
        <v/>
      </c>
      <c r="O212" s="701" t="n">
        <v>14.19</v>
      </c>
      <c r="P212" s="1016">
        <f>(F212 - (G212+I212+O212+(J212+K212+L212))) - (H212-M212-N212)</f>
        <v/>
      </c>
      <c r="Q212" s="328">
        <f>P212/F212</f>
        <v/>
      </c>
      <c r="R212" s="904" t="inlineStr">
        <is>
          <t>sem estoque</t>
        </is>
      </c>
      <c r="S212" s="651" t="n"/>
      <c r="T212" s="569" t="n"/>
      <c r="U212" s="1030" t="n"/>
      <c r="V212" s="1030" t="n"/>
      <c r="W212" s="1030" t="n"/>
    </row>
    <row r="213" ht="15.75" customHeight="1" s="1349">
      <c r="A213" s="1265" t="inlineStr">
        <is>
          <t>3252058821 4230473400</t>
        </is>
      </c>
      <c r="B213" s="1263" t="n">
        <v>59</v>
      </c>
      <c r="C213" s="1292" t="inlineStr">
        <is>
          <t>Delta plus</t>
        </is>
      </c>
      <c r="D213" s="566" t="inlineStr">
        <is>
          <t>Óculos Proteção Uv Delta Plus Summer Incolor Com Ca 19.176</t>
        </is>
      </c>
      <c r="E213" s="571" t="n"/>
      <c r="F213" s="572" t="n">
        <v>9.99</v>
      </c>
      <c r="G213" s="285">
        <f>F213*12%</f>
        <v/>
      </c>
      <c r="H213" s="831" t="n"/>
      <c r="I213" s="492" t="n">
        <v>5</v>
      </c>
      <c r="J213" s="340">
        <f>F213*18%</f>
        <v/>
      </c>
      <c r="K213" s="340">
        <f>(F213-J213)*1.65%</f>
        <v/>
      </c>
      <c r="L213" s="340">
        <f>(F213-J213)*7.6%</f>
        <v/>
      </c>
      <c r="M213" s="1097" t="n">
        <v>0.48</v>
      </c>
      <c r="N213" s="785">
        <f>(G213+I213)*(9.25%)</f>
        <v/>
      </c>
      <c r="O213" s="708" t="n">
        <v>1.93</v>
      </c>
      <c r="P213" s="1016">
        <f>(F213 - (G213+I213+O213+(J213+K213+L213))) - (H213-M213-N213)</f>
        <v/>
      </c>
      <c r="Q213" s="328">
        <f>P213/F213</f>
        <v/>
      </c>
      <c r="R213" s="904" t="inlineStr">
        <is>
          <t>Ativo</t>
        </is>
      </c>
      <c r="S213" s="904" t="inlineStr">
        <is>
          <t>sincronizado</t>
        </is>
      </c>
      <c r="T213" s="569" t="n"/>
      <c r="U213" s="1030" t="n"/>
      <c r="V213" s="1030" t="n"/>
      <c r="W213" s="1030" t="n"/>
    </row>
    <row r="214" ht="15.75" customHeight="1" s="1349">
      <c r="A214" s="489" t="inlineStr">
        <is>
          <t>4065038803</t>
        </is>
      </c>
      <c r="B214" s="713" t="n">
        <v>10034034166809</v>
      </c>
      <c r="C214" s="1292" t="inlineStr">
        <is>
          <t>Delta plus</t>
        </is>
      </c>
      <c r="D214" s="194" t="inlineStr">
        <is>
          <t>Óculos Solda Maçariqueiro Wps0281 Lente Verde N5 Articulada</t>
        </is>
      </c>
      <c r="E214" s="654" t="n"/>
      <c r="F214" s="607" t="n">
        <v>27.64</v>
      </c>
      <c r="G214" s="447">
        <f>F214*12%</f>
        <v/>
      </c>
      <c r="H214" s="831" t="n">
        <v>-0.42</v>
      </c>
      <c r="I214" s="904" t="n">
        <v>6.85</v>
      </c>
      <c r="J214" s="340">
        <f>F214*18%</f>
        <v/>
      </c>
      <c r="K214" s="340">
        <f>(F214-J214)*1.65%</f>
        <v/>
      </c>
      <c r="L214" s="340">
        <f>(F214-J214)*7.6%</f>
        <v/>
      </c>
      <c r="M214" s="1097" t="n">
        <v>2.83</v>
      </c>
      <c r="N214" s="785">
        <f>(G214+I214)*(9.25%)</f>
        <v/>
      </c>
      <c r="O214" s="701" t="n">
        <v>11.44</v>
      </c>
      <c r="P214" s="1016">
        <f>(F214 - (G214+I214+O214+(J214+K214+L214))) - (H214-M214-N214)</f>
        <v/>
      </c>
      <c r="Q214" s="328">
        <f>P214/F214</f>
        <v/>
      </c>
      <c r="R214" s="904" t="inlineStr">
        <is>
          <t>Ativo</t>
        </is>
      </c>
      <c r="S214" s="651" t="n"/>
      <c r="T214" s="569" t="n"/>
      <c r="U214" s="1030" t="n"/>
      <c r="V214" s="1030" t="n"/>
      <c r="W214" s="1030" t="n"/>
    </row>
    <row r="215" ht="15.75" customHeight="1" s="1349">
      <c r="A215" s="489" t="inlineStr">
        <is>
          <t>5402383306</t>
        </is>
      </c>
      <c r="B215" s="713" t="n">
        <v>10034034166509</v>
      </c>
      <c r="C215" s="1292" t="inlineStr">
        <is>
          <t>EPI</t>
        </is>
      </c>
      <c r="D215" s="194" t="inlineStr">
        <is>
          <t>Pad Recorte Pintura Paredes Rotativo Canto Acabamento Atlas</t>
        </is>
      </c>
      <c r="E215" s="654" t="n"/>
      <c r="F215" s="607" t="n">
        <v>40.51</v>
      </c>
      <c r="G215" s="447">
        <f>F215*11.5%</f>
        <v/>
      </c>
      <c r="H215" s="831" t="n">
        <v>-1.29</v>
      </c>
      <c r="I215" s="904">
        <f>IFS(
  F215&lt;12.5, F215/2,
  F215&lt;29, 6.25,
  F215&lt;50, 6.5,
  F215&lt;=79, 6.75,
  TRUE, 25
)</f>
        <v/>
      </c>
      <c r="J215" s="340">
        <f>F215*18%</f>
        <v/>
      </c>
      <c r="K215" s="340">
        <f>(F215-J215)*1.65%</f>
        <v/>
      </c>
      <c r="L215" s="340">
        <f>(F215-J215)*7.6%</f>
        <v/>
      </c>
      <c r="M215" s="577" t="n"/>
      <c r="N215" s="543">
        <f>(G215+I215)*(9.25%)</f>
        <v/>
      </c>
      <c r="O215" s="730" t="n">
        <v>17.54</v>
      </c>
      <c r="P215" s="1016">
        <f>(F215 - (G215+I215+O215+(J215+K215+L215))) - (H215-M215-N215)</f>
        <v/>
      </c>
      <c r="Q215" s="328">
        <f>P215/F215</f>
        <v/>
      </c>
      <c r="R215" s="904" t="inlineStr">
        <is>
          <t>Ativo</t>
        </is>
      </c>
      <c r="S215" s="651" t="n"/>
      <c r="T215" s="569" t="n"/>
      <c r="U215" s="1030" t="n"/>
      <c r="V215" s="1030" t="n"/>
      <c r="W215" s="1030" t="n"/>
    </row>
    <row r="216" ht="15.75" customHeight="1" s="1349">
      <c r="A216" s="489" t="inlineStr">
        <is>
          <t>5402584632</t>
        </is>
      </c>
      <c r="B216" s="713" t="n">
        <v>10034034166510</v>
      </c>
      <c r="C216" s="1292" t="inlineStr">
        <is>
          <t>Atlas</t>
        </is>
      </c>
      <c r="D216" s="194" t="inlineStr">
        <is>
          <t>Pad Recorte Rodapé Pintura Acabamento Cabo Ajustável 360°</t>
        </is>
      </c>
      <c r="E216" s="654" t="n"/>
      <c r="F216" s="607" t="n">
        <v>37.9</v>
      </c>
      <c r="G216" s="447">
        <f>F216*16.5%</f>
        <v/>
      </c>
      <c r="H216" s="831" t="n">
        <v>-2.27</v>
      </c>
      <c r="I216" s="904">
        <f>IFS(
F216&lt;12.5, F216/2,
F216&lt;29, 6.25,
F216&lt;50, 6.5,
F216&lt;=79, 6.75,
TRUE, 
25)</f>
        <v/>
      </c>
      <c r="J216" s="340">
        <f>F216*18%</f>
        <v/>
      </c>
      <c r="K216" s="340">
        <f>(F216-J216)*1.65%</f>
        <v/>
      </c>
      <c r="L216" s="340">
        <f>(F216-J216)*7.6%</f>
        <v/>
      </c>
      <c r="M216" s="1097" t="n">
        <v>5.31</v>
      </c>
      <c r="N216" s="785">
        <f>(G216+I216)*(9.25%)</f>
        <v/>
      </c>
      <c r="O216" s="197" t="n">
        <v>20.77</v>
      </c>
      <c r="P216" s="1016">
        <f>(F216 - (G216+I216+O216+(J216+K216+L216))) - (H216-M216-N216)</f>
        <v/>
      </c>
      <c r="Q216" s="328">
        <f>P216/F216</f>
        <v/>
      </c>
      <c r="R216" s="904" t="inlineStr">
        <is>
          <t>Ativo</t>
        </is>
      </c>
      <c r="S216" s="651" t="n"/>
      <c r="T216" s="569" t="n"/>
      <c r="U216" s="1030" t="n"/>
      <c r="V216" s="1030" t="n"/>
      <c r="W216" s="1030" t="n"/>
    </row>
    <row r="217" ht="15.75" customHeight="1" s="1349">
      <c r="A217" s="711" t="inlineStr">
        <is>
          <t>4188921111</t>
        </is>
      </c>
      <c r="B217" s="470" t="n">
        <v>10034034167317</v>
      </c>
      <c r="C217" s="1292" t="inlineStr">
        <is>
          <t>ÂNCORA</t>
        </is>
      </c>
      <c r="D217" s="625">
        <f>hyperlink("https://produto.mercadolivre.com.br/MLB-4188921111-pino-liso-aco-indireta-14-x-45mm-fixaco-drywall-100un-_JM","Pino Liso Ação Indireta 1/4 X 45mm Fixação Drywall 100un")</f>
        <v/>
      </c>
      <c r="E217" s="685" t="n"/>
      <c r="F217" s="856" t="n">
        <v>32.88</v>
      </c>
      <c r="G217" s="447">
        <f>F217*12%</f>
        <v/>
      </c>
      <c r="H217" s="833" t="n">
        <v>-1.71</v>
      </c>
      <c r="I217" s="904" t="n">
        <v>6.85</v>
      </c>
      <c r="J217" s="340">
        <f>F217*18%</f>
        <v/>
      </c>
      <c r="K217" s="340">
        <f>(F217-J217)*1.65%</f>
        <v/>
      </c>
      <c r="L217" s="340">
        <f>(F217-J217)*7.6%</f>
        <v/>
      </c>
      <c r="M217" s="1097" t="n">
        <v>1.57</v>
      </c>
      <c r="N217" s="785">
        <f>(G217+I217)*(9.25%)</f>
        <v/>
      </c>
      <c r="O217" s="701" t="n">
        <v>12.95</v>
      </c>
      <c r="P217" s="1016">
        <f>(F217 - (G217+I217+O217+(J217+K217+L217))) - (H217-M217-N217)</f>
        <v/>
      </c>
      <c r="Q217" s="328">
        <f>P217/F217</f>
        <v/>
      </c>
      <c r="R217" s="904" t="inlineStr">
        <is>
          <t>Ativo</t>
        </is>
      </c>
      <c r="S217" s="651" t="n"/>
      <c r="T217" s="569" t="n"/>
      <c r="U217" s="1030" t="n"/>
      <c r="V217" s="1030" t="n"/>
      <c r="W217" s="1030" t="n"/>
    </row>
    <row r="218" ht="15.75" customHeight="1" s="1349">
      <c r="A218" s="711" t="inlineStr">
        <is>
          <t>5663199580</t>
        </is>
      </c>
      <c r="B218" s="470" t="n">
        <v>10034034167499</v>
      </c>
      <c r="C218" s="1292" t="inlineStr">
        <is>
          <t>ÂNCORA</t>
        </is>
      </c>
      <c r="D218" s="625">
        <f>HYPERLINK("https://produto.mercadolivre.com.br/MLB-5663199580-pino-liso-fixaco-polvora-aco-indireta-14-55mm-ancora-_JM","Pino Liso Fixação À Pólvora Ação Indireta 1/4 55mm Ancora")</f>
        <v/>
      </c>
      <c r="E218" s="685" t="n"/>
      <c r="F218" s="856" t="n">
        <v>35.9</v>
      </c>
      <c r="G218" s="447">
        <f>F218*12%</f>
        <v/>
      </c>
      <c r="H218" s="833" t="n"/>
      <c r="I218" s="904" t="n">
        <v>6.85</v>
      </c>
      <c r="J218" s="340">
        <f>F218*18%</f>
        <v/>
      </c>
      <c r="K218" s="340">
        <f>(F218-J218)*1.65%</f>
        <v/>
      </c>
      <c r="L218" s="340">
        <f>(F218-J218)*7.6%</f>
        <v/>
      </c>
      <c r="M218" s="1097" t="n">
        <v>3.59</v>
      </c>
      <c r="N218" s="785">
        <f>(G218+I218)*(9.25%)</f>
        <v/>
      </c>
      <c r="O218" s="701" t="n">
        <v>14.75</v>
      </c>
      <c r="P218" s="1016">
        <f>(F218 - (G218+I218+O218+(J218+K218+L218))) - (H218-M218-N218)</f>
        <v/>
      </c>
      <c r="Q218" s="328">
        <f>P218/F218</f>
        <v/>
      </c>
      <c r="R218" s="904" t="inlineStr">
        <is>
          <t>Ativo</t>
        </is>
      </c>
      <c r="S218" s="651" t="n"/>
      <c r="T218" s="569" t="n">
        <v>2</v>
      </c>
      <c r="U218" s="1030" t="n"/>
      <c r="V218" s="1030" t="n"/>
      <c r="W218" s="1030" t="n"/>
    </row>
    <row r="219" ht="15.75" customHeight="1" s="1349">
      <c r="A219" s="1265" t="inlineStr">
        <is>
          <t>3358720059</t>
        </is>
      </c>
      <c r="B219" s="1263" t="n">
        <v>7898529715030</v>
      </c>
      <c r="C219" s="1292" t="inlineStr">
        <is>
          <t>Walsywa</t>
        </is>
      </c>
      <c r="D219" s="194" t="inlineStr">
        <is>
          <t>Pistola De Fixação Ação Indireta Walsywa Pra10 + Brinde</t>
        </is>
      </c>
      <c r="E219" s="654" t="n"/>
      <c r="F219" s="607" t="n">
        <v>950.6</v>
      </c>
      <c r="G219" s="447">
        <f>F219*12%</f>
        <v/>
      </c>
      <c r="H219" s="831" t="n">
        <v>-29.4</v>
      </c>
      <c r="I219" s="492" t="n">
        <v>30.75</v>
      </c>
      <c r="J219" s="340">
        <f>F219*18%</f>
        <v/>
      </c>
      <c r="K219" s="340">
        <f>(F219-J219)*1.65%</f>
        <v/>
      </c>
      <c r="L219" s="340">
        <f>(F219-J219)*7.6%</f>
        <v/>
      </c>
      <c r="M219" s="1097" t="n">
        <v>78.31</v>
      </c>
      <c r="N219" s="785">
        <f>(G219+I219)*(9.25%)</f>
        <v/>
      </c>
      <c r="O219" s="708" t="n">
        <v>608</v>
      </c>
      <c r="P219" s="1016">
        <f>(F219 - (G219+I219+O219+(J219+K219+L219))) - (H219-M219-N219)</f>
        <v/>
      </c>
      <c r="Q219" s="328">
        <f>P219/F219</f>
        <v/>
      </c>
      <c r="R219" s="904" t="inlineStr">
        <is>
          <t>Ativo</t>
        </is>
      </c>
      <c r="S219" s="651" t="n"/>
      <c r="T219" s="569" t="n"/>
      <c r="U219" s="1030" t="n"/>
      <c r="V219" s="1030" t="n"/>
      <c r="W219" s="1030" t="n"/>
    </row>
    <row r="220" ht="15.75" customHeight="1" s="1349">
      <c r="A220" s="1265" t="inlineStr">
        <is>
          <t>4113957019 4212100790637140</t>
        </is>
      </c>
      <c r="B220" s="1263" t="n">
        <v>10034034168131</v>
      </c>
      <c r="C220" s="1292" t="inlineStr">
        <is>
          <t>ÂNCORA</t>
        </is>
      </c>
      <c r="D220" s="194" t="inlineStr">
        <is>
          <t>Pistola Fga850n Gás Alta Performance Celula E Pino + Brinde</t>
        </is>
      </c>
      <c r="E220" s="654" t="n"/>
      <c r="F220" s="607" t="n">
        <v>5887</v>
      </c>
      <c r="G220" s="447">
        <f>F220*12%</f>
        <v/>
      </c>
      <c r="H220" s="831" t="n">
        <v>-353.22</v>
      </c>
      <c r="I220" s="492" t="n">
        <v>49.35</v>
      </c>
      <c r="J220" s="340">
        <f>F220*18%</f>
        <v/>
      </c>
      <c r="K220" s="340">
        <f>(F220-J220)*1.65%</f>
        <v/>
      </c>
      <c r="L220" s="340">
        <f>(F220-J220)*7.6%</f>
        <v/>
      </c>
      <c r="M220" s="1097">
        <f>498.2+16.01 + 0.12</f>
        <v/>
      </c>
      <c r="N220" s="785">
        <f>(G220+I220)*(9.25%)</f>
        <v/>
      </c>
      <c r="O220" s="708">
        <f>4069.13+124.34+1</f>
        <v/>
      </c>
      <c r="P220" s="1016">
        <f>(F220 - (G220+I220+O220+(J220+K220+L220))) - (H220-M220-N220)</f>
        <v/>
      </c>
      <c r="Q220" s="328">
        <f>P220/F220</f>
        <v/>
      </c>
      <c r="R220" s="904" t="inlineStr">
        <is>
          <t>Ativo</t>
        </is>
      </c>
      <c r="S220" s="651" t="n"/>
      <c r="T220" s="569" t="n"/>
      <c r="U220" s="1030" t="n"/>
      <c r="V220" s="1030" t="n"/>
      <c r="W220" s="1030" t="n"/>
    </row>
    <row r="221" ht="15.75" customHeight="1" s="1349">
      <c r="A221" s="1265" t="n"/>
      <c r="B221" s="1263" t="n">
        <v>10034034168131</v>
      </c>
      <c r="C221" s="1292" t="inlineStr">
        <is>
          <t>ÂNCORA</t>
        </is>
      </c>
      <c r="D221" s="194" t="inlineStr">
        <is>
          <t>Pistola Fga850n Gás Alta Performance Celula E Pino + Brinde</t>
        </is>
      </c>
      <c r="E221" s="654" t="n"/>
      <c r="F221" s="607" t="n">
        <v>6692.03</v>
      </c>
      <c r="G221" s="447">
        <f>F221*17%</f>
        <v/>
      </c>
      <c r="H221" s="831" t="n">
        <v>-206.97</v>
      </c>
      <c r="I221" s="492" t="n">
        <v>49.35</v>
      </c>
      <c r="J221" s="340">
        <f>F221*18%</f>
        <v/>
      </c>
      <c r="K221" s="340">
        <f>(F221-J221)*1.65%</f>
        <v/>
      </c>
      <c r="L221" s="340">
        <f>(F221-J221)*7.6%</f>
        <v/>
      </c>
      <c r="M221" s="1097">
        <f>498.2+16.01 + 0.12</f>
        <v/>
      </c>
      <c r="N221" s="785">
        <f>(G221+I221)*(9.25%)</f>
        <v/>
      </c>
      <c r="O221" s="708">
        <f>4069.13+124.34+1</f>
        <v/>
      </c>
      <c r="P221" s="1016">
        <f>(F221 - (G221+I221+O221+(J221+K221+L221))) - (H221-M221-N221)</f>
        <v/>
      </c>
      <c r="Q221" s="328">
        <f>P221/F221</f>
        <v/>
      </c>
      <c r="R221" s="904" t="inlineStr">
        <is>
          <t>Ativo</t>
        </is>
      </c>
      <c r="S221" s="904" t="n"/>
      <c r="T221" s="569" t="n"/>
      <c r="U221" s="1030" t="n"/>
      <c r="V221" s="1030" t="n"/>
      <c r="W221" s="1030" t="n"/>
    </row>
    <row r="222" ht="15.75" customHeight="1" s="1349">
      <c r="A222" s="494" t="inlineStr">
        <is>
          <t>5538082730</t>
        </is>
      </c>
      <c r="B222" s="495" t="n">
        <v>10034034167193</v>
      </c>
      <c r="C222" s="1292" t="inlineStr">
        <is>
          <t>EPI</t>
        </is>
      </c>
      <c r="D222" s="731" t="inlineStr">
        <is>
          <t>Pistola Fixação Ação Direta Dsi90 Concreto Aço Pino + Brinde</t>
        </is>
      </c>
      <c r="E222" s="778" t="n"/>
      <c r="F222" s="856" t="n">
        <v>1651.67</v>
      </c>
      <c r="G222" s="447">
        <f>F222*12%</f>
        <v/>
      </c>
      <c r="H222" s="833" t="n">
        <v>-48.96</v>
      </c>
      <c r="I222" s="904" t="n">
        <v>68.65000000000001</v>
      </c>
      <c r="J222" s="340">
        <f>F222*18%</f>
        <v/>
      </c>
      <c r="K222" s="340">
        <f>(F222-J222)*1.65%</f>
        <v/>
      </c>
      <c r="L222" s="340">
        <f>(F222-J222)*7.6%</f>
        <v/>
      </c>
      <c r="M222" s="577" t="n"/>
      <c r="N222" s="543">
        <f>(G222+I222)*(9.25%)</f>
        <v/>
      </c>
      <c r="O222" s="904" t="n">
        <v>920</v>
      </c>
      <c r="P222" s="1016">
        <f>(F222 - (G222+I222+O222+(J222+K222+L222))) - (H222-M222-N222)</f>
        <v/>
      </c>
      <c r="Q222" s="328">
        <f>P222/F222</f>
        <v/>
      </c>
      <c r="R222" s="904" t="inlineStr">
        <is>
          <t>Desativado</t>
        </is>
      </c>
      <c r="S222" s="651" t="n"/>
      <c r="T222" s="569" t="n"/>
      <c r="U222" s="1030" t="n"/>
      <c r="V222" s="1030" t="n"/>
      <c r="W222" s="1030" t="n"/>
    </row>
    <row r="223" ht="15.75" customHeight="1" s="1349">
      <c r="A223" s="489" t="inlineStr">
        <is>
          <t>3832866504</t>
        </is>
      </c>
      <c r="B223" s="713" t="n">
        <v>10034034167193</v>
      </c>
      <c r="C223" s="1292" t="inlineStr">
        <is>
          <t>Walsywa</t>
        </is>
      </c>
      <c r="D223" s="566" t="inlineStr">
        <is>
          <t>Pistola Fixação De Ação Direta Fincapino Pino Dfg-40 Walsywa</t>
        </is>
      </c>
      <c r="E223" s="571" t="n"/>
      <c r="F223" s="607" t="n">
        <v>1866</v>
      </c>
      <c r="G223" s="447">
        <f>F223*12%</f>
        <v/>
      </c>
      <c r="H223" s="831" t="n">
        <v>-57</v>
      </c>
      <c r="I223" s="492" t="n">
        <v>30.75</v>
      </c>
      <c r="J223" s="340">
        <f>F223*18%</f>
        <v/>
      </c>
      <c r="K223" s="340">
        <f>(F223-J223)*1.65%</f>
        <v/>
      </c>
      <c r="L223" s="340">
        <f>(F223-J223)*7.6%</f>
        <v/>
      </c>
      <c r="M223" s="1097" t="n">
        <v>164.86</v>
      </c>
      <c r="N223" s="785">
        <f>(G223+I223)*(9.25%)</f>
        <v/>
      </c>
      <c r="O223" s="708" t="n">
        <v>1280</v>
      </c>
      <c r="P223" s="1016">
        <f>(F223 - (G223+I223+O223+(J223+K223+L223))) - (H223-M223-N223)</f>
        <v/>
      </c>
      <c r="Q223" s="328">
        <f>P223/F223</f>
        <v/>
      </c>
      <c r="R223" s="904" t="inlineStr">
        <is>
          <t>Ativo</t>
        </is>
      </c>
      <c r="S223" s="651" t="n"/>
      <c r="T223" s="569" t="n"/>
      <c r="U223" s="1030" t="n"/>
      <c r="V223" s="1030" t="n"/>
      <c r="W223" s="1030" t="n"/>
    </row>
    <row r="224" ht="15.75" customHeight="1" s="1349">
      <c r="A224" s="1265" t="inlineStr">
        <is>
          <t>5338630566</t>
        </is>
      </c>
      <c r="B224" s="1263" t="n">
        <v>10034034168167</v>
      </c>
      <c r="C224" s="1292" t="inlineStr">
        <is>
          <t>Plastcor</t>
        </is>
      </c>
      <c r="D224" s="194" t="inlineStr">
        <is>
          <t>Placa Sinalização Cuidado Piso Molhado Reforçada Uv Cavalete</t>
        </is>
      </c>
      <c r="E224" s="654" t="n"/>
      <c r="F224" s="607" t="n">
        <v>47.48</v>
      </c>
      <c r="G224" s="447">
        <f>F224*12%</f>
        <v/>
      </c>
      <c r="H224" s="831" t="n">
        <v>-0.75</v>
      </c>
      <c r="I224" s="904">
        <f>IFS(
  F224&lt;12.5, F224/2,
  F224&lt;29, 6.25,
  F224&lt;50, 6.5,
  F224&lt;=79, 6.75,
  TRUE, 25
)</f>
        <v/>
      </c>
      <c r="J224" s="340">
        <f>F224*18%</f>
        <v/>
      </c>
      <c r="K224" s="340">
        <f>(F224-J224)*1.65%</f>
        <v/>
      </c>
      <c r="L224" s="340">
        <f>(F224-J224)*7.6%</f>
        <v/>
      </c>
      <c r="M224" s="1097">
        <f>5.63</f>
        <v/>
      </c>
      <c r="N224" s="785">
        <f>(G224+I224)*(9.25%)</f>
        <v/>
      </c>
      <c r="O224" s="701">
        <f>25.71</f>
        <v/>
      </c>
      <c r="P224" s="1016">
        <f>(F224 - (G224+I224+O224+(J224+K224+L224))) - (H224-M224-N224)</f>
        <v/>
      </c>
      <c r="Q224" s="328">
        <f>P224/F224</f>
        <v/>
      </c>
      <c r="R224" s="904" t="inlineStr">
        <is>
          <t>Ativo</t>
        </is>
      </c>
      <c r="S224" s="651" t="n"/>
      <c r="T224" s="569" t="n"/>
      <c r="U224" s="1030" t="n"/>
      <c r="V224" s="1030" t="n"/>
      <c r="W224" s="1030" t="n"/>
    </row>
    <row r="225" ht="15.75" customHeight="1" s="1349">
      <c r="A225" s="1265" t="inlineStr">
        <is>
          <t>3956529572</t>
        </is>
      </c>
      <c r="B225" s="1263" t="inlineStr">
        <is>
          <t>PA1721</t>
        </is>
      </c>
      <c r="C225" s="1292" t="inlineStr">
        <is>
          <t>ÂNCORA</t>
        </is>
      </c>
      <c r="D225" s="194" t="inlineStr">
        <is>
          <t>Prego 17x21 Aço Galvanizado A Fogo Zincado Com Cabeça 100un</t>
        </is>
      </c>
      <c r="E225" s="654" t="n"/>
      <c r="F225" s="607" t="n">
        <v>21.89</v>
      </c>
      <c r="G225" s="447">
        <f>F225*11.5%</f>
        <v/>
      </c>
      <c r="H225" s="831" t="n">
        <v>-0.8100000000000001</v>
      </c>
      <c r="I225" s="904">
        <f>IFS(
F225&lt;12.5, F225/2,
F225&lt;29, 6.25,
F225&lt;50, 6.5,
F225&lt;=79, 6.75,
TRUE, 
25)</f>
        <v/>
      </c>
      <c r="J225" s="340">
        <f>F225*18%</f>
        <v/>
      </c>
      <c r="K225" s="340">
        <f>(F225-J225)*1.65%</f>
        <v/>
      </c>
      <c r="L225" s="340">
        <f>(F225-J225)*7.6%</f>
        <v/>
      </c>
      <c r="M225" s="1097" t="n">
        <v>0.82</v>
      </c>
      <c r="N225" s="785">
        <f>(G225+I225)*(9.25%)</f>
        <v/>
      </c>
      <c r="O225" s="708" t="n">
        <v>6.82</v>
      </c>
      <c r="P225" s="1016">
        <f>(F225 - (G225+I225+O225+(J225+K225+L225))) - (H225-M225-N225)</f>
        <v/>
      </c>
      <c r="Q225" s="328">
        <f>P225/F225</f>
        <v/>
      </c>
      <c r="R225" s="904" t="inlineStr">
        <is>
          <t>Ativo</t>
        </is>
      </c>
      <c r="S225" s="651" t="n"/>
      <c r="T225" s="569" t="n">
        <v>267</v>
      </c>
      <c r="U225" s="1030" t="n"/>
      <c r="V225" s="1030" t="n"/>
      <c r="W225" s="1030" t="n"/>
    </row>
    <row r="226" ht="15.75" customHeight="1" s="1349">
      <c r="A226" s="1265" t="inlineStr">
        <is>
          <t>3418283199</t>
        </is>
      </c>
      <c r="B226" s="1263" t="n">
        <v>10034034166409</v>
      </c>
      <c r="C226" s="1292" t="inlineStr">
        <is>
          <t>GERDAU</t>
        </is>
      </c>
      <c r="D226" s="566" t="inlineStr">
        <is>
          <t>Prego 18x27 Com Cabeça Dupla Aço Polido Resistente Saco 1kg</t>
        </is>
      </c>
      <c r="E226" s="654" t="n"/>
      <c r="F226" s="607" t="n">
        <v>29.99</v>
      </c>
      <c r="G226" s="447">
        <f>F226*11.5%</f>
        <v/>
      </c>
      <c r="H226" s="831" t="n">
        <v>-0.5</v>
      </c>
      <c r="I226" s="904" t="n">
        <v>6.85</v>
      </c>
      <c r="J226" s="340">
        <f>F226*18%</f>
        <v/>
      </c>
      <c r="K226" s="340">
        <f>(F226-J226)*1.65%</f>
        <v/>
      </c>
      <c r="L226" s="340">
        <f>(F226-J226)*7.6%</f>
        <v/>
      </c>
      <c r="M226" s="1097" t="n">
        <v>1.96</v>
      </c>
      <c r="N226" s="785">
        <f>(G226+I226)*(9.25%)</f>
        <v/>
      </c>
      <c r="O226" s="708" t="n">
        <v>10.37</v>
      </c>
      <c r="P226" s="1016">
        <f>(F226 - (G226+I226+O226+(J226+K226+L226))) - (H226-M226-N226)</f>
        <v/>
      </c>
      <c r="Q226" s="328">
        <f>P226/F226</f>
        <v/>
      </c>
      <c r="R226" s="904" t="inlineStr">
        <is>
          <t>Ativo</t>
        </is>
      </c>
      <c r="S226" s="651" t="n"/>
      <c r="T226" s="569" t="n"/>
      <c r="U226" s="1030" t="n"/>
      <c r="V226" s="1030" t="n"/>
      <c r="W226" s="1030" t="n"/>
    </row>
    <row r="227" ht="15.75" customHeight="1" s="1349">
      <c r="A227" s="1265" t="inlineStr">
        <is>
          <t>3562355525</t>
        </is>
      </c>
      <c r="B227" s="1263" t="n">
        <v>10034034166410</v>
      </c>
      <c r="C227" s="1292" t="inlineStr">
        <is>
          <t>EPI</t>
        </is>
      </c>
      <c r="D227" s="194" t="inlineStr">
        <is>
          <t>Prego Com Cabeça 18x27 Gerdau 1kg</t>
        </is>
      </c>
      <c r="E227" s="654" t="n"/>
      <c r="F227" s="607" t="n">
        <v>24.16</v>
      </c>
      <c r="G227" s="447">
        <f>F227*12%</f>
        <v/>
      </c>
      <c r="H227" s="831" t="n">
        <v>-1.44</v>
      </c>
      <c r="I227" s="904">
        <f>IFS(
  F227&lt;12.5, F227/2,
  F227&lt;29, 6.25,
  F227&lt;50, 6.5,
  F227&lt;=79, 6.75,
  TRUE, 25
)</f>
        <v/>
      </c>
      <c r="J227" s="340">
        <f>F227*18%</f>
        <v/>
      </c>
      <c r="K227" s="340">
        <f>(F227-J227)*1.65%</f>
        <v/>
      </c>
      <c r="L227" s="340">
        <f>(F227-J227)*7.6%</f>
        <v/>
      </c>
      <c r="M227" s="577" t="n"/>
      <c r="N227" s="543">
        <f>(G227+I227)*(9.25%)</f>
        <v/>
      </c>
      <c r="O227" s="1050" t="n">
        <v>9.06</v>
      </c>
      <c r="P227" s="1016">
        <f>(F227 - (G227+I227+O227+(J227+K227+L227))) - (H227-M227-N227)</f>
        <v/>
      </c>
      <c r="Q227" s="328">
        <f>P227/F227</f>
        <v/>
      </c>
      <c r="R227" s="904" t="inlineStr">
        <is>
          <t>Ativo</t>
        </is>
      </c>
      <c r="S227" s="651" t="n"/>
      <c r="T227" s="569" t="n"/>
      <c r="U227" s="1030" t="n"/>
      <c r="V227" s="1030" t="n"/>
      <c r="W227" s="1030" t="n"/>
    </row>
    <row r="228" ht="15.75" customHeight="1" s="1349">
      <c r="A228" s="1265" t="inlineStr">
        <is>
          <t>5413661492</t>
        </is>
      </c>
      <c r="B228" s="1263" t="n">
        <v>10034034166409</v>
      </c>
      <c r="C228" s="1292" t="inlineStr">
        <is>
          <t>GERDAU</t>
        </is>
      </c>
      <c r="D228" s="566" t="inlineStr">
        <is>
          <t>Prego Polido Com Cabeça 18x27 De 1kg - Gerdau</t>
        </is>
      </c>
      <c r="E228" s="492" t="n"/>
      <c r="F228" s="607" t="n">
        <v>27.65</v>
      </c>
      <c r="G228" s="447">
        <f>F228*11.5%</f>
        <v/>
      </c>
      <c r="H228" s="831" t="n">
        <v>-0.58</v>
      </c>
      <c r="I228" s="904" t="n">
        <v>6.85</v>
      </c>
      <c r="J228" s="450" t="n">
        <v>0</v>
      </c>
      <c r="K228" s="340">
        <f>(F228-J228)*1.65%</f>
        <v/>
      </c>
      <c r="L228" s="340">
        <f>(F228-J228)*7.6%</f>
        <v/>
      </c>
      <c r="M228" s="1097" t="n">
        <v>1.17</v>
      </c>
      <c r="N228" s="785">
        <f>(G228+I228)*(9.25%)</f>
        <v/>
      </c>
      <c r="O228" s="708" t="n">
        <v>13.5</v>
      </c>
      <c r="P228" s="1016">
        <f>(F228 - (G228+I228+O228+(J228+K228+L228))) - (H228-M228-N228)</f>
        <v/>
      </c>
      <c r="Q228" s="328">
        <f>P228/F228</f>
        <v/>
      </c>
      <c r="R228" s="904" t="inlineStr">
        <is>
          <t>Ativo</t>
        </is>
      </c>
      <c r="S228" s="651" t="n"/>
      <c r="T228" s="569" t="n">
        <v>474</v>
      </c>
      <c r="U228" s="1030" t="n"/>
      <c r="V228" s="1030" t="n"/>
      <c r="W228" s="1030" t="n"/>
    </row>
    <row r="229" ht="15.75" customHeight="1" s="1349">
      <c r="A229" s="732" t="inlineStr">
        <is>
          <t>5267540952</t>
        </is>
      </c>
      <c r="B229" s="733" t="n">
        <v>912301</v>
      </c>
      <c r="C229" s="1292" t="inlineStr">
        <is>
          <t>Nutriex</t>
        </is>
      </c>
      <c r="D229" s="566" t="inlineStr">
        <is>
          <t>Protetor / Bloqueador Solar 4 Litros Fps 60 Nutriex</t>
        </is>
      </c>
      <c r="E229" s="571" t="n"/>
      <c r="F229" s="607" t="n">
        <v>584.9</v>
      </c>
      <c r="G229" s="447">
        <f>F229*14%</f>
        <v/>
      </c>
      <c r="H229" s="831" t="n">
        <v>-35.09</v>
      </c>
      <c r="I229" s="492" t="n">
        <v>30.75</v>
      </c>
      <c r="J229" s="340">
        <f>F229*18%</f>
        <v/>
      </c>
      <c r="K229" s="450" t="n">
        <v>0</v>
      </c>
      <c r="L229" s="450" t="n">
        <v>0</v>
      </c>
      <c r="M229" s="1097" t="n">
        <v>50.4</v>
      </c>
      <c r="N229" s="785">
        <f>(G229+I229)*(9.25%)</f>
        <v/>
      </c>
      <c r="O229" s="708" t="n">
        <v>419.9</v>
      </c>
      <c r="P229" s="1016">
        <f>(F229 - (G229+I229+O229+(J229+K229+L229))) - (H229-M229-N229)</f>
        <v/>
      </c>
      <c r="Q229" s="328">
        <f>P229/F229</f>
        <v/>
      </c>
      <c r="R229" s="904" t="inlineStr">
        <is>
          <t>Ativo</t>
        </is>
      </c>
      <c r="S229" s="651" t="n"/>
      <c r="T229" s="569" t="n"/>
      <c r="U229" s="1030" t="n"/>
      <c r="V229" s="1030" t="n"/>
      <c r="W229" s="1030" t="n"/>
    </row>
    <row r="230" ht="15.75" customHeight="1" s="1349">
      <c r="A230" s="669" t="inlineStr">
        <is>
          <t>5267541552</t>
        </is>
      </c>
      <c r="B230" s="734" t="n">
        <v>912301</v>
      </c>
      <c r="C230" s="904" t="inlineStr">
        <is>
          <t>Nutriex</t>
        </is>
      </c>
      <c r="D230" s="491" t="inlineStr">
        <is>
          <t>Protetor Bloqueador Solar Fps 60 4 Litros Nutriex</t>
        </is>
      </c>
      <c r="E230" s="492" t="n"/>
      <c r="F230" s="607" t="n">
        <v>601.39</v>
      </c>
      <c r="G230" s="447">
        <f>F230*14%</f>
        <v/>
      </c>
      <c r="H230" s="831" t="n">
        <v>-120.27</v>
      </c>
      <c r="I230" s="492" t="n">
        <v>30.75</v>
      </c>
      <c r="J230" s="340">
        <f>F230*18%</f>
        <v/>
      </c>
      <c r="K230" s="450" t="n">
        <v>0</v>
      </c>
      <c r="L230" s="450" t="n">
        <v>0</v>
      </c>
      <c r="M230" s="1097" t="n">
        <v>50.4</v>
      </c>
      <c r="N230" s="785">
        <f>(G230+I230)*(9.25%)</f>
        <v/>
      </c>
      <c r="O230" s="708" t="n">
        <v>419.9</v>
      </c>
      <c r="P230" s="1016">
        <f>(F230 - (G230+I230+O230+(J230+K230+L230))) - (H230-M230-N230)</f>
        <v/>
      </c>
      <c r="Q230" s="328">
        <f>P230/F230</f>
        <v/>
      </c>
      <c r="R230" s="904" t="inlineStr">
        <is>
          <t>ALTO CUSTO</t>
        </is>
      </c>
      <c r="S230" s="651" t="n"/>
      <c r="T230" s="569" t="n"/>
      <c r="U230" s="1030" t="n"/>
      <c r="V230" s="1030" t="n"/>
      <c r="W230" s="1030" t="n"/>
    </row>
    <row r="231" ht="15.75" customHeight="1" s="1349">
      <c r="A231" s="711" t="inlineStr">
        <is>
          <t>3954487137</t>
        </is>
      </c>
      <c r="B231" s="470" t="n">
        <v>10034034167322</v>
      </c>
      <c r="C231" s="1292" t="inlineStr">
        <is>
          <t>Camper</t>
        </is>
      </c>
      <c r="D231" s="685" t="inlineStr">
        <is>
          <t>Protetor Abafador Ruído Construção Autismo Industria 22db</t>
        </is>
      </c>
      <c r="E231" s="685" t="n"/>
      <c r="F231" s="856" t="n">
        <v>51.31</v>
      </c>
      <c r="G231" s="447">
        <f>F231*12%</f>
        <v/>
      </c>
      <c r="H231" s="833" t="n">
        <v>-1.22</v>
      </c>
      <c r="I231" s="904" t="n">
        <v>8.15</v>
      </c>
      <c r="J231" s="340">
        <f>F231*18%</f>
        <v/>
      </c>
      <c r="K231" s="340">
        <f>(F231-J231)*1.65%</f>
        <v/>
      </c>
      <c r="L231" s="340">
        <f>(F231-J231)*7.6%</f>
        <v/>
      </c>
      <c r="M231" s="1097" t="n">
        <v>4.47</v>
      </c>
      <c r="N231" s="785">
        <f>(G231+I231)*(9.25%)</f>
        <v/>
      </c>
      <c r="O231" s="701" t="n">
        <v>24.36</v>
      </c>
      <c r="P231" s="1016">
        <f>(F231 - (G231+I231+O231+(J231+K231+L231))) - (H231-M231-N231)</f>
        <v/>
      </c>
      <c r="Q231" s="328">
        <f>P231/F231</f>
        <v/>
      </c>
      <c r="R231" s="904" t="inlineStr">
        <is>
          <t>Ativo</t>
        </is>
      </c>
      <c r="S231" s="651" t="n"/>
      <c r="T231" s="569" t="n">
        <v>107</v>
      </c>
      <c r="U231" s="1030" t="n"/>
      <c r="V231" s="1030" t="n"/>
      <c r="W231" s="1030" t="n"/>
    </row>
    <row r="232" ht="15.75" customHeight="1" s="1349">
      <c r="A232" s="489" t="inlineStr">
        <is>
          <t>3946901491</t>
        </is>
      </c>
      <c r="B232" s="1263" t="n">
        <v>10034034166495</v>
      </c>
      <c r="C232" s="1292" t="inlineStr">
        <is>
          <t>EPI</t>
        </is>
      </c>
      <c r="D232" s="566" t="inlineStr">
        <is>
          <t>Protetor Auditivo Auricular Acoplar P/ Capacete 17db C/ Ca</t>
        </is>
      </c>
      <c r="E232" s="654" t="n"/>
      <c r="F232" s="607" t="n">
        <v>76.62</v>
      </c>
      <c r="G232" s="447">
        <f>F232*12%</f>
        <v/>
      </c>
      <c r="H232" s="831" t="n">
        <v>-0.73</v>
      </c>
      <c r="I232" s="904">
        <f>IFS(
  F232&lt;12.5, F232/2,
  F232&lt;29, 6.25,
  F232&lt;50, 6.5,
  F232&lt;=79, 6.75,
  TRUE, 25
)</f>
        <v/>
      </c>
      <c r="J232" s="340">
        <f>F232*18%</f>
        <v/>
      </c>
      <c r="K232" s="340">
        <f>(F232-J232)*1.65%</f>
        <v/>
      </c>
      <c r="L232" s="340">
        <f>(F232-J232)*7.6%</f>
        <v/>
      </c>
      <c r="M232" s="1097" t="n">
        <v>8.92</v>
      </c>
      <c r="N232" s="785">
        <f>(G232+I232)*(9.25%)</f>
        <v/>
      </c>
      <c r="O232" s="708" t="n">
        <v>44.3</v>
      </c>
      <c r="P232" s="1016">
        <f>(F232 - (G232+I232+O232+(J232+K232+L232))) - (H232-M232-N232)</f>
        <v/>
      </c>
      <c r="Q232" s="328">
        <f>P232/F232</f>
        <v/>
      </c>
      <c r="R232" s="904" t="inlineStr">
        <is>
          <t>Ativo</t>
        </is>
      </c>
      <c r="S232" s="651" t="n"/>
      <c r="T232" s="569" t="n"/>
      <c r="U232" s="1030" t="n"/>
      <c r="V232" s="1030" t="n"/>
      <c r="W232" s="1030" t="n"/>
    </row>
    <row r="233" ht="15.75" customHeight="1" s="1349">
      <c r="A233" s="1265" t="inlineStr">
        <is>
          <t>3954487137</t>
        </is>
      </c>
      <c r="B233" s="1263" t="n">
        <v>10034034167322</v>
      </c>
      <c r="C233" s="1292" t="inlineStr">
        <is>
          <t>EPI</t>
        </is>
      </c>
      <c r="D233" s="194" t="inlineStr">
        <is>
          <t>Protetor Auricular Abafador De Ruído 22db Conforto Cor Cinza</t>
        </is>
      </c>
      <c r="E233" s="654" t="n"/>
      <c r="F233" s="607" t="n">
        <v>54.9</v>
      </c>
      <c r="G233" s="447">
        <f>F233*12%</f>
        <v/>
      </c>
      <c r="H233" s="748" t="n"/>
      <c r="I233" s="904">
        <f>IFS(
F233&lt;12.5, F233/2,
F233&lt;29, 6.25,
F233&lt;50, 6.5,
F233&lt;=79, 6.75,
TRUE, 
25)</f>
        <v/>
      </c>
      <c r="J233" s="340">
        <f>F233*18%</f>
        <v/>
      </c>
      <c r="K233" s="340">
        <f>(F233-J233)*1.65%</f>
        <v/>
      </c>
      <c r="L233" s="340">
        <f>(F233-J233)*7.6%</f>
        <v/>
      </c>
      <c r="M233" s="577" t="n"/>
      <c r="N233" s="543">
        <f>(G233+I233)*(9.25%)</f>
        <v/>
      </c>
      <c r="O233" s="1050" t="n">
        <v>25.04</v>
      </c>
      <c r="P233" s="1016">
        <f>(F233 - (G233+I233+O233+(J233+K233+L233))) - (H233-M233-N233)</f>
        <v/>
      </c>
      <c r="Q233" s="328">
        <f>P233/F233</f>
        <v/>
      </c>
      <c r="R233" s="904" t="inlineStr">
        <is>
          <t>Ativo</t>
        </is>
      </c>
      <c r="S233" s="651" t="n"/>
      <c r="T233" s="569" t="n"/>
      <c r="U233" s="1030" t="n"/>
      <c r="V233" s="1030" t="n"/>
      <c r="W233" s="1030" t="n"/>
    </row>
    <row r="234" ht="15.75" customHeight="1" s="1349">
      <c r="A234" s="489" t="inlineStr">
        <is>
          <t>3959944569</t>
        </is>
      </c>
      <c r="B234" s="713" t="n">
        <v>912300</v>
      </c>
      <c r="C234" s="1292" t="inlineStr">
        <is>
          <t>Nutriex</t>
        </is>
      </c>
      <c r="D234" s="491" t="inlineStr">
        <is>
          <t>Protetor Bloqueador Solar Nutriex Fps 60 2 Litros</t>
        </is>
      </c>
      <c r="E234" s="492" t="n"/>
      <c r="F234" s="607" t="n">
        <v>302.63</v>
      </c>
      <c r="G234" s="447">
        <f>F234*14%</f>
        <v/>
      </c>
      <c r="H234" s="831" t="n"/>
      <c r="I234" s="492" t="n">
        <v>26.25</v>
      </c>
      <c r="J234" s="340">
        <f>F234*18%</f>
        <v/>
      </c>
      <c r="K234" s="450" t="n">
        <v>0</v>
      </c>
      <c r="L234" s="450" t="n">
        <v>0</v>
      </c>
      <c r="M234" s="1097" t="n">
        <v>21.77</v>
      </c>
      <c r="N234" s="785">
        <f>(G234+I234)*(9.25%)</f>
        <v/>
      </c>
      <c r="O234" s="701" t="n">
        <v>181.39</v>
      </c>
      <c r="P234" s="1016">
        <f>(F234 - (G234+I234+O234+(J234+K234+L234))) - (H234-M234-N234)</f>
        <v/>
      </c>
      <c r="Q234" s="328">
        <f>P234/F234</f>
        <v/>
      </c>
      <c r="R234" s="904" t="inlineStr">
        <is>
          <t>Ativo</t>
        </is>
      </c>
      <c r="S234" s="904" t="inlineStr">
        <is>
          <t>(catalogo)</t>
        </is>
      </c>
      <c r="T234" s="569" t="n"/>
      <c r="U234" s="1030" t="n"/>
      <c r="V234" s="1030" t="n"/>
      <c r="W234" s="1030" t="n"/>
    </row>
    <row r="235" ht="15.75" customHeight="1" s="1349">
      <c r="A235" s="489" t="inlineStr">
        <is>
          <t>4097949149</t>
        </is>
      </c>
      <c r="B235" s="713" t="n">
        <v>10034034167105</v>
      </c>
      <c r="C235" s="1292" t="inlineStr">
        <is>
          <t>Camper</t>
        </is>
      </c>
      <c r="D235" s="194" t="inlineStr">
        <is>
          <t>Protetor Facial Suporte Articulado P/ Capacete Incolor C/ Ca</t>
        </is>
      </c>
      <c r="E235" s="654" t="n"/>
      <c r="F235" s="607" t="n">
        <v>69</v>
      </c>
      <c r="G235" s="447">
        <f>F235*12%</f>
        <v/>
      </c>
      <c r="H235" s="831" t="n">
        <v>-0.99</v>
      </c>
      <c r="I235" s="904" t="n">
        <v>8.550000000000001</v>
      </c>
      <c r="J235" s="340">
        <f>F235*18%</f>
        <v/>
      </c>
      <c r="K235" s="340">
        <f>(F235-J235)*1.65%</f>
        <v/>
      </c>
      <c r="L235" s="340">
        <f>(F235-J235)*7.6%</f>
        <v/>
      </c>
      <c r="M235" s="1097" t="n">
        <v>7.44</v>
      </c>
      <c r="N235" s="785">
        <f>(G235+I235)*(9.25%)</f>
        <v/>
      </c>
      <c r="O235" s="701" t="n">
        <v>36.96</v>
      </c>
      <c r="P235" s="1016">
        <f>(F235 - (G235+I235+O235+(J235+K235+L235))) - (H235-M235-N235)</f>
        <v/>
      </c>
      <c r="Q235" s="328">
        <f>P235/F235</f>
        <v/>
      </c>
      <c r="R235" s="904" t="inlineStr">
        <is>
          <t>Ativo</t>
        </is>
      </c>
      <c r="S235" s="651" t="n"/>
      <c r="T235" s="569" t="n"/>
      <c r="U235" s="1030" t="n"/>
      <c r="V235" s="1030" t="n"/>
      <c r="W235" s="1030" t="n"/>
    </row>
    <row r="236" ht="15.75" customHeight="1" s="1349">
      <c r="A236" s="1265" t="inlineStr">
        <is>
          <t>3833122081 4999864730</t>
        </is>
      </c>
      <c r="B236" s="1263" t="n">
        <v>912305</v>
      </c>
      <c r="C236" s="1292" t="inlineStr">
        <is>
          <t>EPI</t>
        </is>
      </c>
      <c r="D236" s="566" t="inlineStr">
        <is>
          <t>Protetor Solar Fps 60 Com Repelente 2 Litros Bombona Nutriex</t>
        </is>
      </c>
      <c r="E236" s="492" t="n"/>
      <c r="F236" s="607" t="n">
        <v>400</v>
      </c>
      <c r="G236" s="447">
        <f>F236*14%</f>
        <v/>
      </c>
      <c r="H236" s="831" t="n"/>
      <c r="I236" s="492" t="n">
        <v>23.45</v>
      </c>
      <c r="J236" s="340">
        <f>F236*18%</f>
        <v/>
      </c>
      <c r="K236" s="340">
        <f>(F236-J236)*1.65%</f>
        <v/>
      </c>
      <c r="L236" s="340">
        <f>(F236-J236)*7.6%</f>
        <v/>
      </c>
      <c r="M236" s="577" t="n"/>
      <c r="N236" s="543">
        <f>(G236+I236)*(9.25%)</f>
        <v/>
      </c>
      <c r="O236" s="904" t="n">
        <v>201.84</v>
      </c>
      <c r="P236" s="1016">
        <f>(F236 - (G236+I236+O236+(J236+K236+L236))) - (H236-M236-N236)</f>
        <v/>
      </c>
      <c r="Q236" s="328">
        <f>P236/F236</f>
        <v/>
      </c>
      <c r="R236" s="904" t="inlineStr">
        <is>
          <t>sem estoque</t>
        </is>
      </c>
      <c r="S236" s="904" t="n"/>
      <c r="T236" s="569" t="n"/>
      <c r="U236" s="1030" t="n"/>
      <c r="V236" s="1030" t="n"/>
      <c r="W236" s="1030" t="n"/>
    </row>
    <row r="237" ht="15.75" customHeight="1" s="1349">
      <c r="A237" s="711" t="inlineStr">
        <is>
          <t>5665202652</t>
        </is>
      </c>
      <c r="B237" s="470" t="n">
        <v>10034034167556</v>
      </c>
      <c r="C237" s="1292" t="inlineStr">
        <is>
          <t>Nutriex</t>
        </is>
      </c>
      <c r="D237" s="721" t="inlineStr">
        <is>
          <t>Protetor Solar Fps 60 Kids Minions Infantil Diversão 120ml</t>
        </is>
      </c>
      <c r="E237" s="778" t="n"/>
      <c r="F237" s="856" t="n">
        <v>35.41</v>
      </c>
      <c r="G237" s="447">
        <f>F237*14%</f>
        <v/>
      </c>
      <c r="H237" s="833" t="n">
        <v>-0.95</v>
      </c>
      <c r="I237" s="904">
        <f>IFS(
  F237&lt;12.5, F237/2,
  F237&lt;29, 6.25,
  F237&lt;50, 6.5,
  F237&lt;=79, 6.75,
  TRUE, 25
)</f>
        <v/>
      </c>
      <c r="J237" s="340">
        <f>F237*18%</f>
        <v/>
      </c>
      <c r="K237" s="450" t="n">
        <v>0</v>
      </c>
      <c r="L237" s="450" t="n">
        <v>0</v>
      </c>
      <c r="M237" s="1097" t="n">
        <v>2.04</v>
      </c>
      <c r="N237" s="785">
        <f>(G237+I237)*(9.25%)</f>
        <v/>
      </c>
      <c r="O237" s="701" t="n">
        <v>16.99</v>
      </c>
      <c r="P237" s="1016">
        <f>(F237 - (G237+I237+O237+(J237+K237+L237))) - (H237-M237-N237)</f>
        <v/>
      </c>
      <c r="Q237" s="328">
        <f>P237/F237</f>
        <v/>
      </c>
      <c r="R237" s="904" t="inlineStr">
        <is>
          <t>Ativo</t>
        </is>
      </c>
      <c r="S237" s="651" t="n"/>
      <c r="T237" s="569" t="n"/>
      <c r="U237" s="1030" t="n"/>
      <c r="V237" s="1030" t="n"/>
      <c r="W237" s="1030" t="n"/>
    </row>
    <row r="238" ht="15.75" customHeight="1" s="1349">
      <c r="A238" s="494" t="inlineStr">
        <is>
          <t>5670002712</t>
        </is>
      </c>
      <c r="B238" s="495" t="n">
        <v>10034034167562</v>
      </c>
      <c r="C238" s="1292" t="inlineStr">
        <is>
          <t>Nutriex</t>
        </is>
      </c>
      <c r="D238" s="736">
        <f>hyperlink("https://produto.mercadolivre.com.br/MLB-5670002712-protetor-solar-fps-60-lilo-stitch-infantil-kid-100ml-nutriex-_JM","Protetor Solar Fps 60 Lilo Stitch Infantil Kid 100ml Nutriex")</f>
        <v/>
      </c>
      <c r="E238" s="778" t="n"/>
      <c r="F238" s="856" t="n">
        <v>36</v>
      </c>
      <c r="G238" s="447">
        <f>F238*14%</f>
        <v/>
      </c>
      <c r="H238" s="833" t="n">
        <v>-0.9</v>
      </c>
      <c r="I238" s="904" t="n">
        <v>6.55</v>
      </c>
      <c r="J238" s="340">
        <f>F238*18%</f>
        <v/>
      </c>
      <c r="K238" s="450" t="n">
        <v>0</v>
      </c>
      <c r="L238" s="450" t="n">
        <v>0</v>
      </c>
      <c r="M238" s="1097" t="n">
        <v>2.22</v>
      </c>
      <c r="N238" s="785">
        <f>(G238+I238)*(9.25%)</f>
        <v/>
      </c>
      <c r="O238" s="701" t="n">
        <v>18.51</v>
      </c>
      <c r="P238" s="1016">
        <f>(F238 - (G238+I238+O238+(J238+K238+L238))) - (H238-M238-N238)</f>
        <v/>
      </c>
      <c r="Q238" s="328">
        <f>P238/F238</f>
        <v/>
      </c>
      <c r="R238" s="904" t="inlineStr">
        <is>
          <t>Ativo</t>
        </is>
      </c>
      <c r="S238" s="651" t="n"/>
      <c r="T238" s="569" t="n">
        <v>10</v>
      </c>
      <c r="U238" s="1030" t="n"/>
      <c r="V238" s="1030" t="n"/>
      <c r="W238" s="1030" t="n"/>
    </row>
    <row r="239" ht="22.5" customHeight="1" s="1349">
      <c r="A239" s="711" t="inlineStr">
        <is>
          <t>5665273624</t>
        </is>
      </c>
      <c r="B239" s="470" t="n">
        <v>10034034167555</v>
      </c>
      <c r="C239" s="1292" t="inlineStr">
        <is>
          <t>Nutriex</t>
        </is>
      </c>
      <c r="D239" s="625">
        <f>HYPERLINK("https://produto.mercadolivre.com.br/MLB-5665273624-protetor-solar-kids-fps-30-minions-120ml-nutriex-infanil-_JM","Protetor Solar Kids Fps 30 Minions 120ml Nutriex Infanil")</f>
        <v/>
      </c>
      <c r="E239" s="685" t="n"/>
      <c r="F239" s="856" t="n">
        <v>29.9</v>
      </c>
      <c r="G239" s="447">
        <f>F239*14%</f>
        <v/>
      </c>
      <c r="H239" s="833" t="n">
        <v>-0.51</v>
      </c>
      <c r="I239" s="904">
        <f>IFS(
  F239&lt;12.5, F239/2,
  F239&lt;29, 6.25,
  F239&lt;50, 6.5,
  F239&lt;=79, 6.75,
  TRUE, 25
)</f>
        <v/>
      </c>
      <c r="J239" s="340">
        <f>F239*18%</f>
        <v/>
      </c>
      <c r="K239" s="450" t="n">
        <v>0</v>
      </c>
      <c r="L239" s="450" t="n">
        <v>0</v>
      </c>
      <c r="M239" s="1097" t="n">
        <v>1.32</v>
      </c>
      <c r="N239" s="785">
        <f>(G239+I239)*(9.25%)</f>
        <v/>
      </c>
      <c r="O239" s="701" t="n">
        <v>10.99</v>
      </c>
      <c r="P239" s="1016">
        <f>(F239 - (G239+I239+O239+(J239+K239+L239))) - (H239-M239-N239)</f>
        <v/>
      </c>
      <c r="Q239" s="328">
        <f>P239/F239</f>
        <v/>
      </c>
      <c r="R239" s="904" t="inlineStr">
        <is>
          <t>Ativo</t>
        </is>
      </c>
      <c r="S239" s="651" t="n"/>
      <c r="T239" s="569" t="n"/>
      <c r="U239" s="1030" t="n"/>
      <c r="V239" s="1030" t="n"/>
      <c r="W239" s="1030" t="n"/>
    </row>
    <row r="240" ht="22.5" customHeight="1" s="1349">
      <c r="A240" s="489" t="inlineStr">
        <is>
          <t>5518926176</t>
        </is>
      </c>
      <c r="B240" s="713" t="n">
        <v>10034034166943</v>
      </c>
      <c r="C240" s="1292" t="inlineStr">
        <is>
          <t>Nutriex</t>
        </is>
      </c>
      <c r="D240" s="194" t="inlineStr">
        <is>
          <t>Protetor Solar Nutriex Fps 60 C/ Repelente Hipoalergênico 1l</t>
        </is>
      </c>
      <c r="E240" s="654" t="n"/>
      <c r="F240" s="607" t="n">
        <v>209.48</v>
      </c>
      <c r="G240" s="447">
        <f>F240*14%</f>
        <v/>
      </c>
      <c r="H240" s="831" t="n">
        <v>-6.48</v>
      </c>
      <c r="I240" s="492" t="n">
        <v>23.45</v>
      </c>
      <c r="J240" s="340">
        <f>F240*18%</f>
        <v/>
      </c>
      <c r="K240" s="450" t="n">
        <v>0</v>
      </c>
      <c r="L240" s="450" t="n">
        <v>0</v>
      </c>
      <c r="M240" s="1097" t="n">
        <v>15.08</v>
      </c>
      <c r="N240" s="785">
        <f>(G240+I240)*(9.25%)</f>
        <v/>
      </c>
      <c r="O240" s="701" t="n">
        <v>125.7</v>
      </c>
      <c r="P240" s="1016">
        <f>(F240 - (G240+I240+O240+(J240+K240+L240))) - (H240-M240-N240)</f>
        <v/>
      </c>
      <c r="Q240" s="328">
        <f>P240/F240</f>
        <v/>
      </c>
      <c r="R240" s="904" t="inlineStr">
        <is>
          <t>Ativo</t>
        </is>
      </c>
      <c r="S240" s="904" t="inlineStr">
        <is>
          <t>desconto travado</t>
        </is>
      </c>
      <c r="T240" s="569" t="n"/>
      <c r="U240" s="1030" t="n"/>
      <c r="V240" s="1030" t="n"/>
      <c r="W240" s="1030" t="n"/>
    </row>
    <row r="241" ht="15.75" customHeight="1" s="1349">
      <c r="A241" s="489" t="inlineStr">
        <is>
          <t>4093016637</t>
        </is>
      </c>
      <c r="B241" s="713" t="n">
        <v>10034034167318</v>
      </c>
      <c r="C241" s="1292" t="inlineStr">
        <is>
          <t>Nutriex</t>
        </is>
      </c>
      <c r="D241" s="566" t="inlineStr">
        <is>
          <t>Protetor Solar Nutriex Profissional Fps 30 1/3 Oil Free 120g</t>
        </is>
      </c>
      <c r="E241" s="654" t="n"/>
      <c r="F241" s="607" t="n">
        <v>23.99</v>
      </c>
      <c r="G241" s="447">
        <f>F241*14%</f>
        <v/>
      </c>
      <c r="H241" s="831" t="n">
        <v>-1.63</v>
      </c>
      <c r="I241" s="904">
        <f>IFS(
  F241&lt;12.5, F241/2,
  F241&lt;29, 6.25,
  F241&lt;50, 6.5,
  F241&lt;=79, 6.75,
  TRUE, 25
)</f>
        <v/>
      </c>
      <c r="J241" s="340">
        <f>F241*18%</f>
        <v/>
      </c>
      <c r="K241" s="450" t="n">
        <v>0</v>
      </c>
      <c r="L241" s="450" t="n">
        <v>0</v>
      </c>
      <c r="M241" s="1097" t="n">
        <v>1.08</v>
      </c>
      <c r="N241" s="785">
        <f>(G241+I241)*(9.25%)</f>
        <v/>
      </c>
      <c r="O241" s="708" t="n">
        <v>8.99</v>
      </c>
      <c r="P241" s="1016">
        <f>(F241 - (G241+I241+O241+(J241+K241+L241))) - (H241-M241-N241)</f>
        <v/>
      </c>
      <c r="Q241" s="328">
        <f>P241/F241</f>
        <v/>
      </c>
      <c r="R241" s="904" t="inlineStr">
        <is>
          <t>Ativo</t>
        </is>
      </c>
      <c r="S241" s="651" t="n"/>
      <c r="T241" s="569" t="n">
        <v>0</v>
      </c>
      <c r="U241" s="1030" t="n"/>
      <c r="V241" s="1030" t="n"/>
      <c r="W241" s="1030" t="n"/>
    </row>
    <row r="242" ht="15.75" customHeight="1" s="1349">
      <c r="A242" s="489" t="inlineStr">
        <is>
          <t>3705831110</t>
        </is>
      </c>
      <c r="B242" s="737" t="n">
        <v>70031094</v>
      </c>
      <c r="C242" s="1292" t="inlineStr">
        <is>
          <t>Carbografite</t>
        </is>
      </c>
      <c r="D242" s="566" t="inlineStr">
        <is>
          <t>Refil Filtro Químico Vo/ga P/ Respiradores Plastcor Classe 1</t>
        </is>
      </c>
      <c r="E242" s="654" t="n"/>
      <c r="F242" s="607" t="n">
        <v>23.76</v>
      </c>
      <c r="G242" s="447">
        <f>F242*12%</f>
        <v/>
      </c>
      <c r="H242" s="831" t="n">
        <v>-0.82</v>
      </c>
      <c r="I242" s="904" t="n">
        <v>6.55</v>
      </c>
      <c r="J242" s="340">
        <f>F242*18%</f>
        <v/>
      </c>
      <c r="K242" s="340">
        <f>(F242-J242)*1.65%</f>
        <v/>
      </c>
      <c r="L242" s="340">
        <f>(F242-J242)*7.6%</f>
        <v/>
      </c>
      <c r="M242" s="1097" t="n">
        <v>2.63</v>
      </c>
      <c r="N242" s="785">
        <f>(G242+I242)*(9.25%)</f>
        <v/>
      </c>
      <c r="O242" s="197" t="n">
        <v>10.29</v>
      </c>
      <c r="P242" s="1016">
        <f>(F242 - (G242+I242+O242+(J242+K242+L242))) - (H242-M242-N242)</f>
        <v/>
      </c>
      <c r="Q242" s="328">
        <f>P242/F242</f>
        <v/>
      </c>
      <c r="R242" s="904" t="inlineStr">
        <is>
          <t>Ativo</t>
        </is>
      </c>
      <c r="S242" s="651" t="n"/>
      <c r="T242" s="569" t="n"/>
      <c r="U242" s="1030" t="n"/>
      <c r="V242" s="1030" t="n"/>
      <c r="W242" s="1030" t="n"/>
    </row>
    <row r="243" ht="15.75" customHeight="1" s="1349">
      <c r="A243" s="489" t="inlineStr">
        <is>
          <t>4072962309</t>
        </is>
      </c>
      <c r="B243" s="713" t="n">
        <v>10034034166511</v>
      </c>
      <c r="C243" s="1292" t="inlineStr">
        <is>
          <t>EPI</t>
        </is>
      </c>
      <c r="D243" s="194" t="inlineStr">
        <is>
          <t>Refil Pad Recorte Acabamento Alinhamento Em Pinturas Atlas</t>
        </is>
      </c>
      <c r="E243" s="654" t="n"/>
      <c r="F243" s="607" t="n">
        <v>30.52</v>
      </c>
      <c r="G243" s="447">
        <f>F243*12%</f>
        <v/>
      </c>
      <c r="H243" s="831" t="n"/>
      <c r="I243" s="904">
        <f>IFS(
  F243&lt;12.5, F243/2,
  F243&lt;29, 6.25,
  F243&lt;50, 6.5,
  F243&lt;=79, 6.75,
  TRUE, 25
)</f>
        <v/>
      </c>
      <c r="J243" s="340">
        <f>F243*18%</f>
        <v/>
      </c>
      <c r="K243" s="340">
        <f>(F243-J243)*1.65%</f>
        <v/>
      </c>
      <c r="L243" s="340">
        <f>(F243-J243)*7.6%</f>
        <v/>
      </c>
      <c r="M243" s="577" t="n"/>
      <c r="N243" s="543">
        <f>(G243+I243)*(9.25%)</f>
        <v/>
      </c>
      <c r="O243" s="1050" t="n">
        <v>10.04</v>
      </c>
      <c r="P243" s="1016">
        <f>(F243 - (G243+I243+O243+(J243+K243+L243))) - (H243-M243-N243)</f>
        <v/>
      </c>
      <c r="Q243" s="328">
        <f>P243/F243</f>
        <v/>
      </c>
      <c r="R243" s="904" t="inlineStr">
        <is>
          <t>Ativo</t>
        </is>
      </c>
      <c r="S243" s="651" t="n"/>
      <c r="T243" s="569" t="n"/>
      <c r="U243" s="1030" t="n"/>
      <c r="V243" s="1030" t="n"/>
      <c r="W243" s="1030" t="n"/>
    </row>
    <row r="244" ht="15.75" customHeight="1" s="1349">
      <c r="A244" s="1265" t="inlineStr">
        <is>
          <t>4024910515</t>
        </is>
      </c>
      <c r="B244" s="1263" t="n">
        <v>10034034166917</v>
      </c>
      <c r="C244" s="1292" t="inlineStr">
        <is>
          <t>Avant</t>
        </is>
      </c>
      <c r="D244" s="194" t="inlineStr">
        <is>
          <t>Refletor Prova Dagua Led Slim 100w 7500 Lumens Bivolt Avant</t>
        </is>
      </c>
      <c r="E244" s="654" t="n"/>
      <c r="F244" s="607" t="n">
        <v>59.9</v>
      </c>
      <c r="G244" s="447">
        <f>F244*12%</f>
        <v/>
      </c>
      <c r="H244" s="831" t="n">
        <v>-1.9</v>
      </c>
      <c r="I244" s="904" t="n">
        <v>7.95</v>
      </c>
      <c r="J244" s="340">
        <f>F244*18%</f>
        <v/>
      </c>
      <c r="K244" s="340">
        <f>(F244-J244)*1.65%</f>
        <v/>
      </c>
      <c r="L244" s="340">
        <f>(F244-J244)*7.6%</f>
        <v/>
      </c>
      <c r="M244" s="1097" t="n">
        <v>3.47</v>
      </c>
      <c r="N244" s="785">
        <f>(G244+I244)*(9.25%)</f>
        <v/>
      </c>
      <c r="O244" s="701" t="n">
        <v>29.58</v>
      </c>
      <c r="P244" s="1016">
        <f>(F244 - (G244+I244+O244+(J244+K244+L244))) - (H244-M244-N244)</f>
        <v/>
      </c>
      <c r="Q244" s="328">
        <f>P244/F244</f>
        <v/>
      </c>
      <c r="R244" s="904" t="inlineStr">
        <is>
          <t>Ativo</t>
        </is>
      </c>
      <c r="S244" s="651" t="n"/>
      <c r="T244" s="569" t="n"/>
      <c r="U244" s="1030" t="n"/>
      <c r="V244" s="1030" t="n"/>
      <c r="W244" s="1030" t="n"/>
    </row>
    <row r="245" ht="15.75" customHeight="1" s="1349">
      <c r="A245" s="1265" t="inlineStr">
        <is>
          <t>3705409586</t>
        </is>
      </c>
      <c r="B245" s="737" t="n">
        <v>70031099</v>
      </c>
      <c r="C245" s="1292" t="inlineStr">
        <is>
          <t>Plastcor</t>
        </is>
      </c>
      <c r="D245" s="491" t="inlineStr">
        <is>
          <t>Respirador 1/4 Semifacial + Filtro Vo/ga Plastcor Ca39428</t>
        </is>
      </c>
      <c r="E245" s="492" t="n"/>
      <c r="F245" s="607" t="n">
        <v>29.67</v>
      </c>
      <c r="G245" s="447">
        <f>F245*12%</f>
        <v/>
      </c>
      <c r="H245" s="831" t="n">
        <v>-0.63</v>
      </c>
      <c r="I245" s="904" t="n">
        <v>6.65</v>
      </c>
      <c r="J245" s="340">
        <f>F245*18%</f>
        <v/>
      </c>
      <c r="K245" s="340">
        <f>(F245-J245)*1.65%</f>
        <v/>
      </c>
      <c r="L245" s="340">
        <f>(F245-J245)*7.6%</f>
        <v/>
      </c>
      <c r="M245" s="1097" t="n">
        <v>3.37</v>
      </c>
      <c r="N245" s="785">
        <f>(G245+I245)*(9.25%)</f>
        <v/>
      </c>
      <c r="O245" s="197" t="n">
        <v>13.18</v>
      </c>
      <c r="P245" s="1016">
        <f>(F245 - (G245+I245+O245+(J245+K245+L245))) - (H245-M245-N245)</f>
        <v/>
      </c>
      <c r="Q245" s="328">
        <f>P245/F245</f>
        <v/>
      </c>
      <c r="R245" s="904" t="inlineStr">
        <is>
          <t>Ativo</t>
        </is>
      </c>
      <c r="S245" s="651" t="n"/>
      <c r="T245" s="569" t="n">
        <v>177</v>
      </c>
      <c r="U245" s="1030" t="n"/>
      <c r="V245" s="1030" t="n"/>
      <c r="W245" s="1030" t="n"/>
    </row>
    <row r="246" ht="15.75" customHeight="1" s="1349">
      <c r="A246" s="489" t="inlineStr">
        <is>
          <t>3944664203</t>
        </is>
      </c>
      <c r="B246" s="713" t="n">
        <v>10034034167466</v>
      </c>
      <c r="C246" s="1292" t="inlineStr">
        <is>
          <t>Outros</t>
        </is>
      </c>
      <c r="D246" s="194" t="inlineStr">
        <is>
          <t>Roda Pneu Carrinho De Mão Maciço Reforçada 3.25 X 8 X 3/4</t>
        </is>
      </c>
      <c r="E246" s="654" t="n"/>
      <c r="F246" s="607" t="n">
        <v>75.7</v>
      </c>
      <c r="G246" s="447">
        <f>F246*11.5%</f>
        <v/>
      </c>
      <c r="H246" s="831" t="n">
        <v>-1.97</v>
      </c>
      <c r="I246" s="904">
        <f>IFS(
  F246&lt;12.5, F246/2,
  F246&lt;29, 6.25,
  F246&lt;50, 6.5,
  F246&lt;=79, 6.75,
  TRUE, 25
)</f>
        <v/>
      </c>
      <c r="J246" s="340">
        <f>F246*18%</f>
        <v/>
      </c>
      <c r="K246" s="340">
        <f>(F246-J246)*1.65%</f>
        <v/>
      </c>
      <c r="L246" s="340">
        <f>(F246-J246)*7.6%</f>
        <v/>
      </c>
      <c r="M246" s="1097" t="n">
        <v>11.96</v>
      </c>
      <c r="N246" s="785">
        <f>(G246+I246)*(9.25%)</f>
        <v/>
      </c>
      <c r="O246" s="708" t="n">
        <v>46.73</v>
      </c>
      <c r="P246" s="1016">
        <f>(F246 - (G246+I246+O246+(J246+K246+L246))) - (H246-M246-N246)</f>
        <v/>
      </c>
      <c r="Q246" s="328">
        <f>P246/F246</f>
        <v/>
      </c>
      <c r="R246" s="904" t="inlineStr">
        <is>
          <t>Ativo</t>
        </is>
      </c>
      <c r="S246" s="651" t="n"/>
      <c r="T246" s="569" t="n"/>
      <c r="U246" s="1030" t="n"/>
      <c r="V246" s="1030" t="n"/>
      <c r="W246" s="1030" t="n"/>
    </row>
    <row r="247" ht="15.75" customHeight="1" s="1349">
      <c r="A247" s="489" t="inlineStr">
        <is>
          <t>5353884254</t>
        </is>
      </c>
      <c r="B247" s="713" t="n">
        <v>10034034167454</v>
      </c>
      <c r="C247" s="904" t="inlineStr">
        <is>
          <t>Norton</t>
        </is>
      </c>
      <c r="D247" s="491" t="inlineStr">
        <is>
          <t>Disco Corte Diamantado 110mm Turbo Norton Marmoraria Granito</t>
        </is>
      </c>
      <c r="E247" s="492" t="n"/>
      <c r="F247" s="607" t="n">
        <v>41.32</v>
      </c>
      <c r="G247" s="447">
        <f>F247*17%</f>
        <v/>
      </c>
      <c r="H247" s="831" t="n">
        <v>-2.47</v>
      </c>
      <c r="I247" s="904" t="n">
        <v>6.75</v>
      </c>
      <c r="J247" s="340">
        <f>F247*18%</f>
        <v/>
      </c>
      <c r="K247" s="340">
        <f>(F247-J247)*1.65%</f>
        <v/>
      </c>
      <c r="L247" s="340">
        <f>(F247-J247)*7.6%</f>
        <v/>
      </c>
      <c r="M247" s="1097" t="n">
        <v>4.11</v>
      </c>
      <c r="N247" s="785">
        <f>(G247+I247)*(9.25%)</f>
        <v/>
      </c>
      <c r="O247" s="703" t="n">
        <v>20.4</v>
      </c>
      <c r="P247" s="1016">
        <f>(F247 - (G247+I247+O247+(J247+K247+L247))) - (H247-M247-N247)</f>
        <v/>
      </c>
      <c r="Q247" s="328">
        <f>P247/F247</f>
        <v/>
      </c>
      <c r="R247" s="904" t="inlineStr">
        <is>
          <t>Ativo</t>
        </is>
      </c>
      <c r="S247" s="651" t="n"/>
      <c r="T247" s="569" t="n"/>
      <c r="U247" s="1030" t="n"/>
      <c r="V247" s="1030" t="n"/>
      <c r="W247" s="1030" t="n"/>
    </row>
    <row r="248" ht="15.75" customHeight="1" s="1349">
      <c r="A248" s="1265" t="inlineStr">
        <is>
          <t>147024469902673</t>
        </is>
      </c>
      <c r="B248" s="1263" t="n">
        <v>10034034166596</v>
      </c>
      <c r="C248" s="1292" t="inlineStr">
        <is>
          <t>MARLUVAS</t>
        </is>
      </c>
      <c r="D248" s="194" t="inlineStr">
        <is>
          <t>Sapato Botina Trabalho Epi Segurança Bico Pvc Ocupacional Ca</t>
        </is>
      </c>
      <c r="E248" s="654" t="n"/>
      <c r="F248" s="607" t="n">
        <v>86.31999999999999</v>
      </c>
      <c r="G248" s="447">
        <f>F248*12%</f>
        <v/>
      </c>
      <c r="H248" s="831" t="n">
        <v>-2.67</v>
      </c>
      <c r="I248" s="904" t="n">
        <v>14.45</v>
      </c>
      <c r="J248" s="340">
        <f>F248*18%</f>
        <v/>
      </c>
      <c r="K248" s="340">
        <f>(F248-J248)*1.65%</f>
        <v/>
      </c>
      <c r="L248" s="340">
        <f>(F248-J248)*7.6%</f>
        <v/>
      </c>
      <c r="M248" s="1097" t="n">
        <v>9.41</v>
      </c>
      <c r="N248" s="785">
        <f>(G248+I248)*(9.25%)</f>
        <v/>
      </c>
      <c r="O248" s="708" t="n">
        <v>46.74</v>
      </c>
      <c r="P248" s="1016">
        <f>(F248 - (G248+I248+O248+(J248+K248+L248))) - (H248-M248-N248)</f>
        <v/>
      </c>
      <c r="Q248" s="328">
        <f>P248/F248</f>
        <v/>
      </c>
      <c r="R248" s="904" t="inlineStr">
        <is>
          <t>Ativo</t>
        </is>
      </c>
      <c r="S248" s="904" t="inlineStr">
        <is>
          <t>tennis marluvas</t>
        </is>
      </c>
      <c r="T248" s="569" t="n">
        <v>58</v>
      </c>
      <c r="U248" s="1030" t="n"/>
      <c r="V248" s="1030" t="n"/>
      <c r="W248" s="1030" t="n"/>
    </row>
    <row r="249" ht="15.75" customHeight="1" s="1349">
      <c r="A249" s="1265" t="n"/>
      <c r="B249" s="1263" t="n"/>
      <c r="C249" s="904" t="inlineStr">
        <is>
          <t>MARLUVAS</t>
        </is>
      </c>
      <c r="D249" s="712" t="inlineStr">
        <is>
          <t>43 PR 44 PR</t>
        </is>
      </c>
      <c r="E249" s="654" t="n"/>
      <c r="F249" s="607" t="n">
        <v>73.23</v>
      </c>
      <c r="G249" s="447">
        <f>F249*12%</f>
        <v/>
      </c>
      <c r="H249" s="831" t="n">
        <v>-2.65</v>
      </c>
      <c r="I249" s="904" t="n">
        <v>14.45</v>
      </c>
      <c r="J249" s="340">
        <f>F249*18%</f>
        <v/>
      </c>
      <c r="K249" s="340">
        <f>(F249-J249)*1.65%</f>
        <v/>
      </c>
      <c r="L249" s="340">
        <f>(F249-J249)*7.6%</f>
        <v/>
      </c>
      <c r="M249" s="1097" t="n">
        <v>9.41</v>
      </c>
      <c r="N249" s="785">
        <f>(G249+I249)*(9.25%)</f>
        <v/>
      </c>
      <c r="O249" s="708" t="n">
        <v>46.74</v>
      </c>
      <c r="P249" s="1016">
        <f>(F249 - (G249+I249+O249+(J249+K249+L249))) - (H249-M249-N249)</f>
        <v/>
      </c>
      <c r="Q249" s="328">
        <f>P249/F249</f>
        <v/>
      </c>
      <c r="R249" s="904" t="inlineStr">
        <is>
          <t>Ativo</t>
        </is>
      </c>
      <c r="S249" s="904" t="n"/>
      <c r="T249" s="569" t="n"/>
      <c r="U249" s="1030" t="n"/>
      <c r="V249" s="1030" t="n"/>
      <c r="W249" s="1030" t="n"/>
    </row>
    <row r="250" ht="15.75" customHeight="1" s="1349">
      <c r="A250" s="489" t="inlineStr">
        <is>
          <t>4027201429</t>
        </is>
      </c>
      <c r="B250" s="713" t="n">
        <v>10034034166824</v>
      </c>
      <c r="C250" s="1292" t="inlineStr">
        <is>
          <t>EPI</t>
        </is>
      </c>
      <c r="D250" s="194" t="inlineStr">
        <is>
          <t>Selante Adesivo Fix All High Tack 420g Fixa Tudo Até 320kg</t>
        </is>
      </c>
      <c r="E250" s="654" t="n"/>
      <c r="F250" s="607" t="n">
        <v>75.04000000000001</v>
      </c>
      <c r="G250" s="447">
        <f>F250*12%</f>
        <v/>
      </c>
      <c r="H250" s="831" t="n"/>
      <c r="I250" s="904">
        <f>IFS(
  F250&lt;12.5, F250/2,
  F250&lt;29, 6.25,
  F250&lt;50, 6.5,
  F250&lt;=79, 6.75,
  TRUE, 25
)</f>
        <v/>
      </c>
      <c r="J250" s="340">
        <f>F250*18%</f>
        <v/>
      </c>
      <c r="K250" s="340">
        <f>(F250-J250)*1.65%</f>
        <v/>
      </c>
      <c r="L250" s="340">
        <f>(F250-J250)*7.6%</f>
        <v/>
      </c>
      <c r="M250" s="577" t="n"/>
      <c r="N250" s="543">
        <f>(G250+I250)*(9.25%)</f>
        <v/>
      </c>
      <c r="O250" s="1050" t="n">
        <v>34.74</v>
      </c>
      <c r="P250" s="1016">
        <f>(F250 - (G250+I250+O250+(J250+K250+L250))) - (H250-M250-N250)</f>
        <v/>
      </c>
      <c r="Q250" s="328">
        <f>P250/F250</f>
        <v/>
      </c>
      <c r="R250" s="904" t="inlineStr">
        <is>
          <t>sem estoque</t>
        </is>
      </c>
      <c r="S250" s="651" t="n"/>
      <c r="T250" s="569" t="n"/>
      <c r="U250" s="1030" t="n"/>
      <c r="V250" s="1030" t="n"/>
      <c r="W250" s="1030" t="n"/>
    </row>
    <row r="251" ht="15.75" customHeight="1" s="1349">
      <c r="A251" s="489" t="inlineStr">
        <is>
          <t>5210591442717526</t>
        </is>
      </c>
      <c r="B251" s="713" t="n">
        <v>10034034166827</v>
      </c>
      <c r="C251" s="1292" t="inlineStr">
        <is>
          <t>Outros</t>
        </is>
      </c>
      <c r="D251" s="194" t="inlineStr">
        <is>
          <t>Selante Fix All Turbo Super Cola Tudo Seca Rapida 20min 430g</t>
        </is>
      </c>
      <c r="E251" s="654" t="n"/>
      <c r="F251" s="607" t="n">
        <v>57.23</v>
      </c>
      <c r="G251" s="447">
        <f>F251*11.5%</f>
        <v/>
      </c>
      <c r="H251" s="831" t="n">
        <v>-2.17</v>
      </c>
      <c r="I251" s="904" t="n">
        <v>8.550000000000001</v>
      </c>
      <c r="J251" s="340">
        <f>F251*18%</f>
        <v/>
      </c>
      <c r="K251" s="340">
        <f>(F251-J251)*1.65%</f>
        <v/>
      </c>
      <c r="L251" s="340">
        <f>(F251-J251)*7.6%</f>
        <v/>
      </c>
      <c r="M251" s="1097" t="n">
        <v>9.27</v>
      </c>
      <c r="N251" s="785">
        <f>(G251+I251)*(9.25%)</f>
        <v/>
      </c>
      <c r="O251" s="708" t="n">
        <v>36.24</v>
      </c>
      <c r="P251" s="1016">
        <f>(F251 - (G251+I251+O251+(J251+K251+L251))) - (H251-M251-N251)</f>
        <v/>
      </c>
      <c r="Q251" s="328">
        <f>P251/F251</f>
        <v/>
      </c>
      <c r="R251" s="904" t="inlineStr">
        <is>
          <t>Ativo</t>
        </is>
      </c>
      <c r="S251" s="651" t="n"/>
      <c r="T251" s="569" t="n"/>
      <c r="U251" s="1030" t="n"/>
      <c r="V251" s="1030" t="n"/>
      <c r="W251" s="1030" t="n"/>
    </row>
    <row r="252" ht="15.75" customHeight="1" s="1349">
      <c r="A252" s="711" t="inlineStr">
        <is>
          <t>5665823952</t>
        </is>
      </c>
      <c r="B252" s="470" t="n">
        <v>10034034167558</v>
      </c>
      <c r="C252" s="1292" t="inlineStr">
        <is>
          <t>Nutriex</t>
        </is>
      </c>
      <c r="D252" s="625">
        <f>hyperlink("https://produto.mercadolivre.com.br/MLB-5665823952-shampoo-infantil-minions-kids-500ml-nutriex-extrato-banana-_JM","Shampoo Infantil Minions Kids 500ml Nutriex Extrato Banana")</f>
        <v/>
      </c>
      <c r="E252" s="685" t="n"/>
      <c r="F252" s="856" t="n">
        <v>25.7</v>
      </c>
      <c r="G252" s="447">
        <f>F252*14%</f>
        <v/>
      </c>
      <c r="H252" s="833" t="n">
        <v>-0.8</v>
      </c>
      <c r="I252" s="904">
        <f>IFS(
  F252&lt;12.5, F252/2,
  F252&lt;29, 6.25,
  F252&lt;50, 6.5,
  F252&lt;=79, 6.75,
  TRUE, 25
)</f>
        <v/>
      </c>
      <c r="J252" s="340">
        <f>F252*18%</f>
        <v/>
      </c>
      <c r="K252" s="450" t="n">
        <v>0</v>
      </c>
      <c r="L252" s="450" t="n">
        <v>0</v>
      </c>
      <c r="M252" s="1097" t="n">
        <v>1.16</v>
      </c>
      <c r="N252" s="785">
        <f>(G252+I252)*(9.25%)</f>
        <v/>
      </c>
      <c r="O252" s="701" t="n">
        <v>9.699999999999999</v>
      </c>
      <c r="P252" s="1016">
        <f>(F252 - (G252+I252+O252+(J252+K252+L252))) - (H252-M252-N252)</f>
        <v/>
      </c>
      <c r="Q252" s="328">
        <f>P252/F252</f>
        <v/>
      </c>
      <c r="R252" s="904" t="inlineStr">
        <is>
          <t>Ativo</t>
        </is>
      </c>
      <c r="S252" s="651" t="n"/>
      <c r="T252" s="569" t="n"/>
      <c r="U252" s="1030" t="n"/>
      <c r="V252" s="1030" t="n"/>
      <c r="W252" s="1030" t="n"/>
    </row>
    <row r="253" ht="15.75" customHeight="1" s="1349">
      <c r="A253" s="711" t="inlineStr">
        <is>
          <t>4190810953</t>
        </is>
      </c>
      <c r="B253" s="470" t="n">
        <v>10034034167561</v>
      </c>
      <c r="C253" s="1292" t="inlineStr">
        <is>
          <t>Nutriex</t>
        </is>
      </c>
      <c r="D253" s="625">
        <f>HYPERLINK("https://produto.mercadolivre.com.br/MLB-4190810953-condicionador-infantil-minions-500ml-nutriex-fragrncia-leve-_JM","Condicionador Infantil Minions 500ml Kids Banho Divertido")</f>
        <v/>
      </c>
      <c r="E253" s="685" t="n"/>
      <c r="F253" s="856" t="n">
        <v>24.5</v>
      </c>
      <c r="G253" s="447">
        <f>F253*13%</f>
        <v/>
      </c>
      <c r="H253" s="833" t="n"/>
      <c r="I253" s="904" t="n">
        <v>6.75</v>
      </c>
      <c r="J253" s="340">
        <f>F253*18%</f>
        <v/>
      </c>
      <c r="K253" s="450" t="n">
        <v>0</v>
      </c>
      <c r="L253" s="450" t="n">
        <v>0</v>
      </c>
      <c r="M253" s="1097" t="n">
        <v>1.2</v>
      </c>
      <c r="N253" s="785">
        <f>(G253+I253)*(9.25%)</f>
        <v/>
      </c>
      <c r="O253" s="701" t="n">
        <v>9.99</v>
      </c>
      <c r="P253" s="1016">
        <f>(F253 - (G253+I253+O253+(J253+K253+L253))) - (H253-M253-N253)</f>
        <v/>
      </c>
      <c r="Q253" s="328">
        <f>P253/F253</f>
        <v/>
      </c>
      <c r="R253" s="904" t="inlineStr">
        <is>
          <t>Ativo</t>
        </is>
      </c>
      <c r="S253" s="651" t="n"/>
      <c r="T253" s="569" t="n">
        <v>0</v>
      </c>
      <c r="U253" s="1030" t="n"/>
      <c r="V253" s="1030" t="n"/>
      <c r="W253" s="1030" t="n"/>
    </row>
    <row r="254" ht="15.75" customHeight="1" s="1349">
      <c r="A254" s="711" t="inlineStr">
        <is>
          <t>4209728341</t>
        </is>
      </c>
      <c r="B254" s="470" t="n">
        <v>10034034167072</v>
      </c>
      <c r="C254" s="1292" t="inlineStr">
        <is>
          <t>TekBond</t>
        </is>
      </c>
      <c r="D254" s="704" t="inlineStr">
        <is>
          <t>Silicone Acético Selante Cinza Tekbond 280g Vedação Vidro</t>
        </is>
      </c>
      <c r="E254" s="685" t="n"/>
      <c r="F254" s="705" t="n">
        <v>28.71</v>
      </c>
      <c r="G254" s="447">
        <f>F254*16.5%</f>
        <v/>
      </c>
      <c r="H254" s="833" t="n">
        <v>-0.84</v>
      </c>
      <c r="I254" s="904">
        <f>IFS(
  F254&lt;12.5, F254/2,
  F254&lt;29, 6.25,
  F254&lt;50, 6.5,
  F254&lt;=79, 6.75,
  TRUE, 25
)</f>
        <v/>
      </c>
      <c r="J254" s="340">
        <f>F254*18%</f>
        <v/>
      </c>
      <c r="K254" s="340">
        <f>(F254-J254)*1.65%</f>
        <v/>
      </c>
      <c r="L254" s="340">
        <f>(F254-J254)*7.6%</f>
        <v/>
      </c>
      <c r="M254" s="1097" t="n">
        <v>2.99</v>
      </c>
      <c r="N254" s="785">
        <f>(G254+I254)*(9.25%)</f>
        <v/>
      </c>
      <c r="O254" s="701" t="n">
        <v>11.7</v>
      </c>
      <c r="P254" s="1016">
        <f>(F254 - (G254+I254+O254+(J254+K254+L254))) - (H254-M254-N254)</f>
        <v/>
      </c>
      <c r="Q254" s="328">
        <f>P254/F254</f>
        <v/>
      </c>
      <c r="R254" s="904" t="inlineStr">
        <is>
          <t>Ativo</t>
        </is>
      </c>
      <c r="S254" s="904" t="inlineStr">
        <is>
          <t>1un cinza</t>
        </is>
      </c>
      <c r="T254" s="569" t="n">
        <v>106</v>
      </c>
      <c r="U254" s="1030" t="n"/>
      <c r="V254" s="1030" t="n"/>
      <c r="W254" s="1030" t="n"/>
    </row>
    <row r="255" ht="15.75" customHeight="1" s="1349">
      <c r="A255" s="711" t="inlineStr">
        <is>
          <t>5716106300</t>
        </is>
      </c>
      <c r="B255" s="470" t="n">
        <v>10034034167586</v>
      </c>
      <c r="C255" s="1292" t="inlineStr">
        <is>
          <t>TekBond</t>
        </is>
      </c>
      <c r="D255" s="511" t="inlineStr">
        <is>
          <t>Silicone Acético Selante Cinza Tekbond Alta Temperatura 3un</t>
        </is>
      </c>
      <c r="E255" s="512" t="n"/>
      <c r="F255" s="705" t="n">
        <v>69</v>
      </c>
      <c r="G255" s="447">
        <f>F255*16.5%</f>
        <v/>
      </c>
      <c r="H255" s="833" t="n"/>
      <c r="I255" s="904">
        <f>IFS(
F255&lt;12.5, F255/2,
F255&lt;29, 6.25,
F255&lt;50, 6.5,
F255&lt;=79, 6.75,
TRUE, 
25)</f>
        <v/>
      </c>
      <c r="J255" s="340">
        <f>F255*18%</f>
        <v/>
      </c>
      <c r="K255" s="340">
        <f>(F255-J255)*1.65%</f>
        <v/>
      </c>
      <c r="L255" s="340">
        <f>(F255-J255)*7.6%</f>
        <v/>
      </c>
      <c r="M255" s="1097">
        <f>2.99*3</f>
        <v/>
      </c>
      <c r="N255" s="785">
        <f>(G255+I255)*(9.25%)</f>
        <v/>
      </c>
      <c r="O255" s="701">
        <f>11.7*3</f>
        <v/>
      </c>
      <c r="P255" s="1016">
        <f>(F255 - (G255+I255+O255+(J255+K255+L255))) - (H255-M255-N255)</f>
        <v/>
      </c>
      <c r="Q255" s="328">
        <f>P255/F255</f>
        <v/>
      </c>
      <c r="R255" s="904" t="inlineStr">
        <is>
          <t>Ativo</t>
        </is>
      </c>
      <c r="S255" s="904" t="inlineStr">
        <is>
          <t>3un cinza</t>
        </is>
      </c>
      <c r="T255" s="569" t="n"/>
      <c r="U255" s="1030" t="n"/>
      <c r="V255" s="1030" t="n"/>
      <c r="W255" s="1030" t="n"/>
    </row>
    <row r="256" ht="15.75" customHeight="1" s="1349">
      <c r="A256" s="711" t="inlineStr">
        <is>
          <t>5716134790</t>
        </is>
      </c>
      <c r="B256" s="470" t="n">
        <v>10034034167587</v>
      </c>
      <c r="C256" s="1292" t="inlineStr">
        <is>
          <t>TekBond</t>
        </is>
      </c>
      <c r="D256" s="511" t="inlineStr">
        <is>
          <t>Silicone Acético Vedação Cinza Tekbond Alta Temperatura 10un</t>
        </is>
      </c>
      <c r="E256" s="512" t="n"/>
      <c r="F256" s="705" t="n">
        <v>250</v>
      </c>
      <c r="G256" s="447">
        <f>F256*16.5%</f>
        <v/>
      </c>
      <c r="H256" s="833" t="n"/>
      <c r="I256" s="904" t="n">
        <v>24.95</v>
      </c>
      <c r="J256" s="340">
        <f>F256*18%</f>
        <v/>
      </c>
      <c r="K256" s="340">
        <f>(F256-J256)*1.65%</f>
        <v/>
      </c>
      <c r="L256" s="340">
        <f>(F256-J256)*7.6%</f>
        <v/>
      </c>
      <c r="M256" s="1097">
        <f>2.99*10</f>
        <v/>
      </c>
      <c r="N256" s="785">
        <f>(G256+I256)*(9.25%)</f>
        <v/>
      </c>
      <c r="O256" s="701">
        <f>11.7*10</f>
        <v/>
      </c>
      <c r="P256" s="1016">
        <f>(F256 - (G256+I256+O256+(J256+K256+L256))) - (H256-M256-N256)</f>
        <v/>
      </c>
      <c r="Q256" s="328">
        <f>P256/F256</f>
        <v/>
      </c>
      <c r="R256" s="904" t="inlineStr">
        <is>
          <t>Ativo</t>
        </is>
      </c>
      <c r="S256" s="904" t="inlineStr">
        <is>
          <t>10un cinza</t>
        </is>
      </c>
      <c r="T256" s="569" t="n"/>
      <c r="U256" s="1030" t="n"/>
      <c r="V256" s="1030" t="n"/>
      <c r="W256" s="1030" t="n"/>
    </row>
    <row r="257" ht="15.75" customHeight="1" s="1349">
      <c r="A257" s="1265" t="inlineStr">
        <is>
          <t>5285440768</t>
        </is>
      </c>
      <c r="B257" s="1263" t="n">
        <v>10034034167370</v>
      </c>
      <c r="C257" s="1292" t="inlineStr">
        <is>
          <t>Plastcor</t>
        </is>
      </c>
      <c r="D257" s="491" t="inlineStr">
        <is>
          <t>Sinalizador Pl 6003 Viário Solar Led Segurança Trabalho Obra</t>
        </is>
      </c>
      <c r="E257" s="492" t="n"/>
      <c r="F257" s="607" t="n">
        <v>129.76</v>
      </c>
      <c r="G257" s="447">
        <f>F257*17%</f>
        <v/>
      </c>
      <c r="H257" s="831" t="n">
        <v>-7.75</v>
      </c>
      <c r="I257" s="492" t="n">
        <v>25.55</v>
      </c>
      <c r="J257" s="340">
        <f>F257*18%</f>
        <v/>
      </c>
      <c r="K257" s="340">
        <f>(F257-J257)*1.65%</f>
        <v/>
      </c>
      <c r="L257" s="340">
        <f>(F257-J257)*7.6%</f>
        <v/>
      </c>
      <c r="M257" s="1097" t="n">
        <v>15</v>
      </c>
      <c r="N257" s="785">
        <f>(G257+I257)*(9.25%)</f>
        <v/>
      </c>
      <c r="O257" s="708" t="n">
        <v>76.92</v>
      </c>
      <c r="P257" s="1016">
        <f>(F257 - (G257+I257+O257+(J257+K257+L257))) - (H257-M257-N257)</f>
        <v/>
      </c>
      <c r="Q257" s="328">
        <f>P257/F257</f>
        <v/>
      </c>
      <c r="R257" s="904" t="inlineStr">
        <is>
          <t>Ativo</t>
        </is>
      </c>
      <c r="S257" s="651" t="n"/>
      <c r="T257" s="569" t="n"/>
      <c r="U257" s="1030" t="n"/>
      <c r="V257" s="1030" t="n"/>
      <c r="W257" s="1030" t="n"/>
    </row>
    <row r="258" ht="15.75" customHeight="1" s="1349">
      <c r="A258" s="489" t="inlineStr">
        <is>
          <t>5444670544</t>
        </is>
      </c>
      <c r="B258" s="1263" t="n">
        <v>10034034166811</v>
      </c>
      <c r="C258" s="1292" t="inlineStr">
        <is>
          <t>EPI</t>
        </is>
      </c>
      <c r="D258" s="194" t="inlineStr">
        <is>
          <t>Suporte Universal P/ Capacete Visor Viseira Holder Ca 40639</t>
        </is>
      </c>
      <c r="E258" s="654" t="n"/>
      <c r="F258" s="607" t="n">
        <v>37.83</v>
      </c>
      <c r="G258" s="447">
        <f>F258*12%</f>
        <v/>
      </c>
      <c r="H258" s="831" t="n">
        <v>-1.21</v>
      </c>
      <c r="I258" s="904" t="n">
        <v>6.75</v>
      </c>
      <c r="J258" s="340">
        <f>F258*18%</f>
        <v/>
      </c>
      <c r="K258" s="340">
        <f>(F258-J258)*1.65%</f>
        <v/>
      </c>
      <c r="L258" s="340">
        <f>(F258-J258)*7.6%</f>
        <v/>
      </c>
      <c r="M258" s="1097" t="n">
        <v>5.2</v>
      </c>
      <c r="N258" s="785">
        <f>(G258+I258)*(9.25%)</f>
        <v/>
      </c>
      <c r="O258" s="708" t="n">
        <v>21.82</v>
      </c>
      <c r="P258" s="1016">
        <f>(F258 - (G258+I258+O258+(J258+K258+L258))) - (H258-M258-N258)</f>
        <v/>
      </c>
      <c r="Q258" s="328">
        <f>P258/F258</f>
        <v/>
      </c>
      <c r="R258" s="904" t="inlineStr">
        <is>
          <t>Ativo</t>
        </is>
      </c>
      <c r="S258" s="651" t="n"/>
      <c r="T258" s="569" t="n"/>
      <c r="U258" s="1030" t="n"/>
      <c r="V258" s="1030" t="n"/>
      <c r="W258" s="1030" t="n"/>
    </row>
    <row r="259" ht="15.75" customHeight="1" s="1349">
      <c r="A259" s="1265" t="inlineStr">
        <is>
          <t>3628301390</t>
        </is>
      </c>
      <c r="B259" s="713" t="n">
        <v>10034034166336</v>
      </c>
      <c r="C259" s="1292" t="inlineStr">
        <is>
          <t>ÂNCORA</t>
        </is>
      </c>
      <c r="D259" s="566" t="inlineStr">
        <is>
          <t>Tela Alvenaria 1,2x105x500mm Tl105 Amarração De Blocos 20un</t>
        </is>
      </c>
      <c r="E259" s="654" t="n"/>
      <c r="F259" s="607" t="n">
        <v>51.6</v>
      </c>
      <c r="G259" s="447">
        <f>F259*12%</f>
        <v/>
      </c>
      <c r="H259" s="831" t="n">
        <v>-2.3</v>
      </c>
      <c r="I259" s="904" t="n">
        <v>8.050000000000001</v>
      </c>
      <c r="J259" s="340">
        <f>F259*18%</f>
        <v/>
      </c>
      <c r="K259" s="340">
        <f>(F259-J259)*1.65%</f>
        <v/>
      </c>
      <c r="L259" s="340">
        <f>(F259-J259)*7.6%</f>
        <v/>
      </c>
      <c r="M259" s="1097">
        <f>10.44/5</f>
        <v/>
      </c>
      <c r="N259" s="785">
        <f>(G259+I259)*(9.25%)</f>
        <v/>
      </c>
      <c r="O259" s="708">
        <f>81.05/5</f>
        <v/>
      </c>
      <c r="P259" s="1016">
        <f>(F259 - (G259+I259+O259+(J259+K259+L259))) - (H259-M259-N259)</f>
        <v/>
      </c>
      <c r="Q259" s="328">
        <f>P259/F259</f>
        <v/>
      </c>
      <c r="R259" s="904" t="inlineStr">
        <is>
          <t>Ativo</t>
        </is>
      </c>
      <c r="S259" s="651" t="n"/>
      <c r="T259" s="569" t="n"/>
      <c r="U259" s="1030" t="n"/>
      <c r="V259" s="1030" t="n"/>
      <c r="W259" s="1030" t="n"/>
    </row>
    <row r="260" ht="15.75" customHeight="1" s="1349">
      <c r="A260" s="489" t="inlineStr">
        <is>
          <t>3581647732</t>
        </is>
      </c>
      <c r="B260" s="1263" t="n">
        <v>38</v>
      </c>
      <c r="C260" s="1292" t="inlineStr">
        <is>
          <t>ÂNCORA</t>
        </is>
      </c>
      <c r="D260" s="194">
        <f>HYPERLINK("https://produto.mercadolivre.com.br/MLB-3581647732-tela-alvenaria-amarraco-ancora-12x105x500mm-tl05-100un-_JM","Tela Alvenaria Amarração Ancora 1,2x105x500mm Tl05 100un")</f>
        <v/>
      </c>
      <c r="E260" s="654" t="n"/>
      <c r="F260" s="607" t="n">
        <v>214.38</v>
      </c>
      <c r="G260" s="447">
        <f>F260*12%</f>
        <v/>
      </c>
      <c r="H260" s="831" t="n">
        <v>-2.09</v>
      </c>
      <c r="I260" s="492" t="n">
        <v>44.45</v>
      </c>
      <c r="J260" s="340">
        <f>F260*18%</f>
        <v/>
      </c>
      <c r="K260" s="340">
        <f>(F260-J260)*1.65%</f>
        <v/>
      </c>
      <c r="L260" s="340">
        <f>(F260-J260)*7.6%</f>
        <v/>
      </c>
      <c r="M260" s="1097" t="n">
        <v>10.54</v>
      </c>
      <c r="N260" s="785">
        <f>(G260+I260)*(9.25%)</f>
        <v/>
      </c>
      <c r="O260" s="708" t="n">
        <v>81.05</v>
      </c>
      <c r="P260" s="1016">
        <f>(F260 - (G260+I260+O260+(J260+K260+L260))) - (H260-M260-N260)</f>
        <v/>
      </c>
      <c r="Q260" s="328">
        <f>P260/F260</f>
        <v/>
      </c>
      <c r="R260" s="904" t="inlineStr">
        <is>
          <t>Ativo</t>
        </is>
      </c>
      <c r="S260" s="904" t="n"/>
      <c r="T260" s="569" t="n"/>
      <c r="U260" s="1030" t="n"/>
      <c r="V260" s="1030" t="n"/>
      <c r="W260" s="1030" t="n"/>
    </row>
    <row r="261" ht="15.75" customHeight="1" s="1349">
      <c r="A261" s="1265" t="inlineStr">
        <is>
          <t>3390223553</t>
        </is>
      </c>
      <c r="B261" s="713" t="e">
        <v>#N/A</v>
      </c>
      <c r="C261" s="1292" t="inlineStr">
        <is>
          <t>ÂNCORA</t>
        </is>
      </c>
      <c r="D261" s="566" t="inlineStr">
        <is>
          <t>Tela Alvenaria Amarração Ancora 1,2x75x500mm Tel75 10un</t>
        </is>
      </c>
      <c r="E261" s="492" t="n"/>
      <c r="F261" s="607" t="n">
        <v>24.24</v>
      </c>
      <c r="G261" s="447">
        <f>F261*12%</f>
        <v/>
      </c>
      <c r="H261" s="831" t="n">
        <v>-0.75</v>
      </c>
      <c r="I261" s="904" t="n">
        <v>6.75</v>
      </c>
      <c r="J261" s="340">
        <f>F261*18%</f>
        <v/>
      </c>
      <c r="K261" s="340">
        <f>(F261-J261)*1.65%</f>
        <v/>
      </c>
      <c r="L261" s="340">
        <f>(F261-J261)*7.6%</f>
        <v/>
      </c>
      <c r="M261" s="1097" t="n">
        <v>0.77</v>
      </c>
      <c r="N261" s="785">
        <f>(G261+I261)*(9.25%)</f>
        <v/>
      </c>
      <c r="O261" s="708" t="n">
        <v>6</v>
      </c>
      <c r="P261" s="1016">
        <f>(F261 - (G261+I261+O261+(J261+K261+L261))) - (H261-M261-N261)</f>
        <v/>
      </c>
      <c r="Q261" s="328">
        <f>P261/F261</f>
        <v/>
      </c>
      <c r="R261" s="904" t="inlineStr">
        <is>
          <t>Ativo</t>
        </is>
      </c>
      <c r="S261" s="651" t="n"/>
      <c r="T261" s="569" t="n"/>
      <c r="U261" s="1030" t="n"/>
      <c r="V261" s="1030" t="n"/>
      <c r="W261" s="1030" t="n"/>
    </row>
    <row r="262" ht="15.75" customHeight="1" s="1349">
      <c r="A262" s="489" t="inlineStr">
        <is>
          <t>3882699316</t>
        </is>
      </c>
      <c r="B262" s="713" t="n">
        <v>10034034166331</v>
      </c>
      <c r="C262" s="1292" t="inlineStr">
        <is>
          <t>ÂNCORA</t>
        </is>
      </c>
      <c r="D262" s="566" t="inlineStr">
        <is>
          <t>Tela Amarração Alvenaria Ancora 1,2mm X 50cm X 6cm C/ 100un</t>
        </is>
      </c>
      <c r="E262" s="492" t="n"/>
      <c r="F262" s="607" t="n">
        <v>151.83</v>
      </c>
      <c r="G262" s="447">
        <f>F262*12%</f>
        <v/>
      </c>
      <c r="H262" s="831" t="n">
        <v>-4.7</v>
      </c>
      <c r="I262" s="1050" t="n">
        <v>22.45</v>
      </c>
      <c r="J262" s="340">
        <f>F262*18%</f>
        <v/>
      </c>
      <c r="K262" s="340">
        <f>(F262-J262)*1.65%</f>
        <v/>
      </c>
      <c r="L262" s="340">
        <f>(F262-J262)*7.6%</f>
        <v/>
      </c>
      <c r="M262" s="1097">
        <f>15.33/2</f>
        <v/>
      </c>
      <c r="N262" s="785">
        <f>(G262+I262)*(9.25%)</f>
        <v/>
      </c>
      <c r="O262" s="708">
        <f>119/2</f>
        <v/>
      </c>
      <c r="P262" s="1016">
        <f>(F262 - (G262+I262+O262+(J262+K262+L262))) - (H262-M262-N262)</f>
        <v/>
      </c>
      <c r="Q262" s="328">
        <f>P262/F262</f>
        <v/>
      </c>
      <c r="R262" s="904" t="inlineStr">
        <is>
          <t>Ativo</t>
        </is>
      </c>
      <c r="S262" s="651" t="n"/>
      <c r="T262" s="569" t="n"/>
      <c r="U262" s="1030" t="n"/>
      <c r="V262" s="1030" t="n"/>
      <c r="W262" s="1030" t="n"/>
    </row>
    <row r="263" ht="15.75" customHeight="1" s="1349">
      <c r="A263" s="489" t="inlineStr">
        <is>
          <t>3837728586</t>
        </is>
      </c>
      <c r="B263" s="713" t="n">
        <v>10034034167431</v>
      </c>
      <c r="C263" s="1292" t="inlineStr">
        <is>
          <t>ÂNCORA</t>
        </is>
      </c>
      <c r="D263" s="566" t="inlineStr">
        <is>
          <t>Tela Amarração Alvenaria Tel75 7,5cm Ancora Construfix 20un</t>
        </is>
      </c>
      <c r="E263" s="492" t="n"/>
      <c r="F263" s="607" t="n">
        <v>41.97</v>
      </c>
      <c r="G263" s="447">
        <f>F263*12%</f>
        <v/>
      </c>
      <c r="H263" s="831" t="n">
        <v>-1.3</v>
      </c>
      <c r="I263" s="904" t="n">
        <v>6.75</v>
      </c>
      <c r="J263" s="340">
        <f>F263*18%</f>
        <v/>
      </c>
      <c r="K263" s="340">
        <f>(F263-J263)*1.65%</f>
        <v/>
      </c>
      <c r="L263" s="340">
        <f>(F263-J263)*7.6%</f>
        <v/>
      </c>
      <c r="M263" s="1097">
        <f>11.59 * 2 / 15</f>
        <v/>
      </c>
      <c r="N263" s="785">
        <f>(G263+I263)*(9.25%)</f>
        <v/>
      </c>
      <c r="O263" s="708">
        <f>91.81 *2 / 15</f>
        <v/>
      </c>
      <c r="P263" s="1016">
        <f>(F263 - (G263+I263+O263+(J263+K263+L263))) - (H263-M263-N263)</f>
        <v/>
      </c>
      <c r="Q263" s="328">
        <f>P263/F263</f>
        <v/>
      </c>
      <c r="R263" s="904" t="inlineStr">
        <is>
          <t>Ativo</t>
        </is>
      </c>
      <c r="S263" s="651" t="n"/>
      <c r="T263" s="569" t="n"/>
      <c r="U263" s="1030" t="n"/>
      <c r="V263" s="1030" t="n"/>
      <c r="W263" s="1030" t="n"/>
    </row>
    <row r="264" ht="15.75" customHeight="1" s="1349">
      <c r="A264" s="1265" t="inlineStr">
        <is>
          <t>3634089801</t>
        </is>
      </c>
      <c r="B264" s="1263" t="n">
        <v>10034034166246</v>
      </c>
      <c r="C264" s="1292" t="inlineStr">
        <is>
          <t>FRESAL</t>
        </is>
      </c>
      <c r="D264" s="566" t="inlineStr">
        <is>
          <t>Tela De Sinalização Guarda Corpo Laranja E Branca 1,20x50m</t>
        </is>
      </c>
      <c r="E264" s="654" t="n"/>
      <c r="F264" s="607" t="n">
        <v>128</v>
      </c>
      <c r="G264" s="447">
        <f>F264*12%</f>
        <v/>
      </c>
      <c r="H264" s="831" t="n">
        <v>-8.210000000000001</v>
      </c>
      <c r="I264" s="492" t="n">
        <v>20.75</v>
      </c>
      <c r="J264" s="340">
        <f>F264*18%</f>
        <v/>
      </c>
      <c r="K264" s="340">
        <f>(F264-J264)*1.65%</f>
        <v/>
      </c>
      <c r="L264" s="340">
        <f>(F264-J264)*7.6%</f>
        <v/>
      </c>
      <c r="M264" s="1097">
        <f>0.3*50</f>
        <v/>
      </c>
      <c r="N264" s="785">
        <f>(G264+I264)*(9.25%)</f>
        <v/>
      </c>
      <c r="O264" s="197">
        <f>1.49*50</f>
        <v/>
      </c>
      <c r="P264" s="1016">
        <f>(F264 - (G264+I264+O264+(J264+K264+L264))) - (H264-M264-N264)</f>
        <v/>
      </c>
      <c r="Q264" s="328">
        <f>P264/F264</f>
        <v/>
      </c>
      <c r="R264" s="904" t="inlineStr">
        <is>
          <t>Ativo</t>
        </is>
      </c>
      <c r="S264" s="651" t="n"/>
      <c r="T264" s="569" t="n">
        <v>982</v>
      </c>
      <c r="U264" s="1030" t="n"/>
      <c r="V264" s="1030" t="n"/>
      <c r="W264" s="1030" t="n"/>
    </row>
    <row r="265" ht="15.75" customHeight="1" s="1349">
      <c r="A265" s="489" t="inlineStr">
        <is>
          <t>4021488509</t>
        </is>
      </c>
      <c r="B265" s="713" t="n">
        <v>10034034166963</v>
      </c>
      <c r="C265" s="1292" t="inlineStr">
        <is>
          <t>ÂNCORA</t>
        </is>
      </c>
      <c r="D265" s="491" t="inlineStr">
        <is>
          <t>Tela Fibra Vidro Reforço Alvenaria Fachada Cimenticia 1x50m</t>
        </is>
      </c>
      <c r="E265" s="492" t="n"/>
      <c r="F265" s="607" t="n">
        <v>396.79</v>
      </c>
      <c r="G265" s="447">
        <f>F265*11.5%</f>
        <v/>
      </c>
      <c r="H265" s="831" t="n">
        <v>-10.32</v>
      </c>
      <c r="I265" s="492" t="n">
        <v>49.35</v>
      </c>
      <c r="J265" s="340">
        <f>F265*18%</f>
        <v/>
      </c>
      <c r="K265" s="340">
        <f>(F265-J265)*1.65%</f>
        <v/>
      </c>
      <c r="L265" s="340">
        <f>(F265-J265)*7.6%</f>
        <v/>
      </c>
      <c r="M265" s="1097" t="n">
        <v>25.12</v>
      </c>
      <c r="N265" s="785">
        <f>(G265+I265)*(9.25%)</f>
        <v/>
      </c>
      <c r="O265" s="708" t="n">
        <v>207.68</v>
      </c>
      <c r="P265" s="1016">
        <f>(F265 - (G265+I265+O265+(J265+K265+L265))) - (H265-M265-N265)</f>
        <v/>
      </c>
      <c r="Q265" s="328">
        <f>P265/F265</f>
        <v/>
      </c>
      <c r="R265" s="904" t="inlineStr">
        <is>
          <t>Ativo</t>
        </is>
      </c>
      <c r="S265" s="651" t="n"/>
      <c r="T265" s="569" t="n"/>
      <c r="U265" s="1030" t="n"/>
      <c r="V265" s="1030" t="n"/>
      <c r="W265" s="1030" t="n"/>
    </row>
    <row r="266" ht="15.75" customHeight="1" s="1349">
      <c r="A266" s="489" t="inlineStr">
        <is>
          <t>3634048065</t>
        </is>
      </c>
      <c r="B266" s="713" t="n">
        <v>10034034166245</v>
      </c>
      <c r="C266" s="1292" t="inlineStr">
        <is>
          <t>EPI</t>
        </is>
      </c>
      <c r="D266" s="194" t="inlineStr">
        <is>
          <t>Tela Sinalização Guarda Corpo Laranja E Branca 1,2x50 Pesada</t>
        </is>
      </c>
      <c r="E266" s="654" t="n"/>
      <c r="F266" s="607" t="n">
        <v>240</v>
      </c>
      <c r="G266" s="447">
        <f>F266*12%</f>
        <v/>
      </c>
      <c r="H266" s="831" t="n"/>
      <c r="I266" s="492" t="n">
        <v>22.45</v>
      </c>
      <c r="J266" s="340">
        <f>F266*18%</f>
        <v/>
      </c>
      <c r="K266" s="340">
        <f>(F266-J266)*1.65%</f>
        <v/>
      </c>
      <c r="L266" s="340">
        <f>(F266-J266)*7.6%</f>
        <v/>
      </c>
      <c r="M266" s="577" t="n"/>
      <c r="N266" s="543">
        <f>(G266+I266)*(9.25%)</f>
        <v/>
      </c>
      <c r="O266" s="492" t="n">
        <v>123</v>
      </c>
      <c r="P266" s="1016">
        <f>(F266 - (G266+I266+O266+(J266+K266+L266))) - (H266-M266-N266)</f>
        <v/>
      </c>
      <c r="Q266" s="328">
        <f>P266/F266</f>
        <v/>
      </c>
      <c r="R266" s="904" t="inlineStr">
        <is>
          <t>sem estoque</t>
        </is>
      </c>
      <c r="S266" s="651" t="n"/>
      <c r="T266" s="569" t="n">
        <v>76</v>
      </c>
      <c r="U266" s="1030" t="n"/>
      <c r="V266" s="1030" t="n"/>
      <c r="W266" s="1030" t="n"/>
    </row>
    <row r="267" ht="15.75" customHeight="1" s="1349">
      <c r="A267" s="489" t="inlineStr">
        <is>
          <t>3983359955</t>
        </is>
      </c>
      <c r="B267" s="713" t="n">
        <v>10034034167474</v>
      </c>
      <c r="C267" s="1292" t="inlineStr">
        <is>
          <t>EPI</t>
        </is>
      </c>
      <c r="D267" s="491" t="inlineStr">
        <is>
          <t>Kit 4 Rolo De Tela Pesada Tapume Laranja E Branca 1,2x50m</t>
        </is>
      </c>
      <c r="E267" s="492" t="n"/>
      <c r="F267" s="607" t="n">
        <v>750</v>
      </c>
      <c r="G267" s="447">
        <f>F267*12%</f>
        <v/>
      </c>
      <c r="H267" s="831" t="n"/>
      <c r="I267" s="492" t="n">
        <v>44.45</v>
      </c>
      <c r="J267" s="340">
        <f>F267*18%</f>
        <v/>
      </c>
      <c r="K267" s="340">
        <f>(F267-J267)*1.65%</f>
        <v/>
      </c>
      <c r="L267" s="340">
        <f>(F267-J267)*7.6%</f>
        <v/>
      </c>
      <c r="M267" s="577" t="n"/>
      <c r="N267" s="543">
        <f>(G267+I267)*(9.25%)</f>
        <v/>
      </c>
      <c r="O267" s="492" t="n">
        <v>492</v>
      </c>
      <c r="P267" s="1016">
        <f>(F267 - (G267+I267+O267+(J267+K267+L267))) - (H267-M267-N267)</f>
        <v/>
      </c>
      <c r="Q267" s="328">
        <f>P267/F267</f>
        <v/>
      </c>
      <c r="R267" s="904" t="inlineStr">
        <is>
          <t>sem estoque</t>
        </is>
      </c>
      <c r="S267" s="904" t="inlineStr">
        <is>
          <t>travado 11%</t>
        </is>
      </c>
      <c r="T267" s="569" t="n">
        <v>93</v>
      </c>
      <c r="U267" s="1030" t="n"/>
      <c r="V267" s="1030" t="n"/>
      <c r="W267" s="1030" t="n"/>
    </row>
    <row r="268" ht="15.75" customHeight="1" s="1349">
      <c r="A268" s="738" t="inlineStr">
        <is>
          <t>4141518161</t>
        </is>
      </c>
      <c r="B268" s="739" t="n">
        <v>70000999</v>
      </c>
      <c r="C268" s="1292" t="inlineStr">
        <is>
          <t>Plastcor</t>
        </is>
      </c>
      <c r="D268" s="740">
        <f>HYPERLINK("https://produto.mercadolivre.com.br/MLB-4141518161-tela-tapume-cerquite-reforcada-construco-civil-120m-x-50m-_JM","Tela Tapume Cerquite Reforçada Construção Civil 1,20m X 50m")</f>
        <v/>
      </c>
      <c r="E268" s="741" t="n"/>
      <c r="F268" s="856" t="n">
        <v>74.90000000000001</v>
      </c>
      <c r="G268" s="447">
        <f>F268*11.5%</f>
        <v/>
      </c>
      <c r="H268" s="833" t="n"/>
      <c r="I268" s="904" t="n">
        <v>8.550000000000001</v>
      </c>
      <c r="J268" s="340">
        <f>F268*18%</f>
        <v/>
      </c>
      <c r="K268" s="340">
        <f>(F268-J268)*1.65%</f>
        <v/>
      </c>
      <c r="L268" s="340">
        <f>(F268-J268)*7.6%</f>
        <v/>
      </c>
      <c r="M268" s="1097" t="n">
        <v>9.720000000000001</v>
      </c>
      <c r="N268" s="785">
        <f>(G268+I268)*(9.25%)</f>
        <v/>
      </c>
      <c r="O268" s="701" t="n">
        <v>41.7</v>
      </c>
      <c r="P268" s="1016">
        <f>(F268 - (G268+I268+O268+(J268+K268+L268))) - (H268-M268-N268)</f>
        <v/>
      </c>
      <c r="Q268" s="328">
        <f>P268/F268</f>
        <v/>
      </c>
      <c r="R268" s="904" t="inlineStr">
        <is>
          <t>Ativo</t>
        </is>
      </c>
      <c r="S268" s="651" t="n"/>
      <c r="T268" s="569" t="n"/>
      <c r="U268" s="1030" t="n"/>
      <c r="V268" s="1030" t="n"/>
      <c r="W268" s="1030" t="n"/>
    </row>
    <row r="269" ht="15.75" customHeight="1" s="1349">
      <c r="A269" s="1265" t="inlineStr">
        <is>
          <t>5434252022</t>
        </is>
      </c>
      <c r="B269" s="1263" t="n">
        <v>10034034167085</v>
      </c>
      <c r="C269" s="1292" t="inlineStr">
        <is>
          <t>EPI</t>
        </is>
      </c>
      <c r="D269" s="194" t="inlineStr">
        <is>
          <t>Tinta Spray Uso Geral 350ml Tekbond Spray Aerosol Seca Rapi</t>
        </is>
      </c>
      <c r="E269" s="654" t="n"/>
      <c r="F269" s="607" t="n">
        <v>34</v>
      </c>
      <c r="G269" s="447">
        <f>F269*12%</f>
        <v/>
      </c>
      <c r="H269" s="831" t="n"/>
      <c r="I269" s="904">
        <f>IFS(
  F269&lt;12.5, F269/2,
  F269&lt;29, 6.25,
  F269&lt;50, 6.5,
  F269&lt;=79, 6.75,
  TRUE, 25
)</f>
        <v/>
      </c>
      <c r="J269" s="340">
        <f>F269*18%</f>
        <v/>
      </c>
      <c r="K269" s="340">
        <f>(F269-J269)*1.65%</f>
        <v/>
      </c>
      <c r="L269" s="340">
        <f>(F269-J269)*7.6%</f>
        <v/>
      </c>
      <c r="M269" s="577" t="n"/>
      <c r="N269" s="543">
        <f>(G269+I269)*(9.25%)</f>
        <v/>
      </c>
      <c r="O269" s="492" t="n">
        <v>13.71</v>
      </c>
      <c r="P269" s="1016">
        <f>(F269 - (G269+I269+O269+(J269+K269+L269))) - (H269-M269-N269)</f>
        <v/>
      </c>
      <c r="Q269" s="328">
        <f>P269/F269</f>
        <v/>
      </c>
      <c r="R269" s="904" t="inlineStr">
        <is>
          <t>sem estoque</t>
        </is>
      </c>
      <c r="S269" s="651" t="n"/>
      <c r="T269" s="569" t="n"/>
      <c r="U269" s="1030" t="n"/>
      <c r="V269" s="1030" t="n"/>
      <c r="W269" s="1030" t="n"/>
    </row>
    <row r="270" ht="15.75" customHeight="1" s="1349">
      <c r="A270" s="489" t="inlineStr">
        <is>
          <t>3988958563</t>
        </is>
      </c>
      <c r="B270" s="713" t="n">
        <v>150</v>
      </c>
      <c r="C270" s="1292" t="inlineStr">
        <is>
          <t>EPI</t>
        </is>
      </c>
      <c r="D270" s="194" t="inlineStr">
        <is>
          <t>Trava Quedas Corda 12mm Cinto Altura Nr18 Aço Segurança Epi</t>
        </is>
      </c>
      <c r="E270" s="654" t="n"/>
      <c r="F270" s="607" t="n">
        <v>184.9</v>
      </c>
      <c r="G270" s="447">
        <f>F270*12%</f>
        <v/>
      </c>
      <c r="H270" s="831" t="n"/>
      <c r="I270" s="492" t="n">
        <v>23.65</v>
      </c>
      <c r="J270" s="340">
        <f>F270*18%</f>
        <v/>
      </c>
      <c r="K270" s="340">
        <f>(F270-J270)*1.65%</f>
        <v/>
      </c>
      <c r="L270" s="340">
        <f>(F270-J270)*7.6%</f>
        <v/>
      </c>
      <c r="M270" s="1097" t="n">
        <v>24.75</v>
      </c>
      <c r="N270" s="785">
        <f>(G270+I270)*(9.25%)</f>
        <v/>
      </c>
      <c r="O270" s="708" t="n">
        <v>101.58</v>
      </c>
      <c r="P270" s="1016">
        <f>(F270 - (G270+I270+O270+(J270+K270+L270))) - (H270-M270-N270)</f>
        <v/>
      </c>
      <c r="Q270" s="328">
        <f>P270/F270</f>
        <v/>
      </c>
      <c r="R270" s="904" t="inlineStr">
        <is>
          <t>Ativo</t>
        </is>
      </c>
      <c r="S270" s="651" t="n"/>
      <c r="T270" s="569" t="n"/>
      <c r="U270" s="1030" t="n"/>
      <c r="V270" s="1030" t="n"/>
      <c r="W270" s="1030" t="n"/>
    </row>
    <row r="271" ht="15.75" customHeight="1" s="1349">
      <c r="A271" s="489" t="inlineStr">
        <is>
          <t>5435771392</t>
        </is>
      </c>
      <c r="B271" s="1263" t="n">
        <v>10034034166808</v>
      </c>
      <c r="C271" s="1292" t="inlineStr">
        <is>
          <t>EPI</t>
        </is>
      </c>
      <c r="D271" s="194" t="inlineStr">
        <is>
          <t>Trava Quedas Retrátil C/ Abs E Mosquetão Altura Medbloc 6m</t>
        </is>
      </c>
      <c r="E271" s="654" t="n"/>
      <c r="F271" s="607" t="n">
        <v>1336.17</v>
      </c>
      <c r="G271" s="447">
        <f>F271*12%</f>
        <v/>
      </c>
      <c r="H271" s="831" t="n">
        <v>-14.82</v>
      </c>
      <c r="I271" s="492" t="n">
        <v>24.95</v>
      </c>
      <c r="J271" s="340">
        <f>F271*18%</f>
        <v/>
      </c>
      <c r="K271" s="340">
        <f>(F271-J271)*1.65%</f>
        <v/>
      </c>
      <c r="L271" s="340">
        <f>(F271-J271)*7.6%</f>
        <v/>
      </c>
      <c r="M271" s="1097" t="n">
        <v>137.32</v>
      </c>
      <c r="N271" s="785">
        <f>(G271+I271)*(9.25%)</f>
        <v/>
      </c>
      <c r="O271" s="701" t="n">
        <v>799.99</v>
      </c>
      <c r="P271" s="1016">
        <f>(F271 - (G271+I271+O271+(J271+K271+L271))) - (H271-M271-N271)</f>
        <v/>
      </c>
      <c r="Q271" s="328">
        <f>P271/F271</f>
        <v/>
      </c>
      <c r="R271" s="904" t="inlineStr">
        <is>
          <t>Ativo</t>
        </is>
      </c>
      <c r="S271" s="651" t="n"/>
      <c r="T271" s="569" t="n"/>
      <c r="U271" s="1030" t="n"/>
      <c r="V271" s="1030" t="n"/>
      <c r="W271" s="1030" t="n"/>
    </row>
    <row r="272" ht="15.75" customHeight="1" s="1349">
      <c r="A272" s="489" t="inlineStr">
        <is>
          <t>5742566404</t>
        </is>
      </c>
      <c r="B272" s="713" t="n">
        <v>10034034166874</v>
      </c>
      <c r="C272" s="1292" t="inlineStr">
        <is>
          <t>Irwin</t>
        </is>
      </c>
      <c r="D272" s="566" t="inlineStr">
        <is>
          <t>Mochila Ferramentas Profissional Irwin 14 Base Emborrachada</t>
        </is>
      </c>
      <c r="E272" s="571" t="n"/>
      <c r="F272" s="607" t="n">
        <v>517.97</v>
      </c>
      <c r="G272" s="447">
        <f>F272*17%</f>
        <v/>
      </c>
      <c r="H272" s="831" t="n">
        <v>-7.83</v>
      </c>
      <c r="I272" s="492" t="n">
        <v>39.75</v>
      </c>
      <c r="J272" s="340">
        <f>F272*18%</f>
        <v/>
      </c>
      <c r="K272" s="340">
        <f>(F272-J272)*1.65%</f>
        <v/>
      </c>
      <c r="L272" s="340">
        <f>(F272-J272)*7.6%</f>
        <v/>
      </c>
      <c r="M272" s="1097" t="n">
        <v>83.87</v>
      </c>
      <c r="N272" s="785">
        <f>(G272+I272)*(9.25%)</f>
        <v/>
      </c>
      <c r="O272" s="708" t="n">
        <v>327.81</v>
      </c>
      <c r="P272" s="1016">
        <f>(F272 - (G272+I272+O272+(J272+K272+L272))) - (H272-M272-N272)</f>
        <v/>
      </c>
      <c r="Q272" s="328">
        <f>P272/F272</f>
        <v/>
      </c>
      <c r="R272" s="904" t="inlineStr">
        <is>
          <t>Ativo</t>
        </is>
      </c>
      <c r="S272" s="651" t="n"/>
      <c r="T272" s="569" t="n"/>
      <c r="U272" s="1030" t="n"/>
      <c r="V272" s="1030" t="n"/>
      <c r="W272" s="1030" t="n"/>
    </row>
    <row r="273" ht="15.75" customHeight="1" s="1349">
      <c r="A273" s="489" t="inlineStr">
        <is>
          <t>4230574503</t>
        </is>
      </c>
      <c r="B273" s="713" t="e">
        <v>#N/A</v>
      </c>
      <c r="C273" s="1292" t="inlineStr">
        <is>
          <t>Irwin</t>
        </is>
      </c>
      <c r="D273" s="491" t="inlineStr">
        <is>
          <t>Caixa Mala De Ferramentas Contractor Irwin Iwst33027-l</t>
        </is>
      </c>
      <c r="E273" s="492" t="n"/>
      <c r="F273" s="607" t="n">
        <v>436.5</v>
      </c>
      <c r="G273" s="447">
        <f>F273*12%</f>
        <v/>
      </c>
      <c r="H273" s="831" t="n">
        <v>-11.84</v>
      </c>
      <c r="I273" s="492" t="n">
        <v>91.15000000000001</v>
      </c>
      <c r="J273" s="340">
        <f>F273*18%</f>
        <v/>
      </c>
      <c r="K273" s="340">
        <f>(F273-J273)*1.65%</f>
        <v/>
      </c>
      <c r="L273" s="340">
        <f>(F273-J273)*7.6%</f>
        <v/>
      </c>
      <c r="M273" s="1097" t="n">
        <v>59.26</v>
      </c>
      <c r="N273" s="785">
        <f>(G273+I273)*(9.25%)</f>
        <v/>
      </c>
      <c r="O273" s="708" t="n">
        <v>231.62</v>
      </c>
      <c r="P273" s="1016">
        <f>(F273 - (G273+I273+O273+(J273+K273+L273))) - (H273-M273-N273)</f>
        <v/>
      </c>
      <c r="Q273" s="328">
        <f>P273/F273</f>
        <v/>
      </c>
      <c r="R273" s="904" t="inlineStr">
        <is>
          <t>Ativo</t>
        </is>
      </c>
      <c r="S273" s="651" t="n"/>
      <c r="T273" s="569" t="n"/>
      <c r="U273" s="1030" t="n"/>
      <c r="V273" s="1030" t="n"/>
      <c r="W273" s="1030" t="n"/>
    </row>
    <row r="274" ht="15.75" customHeight="1" s="1349">
      <c r="A274" s="489" t="inlineStr">
        <is>
          <t>4224533463</t>
        </is>
      </c>
      <c r="B274" s="713" t="n">
        <v>10034034167143</v>
      </c>
      <c r="C274" s="1292" t="inlineStr">
        <is>
          <t>Irwin</t>
        </is>
      </c>
      <c r="D274" s="491" t="inlineStr">
        <is>
          <t>Caixa De Ferramentas Monobloco Irwin Lwst18800 Azul C/rodas</t>
        </is>
      </c>
      <c r="E274" s="492" t="n"/>
      <c r="F274" s="607" t="n">
        <v>454.08</v>
      </c>
      <c r="G274" s="447">
        <f>F274*17%</f>
        <v/>
      </c>
      <c r="H274" s="831" t="n">
        <v>-12.1</v>
      </c>
      <c r="I274" s="492" t="n">
        <v>74.95</v>
      </c>
      <c r="J274" s="340">
        <f>F274*18%</f>
        <v/>
      </c>
      <c r="K274" s="340">
        <f>(F274-J274)*1.65%</f>
        <v/>
      </c>
      <c r="L274" s="340">
        <f>(F274-J274)*7.6%</f>
        <v/>
      </c>
      <c r="M274" s="1097" t="n">
        <v>66.44</v>
      </c>
      <c r="N274" s="785">
        <f>(G274+I274)*(9.25%)</f>
        <v/>
      </c>
      <c r="O274" s="708" t="n">
        <v>259.69</v>
      </c>
      <c r="P274" s="1016">
        <f>(F274 - (G274+I274+O274+(J274+K274+L274))) - (H274-M274-N274)</f>
        <v/>
      </c>
      <c r="Q274" s="328">
        <f>P274/F274</f>
        <v/>
      </c>
      <c r="R274" s="904" t="inlineStr">
        <is>
          <t>Ativo</t>
        </is>
      </c>
      <c r="S274" s="651" t="n"/>
      <c r="T274" s="569" t="n">
        <v>1</v>
      </c>
      <c r="U274" s="1030" t="n"/>
      <c r="V274" s="1030" t="n"/>
      <c r="W274" s="1030" t="n"/>
    </row>
    <row r="275" ht="15.75" customHeight="1" s="1349">
      <c r="A275" s="1265" t="inlineStr">
        <is>
          <t>1419383534607761</t>
        </is>
      </c>
      <c r="B275" s="1263" t="n">
        <v>10034034167181</v>
      </c>
      <c r="C275" s="1292" t="inlineStr">
        <is>
          <t>Bracol</t>
        </is>
      </c>
      <c r="D275" s="491" t="inlineStr">
        <is>
          <t>Bota Couro Atacama Horizon Bico Pvc Bracol Confortável Epi</t>
        </is>
      </c>
      <c r="E275" s="492" t="n"/>
      <c r="F275" s="607" t="n">
        <v>268.86</v>
      </c>
      <c r="G275" s="447">
        <f>F275*12%</f>
        <v/>
      </c>
      <c r="H275" s="831" t="n">
        <v>-8</v>
      </c>
      <c r="I275" s="492" t="n">
        <v>23.45</v>
      </c>
      <c r="J275" s="340">
        <f>F275*18%</f>
        <v/>
      </c>
      <c r="K275" s="340">
        <f>(F275-J275)*1.65%</f>
        <v/>
      </c>
      <c r="L275" s="340">
        <f>(F275-J275)*7.6%</f>
        <v/>
      </c>
      <c r="M275" s="1097" t="n">
        <v>47.27</v>
      </c>
      <c r="N275" s="785">
        <f>(G275+I275)*(9.25%)</f>
        <v/>
      </c>
      <c r="O275" s="708" t="n">
        <v>184.74</v>
      </c>
      <c r="P275" s="1016">
        <f>(F275 - (G275+I275+O275+(J275+K275+L275))) - (H275-M275-N275)</f>
        <v/>
      </c>
      <c r="Q275" s="328">
        <f>P275/F275</f>
        <v/>
      </c>
      <c r="R275" s="904" t="inlineStr">
        <is>
          <t>Ativo</t>
        </is>
      </c>
      <c r="S275" s="904" t="n"/>
      <c r="T275" s="569" t="n">
        <v>20</v>
      </c>
      <c r="U275" s="1030" t="n"/>
      <c r="V275" s="1030" t="n"/>
      <c r="W275" s="1030" t="n"/>
    </row>
    <row r="276" ht="15.75" customHeight="1" s="1349">
      <c r="A276" s="1265" t="inlineStr">
        <is>
          <t>4237649691</t>
        </is>
      </c>
      <c r="B276" s="1263" t="n">
        <v>10034034166973</v>
      </c>
      <c r="C276" s="1292" t="inlineStr">
        <is>
          <t>Bracol</t>
        </is>
      </c>
      <c r="D276" s="491" t="inlineStr">
        <is>
          <t>Botina Amazonas Horizon Nobuck Bidensidade Bico Pvc Bracol</t>
        </is>
      </c>
      <c r="E276" s="492" t="n"/>
      <c r="F276" s="607" t="n">
        <v>257.05</v>
      </c>
      <c r="G276" s="447">
        <f>F276*12%</f>
        <v/>
      </c>
      <c r="H276" s="831" t="n">
        <v>-7.95</v>
      </c>
      <c r="I276" s="492" t="n">
        <v>24.95</v>
      </c>
      <c r="J276" s="340">
        <f>F276*18%</f>
        <v/>
      </c>
      <c r="K276" s="340">
        <f>(F276-J276)*1.65%</f>
        <v/>
      </c>
      <c r="L276" s="340">
        <f>(F276-J276)*7.6%</f>
        <v/>
      </c>
      <c r="M276" s="1097" t="n">
        <v>32.43</v>
      </c>
      <c r="N276" s="785">
        <f>(G276+I276)*(9.25%)</f>
        <v/>
      </c>
      <c r="O276" s="708" t="n">
        <v>161.01</v>
      </c>
      <c r="P276" s="1016">
        <f>(F276 - (G276+I276+O276+(J276+K276+L276))) - (H276-M276-N276)</f>
        <v/>
      </c>
      <c r="Q276" s="328">
        <f>P276/F276</f>
        <v/>
      </c>
      <c r="R276" s="904" t="inlineStr">
        <is>
          <t>Ativo</t>
        </is>
      </c>
      <c r="S276" s="651" t="n"/>
      <c r="T276" s="569" t="n">
        <v>12</v>
      </c>
      <c r="U276" s="1030" t="n"/>
      <c r="V276" s="1030" t="n"/>
      <c r="W276" s="1030" t="n"/>
    </row>
    <row r="277" ht="15.75" customHeight="1" s="1349">
      <c r="A277" s="1265" t="inlineStr">
        <is>
          <t>5792115704</t>
        </is>
      </c>
      <c r="B277" s="1263" t="n">
        <v>10034034166965</v>
      </c>
      <c r="C277" s="1292" t="inlineStr">
        <is>
          <t>Bracol</t>
        </is>
      </c>
      <c r="D277" s="566" t="inlineStr">
        <is>
          <t>Bota Polytech Pu Ecoboots Cano Longo Antiperfuro Composite</t>
        </is>
      </c>
      <c r="E277" s="492" t="n"/>
      <c r="F277" s="607" t="n">
        <v>211.49</v>
      </c>
      <c r="G277" s="447">
        <f>F277*17%</f>
        <v/>
      </c>
      <c r="H277" s="831" t="n">
        <v>-3.55</v>
      </c>
      <c r="I277" s="492" t="n">
        <v>28.35</v>
      </c>
      <c r="J277" s="340">
        <f>F277*18%</f>
        <v/>
      </c>
      <c r="K277" s="340">
        <f>(F277-J277)*1.65%</f>
        <v/>
      </c>
      <c r="L277" s="340">
        <f>(F277-J277)*7.6%</f>
        <v/>
      </c>
      <c r="M277" s="1097" t="n">
        <v>24.16</v>
      </c>
      <c r="N277" s="785">
        <f>(G277+I277)*(9.25%)</f>
        <v/>
      </c>
      <c r="O277" s="708" t="n">
        <v>119.95</v>
      </c>
      <c r="P277" s="1016">
        <f>(F277 - (G277+I277+O277+(J277+K277+L277))) - (H277-M277-N277)</f>
        <v/>
      </c>
      <c r="Q277" s="328">
        <f>P277/F277</f>
        <v/>
      </c>
      <c r="R277" s="904" t="inlineStr">
        <is>
          <t>Ativo</t>
        </is>
      </c>
      <c r="S277" s="651" t="n"/>
      <c r="T277" s="569" t="n"/>
      <c r="U277" s="1030" t="n"/>
      <c r="V277" s="1030" t="n"/>
      <c r="W277" s="1030" t="n"/>
    </row>
    <row r="278" ht="22.5" customHeight="1" s="1349">
      <c r="C278" s="1206" t="n"/>
      <c r="E278" s="1206" t="n"/>
      <c r="F278" s="743" t="n"/>
      <c r="G278" s="1205" t="n"/>
      <c r="H278" s="1206" t="n"/>
      <c r="I278" s="1206" t="n"/>
      <c r="L278" s="1205" t="n"/>
      <c r="M278" s="743" t="n"/>
      <c r="N278" s="699" t="n"/>
      <c r="O278" s="1206" t="n"/>
      <c r="P278" s="1205" t="n"/>
      <c r="Q278" s="746" t="n"/>
      <c r="R278" s="1206" t="n"/>
      <c r="T278" s="1206" t="n"/>
      <c r="U278" s="1206" t="n"/>
      <c r="V278" s="1206" t="n"/>
      <c r="W278" s="1206" t="n"/>
    </row>
    <row r="279" ht="15.75" customHeight="1" s="1349">
      <c r="A279" s="1292" t="inlineStr">
        <is>
          <t>3120050870 4028822121</t>
        </is>
      </c>
      <c r="B279" s="884" t="n">
        <v>10034034166926</v>
      </c>
      <c r="C279" s="904" t="inlineStr">
        <is>
          <t>Outros</t>
        </is>
      </c>
      <c r="D279" s="481" t="inlineStr">
        <is>
          <t>Sensor De Presença Movimento Frontal Smart X Control Exatron</t>
        </is>
      </c>
      <c r="E279" s="904" t="n"/>
      <c r="F279" s="747" t="n">
        <v>42.9</v>
      </c>
      <c r="G279" s="1016">
        <f>F279*17%</f>
        <v/>
      </c>
      <c r="H279" s="748" t="n"/>
      <c r="I279" s="904" t="n">
        <v>6.75</v>
      </c>
      <c r="J279" s="1311">
        <f>F279*18%</f>
        <v/>
      </c>
      <c r="K279" s="1311">
        <f>(F279-J279)*1.65%</f>
        <v/>
      </c>
      <c r="L279" s="1311">
        <f>(F279-J279)*7.6%</f>
        <v/>
      </c>
      <c r="M279" s="784" t="n">
        <v>3.85</v>
      </c>
      <c r="N279" s="785">
        <f>(G279+I279)*(9.25%)</f>
        <v/>
      </c>
      <c r="O279" s="786" t="n">
        <v>19.74</v>
      </c>
      <c r="P279" s="1016">
        <f>(F279 - (G279+I279+O279+(J279+K279+L279))) - (H279-M279-N279)</f>
        <v/>
      </c>
      <c r="Q279" s="462">
        <f>P279/F279</f>
        <v/>
      </c>
      <c r="R279" s="1206" t="inlineStr">
        <is>
          <t>Ativo</t>
        </is>
      </c>
      <c r="S279" s="904" t="inlineStr">
        <is>
          <t>atualizar</t>
        </is>
      </c>
      <c r="T279" s="569" t="n"/>
      <c r="U279" s="1030" t="n"/>
      <c r="V279" s="1030" t="n"/>
      <c r="W279" s="1030" t="n"/>
    </row>
    <row r="280" ht="15.75" customHeight="1" s="1349">
      <c r="A280" s="1265" t="inlineStr">
        <is>
          <t>4250240503</t>
        </is>
      </c>
      <c r="B280" s="1263" t="n">
        <v>10034034167350</v>
      </c>
      <c r="C280" s="1292" t="inlineStr">
        <is>
          <t>Bracol</t>
        </is>
      </c>
      <c r="D280" s="491" t="inlineStr">
        <is>
          <t>Bota Galocha Ecoboots Cano Longo Bico Composite Bracol</t>
        </is>
      </c>
      <c r="E280" s="492" t="n"/>
      <c r="F280" s="607" t="n">
        <v>251.23</v>
      </c>
      <c r="G280" s="447">
        <f>F280*17%</f>
        <v/>
      </c>
      <c r="H280" s="831" t="n">
        <v>-5.16</v>
      </c>
      <c r="I280" s="492" t="n">
        <v>26.95</v>
      </c>
      <c r="J280" s="340">
        <f>F280*18%</f>
        <v/>
      </c>
      <c r="K280" s="340">
        <f>(F280-J280)*1.65%</f>
        <v/>
      </c>
      <c r="L280" s="340">
        <f>(F280-J280)*7.6%</f>
        <v/>
      </c>
      <c r="M280" s="1097" t="n">
        <v>26.73</v>
      </c>
      <c r="N280" s="785">
        <f>(G280+I280)*(9.25%)</f>
        <v/>
      </c>
      <c r="O280" s="708" t="n">
        <v>132.73</v>
      </c>
      <c r="P280" s="1016">
        <f>(F280 - (G280+I280+O280+(J280+K280+L280))) - (H280-M280-N280)</f>
        <v/>
      </c>
      <c r="Q280" s="328">
        <f>P280/F280</f>
        <v/>
      </c>
      <c r="R280" s="904" t="inlineStr">
        <is>
          <t>Ativo</t>
        </is>
      </c>
      <c r="S280" s="651" t="n"/>
      <c r="T280" s="569" t="n"/>
      <c r="U280" s="1030" t="n"/>
      <c r="V280" s="1030" t="n"/>
      <c r="W280" s="1030" t="n"/>
    </row>
    <row r="281" ht="15.75" customHeight="1" s="1349">
      <c r="A281" s="1265" t="inlineStr">
        <is>
          <t>4238378183</t>
        </is>
      </c>
      <c r="B281" s="1263" t="n">
        <v>10034034167007</v>
      </c>
      <c r="C281" s="1292" t="inlineStr">
        <is>
          <t>Vinilseg</t>
        </is>
      </c>
      <c r="D281" s="566" t="inlineStr">
        <is>
          <t>Capa De Chuva Pvc Forrada Impermeável Costura Reforçada Leve</t>
        </is>
      </c>
      <c r="E281" s="492" t="n"/>
      <c r="F281" s="607" t="n">
        <v>35.74</v>
      </c>
      <c r="G281" s="447">
        <f>F281*12%</f>
        <v/>
      </c>
      <c r="H281" s="831" t="n">
        <v>-1.92</v>
      </c>
      <c r="I281" s="904" t="n">
        <v>6.75</v>
      </c>
      <c r="J281" s="340">
        <f>F281*18%</f>
        <v/>
      </c>
      <c r="K281" s="340">
        <f>(F281-J281)*1.65%</f>
        <v/>
      </c>
      <c r="L281" s="340">
        <f>(F281-J281)*7.6%</f>
        <v/>
      </c>
      <c r="M281" s="1097" t="n">
        <v>3.82</v>
      </c>
      <c r="N281" s="785">
        <f>(G281+I281)*(9.25%)</f>
        <v/>
      </c>
      <c r="O281" s="708" t="n">
        <v>18.95</v>
      </c>
      <c r="P281" s="1016">
        <f>(F281 - (G281+I281+O281+(J281+K281+L281))) - (H281-M281-N281)</f>
        <v/>
      </c>
      <c r="Q281" s="328">
        <f>P281/F281</f>
        <v/>
      </c>
      <c r="R281" s="904" t="inlineStr">
        <is>
          <t>Ativo</t>
        </is>
      </c>
      <c r="S281" s="651" t="n"/>
      <c r="T281" s="569" t="n">
        <v>32</v>
      </c>
      <c r="U281" s="1030" t="n"/>
      <c r="V281" s="1030" t="n"/>
      <c r="W281" s="1030" t="n"/>
    </row>
    <row r="282" ht="15.75" customHeight="1" s="1349">
      <c r="A282" s="1265" t="inlineStr">
        <is>
          <t>5772915416</t>
        </is>
      </c>
      <c r="B282" s="1263" t="n">
        <v>10034034167706</v>
      </c>
      <c r="C282" s="1292" t="inlineStr">
        <is>
          <t>Bracol</t>
        </is>
      </c>
      <c r="D282" s="491" t="inlineStr">
        <is>
          <t>Bota Térmica Frigorífica Alaska Baixa Temperatura Bracol Epi</t>
        </is>
      </c>
      <c r="E282" s="492" t="n"/>
      <c r="F282" s="607" t="n">
        <v>192.25</v>
      </c>
      <c r="G282" s="447">
        <f>F282*12%</f>
        <v/>
      </c>
      <c r="H282" s="831" t="n">
        <v>-7.77</v>
      </c>
      <c r="I282" s="492" t="n">
        <v>23.65</v>
      </c>
      <c r="J282" s="340">
        <f>F282*18%</f>
        <v/>
      </c>
      <c r="K282" s="340">
        <f>(F282-J282)*1.65%</f>
        <v/>
      </c>
      <c r="L282" s="340">
        <f>(F282-J282)*7.6%</f>
        <v/>
      </c>
      <c r="M282" s="1097" t="n">
        <v>23.42</v>
      </c>
      <c r="N282" s="785">
        <f>(G282+I282)*(9.25%)</f>
        <v/>
      </c>
      <c r="O282" s="708" t="n">
        <v>116.28</v>
      </c>
      <c r="P282" s="1016">
        <f>(F282 - (G282+I282+O282+(J282+K282+L282))) - (H282-M282-N282)</f>
        <v/>
      </c>
      <c r="Q282" s="328">
        <f>P282/F282</f>
        <v/>
      </c>
      <c r="R282" s="904" t="inlineStr">
        <is>
          <t>Ativo</t>
        </is>
      </c>
      <c r="S282" s="651" t="n"/>
      <c r="T282" s="569" t="n"/>
      <c r="U282" s="1030" t="n"/>
      <c r="V282" s="1030" t="n"/>
      <c r="W282" s="1030" t="n"/>
    </row>
    <row r="283" ht="15.75" customHeight="1" s="1349">
      <c r="A283" s="1265" t="inlineStr">
        <is>
          <t>5826548640</t>
        </is>
      </c>
      <c r="B283" s="1263" t="n">
        <v>10034034167061</v>
      </c>
      <c r="C283" s="1292" t="inlineStr">
        <is>
          <t>EPI</t>
        </is>
      </c>
      <c r="D283" s="566" t="inlineStr">
        <is>
          <t>Cinta Lombar Standard Ergonômica Ajustável Carregar Peso</t>
        </is>
      </c>
      <c r="E283" s="492" t="n">
        <v>78</v>
      </c>
      <c r="F283" s="607" t="n">
        <v>55.29</v>
      </c>
      <c r="G283" s="447">
        <f>F283*16.5%</f>
        <v/>
      </c>
      <c r="H283" s="831" t="n">
        <v>-0.47</v>
      </c>
      <c r="I283" s="904" t="n">
        <v>7.95</v>
      </c>
      <c r="J283" s="340">
        <f>F283*18%</f>
        <v/>
      </c>
      <c r="K283" s="340">
        <f>(F283-J283)*1.65%</f>
        <v/>
      </c>
      <c r="L283" s="340">
        <f>(F283-J283)*7.6%</f>
        <v/>
      </c>
      <c r="M283" s="1097" t="n">
        <v>2.19</v>
      </c>
      <c r="N283" s="785">
        <f>(G283+I283)*(9.25%)</f>
        <v/>
      </c>
      <c r="O283" s="708" t="n">
        <v>23.68</v>
      </c>
      <c r="P283" s="1016">
        <f>(F283 - (G283+I283+O283+(J283+K283+L283))) - (H283-M283-N283)</f>
        <v/>
      </c>
      <c r="Q283" s="328">
        <f>P283/F283</f>
        <v/>
      </c>
      <c r="R283" s="904" t="inlineStr">
        <is>
          <t>Ativo</t>
        </is>
      </c>
      <c r="S283" s="651" t="n"/>
      <c r="T283" s="569" t="n"/>
      <c r="U283" s="1030" t="n"/>
      <c r="V283" s="1030" t="n"/>
      <c r="W283" s="1030" t="n"/>
    </row>
    <row r="284" ht="15.75" customHeight="1" s="1349">
      <c r="A284" s="489" t="inlineStr">
        <is>
          <t>5830643206</t>
        </is>
      </c>
      <c r="B284" s="713" t="n">
        <v>10034034167360</v>
      </c>
      <c r="C284" s="1292" t="inlineStr">
        <is>
          <t>Valcan</t>
        </is>
      </c>
      <c r="D284" s="491" t="inlineStr">
        <is>
          <t>Avental Raspa Metalurgia Solda Sem Emenda Valcan 120x60cm</t>
        </is>
      </c>
      <c r="E284" s="492" t="n"/>
      <c r="F284" s="607" t="n">
        <v>54.9</v>
      </c>
      <c r="G284" s="447">
        <f>F284*17%</f>
        <v/>
      </c>
      <c r="H284" s="831" t="n">
        <v>-2.4</v>
      </c>
      <c r="I284" s="904" t="n">
        <v>8.050000000000001</v>
      </c>
      <c r="J284" s="340">
        <f>F284*18%</f>
        <v/>
      </c>
      <c r="K284" s="340">
        <f>(F284-J284)*1.65%</f>
        <v/>
      </c>
      <c r="L284" s="340">
        <f>(F284-J284)*7.6%</f>
        <v/>
      </c>
      <c r="M284" s="1097" t="n">
        <v>5.94</v>
      </c>
      <c r="N284" s="785">
        <f>(G284+I284)*(9.25%)</f>
        <v/>
      </c>
      <c r="O284" s="708" t="n">
        <v>29.5</v>
      </c>
      <c r="P284" s="1016">
        <f>(F284 - (G284+I284+O284+(J284+K284+L284))) - (H284-M284-N284)</f>
        <v/>
      </c>
      <c r="Q284" s="328">
        <f>P284/F284</f>
        <v/>
      </c>
      <c r="R284" s="904" t="inlineStr">
        <is>
          <t>Ativo</t>
        </is>
      </c>
      <c r="S284" s="651" t="n"/>
      <c r="T284" s="569" t="n"/>
      <c r="U284" s="1030" t="n"/>
      <c r="V284" s="1030" t="n"/>
      <c r="W284" s="1030" t="n"/>
    </row>
    <row r="285" ht="15.75" customHeight="1" s="1349">
      <c r="A285" s="1265" t="inlineStr">
        <is>
          <t>7175958003923921</t>
        </is>
      </c>
      <c r="B285" s="1263" t="n">
        <v>10034034167358</v>
      </c>
      <c r="C285" s="1292" t="inlineStr">
        <is>
          <t>Valcan</t>
        </is>
      </c>
      <c r="D285" s="566" t="inlineStr">
        <is>
          <t>Luva Vaqueta Natural Petroleira Resistencia Mecânica EPI</t>
        </is>
      </c>
      <c r="E285" s="571" t="n">
        <v>35</v>
      </c>
      <c r="F285" s="607" t="n">
        <v>28.49</v>
      </c>
      <c r="G285" s="447">
        <f>F285*12%</f>
        <v/>
      </c>
      <c r="H285" s="831" t="n">
        <v>-0.65</v>
      </c>
      <c r="I285" s="904" t="n">
        <v>6.65</v>
      </c>
      <c r="J285" s="340">
        <f>F285*18%</f>
        <v/>
      </c>
      <c r="K285" s="340">
        <f>(F285-J285)*1.65%</f>
        <v/>
      </c>
      <c r="L285" s="340">
        <f>(F285-J285)*7.6%</f>
        <v/>
      </c>
      <c r="M285" s="1097" t="n">
        <v>2.52</v>
      </c>
      <c r="N285" s="785">
        <f>(G285+I285)*(9.25%)</f>
        <v/>
      </c>
      <c r="O285" s="708" t="n">
        <v>12.5</v>
      </c>
      <c r="P285" s="1016">
        <f>(F285 - (G285+I285+O285+(J285+K285+L285))) - (H285-M285-N285)</f>
        <v/>
      </c>
      <c r="Q285" s="328">
        <f>P285/F285</f>
        <v/>
      </c>
      <c r="R285" s="904" t="inlineStr">
        <is>
          <t>Ativo</t>
        </is>
      </c>
      <c r="S285" s="651" t="n"/>
      <c r="T285" s="569" t="n"/>
      <c r="U285" s="1030" t="n"/>
      <c r="V285" s="1030" t="n"/>
      <c r="W285" s="1030" t="n"/>
    </row>
    <row r="286" ht="15.75" customHeight="1" s="1349">
      <c r="A286" s="1265" t="n"/>
      <c r="B286" s="1263" t="n"/>
      <c r="C286" s="904" t="n"/>
      <c r="D286" s="566" t="inlineStr">
        <is>
          <t>punho comprido</t>
        </is>
      </c>
      <c r="E286" s="571" t="n">
        <v>60</v>
      </c>
      <c r="F286" s="607" t="n">
        <v>33.61</v>
      </c>
      <c r="G286" s="447">
        <f>F286*12%</f>
        <v/>
      </c>
      <c r="H286" s="831" t="n">
        <v>-2.01</v>
      </c>
      <c r="I286" s="904" t="n">
        <v>8.15</v>
      </c>
      <c r="J286" s="340">
        <f>F286*18%</f>
        <v/>
      </c>
      <c r="K286" s="340">
        <f>(F286-J286)*1.65%</f>
        <v/>
      </c>
      <c r="L286" s="340">
        <f>(F286-J286)*7.6%</f>
        <v/>
      </c>
      <c r="M286" s="1097" t="n">
        <v>3.08</v>
      </c>
      <c r="N286" s="785">
        <f>(G286+I286)*(9.25%)</f>
        <v/>
      </c>
      <c r="O286" s="708" t="n">
        <v>16.77</v>
      </c>
      <c r="P286" s="1016">
        <f>(F286 - (G286+I286+O286+(J286+K286+L286))) - (H286-M286-N286)</f>
        <v/>
      </c>
      <c r="Q286" s="328">
        <f>P286/F286</f>
        <v/>
      </c>
      <c r="R286" s="904" t="inlineStr">
        <is>
          <t>Ativo</t>
        </is>
      </c>
      <c r="S286" s="651" t="n"/>
      <c r="T286" s="569" t="n"/>
      <c r="U286" s="1030" t="n"/>
      <c r="V286" s="1030" t="n"/>
      <c r="W286" s="1030" t="n"/>
    </row>
    <row r="287" ht="15.75" customHeight="1" s="1349">
      <c r="A287" s="1265" t="inlineStr">
        <is>
          <t>4268140325</t>
        </is>
      </c>
      <c r="B287" s="1263" t="n">
        <v>10034034167357</v>
      </c>
      <c r="C287" s="1292" t="inlineStr">
        <is>
          <t>Valcan</t>
        </is>
      </c>
      <c r="D287" s="491" t="inlineStr">
        <is>
          <t>uva Raspa Cano Curto Petroleira Resistencia Mecânica Epi</t>
        </is>
      </c>
      <c r="E287" s="492" t="n"/>
      <c r="F287" s="607" t="n">
        <v>25.46</v>
      </c>
      <c r="G287" s="447">
        <f>F287*17%</f>
        <v/>
      </c>
      <c r="H287" s="831" t="n">
        <v>-0.95</v>
      </c>
      <c r="I287" s="904">
        <f>IFS(
  F287&lt;12.5, F287/2,
  F287&lt;29, 6.25,
  F287&lt;50, 6.5,
  F287&lt;=79, 6.75,
  TRUE, 25
)</f>
        <v/>
      </c>
      <c r="J287" s="340">
        <f>F287*18%</f>
        <v/>
      </c>
      <c r="K287" s="340">
        <f>(F287-J287)*1.65%</f>
        <v/>
      </c>
      <c r="L287" s="340">
        <f>(F287-J287)*7.6%</f>
        <v/>
      </c>
      <c r="M287" s="1097" t="n">
        <v>1.95</v>
      </c>
      <c r="N287" s="785">
        <f>(G287+I287)*(9.25%)</f>
        <v/>
      </c>
      <c r="O287" s="708" t="n">
        <v>9.69</v>
      </c>
      <c r="P287" s="1016">
        <f>(F287 - (G287+I287+O287+(J287+K287+L287))) - (H287-M287-N287)</f>
        <v/>
      </c>
      <c r="Q287" s="328">
        <f>P287/F287</f>
        <v/>
      </c>
      <c r="R287" s="904" t="inlineStr">
        <is>
          <t>Ativo</t>
        </is>
      </c>
      <c r="S287" s="651" t="n"/>
      <c r="T287" s="569" t="n"/>
      <c r="U287" s="1030" t="n"/>
      <c r="V287" s="1030" t="n"/>
      <c r="W287" s="1030" t="n"/>
    </row>
    <row r="288" ht="15.75" customHeight="1" s="1349">
      <c r="A288" s="1265" t="inlineStr">
        <is>
          <t>5838496572</t>
        </is>
      </c>
      <c r="B288" s="1263" t="n">
        <v>10034034167362</v>
      </c>
      <c r="C288" s="1292" t="inlineStr">
        <is>
          <t>Valcan</t>
        </is>
      </c>
      <c r="D288" s="491" t="inlineStr">
        <is>
          <t>Blusão Raspa Vaqueta Couro Bl600 Velcro Solda Metalurgia</t>
        </is>
      </c>
      <c r="E288" s="492" t="n"/>
      <c r="F288" s="607" t="n">
        <v>156.66</v>
      </c>
      <c r="G288" s="447">
        <f>F288*19%</f>
        <v/>
      </c>
      <c r="H288" s="831" t="n">
        <v>-8</v>
      </c>
      <c r="I288" s="492" t="n">
        <v>21.65</v>
      </c>
      <c r="J288" s="340">
        <f>F288*18%</f>
        <v/>
      </c>
      <c r="K288" s="340">
        <f>(F288-J288)*1.65%</f>
        <v/>
      </c>
      <c r="L288" s="340">
        <f>(F288-J288)*7.6%</f>
        <v/>
      </c>
      <c r="M288" s="1097" t="n">
        <v>16.07</v>
      </c>
      <c r="N288" s="785">
        <f>(G288+I288)*(9.25%)</f>
        <v/>
      </c>
      <c r="O288" s="708" t="n">
        <v>79.79000000000001</v>
      </c>
      <c r="P288" s="1016">
        <f>(F288 - (G288+I288+O288+(J288+K288+L288))) - (H288-M288-N288)</f>
        <v/>
      </c>
      <c r="Q288" s="328">
        <f>P288/F288</f>
        <v/>
      </c>
      <c r="R288" s="904" t="inlineStr">
        <is>
          <t>Ativo</t>
        </is>
      </c>
      <c r="S288" s="651" t="n"/>
      <c r="T288" s="569" t="n"/>
      <c r="U288" s="1030" t="n"/>
      <c r="V288" s="1030" t="n"/>
      <c r="W288" s="1030" t="n"/>
    </row>
    <row r="289" ht="15.75" customHeight="1" s="1349">
      <c r="A289" s="1265" t="inlineStr">
        <is>
          <t>4270360673</t>
        </is>
      </c>
      <c r="B289" s="1263" t="n">
        <v>10034034167635</v>
      </c>
      <c r="C289" s="1292" t="inlineStr">
        <is>
          <t>EPI</t>
        </is>
      </c>
      <c r="D289" s="491" t="inlineStr">
        <is>
          <t>Bota Pvc All Work Forro Impermeável Antiderrapante Marluvas</t>
        </is>
      </c>
      <c r="E289" s="492" t="n"/>
      <c r="F289" s="607" t="n">
        <v>53.9</v>
      </c>
      <c r="G289" s="447">
        <f>F289*12%</f>
        <v/>
      </c>
      <c r="H289" s="831" t="n"/>
      <c r="I289" s="904" t="n">
        <v>8.949999999999999</v>
      </c>
      <c r="J289" s="340">
        <f>F289*18%</f>
        <v/>
      </c>
      <c r="K289" s="340">
        <f>(F289-J289)*1.65%</f>
        <v/>
      </c>
      <c r="L289" s="340">
        <f>(F289-J289)*7.6%</f>
        <v/>
      </c>
      <c r="M289" s="1097" t="n">
        <v>5.63</v>
      </c>
      <c r="N289" s="785">
        <f>(G289+I289)*(9.25%)</f>
        <v/>
      </c>
      <c r="O289" s="703" t="n">
        <v>27.96</v>
      </c>
      <c r="P289" s="1016">
        <f>(F289 - (G289+I289+O289+(J289+K289+L289))) - (H289-M289-N289)</f>
        <v/>
      </c>
      <c r="Q289" s="328">
        <f>P289/F289</f>
        <v/>
      </c>
      <c r="R289" s="904" t="inlineStr">
        <is>
          <t>Ativo</t>
        </is>
      </c>
      <c r="S289" s="651" t="n"/>
      <c r="T289" s="569" t="n"/>
      <c r="U289" s="1030" t="n"/>
      <c r="V289" s="1030" t="n"/>
      <c r="W289" s="1030" t="n"/>
    </row>
    <row r="290" ht="15.75" customHeight="1" s="1349">
      <c r="A290" s="489" t="inlineStr">
        <is>
          <t>5849967770</t>
        </is>
      </c>
      <c r="B290" s="713" t="n">
        <v>10034034168186</v>
      </c>
      <c r="C290" s="1292" t="inlineStr">
        <is>
          <t>ÂNCORA</t>
        </is>
      </c>
      <c r="D290" s="491" t="inlineStr">
        <is>
          <t>2 Cola Adesiva Instantânea Incolor Abond Super Aplicação 5g</t>
        </is>
      </c>
      <c r="E290" s="492" t="n"/>
      <c r="F290" s="572" t="n">
        <v>18.43</v>
      </c>
      <c r="G290" s="447">
        <f>F290*16.5%</f>
        <v/>
      </c>
      <c r="H290" s="831" t="n">
        <v>-0.55</v>
      </c>
      <c r="I290" s="492" t="n">
        <v>4.5</v>
      </c>
      <c r="J290" s="340">
        <f>F290*18%</f>
        <v/>
      </c>
      <c r="K290" s="340">
        <f>(F290-J290)*1.65%</f>
        <v/>
      </c>
      <c r="L290" s="340">
        <f>(F290-J290)*7.6%</f>
        <v/>
      </c>
      <c r="M290" s="577" t="n"/>
      <c r="N290" s="543">
        <f>(G290+I290)*(9.25%)</f>
        <v/>
      </c>
      <c r="O290" s="703" t="n">
        <v>2</v>
      </c>
      <c r="P290" s="1016">
        <f>(F290 - (G290+I290+O290+(J290+K290+L290))) - (H290-M290-N290)</f>
        <v/>
      </c>
      <c r="Q290" s="328">
        <f>P290/F290</f>
        <v/>
      </c>
      <c r="R290" s="904" t="inlineStr">
        <is>
          <t>Ativo</t>
        </is>
      </c>
      <c r="S290" s="651" t="n"/>
      <c r="T290" s="569" t="n"/>
      <c r="U290" s="1030" t="n"/>
      <c r="V290" s="1030" t="n"/>
      <c r="W290" s="1030" t="n"/>
    </row>
    <row r="291" ht="15.75" customHeight="1" s="1349">
      <c r="A291" s="489" t="inlineStr">
        <is>
          <t>5849841566</t>
        </is>
      </c>
      <c r="B291" s="713" t="n">
        <v>10034034168187</v>
      </c>
      <c r="C291" s="1292" t="inlineStr">
        <is>
          <t>ÂNCORA</t>
        </is>
      </c>
      <c r="D291" s="491" t="inlineStr">
        <is>
          <t>Cola Adesiva Instantânea Incolor Abond Super Aplicação 5un</t>
        </is>
      </c>
      <c r="E291" s="492" t="n"/>
      <c r="F291" s="607" t="n">
        <v>42.9</v>
      </c>
      <c r="G291" s="447">
        <f>F291*16.5%</f>
        <v/>
      </c>
      <c r="H291" s="831" t="n"/>
      <c r="I291" s="904" t="n">
        <v>6.75</v>
      </c>
      <c r="J291" s="340">
        <f>F291*18%</f>
        <v/>
      </c>
      <c r="K291" s="340">
        <f>(F291-J291)*1.65%</f>
        <v/>
      </c>
      <c r="L291" s="340">
        <f>(F291-J291)*7.6%</f>
        <v/>
      </c>
      <c r="M291" s="577" t="n"/>
      <c r="N291" s="543">
        <f>(G291+I291)*(9.25%)</f>
        <v/>
      </c>
      <c r="O291" s="703" t="n">
        <v>5</v>
      </c>
      <c r="P291" s="1016">
        <f>(F291 - (G291+I291+O291+(J291+K291+L291))) - (H291-M291-N291)</f>
        <v/>
      </c>
      <c r="Q291" s="328">
        <f>P291/F291</f>
        <v/>
      </c>
      <c r="R291" s="904" t="inlineStr">
        <is>
          <t>Ativo</t>
        </is>
      </c>
      <c r="S291" s="651" t="n"/>
      <c r="T291" s="569" t="n"/>
      <c r="U291" s="1030" t="n"/>
      <c r="V291" s="1030" t="n"/>
      <c r="W291" s="1030" t="n"/>
    </row>
    <row r="292" ht="15.75" customHeight="1" s="1349">
      <c r="A292" s="1265" t="inlineStr">
        <is>
          <t>3833121751 5000372024</t>
        </is>
      </c>
      <c r="B292" s="1263" t="n">
        <v>10034034167320</v>
      </c>
      <c r="C292" s="1292" t="inlineStr">
        <is>
          <t>EPI</t>
        </is>
      </c>
      <c r="D292" s="194" t="inlineStr">
        <is>
          <t>Sabonete Liquido Desengraxante 4l Citric Power Nutriex</t>
        </is>
      </c>
      <c r="E292" s="654" t="n"/>
      <c r="F292" s="607" t="n">
        <v>148</v>
      </c>
      <c r="G292" s="447">
        <f>F292*14%</f>
        <v/>
      </c>
      <c r="H292" s="748" t="n"/>
      <c r="I292" s="492" t="n">
        <v>22.76</v>
      </c>
      <c r="J292" s="340">
        <f>F292*18%</f>
        <v/>
      </c>
      <c r="K292" s="340">
        <f>(F292-J292)*1.65%</f>
        <v/>
      </c>
      <c r="L292" s="340">
        <f>(F292-J292)*7.6%</f>
        <v/>
      </c>
      <c r="M292" s="577" t="n"/>
      <c r="N292" s="543">
        <f>(G292+I292)*(9.25%)</f>
        <v/>
      </c>
      <c r="O292" s="1050" t="n">
        <v>69</v>
      </c>
      <c r="P292" s="1016">
        <f>(F292 - (G292+I292+O292+(J292+K292+L292))) - (H292-M292-N292)</f>
        <v/>
      </c>
      <c r="Q292" s="328">
        <f>P292/F292</f>
        <v/>
      </c>
      <c r="R292" s="904" t="inlineStr">
        <is>
          <t>sem estoque</t>
        </is>
      </c>
      <c r="S292" s="651" t="n"/>
      <c r="T292" s="569" t="n"/>
      <c r="U292" s="1030" t="n"/>
      <c r="V292" s="1030" t="n"/>
      <c r="W292" s="1030" t="n"/>
    </row>
    <row r="293" ht="15.75" customHeight="1" s="1349">
      <c r="A293" s="1265" t="inlineStr">
        <is>
          <t>3817557665 3833133821</t>
        </is>
      </c>
      <c r="B293" s="1263" t="n">
        <v>912307</v>
      </c>
      <c r="C293" s="1292" t="inlineStr">
        <is>
          <t>Nutriex</t>
        </is>
      </c>
      <c r="D293" s="491" t="inlineStr">
        <is>
          <t>Sabonete Desengraxante Citric Power 4litros Refil Nutriex</t>
        </is>
      </c>
      <c r="E293" s="492" t="n"/>
      <c r="F293" s="607" t="n">
        <v>151.57</v>
      </c>
      <c r="G293" s="447">
        <f>F293*14%</f>
        <v/>
      </c>
      <c r="H293" s="831" t="n">
        <v>-4.83</v>
      </c>
      <c r="I293" s="492" t="n">
        <v>27.75</v>
      </c>
      <c r="J293" s="340">
        <f>F293*18%</f>
        <v/>
      </c>
      <c r="K293" s="340">
        <f>(F293-J293)*1.65%</f>
        <v/>
      </c>
      <c r="L293" s="340">
        <f>(F293-J293)*7.6%</f>
        <v/>
      </c>
      <c r="M293" s="1097" t="n">
        <v>13.7</v>
      </c>
      <c r="N293" s="785">
        <f>(G293+I293)*(9.25%)</f>
        <v/>
      </c>
      <c r="O293" s="708" t="n">
        <v>68</v>
      </c>
      <c r="P293" s="1016">
        <f>(F293 - (G293+I293+O293+(J293+K293+L293))) - (H293-M293-N293)</f>
        <v/>
      </c>
      <c r="Q293" s="328">
        <f>P293/F293</f>
        <v/>
      </c>
      <c r="R293" s="904" t="inlineStr">
        <is>
          <t>Ativo</t>
        </is>
      </c>
      <c r="S293" s="651" t="n"/>
      <c r="T293" s="569" t="n">
        <v>7</v>
      </c>
      <c r="U293" s="1030" t="n"/>
      <c r="V293" s="1030" t="n"/>
      <c r="W293" s="1030" t="n"/>
      <c r="AE293" s="753" t="n">
        <v>1</v>
      </c>
    </row>
    <row r="294" ht="15.75" customHeight="1" s="1349">
      <c r="A294" s="687" t="inlineStr">
        <is>
          <t>4276217327</t>
        </is>
      </c>
      <c r="B294" s="657" t="n">
        <v>10034034166361</v>
      </c>
      <c r="C294" s="1292" t="inlineStr">
        <is>
          <t>Camper</t>
        </is>
      </c>
      <c r="D294" s="566" t="inlineStr">
        <is>
          <t>Kit 50 Mascara N95 Proteção Respiratória C/ Válvula Pff2 Ca</t>
        </is>
      </c>
      <c r="E294" s="712" t="n"/>
      <c r="F294" s="747" t="n">
        <v>76.62</v>
      </c>
      <c r="G294" s="672">
        <f>F294*12%</f>
        <v/>
      </c>
      <c r="H294" s="661" t="n">
        <v>-1.06</v>
      </c>
      <c r="I294" s="904" t="n">
        <v>8.550000000000001</v>
      </c>
      <c r="J294" s="340">
        <f>F294*18%</f>
        <v/>
      </c>
      <c r="K294" s="340">
        <f>(F294-J294)*1.65%</f>
        <v/>
      </c>
      <c r="L294" s="340">
        <f>(F294-J294)*7.6%</f>
        <v/>
      </c>
      <c r="M294" s="1097">
        <f>0.18*50</f>
        <v/>
      </c>
      <c r="N294" s="785">
        <f>(G294+I294)*(9.25%)</f>
        <v/>
      </c>
      <c r="O294" s="708">
        <f>0.88*50</f>
        <v/>
      </c>
      <c r="P294" s="1016">
        <f>(F294 - (G294+I294+O294+(J294+K294+L294))) - (H294-M294-N294)</f>
        <v/>
      </c>
      <c r="Q294" s="462">
        <f>P294/F294</f>
        <v/>
      </c>
      <c r="R294" s="825" t="inlineStr">
        <is>
          <t>Ativo</t>
        </is>
      </c>
      <c r="S294" s="904" t="n"/>
      <c r="T294" s="569" t="n"/>
      <c r="U294" s="1030" t="n"/>
      <c r="V294" s="1030" t="n"/>
      <c r="W294" s="1030" t="n"/>
    </row>
    <row r="295" ht="15.75" customHeight="1" s="1349">
      <c r="A295" s="755" t="inlineStr">
        <is>
          <t>4276230577</t>
        </is>
      </c>
      <c r="B295" s="756" t="n">
        <v>10034034167765</v>
      </c>
      <c r="C295" s="1292" t="inlineStr">
        <is>
          <t>Delta plus</t>
        </is>
      </c>
      <c r="D295" s="566" t="inlineStr">
        <is>
          <t>Kit 10 Mascara Proteção Respirador Com Valvula Pff2 C/ Ca</t>
        </is>
      </c>
      <c r="E295" s="712" t="n"/>
      <c r="F295" s="747" t="n">
        <v>24</v>
      </c>
      <c r="G295" s="672">
        <f>F295*17%</f>
        <v/>
      </c>
      <c r="H295" s="757" t="n"/>
      <c r="I295" s="904" t="n">
        <v>6.75</v>
      </c>
      <c r="J295" s="340">
        <f>F295*18%</f>
        <v/>
      </c>
      <c r="K295" s="340">
        <f>(F295-J295)*1.65%</f>
        <v/>
      </c>
      <c r="L295" s="340">
        <f>(F295-J295)*7.6%</f>
        <v/>
      </c>
      <c r="M295" s="1097">
        <f>0.18*10</f>
        <v/>
      </c>
      <c r="N295" s="785">
        <f>(G295+I295)*(9.25%)</f>
        <v/>
      </c>
      <c r="O295" s="708">
        <f>0.89*10</f>
        <v/>
      </c>
      <c r="P295" s="1016">
        <f>(F295 - (G295+I295+O295+(J295+K295+L295))) - (H295-M295-N295)</f>
        <v/>
      </c>
      <c r="Q295" s="462">
        <f>P295/F295</f>
        <v/>
      </c>
      <c r="R295" s="758" t="inlineStr">
        <is>
          <t>Ativo</t>
        </is>
      </c>
      <c r="S295" s="904" t="n"/>
      <c r="T295" s="569" t="n"/>
      <c r="U295" s="1030" t="n"/>
      <c r="V295" s="1030" t="n"/>
      <c r="W295" s="1030" t="n"/>
    </row>
    <row r="296" ht="15.75" customHeight="1" s="1349">
      <c r="A296" s="669" t="inlineStr">
        <is>
          <t>4276205701 4276257313</t>
        </is>
      </c>
      <c r="B296" s="734" t="n">
        <v>912310</v>
      </c>
      <c r="C296" s="1292" t="inlineStr">
        <is>
          <t>Nutriex</t>
        </is>
      </c>
      <c r="D296" s="566" t="inlineStr">
        <is>
          <t>Protetor Solar Nutriex Profissional C/ Repelente Fator 60 4l</t>
        </is>
      </c>
      <c r="E296" s="712" t="n"/>
      <c r="F296" s="747" t="n">
        <v>625.2</v>
      </c>
      <c r="G296" s="672">
        <f>F296*14%</f>
        <v/>
      </c>
      <c r="H296" s="759" t="n"/>
      <c r="I296" s="898" t="n">
        <v>30.75</v>
      </c>
      <c r="J296" s="340">
        <f>F296*18%</f>
        <v/>
      </c>
      <c r="K296" s="450" t="n">
        <v>0</v>
      </c>
      <c r="L296" s="450" t="n">
        <v>0</v>
      </c>
      <c r="M296" s="1097" t="n">
        <v>50.4</v>
      </c>
      <c r="N296" s="785">
        <f>(G296+I296)*(9.25%)</f>
        <v/>
      </c>
      <c r="O296" s="701" t="n">
        <v>419.99</v>
      </c>
      <c r="P296" s="1016">
        <f>(F296 - (G296+I296+O296+(J296+K296+L296))) - (H296-M296-N296)</f>
        <v/>
      </c>
      <c r="Q296" s="462">
        <f>P296/F296</f>
        <v/>
      </c>
      <c r="R296" s="758" t="inlineStr">
        <is>
          <t>Ativo</t>
        </is>
      </c>
      <c r="S296" s="904" t="n"/>
      <c r="T296" s="569" t="n">
        <v>26</v>
      </c>
      <c r="U296" s="1030" t="n"/>
      <c r="V296" s="1030" t="n"/>
      <c r="W296" s="1030" t="n"/>
    </row>
    <row r="297" ht="15.75" customHeight="1" s="1349">
      <c r="A297" s="687" t="inlineStr">
        <is>
          <t>5862625558 5862677552</t>
        </is>
      </c>
      <c r="B297" s="657" t="n">
        <v>912303</v>
      </c>
      <c r="C297" s="1292" t="inlineStr">
        <is>
          <t>Nutriex</t>
        </is>
      </c>
      <c r="D297" s="491" t="inlineStr">
        <is>
          <t>Protetor Solar Nutriex Profissional C/ Repelente Fator 30 4l</t>
        </is>
      </c>
      <c r="E297" s="492" t="n"/>
      <c r="F297" s="747" t="n">
        <v>439</v>
      </c>
      <c r="G297" s="672">
        <f>F297*14%</f>
        <v/>
      </c>
      <c r="H297" s="759" t="n"/>
      <c r="I297" s="761" t="n">
        <v>28.35</v>
      </c>
      <c r="J297" s="340">
        <f>F297*18%</f>
        <v/>
      </c>
      <c r="K297" s="450" t="n">
        <v>0</v>
      </c>
      <c r="L297" s="450" t="n">
        <v>0</v>
      </c>
      <c r="M297" s="1097" t="n">
        <v>36</v>
      </c>
      <c r="N297" s="785">
        <f>(G297+I297)*(9.25%)</f>
        <v/>
      </c>
      <c r="O297" s="708" t="n">
        <v>299.99</v>
      </c>
      <c r="P297" s="1016">
        <f>(F297 - (G297+I297+O297+(J297+K297+L297))) - (H297-M297-N297)</f>
        <v/>
      </c>
      <c r="Q297" s="462">
        <f>P297/F297</f>
        <v/>
      </c>
      <c r="R297" s="825" t="inlineStr">
        <is>
          <t>Ativo</t>
        </is>
      </c>
      <c r="S297" s="904" t="n"/>
      <c r="T297" s="569" t="n">
        <v>26</v>
      </c>
      <c r="U297" s="1030" t="n"/>
      <c r="V297" s="1030" t="n"/>
      <c r="W297" s="1030" t="n"/>
    </row>
    <row r="298" ht="15.75" customHeight="1" s="1349">
      <c r="A298" s="669" t="inlineStr">
        <is>
          <t>5862573908 5862560936</t>
        </is>
      </c>
      <c r="B298" s="734" t="n">
        <v>912299</v>
      </c>
      <c r="C298" s="1292" t="inlineStr">
        <is>
          <t>Nutriex</t>
        </is>
      </c>
      <c r="D298" s="712" t="inlineStr">
        <is>
          <t>Protetor Solar Fps 30 Bombona Com 4 Litros Nutriex</t>
        </is>
      </c>
      <c r="E298" s="712" t="n"/>
      <c r="F298" s="747" t="n">
        <v>361.45</v>
      </c>
      <c r="G298" s="672">
        <f>F298*14%</f>
        <v/>
      </c>
      <c r="H298" s="759" t="n">
        <v>-14.35</v>
      </c>
      <c r="I298" s="898" t="n">
        <v>28.45</v>
      </c>
      <c r="J298" s="340">
        <f>F298*18%</f>
        <v/>
      </c>
      <c r="K298" s="450" t="n">
        <v>0</v>
      </c>
      <c r="L298" s="450" t="n">
        <v>0</v>
      </c>
      <c r="M298" s="1097" t="n">
        <v>27.6</v>
      </c>
      <c r="N298" s="785">
        <f>(G298+I298)*(9.25%)</f>
        <v/>
      </c>
      <c r="O298" s="708" t="n">
        <v>229.9</v>
      </c>
      <c r="P298" s="1016">
        <f>(F298 - (G298+I298+O298+(J298+K298+L298))) - (H298-M298-N298)</f>
        <v/>
      </c>
      <c r="Q298" s="462">
        <f>P298/F298</f>
        <v/>
      </c>
      <c r="R298" s="758" t="inlineStr">
        <is>
          <t>Ativo</t>
        </is>
      </c>
      <c r="S298" s="904" t="n"/>
      <c r="T298" s="569" t="n">
        <v>11</v>
      </c>
      <c r="U298" s="1030" t="n"/>
      <c r="V298" s="1030" t="n"/>
      <c r="W298" s="1030" t="n"/>
    </row>
    <row r="299" ht="15.75" customHeight="1" s="1349">
      <c r="A299" s="755" t="inlineStr">
        <is>
          <t>5862600670</t>
        </is>
      </c>
      <c r="B299" s="756" t="n">
        <v>10034034166479</v>
      </c>
      <c r="C299" s="1292" t="inlineStr">
        <is>
          <t>EPI</t>
        </is>
      </c>
      <c r="D299" s="712" t="inlineStr">
        <is>
          <t>Chave Grifo Americana 24 Pol Vise Grip Irwin Mega Reforçada</t>
        </is>
      </c>
      <c r="E299" s="712" t="n"/>
      <c r="F299" s="747" t="n">
        <v>315.29</v>
      </c>
      <c r="G299" s="672">
        <f>F299*17%</f>
        <v/>
      </c>
      <c r="H299" s="759" t="n"/>
      <c r="I299" s="761" t="n">
        <v>22.45</v>
      </c>
      <c r="J299" s="340">
        <f>F299*18%</f>
        <v/>
      </c>
      <c r="K299" s="340">
        <f>(F299-J299)*1.65%</f>
        <v/>
      </c>
      <c r="L299" s="340">
        <f>(F299-J299)*7.6%</f>
        <v/>
      </c>
      <c r="M299" s="577" t="n"/>
      <c r="N299" s="543">
        <f>(G299+I299)*(9.25%)</f>
        <v/>
      </c>
      <c r="O299" s="492" t="n">
        <v>190.66</v>
      </c>
      <c r="P299" s="1016">
        <f>(F299 - (G299+I299+O299+(J299+K299+L299))) - (H299-M299-N299)</f>
        <v/>
      </c>
      <c r="Q299" s="462">
        <f>P299/F299</f>
        <v/>
      </c>
      <c r="R299" s="825" t="inlineStr">
        <is>
          <t>sem estoque</t>
        </is>
      </c>
      <c r="S299" s="904" t="n"/>
      <c r="T299" s="569" t="n"/>
      <c r="U299" s="1030" t="n"/>
      <c r="V299" s="1030" t="n"/>
      <c r="W299" s="1030" t="n"/>
    </row>
    <row r="300" ht="15.75" customHeight="1" s="1349">
      <c r="A300" s="755" t="inlineStr">
        <is>
          <t>5862808590</t>
        </is>
      </c>
      <c r="B300" s="756" t="n">
        <v>10034034166493</v>
      </c>
      <c r="C300" s="1292" t="inlineStr">
        <is>
          <t>EPI</t>
        </is>
      </c>
      <c r="D300" s="566" t="inlineStr">
        <is>
          <t>Cinturão Cinto Ferramentas C/ 10 Bolsos Em Lona Carpinteiro</t>
        </is>
      </c>
      <c r="E300" s="712" t="n"/>
      <c r="F300" s="747" t="n">
        <v>280.9</v>
      </c>
      <c r="G300" s="34">
        <f>F300*12%</f>
        <v/>
      </c>
      <c r="H300" s="759" t="n"/>
      <c r="I300" s="898" t="n">
        <v>23.45</v>
      </c>
      <c r="J300" s="340">
        <f>F300*18%</f>
        <v/>
      </c>
      <c r="K300" s="340">
        <f>(F300-J300)*1.65%</f>
        <v/>
      </c>
      <c r="L300" s="340">
        <f>(F300-J300)*7.6%</f>
        <v/>
      </c>
      <c r="M300" s="577" t="n"/>
      <c r="N300" s="543">
        <f>(G300+I300)*(9.25%)</f>
        <v/>
      </c>
      <c r="O300" s="492" t="n">
        <v>151.13</v>
      </c>
      <c r="P300" s="1016">
        <f>(F300 - (G300+I300+O300+(J300+K300+L300))) - (H300-M300-N300)</f>
        <v/>
      </c>
      <c r="Q300" s="462">
        <f>P300/F300</f>
        <v/>
      </c>
      <c r="R300" s="758" t="inlineStr">
        <is>
          <t>sem estoque</t>
        </is>
      </c>
      <c r="S300" s="904" t="n"/>
      <c r="T300" s="569" t="n"/>
      <c r="U300" s="1030" t="n"/>
      <c r="V300" s="1030" t="n"/>
      <c r="W300" s="1030" t="n"/>
    </row>
    <row r="301" ht="15.75" customHeight="1" s="1349">
      <c r="A301" s="669" t="inlineStr">
        <is>
          <t>5862550516</t>
        </is>
      </c>
      <c r="B301" s="734" t="n">
        <v>10034034167258</v>
      </c>
      <c r="C301" s="1292" t="inlineStr">
        <is>
          <t>MARLUVAS</t>
        </is>
      </c>
      <c r="D301" s="566" t="inlineStr">
        <is>
          <t>Bota New Prime Nobuck Anti Chamas Eletricista Nr10 Bico Pvc</t>
        </is>
      </c>
      <c r="E301" s="712" t="n"/>
      <c r="F301" s="747" t="n">
        <v>224.49</v>
      </c>
      <c r="G301" s="672">
        <f>F301*12%</f>
        <v/>
      </c>
      <c r="H301" s="759" t="n">
        <v>-3.17</v>
      </c>
      <c r="I301" s="761" t="n">
        <v>24.65</v>
      </c>
      <c r="J301" s="340">
        <f>F301*18%</f>
        <v/>
      </c>
      <c r="K301" s="340">
        <f>(F301-J301)*1.65%</f>
        <v/>
      </c>
      <c r="L301" s="340">
        <f>(F301-J301)*7.6%</f>
        <v/>
      </c>
      <c r="M301" s="1097" t="n">
        <v>28.44</v>
      </c>
      <c r="N301" s="785">
        <f>(G301+I301)*(9.25%)</f>
        <v/>
      </c>
      <c r="O301" s="708" t="n">
        <v>141.2</v>
      </c>
      <c r="P301" s="1016">
        <f>(F301 - (G301+I301+O301+(J301+K301+L301))) - (H301-M301-N301)</f>
        <v/>
      </c>
      <c r="Q301" s="462">
        <f>P301/F301</f>
        <v/>
      </c>
      <c r="R301" s="825" t="inlineStr">
        <is>
          <t>Ativo</t>
        </is>
      </c>
      <c r="S301" s="904" t="n"/>
      <c r="T301" s="569" t="n"/>
      <c r="U301" s="1030" t="n"/>
      <c r="V301" s="1030" t="n"/>
      <c r="W301" s="1030" t="n"/>
    </row>
    <row r="302" ht="15.75" customHeight="1" s="1349">
      <c r="A302" s="669" t="inlineStr">
        <is>
          <t>8816175131519058</t>
        </is>
      </c>
      <c r="B302" s="734" t="inlineStr">
        <is>
          <t>3563288459232913</t>
        </is>
      </c>
      <c r="C302" s="1292" t="inlineStr">
        <is>
          <t>Calfor</t>
        </is>
      </c>
      <c r="D302" s="566" t="n"/>
      <c r="E302" s="492" t="n"/>
      <c r="F302" s="747" t="n">
        <v>55.29</v>
      </c>
      <c r="G302" s="672">
        <f>F302*17%</f>
        <v/>
      </c>
      <c r="H302" s="759" t="n">
        <v>-2.37</v>
      </c>
      <c r="I302" s="904" t="n">
        <v>8.550000000000001</v>
      </c>
      <c r="J302" s="340">
        <f>F302*18%</f>
        <v/>
      </c>
      <c r="K302" s="340">
        <f>(F302-J302)*1.65%</f>
        <v/>
      </c>
      <c r="L302" s="340">
        <f>(F302-J302)*7.6%</f>
        <v/>
      </c>
      <c r="M302" s="1097" t="n">
        <v>5.75</v>
      </c>
      <c r="N302" s="785">
        <f>(G302+I302)*(9.25%)</f>
        <v/>
      </c>
      <c r="O302" s="708" t="n">
        <v>28.53</v>
      </c>
      <c r="P302" s="1016">
        <f>(F302 - (G302+I302+O302+(J302+K302+L302))) - (H302-M302-N302)</f>
        <v/>
      </c>
      <c r="Q302" s="462">
        <f>P302/F302</f>
        <v/>
      </c>
      <c r="R302" s="762" t="inlineStr">
        <is>
          <t>Ativo</t>
        </is>
      </c>
      <c r="S302" s="904" t="inlineStr">
        <is>
          <t>cano médio</t>
        </is>
      </c>
      <c r="T302" s="569" t="n"/>
      <c r="U302" s="1030" t="n"/>
      <c r="V302" s="1030" t="n"/>
      <c r="W302" s="1030" t="n"/>
    </row>
    <row r="303" ht="15.75" customHeight="1" s="1349">
      <c r="A303" s="669" t="inlineStr">
        <is>
          <t>8513202948154194</t>
        </is>
      </c>
      <c r="B303" s="756" t="e">
        <v>#N/A</v>
      </c>
      <c r="C303" s="904" t="inlineStr">
        <is>
          <t>Calfor</t>
        </is>
      </c>
      <c r="D303" s="491" t="inlineStr">
        <is>
          <t>Bota Pvc Stivalleto Impermeável Forrado Preto Cano Curto</t>
        </is>
      </c>
      <c r="E303" s="492" t="n"/>
      <c r="F303" s="747" t="n">
        <v>47.53</v>
      </c>
      <c r="G303" s="672">
        <f>F303*17%</f>
        <v/>
      </c>
      <c r="H303" s="759" t="n">
        <v>-2.85</v>
      </c>
      <c r="I303" s="904" t="n">
        <v>8.949999999999999</v>
      </c>
      <c r="J303" s="340">
        <f>F303*18%</f>
        <v/>
      </c>
      <c r="K303" s="340">
        <f>(F303-J303)*1.65%</f>
        <v/>
      </c>
      <c r="L303" s="340">
        <f>(F303-J303)*7.6%</f>
        <v/>
      </c>
      <c r="M303" s="784" t="n">
        <v>4.69</v>
      </c>
      <c r="N303" s="785">
        <f>(G303+I303)*(9.25%)</f>
        <v/>
      </c>
      <c r="O303" s="674" t="n">
        <v>23.29</v>
      </c>
      <c r="P303" s="1016">
        <f>(F303 - (G303+I303+O303+(J303+K303+L303))) - (H303-M303-N303)</f>
        <v/>
      </c>
      <c r="Q303" s="462">
        <f>P303/F303</f>
        <v/>
      </c>
      <c r="R303" s="762" t="inlineStr">
        <is>
          <t>Ativo</t>
        </is>
      </c>
      <c r="S303" s="904" t="inlineStr">
        <is>
          <t>cano curto</t>
        </is>
      </c>
      <c r="T303" s="569" t="n"/>
      <c r="U303" s="1030" t="n"/>
      <c r="V303" s="1030" t="n"/>
      <c r="W303" s="1030" t="n"/>
    </row>
    <row r="304" ht="15.75" customHeight="1" s="1349">
      <c r="A304" s="755" t="inlineStr">
        <is>
          <t>5864766062</t>
        </is>
      </c>
      <c r="B304" s="756" t="n">
        <v>10034034166266</v>
      </c>
      <c r="C304" s="1292" t="inlineStr">
        <is>
          <t>ÂNCORA</t>
        </is>
      </c>
      <c r="D304" s="491" t="inlineStr">
        <is>
          <t>Célula Carga De Gás Para Pistola Fixação Fga850n 1000 Tiros</t>
        </is>
      </c>
      <c r="E304" s="492" t="n"/>
      <c r="F304" s="856" t="n">
        <v>199.07</v>
      </c>
      <c r="G304" s="672">
        <f>F304*12%</f>
        <v/>
      </c>
      <c r="H304" s="759" t="n">
        <v>-4.08</v>
      </c>
      <c r="I304" s="904" t="n">
        <v>20.95</v>
      </c>
      <c r="J304" s="340">
        <f>F304*18%</f>
        <v/>
      </c>
      <c r="K304" s="340">
        <f>(F304-J304)*1.65%</f>
        <v/>
      </c>
      <c r="L304" s="340">
        <f>(F304-J304)*7.6%</f>
        <v/>
      </c>
      <c r="M304" s="1097" t="n">
        <v>16.01</v>
      </c>
      <c r="N304" s="785">
        <f>(G304+I304)*(9.25%)</f>
        <v/>
      </c>
      <c r="O304" s="701" t="n">
        <v>124.34</v>
      </c>
      <c r="P304" s="1016">
        <f>(F304 - (G304+I304+O304+(J304+K304+L304))) - (H304-M304-N304)</f>
        <v/>
      </c>
      <c r="Q304" s="462">
        <f>P304/F304</f>
        <v/>
      </c>
      <c r="R304" s="904" t="inlineStr">
        <is>
          <t>Ativo</t>
        </is>
      </c>
      <c r="S304" s="904" t="n"/>
      <c r="T304" s="569" t="n">
        <v>107</v>
      </c>
      <c r="U304" s="1030" t="n"/>
      <c r="V304" s="1030" t="n"/>
      <c r="W304" s="1030" t="n"/>
    </row>
    <row r="305" ht="15.75" customHeight="1" s="1349">
      <c r="A305" s="669" t="inlineStr">
        <is>
          <t>5552395388474959</t>
        </is>
      </c>
      <c r="B305" s="734" t="n">
        <v>10034034167552</v>
      </c>
      <c r="C305" s="1292" t="inlineStr">
        <is>
          <t>Bracol</t>
        </is>
      </c>
      <c r="D305" s="566" t="inlineStr">
        <is>
          <t>Botina Premium Bracol Elástico Bel Plus Bico Pvc Acolchoada</t>
        </is>
      </c>
      <c r="E305" s="712" t="n"/>
      <c r="F305" s="856" t="n">
        <v>99.62</v>
      </c>
      <c r="G305" s="672">
        <f>F305*12%</f>
        <v/>
      </c>
      <c r="H305" s="833" t="n">
        <v>-5.03</v>
      </c>
      <c r="I305" s="904" t="n">
        <v>15.75</v>
      </c>
      <c r="J305" s="340">
        <f>F305*18%</f>
        <v/>
      </c>
      <c r="K305" s="340">
        <f>(F305-J305)*1.65%</f>
        <v/>
      </c>
      <c r="L305" s="340">
        <f>(F305-J305)*7.6%</f>
        <v/>
      </c>
      <c r="M305" s="1097" t="n">
        <v>11.81</v>
      </c>
      <c r="N305" s="785">
        <f>(G305+I305)*(9.25%)</f>
        <v/>
      </c>
      <c r="O305" s="701" t="n">
        <v>58.62</v>
      </c>
      <c r="P305" s="1016">
        <f>(F305 - (G305+I305+O305+(J305+K305+L305))) - (H305-M305-N305)</f>
        <v/>
      </c>
      <c r="Q305" s="462">
        <f>P305/F305</f>
        <v/>
      </c>
      <c r="R305" s="904" t="inlineStr">
        <is>
          <t>Ativo</t>
        </is>
      </c>
      <c r="S305" s="904" t="n"/>
      <c r="T305" s="569" t="n"/>
      <c r="U305" s="1030" t="n"/>
      <c r="V305" s="1030" t="n"/>
      <c r="W305" s="1030" t="n"/>
    </row>
    <row r="306" ht="15.75" customHeight="1" s="1349">
      <c r="A306" s="669" t="inlineStr">
        <is>
          <t>5865932756</t>
        </is>
      </c>
      <c r="B306" s="734" t="n">
        <v>10034034167552</v>
      </c>
      <c r="C306" s="1292" t="inlineStr">
        <is>
          <t>VOLK</t>
        </is>
      </c>
      <c r="D306" s="566" t="inlineStr">
        <is>
          <t>Kit 2 Luva Verniz Silver Látex Proteção Química Impermeável</t>
        </is>
      </c>
      <c r="E306" s="712" t="n"/>
      <c r="F306" s="856" t="n">
        <v>26.39</v>
      </c>
      <c r="G306" s="672">
        <f>F306*18%</f>
        <v/>
      </c>
      <c r="H306" s="833" t="n">
        <v>-0.36</v>
      </c>
      <c r="I306" s="904" t="n">
        <v>6.65</v>
      </c>
      <c r="J306" s="340">
        <f>F306*18%</f>
        <v/>
      </c>
      <c r="K306" s="340">
        <f>(F306-J306)*1.65%</f>
        <v/>
      </c>
      <c r="L306" s="340">
        <f>(F306-J306)*7.6%</f>
        <v/>
      </c>
      <c r="M306" s="1097">
        <f>0.54*2</f>
        <v/>
      </c>
      <c r="N306" s="785">
        <f>(G306+I306)*(9.25%)</f>
        <v/>
      </c>
      <c r="O306" s="701">
        <f>4.18*2</f>
        <v/>
      </c>
      <c r="P306" s="1016">
        <f>(F306 - (G306+I306+O306+(J306+K306+L306))) - (H306-M306-N306)</f>
        <v/>
      </c>
      <c r="Q306" s="462">
        <f>P306/F306</f>
        <v/>
      </c>
      <c r="R306" s="904" t="inlineStr">
        <is>
          <t>Ativo</t>
        </is>
      </c>
      <c r="S306" s="904" t="inlineStr">
        <is>
          <t>1un</t>
        </is>
      </c>
      <c r="T306" s="569" t="n">
        <v>0</v>
      </c>
      <c r="U306" s="1030" t="n"/>
      <c r="V306" s="1030" t="n"/>
      <c r="W306" s="1030" t="n"/>
    </row>
    <row r="307" ht="15.75" customHeight="1" s="1349">
      <c r="A307" s="669" t="inlineStr">
        <is>
          <t>5865999822</t>
        </is>
      </c>
      <c r="B307" s="756" t="n">
        <v>10034034168244</v>
      </c>
      <c r="C307" s="1292" t="inlineStr">
        <is>
          <t>VOLK</t>
        </is>
      </c>
      <c r="D307" s="566" t="inlineStr">
        <is>
          <t>Kit 6 Luva Verniz Silver Látex Proteção Química Impermeável</t>
        </is>
      </c>
      <c r="E307" s="712" t="n"/>
      <c r="F307" s="856" t="n">
        <v>53.54</v>
      </c>
      <c r="G307" s="672">
        <f>F307*18%</f>
        <v/>
      </c>
      <c r="H307" s="833" t="n">
        <v>-1.66</v>
      </c>
      <c r="I307" s="904" t="n">
        <v>8.15</v>
      </c>
      <c r="J307" s="340">
        <f>F307*18%</f>
        <v/>
      </c>
      <c r="K307" s="340">
        <f>(F307-J307)*1.65%</f>
        <v/>
      </c>
      <c r="L307" s="340">
        <f>(F307-J307)*7.6%</f>
        <v/>
      </c>
      <c r="M307" s="1097">
        <f>0.54*6</f>
        <v/>
      </c>
      <c r="N307" s="785">
        <f>(G307+I307)*(9.25%)</f>
        <v/>
      </c>
      <c r="O307" s="701">
        <f>4.18*6</f>
        <v/>
      </c>
      <c r="P307" s="1016">
        <f>(F307 - (G307+I307+O307+(J307+K307+L307))) - (H307-M307-N307)</f>
        <v/>
      </c>
      <c r="Q307" s="462">
        <f>P307/F307</f>
        <v/>
      </c>
      <c r="R307" s="904" t="inlineStr">
        <is>
          <t>Ativo</t>
        </is>
      </c>
      <c r="S307" s="904" t="inlineStr">
        <is>
          <t>6un</t>
        </is>
      </c>
      <c r="T307" s="569" t="n">
        <v>1</v>
      </c>
      <c r="U307" s="1030" t="n"/>
      <c r="V307" s="1030" t="n"/>
      <c r="W307" s="1030">
        <f>5.89*20</f>
        <v/>
      </c>
    </row>
    <row r="308" ht="15.75" customHeight="1" s="1349">
      <c r="A308" s="669" t="inlineStr">
        <is>
          <t>4277469063</t>
        </is>
      </c>
      <c r="B308" s="734" t="n">
        <v>10034034167679</v>
      </c>
      <c r="C308" s="1292" t="inlineStr">
        <is>
          <t>Norton</t>
        </is>
      </c>
      <c r="D308" s="566" t="inlineStr">
        <is>
          <t>Kit Disco De Corte Bna12 15x1x2.23mm Corte Rápido Norton 5un</t>
        </is>
      </c>
      <c r="E308" s="712" t="n"/>
      <c r="F308" s="856" t="n">
        <v>52.01</v>
      </c>
      <c r="G308" s="672">
        <f>F308*18%</f>
        <v/>
      </c>
      <c r="H308" s="833" t="n">
        <v>-0.79</v>
      </c>
      <c r="I308" s="904">
        <f>IFS(
  F308&lt;12.5, F308/2,
  F308&lt;29, 6.25,
  F308&lt;50, 6.5,
  F308&lt;=79, 6.75,
  TRUE, 25
)</f>
        <v/>
      </c>
      <c r="J308" s="340">
        <f>F308*18%</f>
        <v/>
      </c>
      <c r="K308" s="340">
        <f>(F308-J308)*1.65%</f>
        <v/>
      </c>
      <c r="L308" s="340">
        <f>(F308-J308)*7.6%</f>
        <v/>
      </c>
      <c r="M308" s="1097">
        <f>1.27*5</f>
        <v/>
      </c>
      <c r="N308" s="785">
        <f>(G308+I308)*(9.25%)</f>
        <v/>
      </c>
      <c r="O308" s="701">
        <f>5.45*5</f>
        <v/>
      </c>
      <c r="P308" s="1016">
        <f>(F308 - (G308+I308+O308+(J308+K308+L308))) - (H308-M308-N308)</f>
        <v/>
      </c>
      <c r="Q308" s="462">
        <f>P308/F308</f>
        <v/>
      </c>
      <c r="R308" s="904" t="inlineStr">
        <is>
          <t>Ativo</t>
        </is>
      </c>
      <c r="S308" s="904" t="inlineStr">
        <is>
          <t>5un</t>
        </is>
      </c>
      <c r="T308" s="569" t="n"/>
      <c r="U308" s="1030" t="n"/>
      <c r="V308" s="1030" t="n"/>
      <c r="W308" s="1030" t="n"/>
    </row>
    <row r="309" ht="15.75" customHeight="1" s="1349">
      <c r="A309" s="1292" t="inlineStr">
        <is>
          <t>5869281552</t>
        </is>
      </c>
      <c r="B309" s="884" t="n">
        <v>10034034167680</v>
      </c>
      <c r="C309" s="1292" t="inlineStr">
        <is>
          <t>Norton</t>
        </is>
      </c>
      <c r="D309" s="491" t="inlineStr">
        <is>
          <t>Kit Disco De Corte Bna12 15x1x2.23mm Corte Rápido Norton 8un</t>
        </is>
      </c>
      <c r="E309" s="492" t="n"/>
      <c r="F309" s="856" t="n">
        <v>74.03</v>
      </c>
      <c r="G309" s="672">
        <f>F309*17%</f>
        <v/>
      </c>
      <c r="H309" s="833" t="n"/>
      <c r="I309" s="904">
        <f>IFS(
F309&lt;12.5, F309/2,
F309&lt;29, 6.25,
F309&lt;50, 6.5,
F309&lt;=79, 6.75,
TRUE, 
25)</f>
        <v/>
      </c>
      <c r="J309" s="340">
        <f>F309*18%</f>
        <v/>
      </c>
      <c r="K309" s="340">
        <f>(F309-J309)*1.65%</f>
        <v/>
      </c>
      <c r="L309" s="340">
        <f>(F309-J309)*7.6%</f>
        <v/>
      </c>
      <c r="M309" s="1097">
        <f>1.27*8</f>
        <v/>
      </c>
      <c r="N309" s="785">
        <f>(G309+I309)*(9.25%)</f>
        <v/>
      </c>
      <c r="O309" s="701">
        <f>5.45*8</f>
        <v/>
      </c>
      <c r="P309" s="1016">
        <f>(F309 - (G309+I309+O309+(J309+K309+L309))) - (H309-M309-N309)</f>
        <v/>
      </c>
      <c r="Q309" s="462">
        <f>P309/F309</f>
        <v/>
      </c>
      <c r="R309" s="904" t="inlineStr">
        <is>
          <t>Ativo</t>
        </is>
      </c>
      <c r="S309" s="904" t="inlineStr">
        <is>
          <t>8un</t>
        </is>
      </c>
      <c r="T309" s="569" t="n"/>
      <c r="U309" s="1030" t="n"/>
      <c r="V309" s="1030" t="n"/>
      <c r="W309" s="1030" t="n"/>
    </row>
    <row r="310" ht="15.75" customHeight="1" s="1349">
      <c r="A310" s="1292" t="inlineStr">
        <is>
          <t>5869402276</t>
        </is>
      </c>
      <c r="B310" s="884" t="n">
        <v>10034034167682</v>
      </c>
      <c r="C310" s="1292" t="inlineStr">
        <is>
          <t>Norton</t>
        </is>
      </c>
      <c r="D310" s="491" t="inlineStr">
        <is>
          <t>Kit Disco Desbaste 180x6,4x22,23mm Bda600 Classic Norton 4un</t>
        </is>
      </c>
      <c r="E310" s="492" t="n"/>
      <c r="F310" s="856" t="n">
        <v>76.31999999999999</v>
      </c>
      <c r="G310" s="1016">
        <f>F310*12%</f>
        <v/>
      </c>
      <c r="H310" s="833" t="n">
        <v>-0.89</v>
      </c>
      <c r="I310" s="904" t="n">
        <v>7.95</v>
      </c>
      <c r="J310" s="450" t="n">
        <v>0</v>
      </c>
      <c r="K310" s="340">
        <f>(F310-J310)*1.65%</f>
        <v/>
      </c>
      <c r="L310" s="340">
        <f>(F310-J310)*7.6%</f>
        <v/>
      </c>
      <c r="M310" s="1097">
        <f>1.22*4</f>
        <v/>
      </c>
      <c r="N310" s="785">
        <f>(G310+I310)*(9.25%)</f>
        <v/>
      </c>
      <c r="O310" s="701">
        <f>14.21*4</f>
        <v/>
      </c>
      <c r="P310" s="1016">
        <f>(F310 - (G310+I310+O310+(J310+K310+L310))) - (H310-M310-N310)</f>
        <v/>
      </c>
      <c r="Q310" s="462">
        <f>P310/F310</f>
        <v/>
      </c>
      <c r="R310" s="904" t="inlineStr">
        <is>
          <t>Ativo</t>
        </is>
      </c>
      <c r="S310" s="904" t="inlineStr">
        <is>
          <t>4un</t>
        </is>
      </c>
      <c r="T310" s="569" t="n"/>
      <c r="U310" s="1030" t="n"/>
      <c r="V310" s="1030" t="n"/>
      <c r="W310" s="1030" t="n"/>
    </row>
    <row r="311" ht="15.75" customHeight="1" s="1349">
      <c r="A311" s="1292" t="inlineStr">
        <is>
          <t>5869402692</t>
        </is>
      </c>
      <c r="B311" s="884" t="n">
        <v>10034034167212</v>
      </c>
      <c r="C311" s="1292" t="inlineStr">
        <is>
          <t>EPI</t>
        </is>
      </c>
      <c r="D311" s="491" t="inlineStr">
        <is>
          <t>Disco Desbaste 180x6,4x22,23mm Bda600 Durável Classic Norton</t>
        </is>
      </c>
      <c r="E311" s="492" t="n"/>
      <c r="F311" s="856" t="n">
        <v>28.5</v>
      </c>
      <c r="G311" s="1016">
        <f>F311*17%</f>
        <v/>
      </c>
      <c r="H311" s="833" t="n"/>
      <c r="I311" s="904">
        <f>IFS(
  F311&lt;12.5, F311/2,
  F311&lt;29, 6.25,
  F311&lt;50, 6.5,
  F311&lt;=79, 6.75,
  TRUE, 25
)</f>
        <v/>
      </c>
      <c r="J311" s="340">
        <f>F311*18%</f>
        <v/>
      </c>
      <c r="K311" s="340">
        <f>(F311-J311)*1.65%</f>
        <v/>
      </c>
      <c r="L311" s="340">
        <f>(F311-J311)*7.6%</f>
        <v/>
      </c>
      <c r="M311" s="577" t="n"/>
      <c r="N311" s="543">
        <f>(G311+I311)*(9.25%)</f>
        <v/>
      </c>
      <c r="O311" s="904" t="n">
        <v>9.9</v>
      </c>
      <c r="P311" s="1016">
        <f>(F311 - (G311+I311+O311+(J311+K311+L311))) - (H311-M311-N311)</f>
        <v/>
      </c>
      <c r="Q311" s="462">
        <f>P311/F311</f>
        <v/>
      </c>
      <c r="R311" s="904" t="inlineStr">
        <is>
          <t>Ativo</t>
        </is>
      </c>
      <c r="S311" s="904" t="inlineStr">
        <is>
          <t>1un</t>
        </is>
      </c>
      <c r="T311" s="569" t="n"/>
      <c r="U311" s="1030" t="n"/>
      <c r="V311" s="1030" t="n"/>
      <c r="W311" s="1030" t="n"/>
    </row>
    <row r="312" ht="15.75" customHeight="1" s="1349">
      <c r="A312" s="1292" t="inlineStr">
        <is>
          <t>4279043775</t>
        </is>
      </c>
      <c r="B312" s="884" t="n">
        <v>841596</v>
      </c>
      <c r="C312" s="1292" t="inlineStr">
        <is>
          <t>Bracol</t>
        </is>
      </c>
      <c r="D312" s="491">
        <f>HYPERLINK("https://produto.mercadolivre.com.br/MLB-4279043775-botina-premium-trabalho-usafe-bracol-bico-pvc-bidensidade-_JM","Botina Premium Trabalho Usafe Bracol Bico Pvc Bidensidade")</f>
        <v/>
      </c>
      <c r="E312" s="492" t="n"/>
      <c r="F312" s="856" t="n">
        <v>89.2</v>
      </c>
      <c r="G312" s="1016">
        <f>F312*12%</f>
        <v/>
      </c>
      <c r="H312" s="831" t="n"/>
      <c r="I312" s="904" t="n">
        <v>14.45</v>
      </c>
      <c r="J312" s="340">
        <f>F312*18%</f>
        <v/>
      </c>
      <c r="K312" s="340">
        <f>(F312-J312)*1.65%</f>
        <v/>
      </c>
      <c r="L312" s="340">
        <f>(F312-J312)*7.6%</f>
        <v/>
      </c>
      <c r="M312" s="1097" t="n">
        <v>8.77</v>
      </c>
      <c r="N312" s="785">
        <f>(G312+I312)*(9.25%)</f>
        <v/>
      </c>
      <c r="O312" s="701" t="n">
        <v>43.53</v>
      </c>
      <c r="P312" s="1016">
        <f>(F312 - (G312+I312+O312+(J312+K312+L312))) - (H312-M312-N312)</f>
        <v/>
      </c>
      <c r="Q312" s="462">
        <f>P312/F312</f>
        <v/>
      </c>
      <c r="R312" s="904" t="inlineStr">
        <is>
          <t>Ativo</t>
        </is>
      </c>
      <c r="S312" s="904" t="inlineStr">
        <is>
          <t>u-safe</t>
        </is>
      </c>
      <c r="T312" s="569" t="n">
        <v>15</v>
      </c>
      <c r="U312" s="1030" t="n"/>
      <c r="V312" s="1030" t="n"/>
      <c r="W312" s="1030" t="n"/>
    </row>
    <row r="313" ht="15.75" customHeight="1" s="1349">
      <c r="A313" s="1292" t="inlineStr">
        <is>
          <t>5873272254</t>
        </is>
      </c>
      <c r="B313" s="884" t="n">
        <v>10034034167690</v>
      </c>
      <c r="C313" s="1292" t="inlineStr">
        <is>
          <t>Plastcor</t>
        </is>
      </c>
      <c r="D313" s="491" t="inlineStr">
        <is>
          <t>Corrente De Segurança Delimitação Sinalização Plastcor 50m</t>
        </is>
      </c>
      <c r="E313" s="492" t="n"/>
      <c r="F313" s="856" t="n">
        <v>314.9</v>
      </c>
      <c r="G313" s="1016">
        <f>F313*17%</f>
        <v/>
      </c>
      <c r="H313" s="831" t="n">
        <v>-3.51</v>
      </c>
      <c r="I313" s="904" t="n">
        <v>28.35</v>
      </c>
      <c r="J313" s="340">
        <f>F313*18%</f>
        <v/>
      </c>
      <c r="K313" s="340">
        <f>(F313-J313)*1.65%</f>
        <v/>
      </c>
      <c r="L313" s="340">
        <f>(F313-J313)*7.6%</f>
        <v/>
      </c>
      <c r="M313" s="1097" t="n">
        <v>50</v>
      </c>
      <c r="N313" s="785">
        <f>(G313+I313)*(9.25%)</f>
        <v/>
      </c>
      <c r="O313" s="701">
        <f>4.27*50</f>
        <v/>
      </c>
      <c r="P313" s="1016">
        <f>(F313 - (G313+I313+O313+(J313+K313+L313))) - (H313-M313-N313)</f>
        <v/>
      </c>
      <c r="Q313" s="462">
        <f>P313/F313</f>
        <v/>
      </c>
      <c r="R313" s="904" t="inlineStr">
        <is>
          <t>Ativo</t>
        </is>
      </c>
      <c r="S313" s="904" t="inlineStr">
        <is>
          <t>50m</t>
        </is>
      </c>
      <c r="T313" s="569" t="n"/>
      <c r="U313" s="1030" t="n"/>
      <c r="V313" s="1030" t="n"/>
      <c r="W313" s="1030" t="n"/>
    </row>
    <row r="314" ht="15.75" customHeight="1" s="1349">
      <c r="A314" s="1292" t="inlineStr">
        <is>
          <t>5885590292</t>
        </is>
      </c>
      <c r="B314" s="884" t="n">
        <v>10034034167691</v>
      </c>
      <c r="C314" s="1292" t="inlineStr">
        <is>
          <t>Plastcor</t>
        </is>
      </c>
      <c r="D314" s="491" t="inlineStr">
        <is>
          <t>Corrente Pead Plástico Delimitação Logística Segurança 10m</t>
        </is>
      </c>
      <c r="E314" s="492" t="n"/>
      <c r="F314" s="856" t="n">
        <v>67.8</v>
      </c>
      <c r="G314" s="1016">
        <f>F314*12%</f>
        <v/>
      </c>
      <c r="H314" s="831" t="n">
        <v>-4.06</v>
      </c>
      <c r="I314" s="904" t="n">
        <v>8.15</v>
      </c>
      <c r="J314" s="340">
        <f>F314*18%</f>
        <v/>
      </c>
      <c r="K314" s="340">
        <f>(F314-J314)*1.65%</f>
        <v/>
      </c>
      <c r="L314" s="340">
        <f>(F314-J314)*7.6%</f>
        <v/>
      </c>
      <c r="M314" s="1097" t="n">
        <v>10</v>
      </c>
      <c r="N314" s="785">
        <f>(G314+I314)*(9.25%)</f>
        <v/>
      </c>
      <c r="O314" s="701">
        <f>4.27*10</f>
        <v/>
      </c>
      <c r="P314" s="1016">
        <f>(F314 - (G314+I314+O314+(J314+K314+L314))) - (H314-M314-N314)</f>
        <v/>
      </c>
      <c r="Q314" s="462">
        <f>P314/F314</f>
        <v/>
      </c>
      <c r="R314" s="904" t="inlineStr">
        <is>
          <t>Ativo</t>
        </is>
      </c>
      <c r="S314" s="904" t="inlineStr">
        <is>
          <t>10m</t>
        </is>
      </c>
      <c r="T314" s="569" t="n"/>
      <c r="U314" s="1030" t="n"/>
      <c r="V314" s="1030" t="n"/>
      <c r="W314" s="1030" t="n"/>
    </row>
    <row r="315" ht="15.75" customHeight="1" s="1349">
      <c r="A315" s="1292" t="inlineStr">
        <is>
          <t>5885635422</t>
        </is>
      </c>
      <c r="B315" s="884" t="n">
        <v>10034034167692</v>
      </c>
      <c r="C315" s="1292" t="inlineStr">
        <is>
          <t>Plastcor</t>
        </is>
      </c>
      <c r="D315" s="566" t="inlineStr">
        <is>
          <t>Corrente De Segurança Demarcar Área Para Obras Plastcor 5m</t>
        </is>
      </c>
      <c r="E315" s="492" t="n"/>
      <c r="F315" s="856" t="n">
        <v>38.79</v>
      </c>
      <c r="G315" s="1016">
        <f>F315*12%</f>
        <v/>
      </c>
      <c r="H315" s="831" t="n">
        <v>-1.2</v>
      </c>
      <c r="I315" s="904">
        <f>IFS(
  F315&lt;12.5, F315/2,
  F315&lt;29, 6.25,
  F315&lt;50, 6.5,
  F315&lt;=79, 6.75,
  TRUE, 25
)</f>
        <v/>
      </c>
      <c r="J315" s="340">
        <f>F315*18%</f>
        <v/>
      </c>
      <c r="K315" s="340">
        <f>(F315-J315)*1.65%</f>
        <v/>
      </c>
      <c r="L315" s="340">
        <f>(F315-J315)*7.6%</f>
        <v/>
      </c>
      <c r="M315" s="1097">
        <f>1*5</f>
        <v/>
      </c>
      <c r="N315" s="785">
        <f>(G315+I315)*(9.25%)</f>
        <v/>
      </c>
      <c r="O315" s="701">
        <f>4.27*5</f>
        <v/>
      </c>
      <c r="P315" s="1016">
        <f>(F315 - (G315+I315+O315+(J315+K315+L315))) - (H315-M315-N315)</f>
        <v/>
      </c>
      <c r="Q315" s="462">
        <f>P315/F315</f>
        <v/>
      </c>
      <c r="R315" s="904" t="inlineStr">
        <is>
          <t>Ativo</t>
        </is>
      </c>
      <c r="S315" s="904" t="inlineStr">
        <is>
          <t>5m</t>
        </is>
      </c>
      <c r="T315" s="569" t="n"/>
      <c r="U315" s="1030" t="n"/>
      <c r="V315" s="1030" t="n"/>
      <c r="W315" s="1030" t="n"/>
    </row>
    <row r="316" ht="15.75" customHeight="1" s="1349">
      <c r="A316" s="1292" t="inlineStr">
        <is>
          <t>4282350711</t>
        </is>
      </c>
      <c r="B316" s="884" t="n">
        <v>10034034167693</v>
      </c>
      <c r="C316" s="1292" t="inlineStr">
        <is>
          <t>Plastcor</t>
        </is>
      </c>
      <c r="D316" s="566" t="inlineStr">
        <is>
          <t>Corrente Pead Plástico Cone Demarcar Acesso Preto Laranja 2m</t>
        </is>
      </c>
      <c r="E316" s="571" t="n"/>
      <c r="F316" s="856" t="n">
        <v>22.99</v>
      </c>
      <c r="G316" s="1016">
        <f>F316*12%</f>
        <v/>
      </c>
      <c r="H316" s="831" t="n"/>
      <c r="I316" s="904" t="n">
        <v>6.65</v>
      </c>
      <c r="J316" s="340">
        <f>F316*18%</f>
        <v/>
      </c>
      <c r="K316" s="340">
        <f>(F316-J316)*1.65%</f>
        <v/>
      </c>
      <c r="L316" s="340">
        <f>(F316-J316)*7.6%</f>
        <v/>
      </c>
      <c r="M316" s="1097">
        <f>1*2</f>
        <v/>
      </c>
      <c r="N316" s="785">
        <f>(G316+I316)*(9.25%)</f>
        <v/>
      </c>
      <c r="O316" s="701">
        <f>4.27*2</f>
        <v/>
      </c>
      <c r="P316" s="1016">
        <f>(F316 - (G316+I316+O316+(J316+K316+L316))) - (H316-M316-N316)</f>
        <v/>
      </c>
      <c r="Q316" s="462">
        <f>P316/F316</f>
        <v/>
      </c>
      <c r="R316" s="904" t="inlineStr">
        <is>
          <t>Ativo</t>
        </is>
      </c>
      <c r="S316" s="904" t="inlineStr">
        <is>
          <t>2m</t>
        </is>
      </c>
      <c r="T316" s="569" t="n">
        <v>4</v>
      </c>
      <c r="U316" s="1030" t="n"/>
      <c r="V316" s="1030" t="n"/>
      <c r="W316" s="1030" t="n"/>
    </row>
    <row r="317" ht="15.75" customHeight="1" s="1349">
      <c r="A317" s="1292" t="inlineStr">
        <is>
          <t>5877428880</t>
        </is>
      </c>
      <c r="B317" s="884" t="n">
        <v>10034034167687</v>
      </c>
      <c r="C317" s="1292" t="inlineStr">
        <is>
          <t>Danny</t>
        </is>
      </c>
      <c r="D317" s="566" t="inlineStr">
        <is>
          <t>Kit Luva Látex Natural Silver Grip Nitrílica Reforçada 5un</t>
        </is>
      </c>
      <c r="E317" s="492" t="n"/>
      <c r="F317" s="856" t="n">
        <v>39.9</v>
      </c>
      <c r="G317" s="1016">
        <f>F317*12%</f>
        <v/>
      </c>
      <c r="H317" s="831" t="n">
        <v>-1.01</v>
      </c>
      <c r="I317" s="904" t="n">
        <v>6.75</v>
      </c>
      <c r="J317" s="340">
        <f>F317*18%</f>
        <v/>
      </c>
      <c r="K317" s="340">
        <f>(F317-J317)*1.65%</f>
        <v/>
      </c>
      <c r="L317" s="340">
        <f>(F317-J317)*7.6%</f>
        <v/>
      </c>
      <c r="M317" s="1097">
        <f>1.18*5</f>
        <v/>
      </c>
      <c r="N317" s="785">
        <f>(G317+I317)*(9.25%)</f>
        <v/>
      </c>
      <c r="O317" s="701">
        <f>4.62*5</f>
        <v/>
      </c>
      <c r="P317" s="1016">
        <f>(F317 - (G317+I317+O317+(J317+K317+L317))) - (H317-M317-N317)</f>
        <v/>
      </c>
      <c r="Q317" s="462">
        <f>P317/F317</f>
        <v/>
      </c>
      <c r="R317" s="904" t="inlineStr">
        <is>
          <t>Ativo</t>
        </is>
      </c>
      <c r="S317" s="904" t="inlineStr">
        <is>
          <t>G 5un</t>
        </is>
      </c>
      <c r="T317" s="569" t="n"/>
      <c r="U317" s="1030" t="n"/>
      <c r="V317" s="1030" t="n"/>
      <c r="W317" s="1030" t="n"/>
    </row>
    <row r="318" ht="15.75" customHeight="1" s="1349">
      <c r="A318" s="1292" t="inlineStr">
        <is>
          <t>5878928678</t>
        </is>
      </c>
      <c r="B318" s="884" t="n">
        <v>10034034167688</v>
      </c>
      <c r="C318" s="1292" t="inlineStr">
        <is>
          <t>Danny</t>
        </is>
      </c>
      <c r="D318" s="491" t="inlineStr">
        <is>
          <t>Kit Luva Látex Silver Grip Nitrílica Da360am Amarela 10pares</t>
        </is>
      </c>
      <c r="E318" s="492" t="n"/>
      <c r="F318" s="856" t="n">
        <v>73.88</v>
      </c>
      <c r="G318" s="1016">
        <f>F318*17%</f>
        <v/>
      </c>
      <c r="H318" s="831" t="n">
        <v>-1.27</v>
      </c>
      <c r="I318" s="904" t="n">
        <v>7.95</v>
      </c>
      <c r="J318" s="340">
        <f>F318*18%</f>
        <v/>
      </c>
      <c r="K318" s="340">
        <f>(F318-J318)*1.65%</f>
        <v/>
      </c>
      <c r="L318" s="340">
        <f>(F318-J318)*7.6%</f>
        <v/>
      </c>
      <c r="M318" s="1097">
        <f>1.18*10</f>
        <v/>
      </c>
      <c r="N318" s="785">
        <f>(G318+I318)*(9.25%)</f>
        <v/>
      </c>
      <c r="O318" s="701">
        <f>4.62*10</f>
        <v/>
      </c>
      <c r="P318" s="1016">
        <f>(F318 - (G318+I318+O318+(J318+K318+L318))) - (H318-M318-N318)</f>
        <v/>
      </c>
      <c r="Q318" s="462">
        <f>P318/F318</f>
        <v/>
      </c>
      <c r="R318" s="904" t="inlineStr">
        <is>
          <t>Ativo</t>
        </is>
      </c>
      <c r="S318" s="904" t="inlineStr">
        <is>
          <t>G 10un</t>
        </is>
      </c>
      <c r="T318" s="569" t="n"/>
      <c r="U318" s="1030" t="n"/>
      <c r="V318" s="1030" t="n"/>
      <c r="W318" s="1030" t="n"/>
    </row>
    <row r="319" ht="15.75" customHeight="1" s="1349">
      <c r="A319" s="1292" t="inlineStr">
        <is>
          <t>8522333183729101</t>
        </is>
      </c>
      <c r="B319" s="884" t="n">
        <v>10034034168168</v>
      </c>
      <c r="C319" s="1292" t="inlineStr">
        <is>
          <t>Outros</t>
        </is>
      </c>
      <c r="D319" s="491" t="inlineStr">
        <is>
          <t>Avental Pvc Ajustável Resistência Química Kp1000 Limpeza Epi</t>
        </is>
      </c>
      <c r="E319" s="492" t="n"/>
      <c r="F319" s="856" t="n">
        <v>28.12</v>
      </c>
      <c r="G319" s="1016">
        <f>F319*16.5%</f>
        <v/>
      </c>
      <c r="H319" s="831" t="n">
        <v>-1.08</v>
      </c>
      <c r="I319" s="904">
        <f>IFS(
  F319&lt;12.5, F319/2,
  F319&lt;29, 6.25,
  F319&lt;50, 6.5,
  F319&lt;=79, 6.75,
  TRUE, 25
)</f>
        <v/>
      </c>
      <c r="J319" s="340">
        <f>F319*18%</f>
        <v/>
      </c>
      <c r="K319" s="340">
        <f>(F319-J319)*1.65%</f>
        <v/>
      </c>
      <c r="L319" s="340">
        <f>(F319-J319)*7.6%</f>
        <v/>
      </c>
      <c r="M319" s="1097" t="n">
        <v>3.33</v>
      </c>
      <c r="N319" s="785">
        <f>(G319+I319)*(9.25%)</f>
        <v/>
      </c>
      <c r="O319" s="701" t="n">
        <v>13</v>
      </c>
      <c r="P319" s="1016">
        <f>(F319 - (G319+I319+O319+(J319+K319+L319))) - (H319-M319-N319)</f>
        <v/>
      </c>
      <c r="Q319" s="462">
        <f>P319/F319</f>
        <v/>
      </c>
      <c r="R319" s="904" t="inlineStr">
        <is>
          <t>Ativo</t>
        </is>
      </c>
      <c r="S319" s="904" t="n"/>
      <c r="T319" s="569" t="n"/>
      <c r="U319" s="1030" t="n"/>
      <c r="V319" s="1030" t="n"/>
      <c r="W319" s="1030" t="n"/>
    </row>
    <row r="320" ht="15.75" customHeight="1" s="1349">
      <c r="A320" s="763" t="inlineStr">
        <is>
          <t>4282769179</t>
        </is>
      </c>
      <c r="B320" s="764" t="n">
        <v>10034034167079</v>
      </c>
      <c r="C320" s="1292" t="inlineStr">
        <is>
          <t>TekBond</t>
        </is>
      </c>
      <c r="D320" s="491" t="inlineStr">
        <is>
          <t>Adesivo Selante Pu40 Alta Aderência Vedação Tekbond Branco</t>
        </is>
      </c>
      <c r="E320" s="492" t="n"/>
      <c r="F320" s="856" t="n">
        <v>25.56</v>
      </c>
      <c r="G320" s="1016">
        <f>F320*11.5%</f>
        <v/>
      </c>
      <c r="H320" s="831" t="n">
        <v>-0.93</v>
      </c>
      <c r="I320" s="904" t="n">
        <v>6.75</v>
      </c>
      <c r="J320" s="340">
        <f>F320*18%</f>
        <v/>
      </c>
      <c r="K320" s="340">
        <f>(F320-J320)*1.65%</f>
        <v/>
      </c>
      <c r="L320" s="340">
        <f>(F320-J320)*7.6%</f>
        <v/>
      </c>
      <c r="M320" s="1097" t="n">
        <v>2.85</v>
      </c>
      <c r="N320" s="785">
        <f>(G320+I320)*(9.25%)</f>
        <v/>
      </c>
      <c r="O320" s="701" t="n">
        <v>11.14</v>
      </c>
      <c r="P320" s="1016">
        <f>(F320 - (G320+I320+O320+(J320+K320+L320))) - (H320-M320-N320)</f>
        <v/>
      </c>
      <c r="Q320" s="462">
        <f>P320/F320</f>
        <v/>
      </c>
      <c r="R320" s="904" t="inlineStr">
        <is>
          <t>Ativo</t>
        </is>
      </c>
      <c r="S320" s="904" t="inlineStr">
        <is>
          <t>1un</t>
        </is>
      </c>
      <c r="T320" s="569" t="n"/>
      <c r="U320" s="1030" t="n"/>
      <c r="V320" s="1030" t="n"/>
      <c r="W320" s="1030" t="n"/>
    </row>
    <row r="321" ht="15.75" customHeight="1" s="1349">
      <c r="A321" s="1292" t="inlineStr">
        <is>
          <t>4282824409</t>
        </is>
      </c>
      <c r="B321" s="884" t="n">
        <v>10034034167717</v>
      </c>
      <c r="C321" s="1292" t="inlineStr">
        <is>
          <t>TekBond</t>
        </is>
      </c>
      <c r="D321" s="491" t="inlineStr">
        <is>
          <t>Kit Fixador Pu40 Secagem Rápida Vedação Selante Branco 3un</t>
        </is>
      </c>
      <c r="E321" s="492" t="n"/>
      <c r="F321" s="856" t="n">
        <v>55.23</v>
      </c>
      <c r="G321" s="1016">
        <f>F321*12.5%</f>
        <v/>
      </c>
      <c r="H321" s="831" t="n">
        <v>-2.37</v>
      </c>
      <c r="I321" s="904">
        <f>IFS(
  F321&lt;12.5, F321/2,
  F321&lt;29, 6.25,
  F321&lt;50, 6.5,
  F321&lt;=79, 6.75,
  TRUE, 25
)</f>
        <v/>
      </c>
      <c r="J321" s="340">
        <f>F321*18%</f>
        <v/>
      </c>
      <c r="K321" s="340">
        <f>(F321-J321)*1.65%</f>
        <v/>
      </c>
      <c r="L321" s="340">
        <f>(F321-J321)*7.6%</f>
        <v/>
      </c>
      <c r="M321" s="1097">
        <f>3.08*3</f>
        <v/>
      </c>
      <c r="N321" s="785">
        <f>(G321+I321)*(9.25%)</f>
        <v/>
      </c>
      <c r="O321" s="701">
        <f>12.04*3</f>
        <v/>
      </c>
      <c r="P321" s="1016">
        <f>(F321 - (G321+I321+O321+(J321+K321+L321))) - (H321-M321-N321)</f>
        <v/>
      </c>
      <c r="Q321" s="462">
        <f>P321/F321</f>
        <v/>
      </c>
      <c r="R321" s="904" t="inlineStr">
        <is>
          <t>Ativo</t>
        </is>
      </c>
      <c r="S321" s="904" t="inlineStr">
        <is>
          <t>3un</t>
        </is>
      </c>
      <c r="T321" s="569" t="n"/>
      <c r="U321" s="1030" t="n"/>
      <c r="V321" s="1030" t="n"/>
      <c r="W321" s="1030" t="n"/>
    </row>
    <row r="322" ht="15.75" customHeight="1" s="1349">
      <c r="A322" s="1292" t="inlineStr">
        <is>
          <t>5887767014</t>
        </is>
      </c>
      <c r="B322" s="884" t="n">
        <v>10034034167718</v>
      </c>
      <c r="C322" s="1292" t="inlineStr">
        <is>
          <t>TekBond</t>
        </is>
      </c>
      <c r="D322" s="481" t="inlineStr">
        <is>
          <t>Kit Silicone Pu40 Alta Aderência Vedação Varias Cores 10un</t>
        </is>
      </c>
      <c r="E322" s="904" t="n"/>
      <c r="F322" s="856" t="n">
        <v>228.7</v>
      </c>
      <c r="G322" s="1016">
        <f>F322*16.5%</f>
        <v/>
      </c>
      <c r="H322" s="831" t="n">
        <v>-6.25</v>
      </c>
      <c r="I322" s="904" t="n">
        <v>28.45</v>
      </c>
      <c r="J322" s="340">
        <f>F322*18%</f>
        <v/>
      </c>
      <c r="K322" s="340">
        <f>(F322-J322)*1.65%</f>
        <v/>
      </c>
      <c r="L322" s="340">
        <f>(F322-J322)*7.6%</f>
        <v/>
      </c>
      <c r="M322" s="577">
        <f>3.32*10</f>
        <v/>
      </c>
      <c r="N322" s="543">
        <f>(G322+I322)*(9.25%)</f>
        <v/>
      </c>
      <c r="O322" s="701">
        <f>12.96*10</f>
        <v/>
      </c>
      <c r="P322" s="1016">
        <f>(F322 - (G322+I322+O322+(J322+K322+L322))) - (H322-M322-N322)</f>
        <v/>
      </c>
      <c r="Q322" s="462">
        <f>P322/F322</f>
        <v/>
      </c>
      <c r="R322" s="904" t="inlineStr">
        <is>
          <t>Valor será corrigido após venda</t>
        </is>
      </c>
      <c r="S322" s="904" t="inlineStr">
        <is>
          <t>10un</t>
        </is>
      </c>
      <c r="T322" s="569" t="n"/>
      <c r="U322" s="1030" t="n"/>
      <c r="V322" s="1030" t="n"/>
      <c r="W322" s="1030" t="n"/>
    </row>
    <row r="323" ht="15.75" customHeight="1" s="1349">
      <c r="A323" s="1292" t="inlineStr">
        <is>
          <t>5892054624</t>
        </is>
      </c>
      <c r="B323" s="884" t="n">
        <v>842064</v>
      </c>
      <c r="C323" s="1292" t="inlineStr">
        <is>
          <t>Bracol</t>
        </is>
      </c>
      <c r="D323" s="481" t="inlineStr">
        <is>
          <t>Botina Bota Flex Hes Ocupacional Couro Acolchoada Forrada</t>
        </is>
      </c>
      <c r="E323" s="904" t="n"/>
      <c r="F323" s="856" t="n">
        <v>99.98999999999999</v>
      </c>
      <c r="G323" s="1016">
        <f>F323*17%</f>
        <v/>
      </c>
      <c r="H323" s="831" t="n"/>
      <c r="I323" s="904" t="n">
        <v>18.35</v>
      </c>
      <c r="J323" s="340">
        <f>F323*18%</f>
        <v/>
      </c>
      <c r="K323" s="340">
        <f>(F323-J323)*1.65%</f>
        <v/>
      </c>
      <c r="L323" s="340">
        <f>(F323-J323)*7.6%</f>
        <v/>
      </c>
      <c r="M323" s="1097" t="n">
        <v>9.619999999999999</v>
      </c>
      <c r="N323" s="785">
        <f>(G323+I323)*(9.25%)</f>
        <v/>
      </c>
      <c r="O323" s="718" t="n">
        <v>47.78</v>
      </c>
      <c r="P323" s="1016">
        <f>(F323 - (G323+I323+O323+(J323+K323+L323))) - (H323-M323-N323)</f>
        <v/>
      </c>
      <c r="Q323" s="462">
        <f>P323/F323</f>
        <v/>
      </c>
      <c r="R323" s="904" t="inlineStr">
        <is>
          <t>Ativo</t>
        </is>
      </c>
      <c r="S323" s="904" t="inlineStr">
        <is>
          <t>fujiwara</t>
        </is>
      </c>
      <c r="T323" s="569" t="n"/>
      <c r="U323" s="1030" t="n"/>
      <c r="V323" s="1030" t="n"/>
      <c r="W323" s="1030" t="n"/>
    </row>
    <row r="324" ht="15.75" customHeight="1" s="1349">
      <c r="A324" s="1292" t="inlineStr">
        <is>
          <t>4283860121</t>
        </is>
      </c>
      <c r="B324" s="884" t="n">
        <v>10034034167623</v>
      </c>
      <c r="C324" s="1292" t="inlineStr">
        <is>
          <t>EPI</t>
        </is>
      </c>
      <c r="D324" s="481" t="inlineStr">
        <is>
          <t>Capuz Balaclava Proteção Solar Uv50 Poliéster Azul Royal</t>
        </is>
      </c>
      <c r="E324" s="904" t="n"/>
      <c r="F324" s="856" t="n">
        <v>19.01</v>
      </c>
      <c r="G324" s="1016">
        <f>F324*17%</f>
        <v/>
      </c>
      <c r="H324" s="831" t="n">
        <v>-1.14</v>
      </c>
      <c r="I324" s="904" t="n">
        <v>6.55</v>
      </c>
      <c r="J324" s="340">
        <f>F324*18%</f>
        <v/>
      </c>
      <c r="K324" s="340">
        <f>(F324-J324)*1.65%</f>
        <v/>
      </c>
      <c r="L324" s="340">
        <f>(F324-J324)*7.6%</f>
        <v/>
      </c>
      <c r="M324" s="1097" t="n">
        <v>0.87</v>
      </c>
      <c r="N324" s="785">
        <f>(G324+I324)*(9.25%)</f>
        <v/>
      </c>
      <c r="O324" s="701" t="n">
        <v>4.3</v>
      </c>
      <c r="P324" s="1016">
        <f>(F324 - (G324+I324+O324+(J324+K324+L324))) - (H324-M324-N324)</f>
        <v/>
      </c>
      <c r="Q324" s="462">
        <f>P324/F324</f>
        <v/>
      </c>
      <c r="R324" s="904" t="inlineStr">
        <is>
          <t>Ativo</t>
        </is>
      </c>
      <c r="S324" s="904" t="inlineStr">
        <is>
          <t>criar indexadores p motoboy</t>
        </is>
      </c>
      <c r="T324" s="569" t="n"/>
      <c r="U324" s="1030" t="n"/>
      <c r="V324" s="1030" t="n"/>
      <c r="W324" s="1030" t="n"/>
    </row>
    <row r="325" ht="15.75" customHeight="1" s="1349">
      <c r="A325" s="1292" t="inlineStr">
        <is>
          <t>2785364363</t>
        </is>
      </c>
      <c r="B325" s="884" t="inlineStr">
        <is>
          <t>BW0029</t>
        </is>
      </c>
      <c r="C325" s="1292" t="inlineStr">
        <is>
          <t>Bracol</t>
        </is>
      </c>
      <c r="D325" s="481" t="inlineStr">
        <is>
          <t>Bota Botina Segurança Masculina Epi Bico Pvc Cano Baixo Top</t>
        </is>
      </c>
      <c r="E325" s="904" t="n"/>
      <c r="F325" s="856" t="n">
        <v>63.5</v>
      </c>
      <c r="G325" s="1016">
        <f>F325*12%</f>
        <v/>
      </c>
      <c r="H325" s="831" t="n">
        <v>-0.84</v>
      </c>
      <c r="I325" s="904" t="n">
        <v>8.550000000000001</v>
      </c>
      <c r="J325" s="340">
        <f>F325*18%</f>
        <v/>
      </c>
      <c r="K325" s="340">
        <f>(F325-J325)*1.65%</f>
        <v/>
      </c>
      <c r="L325" s="340">
        <f>(F325-J325)*7.6%</f>
        <v/>
      </c>
      <c r="M325" s="1097" t="n">
        <v>6.9</v>
      </c>
      <c r="N325" s="785">
        <f>(G325+I325)*(9.25%)</f>
        <v/>
      </c>
      <c r="O325" s="718" t="n">
        <v>34.26</v>
      </c>
      <c r="P325" s="1016">
        <f>(F325 - (G325+I325+O325+(J325+K325+L325))) - (H325-M325-N325)</f>
        <v/>
      </c>
      <c r="Q325" s="462">
        <f>P325/F325</f>
        <v/>
      </c>
      <c r="R325" s="904" t="inlineStr">
        <is>
          <t>Ativo</t>
        </is>
      </c>
      <c r="S325" s="904" t="inlineStr">
        <is>
          <t>crival</t>
        </is>
      </c>
      <c r="T325" s="569" t="n">
        <v>104</v>
      </c>
      <c r="U325" s="1030" t="n"/>
      <c r="V325" s="1030" t="n"/>
      <c r="W325" s="1030" t="n"/>
    </row>
    <row r="326" ht="15.75" customHeight="1" s="1349">
      <c r="A326" s="1292" t="inlineStr">
        <is>
          <t>4286671627</t>
        </is>
      </c>
      <c r="B326" s="884" t="n">
        <v>10034034166489</v>
      </c>
      <c r="C326" s="1292" t="inlineStr">
        <is>
          <t>Irwin</t>
        </is>
      </c>
      <c r="D326" s="765" t="inlineStr">
        <is>
          <t>Alicate Corte Eletricista Diagonal 1000v Isolado Resistente</t>
        </is>
      </c>
      <c r="E326" s="766" t="n"/>
      <c r="F326" s="856" t="n">
        <v>73.15000000000001</v>
      </c>
      <c r="G326" s="1016">
        <f>F326*12%</f>
        <v/>
      </c>
      <c r="H326" s="831" t="n">
        <v>-2.58</v>
      </c>
      <c r="I326" s="904" t="n">
        <v>7.75</v>
      </c>
      <c r="J326" s="340">
        <f>F326*18%</f>
        <v/>
      </c>
      <c r="K326" s="340">
        <f>(F326-J326)*1.65%</f>
        <v/>
      </c>
      <c r="L326" s="340">
        <f>(F326-J326)*7.6%</f>
        <v/>
      </c>
      <c r="M326" s="1097" t="n">
        <v>3.95</v>
      </c>
      <c r="N326" s="785">
        <f>(G326+I326)*(9.25%)</f>
        <v/>
      </c>
      <c r="O326" s="701" t="n">
        <v>42.71</v>
      </c>
      <c r="P326" s="1016">
        <f>(F326 - (G326+I326+O326+(J326+K326+L326))) - (H326-M326-N326)</f>
        <v/>
      </c>
      <c r="Q326" s="462">
        <f>P326/F326</f>
        <v/>
      </c>
      <c r="R326" s="904" t="inlineStr">
        <is>
          <t>Ativo</t>
        </is>
      </c>
      <c r="S326" s="904" t="n"/>
      <c r="T326" s="569" t="n"/>
      <c r="U326" s="1030" t="n"/>
      <c r="V326" s="1030" t="n"/>
      <c r="W326" s="1030" t="n"/>
    </row>
    <row r="327" ht="15.75" customHeight="1" s="1349">
      <c r="A327" s="1292" t="inlineStr">
        <is>
          <t>5896228948</t>
        </is>
      </c>
      <c r="B327" s="884" t="n">
        <v>10034034167725</v>
      </c>
      <c r="C327" s="1292" t="inlineStr">
        <is>
          <t>Irwin</t>
        </is>
      </c>
      <c r="D327" s="481" t="inlineStr">
        <is>
          <t>Alicate Corte Diagonal 8 Curvo Eletricista Vise Grip Irwin</t>
        </is>
      </c>
      <c r="E327" s="904" t="n"/>
      <c r="F327" s="856" t="n">
        <v>239.2</v>
      </c>
      <c r="G327" s="1016">
        <f>F327*12%</f>
        <v/>
      </c>
      <c r="H327" s="831" t="n"/>
      <c r="I327" s="904" t="n">
        <v>23.65</v>
      </c>
      <c r="J327" s="450" t="n">
        <v>0</v>
      </c>
      <c r="K327" s="340">
        <f>(F327-J327)*1.65%</f>
        <v/>
      </c>
      <c r="L327" s="340">
        <f>(F327-J327)*7.6%</f>
        <v/>
      </c>
      <c r="M327" s="1097" t="n">
        <v>13.82</v>
      </c>
      <c r="N327" s="785">
        <f>(G327+I327)*(9.25%)</f>
        <v/>
      </c>
      <c r="O327" s="701" t="n">
        <v>167.39</v>
      </c>
      <c r="P327" s="1016">
        <f>(F327 - (G327+I327+O327+(J327+K327+L327))) - (H327-M327-N327)</f>
        <v/>
      </c>
      <c r="Q327" s="462">
        <f>P327/F327</f>
        <v/>
      </c>
      <c r="R327" s="904" t="inlineStr">
        <is>
          <t>TRAVADO</t>
        </is>
      </c>
      <c r="S327" s="904" t="n"/>
      <c r="T327" s="569" t="n"/>
      <c r="U327" s="1030" t="n"/>
      <c r="V327" s="1030" t="n"/>
      <c r="W327" s="1030" t="n"/>
    </row>
    <row r="328" ht="15.75" customHeight="1" s="1349">
      <c r="A328" s="1292" t="inlineStr">
        <is>
          <t>5897235428</t>
        </is>
      </c>
      <c r="B328" s="884" t="n">
        <v>10034034167726</v>
      </c>
      <c r="C328" s="1292" t="inlineStr">
        <is>
          <t>Irwin</t>
        </is>
      </c>
      <c r="D328" s="481" t="inlineStr">
        <is>
          <t>Alicate Universal Eletricista Vise Grip 9,5 Polegadas Irwin</t>
        </is>
      </c>
      <c r="E328" s="904" t="n">
        <v>299</v>
      </c>
      <c r="F328" s="856" t="n">
        <v>259</v>
      </c>
      <c r="G328" s="1016">
        <f>F328*17%</f>
        <v/>
      </c>
      <c r="H328" s="831" t="n"/>
      <c r="I328" s="904" t="n">
        <v>23.65</v>
      </c>
      <c r="J328" s="450" t="n">
        <v>0</v>
      </c>
      <c r="K328" s="340">
        <f>(F328-J328)*1.65%</f>
        <v/>
      </c>
      <c r="L328" s="340">
        <f>(F328-J328)*7.6%</f>
        <v/>
      </c>
      <c r="M328" s="1097" t="n">
        <v>14.45</v>
      </c>
      <c r="N328" s="785">
        <f>(G328+I328)*(9.25%)</f>
        <v/>
      </c>
      <c r="O328" s="701" t="n">
        <v>175.11</v>
      </c>
      <c r="P328" s="1016">
        <f>(F328 - (G328+I328+O328+(J328+K328+L328))) - (H328-M328-N328)</f>
        <v/>
      </c>
      <c r="Q328" s="462">
        <f>P328/F328</f>
        <v/>
      </c>
      <c r="R328" s="904" t="inlineStr">
        <is>
          <t>Ativo</t>
        </is>
      </c>
      <c r="S328" s="904" t="n"/>
      <c r="T328" s="569" t="n"/>
      <c r="U328" s="1030" t="n"/>
      <c r="V328" s="1030" t="n"/>
      <c r="W328" s="1030" t="n"/>
    </row>
    <row r="329" ht="15.75" customHeight="1" s="1349">
      <c r="A329" s="1292" t="inlineStr">
        <is>
          <t>4288547521</t>
        </is>
      </c>
      <c r="B329" s="884" t="n">
        <v>10034034167695</v>
      </c>
      <c r="C329" s="1292" t="inlineStr">
        <is>
          <t>Bracol</t>
        </is>
      </c>
      <c r="D329" s="481" t="inlineStr">
        <is>
          <t>Botina Belf Bel Ocupacional Microfibra Resistente Perfuração</t>
        </is>
      </c>
      <c r="E329" s="904" t="n"/>
      <c r="F329" s="856" t="n">
        <v>140.65</v>
      </c>
      <c r="G329" s="1016">
        <f>F329*17%</f>
        <v/>
      </c>
      <c r="H329" s="831" t="n">
        <v>-5.83</v>
      </c>
      <c r="I329" s="904" t="n">
        <v>23.65</v>
      </c>
      <c r="J329" s="340">
        <f>F329*18%</f>
        <v/>
      </c>
      <c r="K329" s="340">
        <f>(F329-J329)*1.65%</f>
        <v/>
      </c>
      <c r="L329" s="340">
        <f>(F329-J329)*7.6%</f>
        <v/>
      </c>
      <c r="M329" s="1097" t="n">
        <v>15.24</v>
      </c>
      <c r="N329" s="785">
        <f>(G329+I329)*(9.25%)</f>
        <v/>
      </c>
      <c r="O329" s="701" t="n">
        <v>75.76000000000001</v>
      </c>
      <c r="P329" s="1016">
        <f>(F329 - (G329+I329+O329+(J329+K329+L329))) - (H329-M329-N329)</f>
        <v/>
      </c>
      <c r="Q329" s="462">
        <f>P329/F329</f>
        <v/>
      </c>
      <c r="R329" s="904" t="inlineStr">
        <is>
          <t>Ativo</t>
        </is>
      </c>
      <c r="S329" s="904" t="n"/>
      <c r="T329" s="569" t="n"/>
      <c r="U329" s="1030" t="n"/>
      <c r="V329" s="1030" t="n"/>
      <c r="W329" s="1030" t="n"/>
    </row>
    <row r="330" ht="15.75" customHeight="1" s="1349">
      <c r="A330" s="1292" t="inlineStr">
        <is>
          <t>5902737844</t>
        </is>
      </c>
      <c r="B330" s="884" t="n">
        <v>10034034166199</v>
      </c>
      <c r="C330" s="1292" t="inlineStr">
        <is>
          <t>Vinilseg</t>
        </is>
      </c>
      <c r="D330" s="765" t="inlineStr">
        <is>
          <t>Macacão Segurança Kp400 Pvc Química Impermeável C/ziper</t>
        </is>
      </c>
      <c r="E330" s="904" t="n"/>
      <c r="F330" s="856" t="n">
        <v>115.23</v>
      </c>
      <c r="G330" s="1016">
        <f>F330*19%</f>
        <v/>
      </c>
      <c r="H330" s="831" t="n">
        <v>-3.56</v>
      </c>
      <c r="I330" s="904" t="n">
        <v>18.85</v>
      </c>
      <c r="J330" s="340">
        <f>F330*18%</f>
        <v/>
      </c>
      <c r="K330" s="340">
        <f>(F330-J330)*1.65%</f>
        <v/>
      </c>
      <c r="L330" s="340">
        <f>(F330-J330)*7.6%</f>
        <v/>
      </c>
      <c r="M330" s="1097" t="n">
        <v>16.12</v>
      </c>
      <c r="N330" s="785">
        <f>(G330+I330)*(9.25%)</f>
        <v/>
      </c>
      <c r="O330" s="701" t="n">
        <v>63</v>
      </c>
      <c r="P330" s="1016">
        <f>(F330 - (G330+I330+O330+(J330+K330+L330))) - (H330-M330-N330)</f>
        <v/>
      </c>
      <c r="Q330" s="462">
        <f>P330/F330</f>
        <v/>
      </c>
      <c r="R330" s="904" t="inlineStr">
        <is>
          <t>Ativo</t>
        </is>
      </c>
      <c r="S330" s="904" t="n"/>
      <c r="T330" s="569" t="n"/>
      <c r="U330" s="1030" t="n"/>
      <c r="V330" s="1030" t="n"/>
      <c r="W330" s="1030" t="n"/>
    </row>
    <row r="331" ht="15.75" customHeight="1" s="1349">
      <c r="A331" s="1292" t="inlineStr">
        <is>
          <t>2914359248</t>
        </is>
      </c>
      <c r="B331" s="884" t="n">
        <v>100700703135</v>
      </c>
      <c r="C331" s="1292" t="inlineStr">
        <is>
          <t>Vinilseg</t>
        </is>
      </c>
      <c r="D331" s="481" t="inlineStr">
        <is>
          <t>Capa De Chuva Forrada Trevira Amarela Resistente Impermeável</t>
        </is>
      </c>
      <c r="E331" s="904" t="n"/>
      <c r="F331" s="856" t="n">
        <v>38.35</v>
      </c>
      <c r="G331" s="1016">
        <f>F331*12%</f>
        <v/>
      </c>
      <c r="H331" s="831" t="n">
        <v>-0.5600000000000001</v>
      </c>
      <c r="I331" s="904" t="n">
        <v>6.75</v>
      </c>
      <c r="J331" s="340">
        <f>F331*18%</f>
        <v/>
      </c>
      <c r="K331" s="340">
        <f>(F331-J331)*1.65%</f>
        <v/>
      </c>
      <c r="L331" s="340">
        <f>(F331-J331)*7.6%</f>
        <v/>
      </c>
      <c r="M331" s="1097" t="n">
        <v>3.64</v>
      </c>
      <c r="N331" s="785">
        <f>(G331+I331)*(9.25%)</f>
        <v/>
      </c>
      <c r="O331" s="701" t="n">
        <v>18.05</v>
      </c>
      <c r="P331" s="1016">
        <f>(F331 - (G331+I331+O331+(J331+K331+L331))) - (H331-M331-N331)</f>
        <v/>
      </c>
      <c r="Q331" s="462">
        <f>P331/F331</f>
        <v/>
      </c>
      <c r="R331" s="904" t="inlineStr">
        <is>
          <t>Ativo</t>
        </is>
      </c>
      <c r="S331" s="904" t="n"/>
      <c r="T331" s="569" t="n">
        <v>275</v>
      </c>
      <c r="U331" s="1030" t="n"/>
      <c r="V331" s="1030" t="n"/>
      <c r="W331" s="1030" t="n"/>
    </row>
    <row r="332" ht="15.75" customHeight="1" s="1349">
      <c r="A332" s="1292" t="inlineStr">
        <is>
          <t>4290191887</t>
        </is>
      </c>
      <c r="B332" s="884" t="n">
        <v>10034034167433</v>
      </c>
      <c r="C332" s="1292" t="inlineStr">
        <is>
          <t>Plastcor</t>
        </is>
      </c>
      <c r="D332" s="481" t="inlineStr">
        <is>
          <t>Fita Zebrada Isolamento Amarela Preta 7cm X 200m Demarcação</t>
        </is>
      </c>
      <c r="E332" s="904" t="n"/>
      <c r="F332" s="856" t="n">
        <v>22.9</v>
      </c>
      <c r="G332" s="1016">
        <f>F332*16.5%</f>
        <v/>
      </c>
      <c r="H332" s="831" t="n"/>
      <c r="I332" s="904" t="n">
        <v>6.75</v>
      </c>
      <c r="J332" s="340">
        <f>F332*18%</f>
        <v/>
      </c>
      <c r="K332" s="340">
        <f>(F332-J332)*1.65%</f>
        <v/>
      </c>
      <c r="L332" s="340">
        <f>(F332-J332)*7.6%</f>
        <v/>
      </c>
      <c r="M332" s="1097">
        <f>1.91*1</f>
        <v/>
      </c>
      <c r="N332" s="785">
        <f>(G332+I332)*(9.25%)</f>
        <v/>
      </c>
      <c r="O332" s="701" t="n">
        <v>7.8</v>
      </c>
      <c r="P332" s="1016">
        <f>(F332 - (G332+I332+O332+(J332+K332+L332))) - (H332-M332-N332)</f>
        <v/>
      </c>
      <c r="Q332" s="462">
        <f>P332/F332</f>
        <v/>
      </c>
      <c r="R332" s="904" t="inlineStr">
        <is>
          <t>Ativo</t>
        </is>
      </c>
      <c r="S332" s="904" t="inlineStr">
        <is>
          <t>1un</t>
        </is>
      </c>
      <c r="T332" s="569" t="n"/>
      <c r="U332" s="1030" t="n"/>
      <c r="V332" s="1030">
        <f>7.8-1.91</f>
        <v/>
      </c>
      <c r="W332" s="1030" t="n"/>
    </row>
    <row r="333" ht="15.75" customHeight="1" s="1349">
      <c r="A333" s="1292" t="inlineStr">
        <is>
          <t>4291633869</t>
        </is>
      </c>
      <c r="B333" s="884" t="n">
        <v>10034034167739</v>
      </c>
      <c r="C333" s="1292" t="inlineStr">
        <is>
          <t>Plastcor</t>
        </is>
      </c>
      <c r="D333" s="481" t="inlineStr">
        <is>
          <t>Fita Zebrada Demarcação Sinalização 7cm X 200m 2un</t>
        </is>
      </c>
      <c r="E333" s="904" t="n"/>
      <c r="F333" s="856" t="n">
        <v>29</v>
      </c>
      <c r="G333" s="1016">
        <f>F333*11.5%</f>
        <v/>
      </c>
      <c r="H333" s="831" t="n">
        <v>-0.9</v>
      </c>
      <c r="I333" s="904" t="n">
        <v>6.75</v>
      </c>
      <c r="J333" s="340">
        <f>F333*18%</f>
        <v/>
      </c>
      <c r="K333" s="340">
        <f>(F333-J333)*1.65%</f>
        <v/>
      </c>
      <c r="L333" s="340">
        <f>(F333-J333)*7.6%</f>
        <v/>
      </c>
      <c r="M333" s="1097">
        <f>1.91*2</f>
        <v/>
      </c>
      <c r="N333" s="785">
        <f>(G333+I333)*(9.25%)</f>
        <v/>
      </c>
      <c r="O333" s="701">
        <f>7.7*2</f>
        <v/>
      </c>
      <c r="P333" s="1016">
        <f>(F333 - (G333+I333+O333+(J333+K333+L333))) - (H333-M333-N333)</f>
        <v/>
      </c>
      <c r="Q333" s="462">
        <f>P333/F333</f>
        <v/>
      </c>
      <c r="R333" s="904" t="inlineStr">
        <is>
          <t>Ativo</t>
        </is>
      </c>
      <c r="S333" s="904" t="inlineStr">
        <is>
          <t>2un</t>
        </is>
      </c>
      <c r="T333" s="569" t="n"/>
      <c r="U333" s="1030" t="n"/>
      <c r="V333" s="1030" t="n"/>
      <c r="W333" s="1030" t="n"/>
    </row>
    <row r="334" ht="15.75" customHeight="1" s="1349">
      <c r="A334" s="1292" t="inlineStr">
        <is>
          <t>4291318083</t>
        </is>
      </c>
      <c r="B334" s="884" t="n">
        <v>10034034167737</v>
      </c>
      <c r="C334" s="1292" t="inlineStr">
        <is>
          <t>Plastcor</t>
        </is>
      </c>
      <c r="D334" s="481" t="inlineStr">
        <is>
          <t>Fita Zebrada Isolamento Sinalização Rolo 70mm X 200m Kit 5un</t>
        </is>
      </c>
      <c r="E334" s="904" t="n"/>
      <c r="F334" s="856" t="n">
        <v>61.01</v>
      </c>
      <c r="G334" s="1016">
        <f>F334*12%</f>
        <v/>
      </c>
      <c r="H334" s="831" t="n">
        <v>-1.89</v>
      </c>
      <c r="I334" s="904" t="n">
        <v>8.15</v>
      </c>
      <c r="J334" s="340">
        <f>F334*18%</f>
        <v/>
      </c>
      <c r="K334" s="340">
        <f>(F334-J334)*1.65%</f>
        <v/>
      </c>
      <c r="L334" s="340">
        <f>(F334-J334)*7.6%</f>
        <v/>
      </c>
      <c r="M334" s="1097">
        <f>1.91*5</f>
        <v/>
      </c>
      <c r="N334" s="785">
        <f>(G334+I334)*(9.25%)</f>
        <v/>
      </c>
      <c r="O334" s="701">
        <f>7.7*5</f>
        <v/>
      </c>
      <c r="P334" s="1016">
        <f>(F334 - (G334+I334+O334+(J334+K334+L334))) - (H334-M334-N334)</f>
        <v/>
      </c>
      <c r="Q334" s="462">
        <f>P334/F334</f>
        <v/>
      </c>
      <c r="R334" s="904" t="inlineStr">
        <is>
          <t>Ativo</t>
        </is>
      </c>
      <c r="S334" s="904" t="inlineStr">
        <is>
          <t>5un</t>
        </is>
      </c>
      <c r="T334" s="569" t="n"/>
      <c r="U334" s="1030" t="n"/>
      <c r="V334" s="1030" t="n"/>
      <c r="W334" s="1030" t="n"/>
    </row>
    <row r="335" ht="15.75" customHeight="1" s="1349">
      <c r="A335" s="1292" t="inlineStr">
        <is>
          <t>4290895879</t>
        </is>
      </c>
      <c r="B335" s="884" t="n">
        <v>10034034167735</v>
      </c>
      <c r="C335" s="1292" t="inlineStr">
        <is>
          <t>Plastcor</t>
        </is>
      </c>
      <c r="D335" s="481" t="inlineStr">
        <is>
          <t>Fita Zebrada Perímetro Sinalização Área Obra 70 X 200m 10un</t>
        </is>
      </c>
      <c r="E335" s="904" t="n"/>
      <c r="F335" s="856" t="n">
        <v>141.54</v>
      </c>
      <c r="G335" s="1016">
        <f>F335*16.5%</f>
        <v/>
      </c>
      <c r="H335" s="831" t="n"/>
      <c r="I335" s="904" t="n">
        <v>21.05</v>
      </c>
      <c r="J335" s="340">
        <f>F335*18%</f>
        <v/>
      </c>
      <c r="K335" s="340">
        <f>(F335-J335)*1.65%</f>
        <v/>
      </c>
      <c r="L335" s="340">
        <f>(F335-J335)*7.6%</f>
        <v/>
      </c>
      <c r="M335" s="1097">
        <f>1.91*10</f>
        <v/>
      </c>
      <c r="N335" s="785">
        <f>(G335+I335)*(9.25%)</f>
        <v/>
      </c>
      <c r="O335" s="701">
        <f>7.7*10</f>
        <v/>
      </c>
      <c r="P335" s="1016">
        <f>(F335 - (G335+I335+O335+(J335+K335+L335))) - (H335-M335-N335)</f>
        <v/>
      </c>
      <c r="Q335" s="462">
        <f>P335/F335</f>
        <v/>
      </c>
      <c r="R335" s="904" t="inlineStr">
        <is>
          <t>Ativo</t>
        </is>
      </c>
      <c r="S335" s="904" t="inlineStr">
        <is>
          <t>10un</t>
        </is>
      </c>
      <c r="T335" s="569" t="n"/>
      <c r="U335" s="1030" t="n"/>
      <c r="V335" s="1030" t="n"/>
      <c r="W335" s="1030" t="n"/>
    </row>
    <row r="336" ht="15.75" customHeight="1" s="1349">
      <c r="A336" s="1292" t="inlineStr">
        <is>
          <t>4291327141</t>
        </is>
      </c>
      <c r="B336" s="884" t="n">
        <v>10034034167736</v>
      </c>
      <c r="C336" s="1292" t="inlineStr">
        <is>
          <t>Plastcor</t>
        </is>
      </c>
      <c r="D336" s="481" t="inlineStr">
        <is>
          <t>Fita Zebrada Demarcação Segurança Isolamento 7cm X 200m 20un</t>
        </is>
      </c>
      <c r="E336" s="904" t="n"/>
      <c r="F336" s="856" t="n">
        <v>259</v>
      </c>
      <c r="G336" s="1016">
        <f>F336*16.5%</f>
        <v/>
      </c>
      <c r="H336" s="831" t="n"/>
      <c r="I336" s="904" t="n">
        <v>28.35</v>
      </c>
      <c r="J336" s="340">
        <f>F336*18%</f>
        <v/>
      </c>
      <c r="K336" s="340">
        <f>(F336-J336)*1.65%</f>
        <v/>
      </c>
      <c r="L336" s="340">
        <f>(F336-J336)*7.6%</f>
        <v/>
      </c>
      <c r="M336" s="1097">
        <f>1.91*20</f>
        <v/>
      </c>
      <c r="N336" s="785">
        <f>(G336+I336)*(9.25%)</f>
        <v/>
      </c>
      <c r="O336" s="701">
        <f>7.7*20</f>
        <v/>
      </c>
      <c r="P336" s="1016">
        <f>(F336 - (G336+I336+O336+(J336+K336+L336))) - (H336-M336-N336)</f>
        <v/>
      </c>
      <c r="Q336" s="462">
        <f>P336/F336</f>
        <v/>
      </c>
      <c r="R336" s="904" t="inlineStr">
        <is>
          <t>Ativo</t>
        </is>
      </c>
      <c r="S336" s="904" t="inlineStr">
        <is>
          <t>20un</t>
        </is>
      </c>
      <c r="T336" s="569" t="n"/>
      <c r="U336" s="1030" t="n"/>
      <c r="V336" s="1030" t="n"/>
      <c r="W336" s="1030" t="n"/>
    </row>
    <row r="337" ht="15.75" customHeight="1" s="1349">
      <c r="A337" s="1292" t="inlineStr">
        <is>
          <t>5913550104</t>
        </is>
      </c>
      <c r="B337" s="884" t="n">
        <v>10034034167300</v>
      </c>
      <c r="C337" s="1292" t="inlineStr">
        <is>
          <t>EPI</t>
        </is>
      </c>
      <c r="D337" s="765" t="inlineStr">
        <is>
          <t>Luva Nitrílica Nitriflex Cano Longo 46cm Resistencia Química</t>
        </is>
      </c>
      <c r="E337" s="904" t="n"/>
      <c r="F337" s="856" t="n">
        <v>55.1</v>
      </c>
      <c r="G337" s="1016">
        <f>F337*17%</f>
        <v/>
      </c>
      <c r="H337" s="767" t="n"/>
      <c r="I337" s="904">
        <f>IFS(
  F337&lt;12.5, F337/2,
  F337&lt;29, 6.25,
  F337&lt;50, 6.5,
  F337&lt;=79, 6.75,
  TRUE, 25
)</f>
        <v/>
      </c>
      <c r="J337" s="340">
        <f>F337*18%</f>
        <v/>
      </c>
      <c r="K337" s="340">
        <f>(F337-J337)*1.65%</f>
        <v/>
      </c>
      <c r="L337" s="340">
        <f>(F337-J337)*7.6%</f>
        <v/>
      </c>
      <c r="M337" s="1097" t="n">
        <v>3.08</v>
      </c>
      <c r="N337" s="543">
        <f>(G337+I337)*(9.25%)</f>
        <v/>
      </c>
      <c r="O337" s="701" t="n">
        <v>25.49</v>
      </c>
      <c r="P337" s="1016">
        <f>(F337 - (G337+I337+O337+(J337+K337+L337))) - (H337-M337-N337)</f>
        <v/>
      </c>
      <c r="Q337" s="462">
        <f>P337/F337</f>
        <v/>
      </c>
      <c r="R337" s="904" t="inlineStr">
        <is>
          <t>Ativo</t>
        </is>
      </c>
      <c r="S337" s="904" t="inlineStr">
        <is>
          <t>P,M,G</t>
        </is>
      </c>
      <c r="T337" s="569" t="n"/>
      <c r="U337" s="1030" t="n"/>
      <c r="V337" s="1030" t="n"/>
      <c r="W337" s="1030" t="n"/>
    </row>
    <row r="338" ht="15.75" customHeight="1" s="1349">
      <c r="A338" s="1292" t="inlineStr">
        <is>
          <t>4293288237</t>
        </is>
      </c>
      <c r="B338" s="884" t="n">
        <v>10034034167758</v>
      </c>
      <c r="C338" s="1292" t="inlineStr">
        <is>
          <t>VOLK</t>
        </is>
      </c>
      <c r="D338" s="765" t="inlineStr">
        <is>
          <t>Luva Grip Tricotada Algodão Palma Revestida Látex Tamanho G</t>
        </is>
      </c>
      <c r="E338" s="904" t="n"/>
      <c r="F338" s="856" t="n">
        <v>23.18</v>
      </c>
      <c r="G338" s="1016">
        <f>F338*13%</f>
        <v/>
      </c>
      <c r="H338" s="831" t="n">
        <v>-0.68</v>
      </c>
      <c r="I338" s="904">
        <f>IFS(
F338&lt;12.5, F338/2,
F338&lt;29, 6.25,
F338&lt;50, 6.5,
F338&lt;=79, 6.75,
TRUE, 
25)</f>
        <v/>
      </c>
      <c r="J338" s="340">
        <f>F338*18%</f>
        <v/>
      </c>
      <c r="K338" s="340">
        <f>(F338-J338)*1.65%</f>
        <v/>
      </c>
      <c r="L338" s="340">
        <f>(F338-J338)*7.6%</f>
        <v/>
      </c>
      <c r="M338" s="1097" t="n">
        <v>1.14</v>
      </c>
      <c r="N338" s="785">
        <f>(G338+I338)*(9.25%)</f>
        <v/>
      </c>
      <c r="O338" s="679" t="n">
        <v>7.42</v>
      </c>
      <c r="P338" s="1016">
        <f>(F338 - (G338+I338+O338+(J338+K338+L338))) - (H338-M338-N338)</f>
        <v/>
      </c>
      <c r="Q338" s="462">
        <f>P338/F338</f>
        <v/>
      </c>
      <c r="R338" s="904" t="inlineStr">
        <is>
          <t>Ativo</t>
        </is>
      </c>
      <c r="S338" s="904" t="inlineStr">
        <is>
          <t>G</t>
        </is>
      </c>
      <c r="T338" s="569" t="n"/>
      <c r="U338" s="1030" t="n"/>
      <c r="V338" s="1030" t="n"/>
      <c r="W338" s="1030" t="n"/>
    </row>
    <row r="339" ht="15.75" customHeight="1" s="1349">
      <c r="A339" s="1292" t="inlineStr">
        <is>
          <t>5914199716</t>
        </is>
      </c>
      <c r="B339" s="884" t="n">
        <v>10034034167759</v>
      </c>
      <c r="C339" s="1292" t="inlineStr">
        <is>
          <t>VOLK</t>
        </is>
      </c>
      <c r="D339" s="481" t="inlineStr">
        <is>
          <t>Luva Grip Tricotada Algodão Reforçada Proteção Tamanho G 2un</t>
        </is>
      </c>
      <c r="E339" s="904" t="n"/>
      <c r="F339" s="856" t="n">
        <v>35.56</v>
      </c>
      <c r="G339" s="1016">
        <f>F339*17%</f>
        <v/>
      </c>
      <c r="H339" s="831" t="n">
        <v>-0.72</v>
      </c>
      <c r="I339" s="904" t="n">
        <v>6.75</v>
      </c>
      <c r="J339" s="340">
        <f>F339*18%</f>
        <v/>
      </c>
      <c r="K339" s="340">
        <f>(F339-J339)*1.65%</f>
        <v/>
      </c>
      <c r="L339" s="340">
        <f>(F339-J339)*7.6%</f>
        <v/>
      </c>
      <c r="M339" s="1097">
        <f>1.14*2</f>
        <v/>
      </c>
      <c r="N339" s="785">
        <f>(G339+I339)*(9.25%)</f>
        <v/>
      </c>
      <c r="O339" s="679">
        <f>5.64*2</f>
        <v/>
      </c>
      <c r="P339" s="1016">
        <f>(F339 - (G339+I339+O339+(J339+K339+L339))) - (H339-M339-N339)</f>
        <v/>
      </c>
      <c r="Q339" s="462">
        <f>P339/F339</f>
        <v/>
      </c>
      <c r="R339" s="904" t="inlineStr">
        <is>
          <t>Ativo</t>
        </is>
      </c>
      <c r="S339" s="904" t="inlineStr">
        <is>
          <t>2un G</t>
        </is>
      </c>
      <c r="T339" s="569" t="n"/>
      <c r="U339" s="1030" t="n"/>
      <c r="V339" s="1030" t="n"/>
      <c r="W339" s="1030" t="n"/>
    </row>
    <row r="340" ht="15.75" customHeight="1" s="1349">
      <c r="A340" s="1292" t="inlineStr">
        <is>
          <t>4294640887</t>
        </is>
      </c>
      <c r="B340" s="884" t="n">
        <v>10034034167760</v>
      </c>
      <c r="C340" s="1292" t="inlineStr">
        <is>
          <t>VOLK</t>
        </is>
      </c>
      <c r="D340" s="481" t="inlineStr">
        <is>
          <t>Luva Grip Tricotada Reforçada Proteção Mecânica Tamanho G 5u</t>
        </is>
      </c>
      <c r="E340" s="904" t="n"/>
      <c r="F340" s="856" t="n">
        <v>54.22</v>
      </c>
      <c r="G340" s="1016">
        <f>F340*17%</f>
        <v/>
      </c>
      <c r="H340" s="831" t="n">
        <v>-2.07</v>
      </c>
      <c r="I340" s="904" t="n">
        <v>6.75</v>
      </c>
      <c r="J340" s="340">
        <f>F340*18%</f>
        <v/>
      </c>
      <c r="K340" s="340">
        <f>(F340-J340)*1.65%</f>
        <v/>
      </c>
      <c r="L340" s="340">
        <f>(F340-J340)*7.6%</f>
        <v/>
      </c>
      <c r="M340" s="1097">
        <f>1.14*5</f>
        <v/>
      </c>
      <c r="N340" s="785">
        <f>(G340+I340)*(9.25%)</f>
        <v/>
      </c>
      <c r="O340" s="679">
        <f>5.64*5</f>
        <v/>
      </c>
      <c r="P340" s="1016">
        <f>(F340 - (G340+I340+O340+(J340+K340+L340))) - (H340-M340-N340)</f>
        <v/>
      </c>
      <c r="Q340" s="462">
        <f>P340/F340</f>
        <v/>
      </c>
      <c r="R340" s="904" t="inlineStr">
        <is>
          <t>Ativo</t>
        </is>
      </c>
      <c r="S340" s="904" t="inlineStr">
        <is>
          <t>5un G</t>
        </is>
      </c>
      <c r="T340" s="569" t="n"/>
      <c r="U340" s="1030" t="n"/>
      <c r="V340" s="1030" t="n"/>
      <c r="W340" s="1030" t="n"/>
    </row>
    <row r="341" ht="15.75" customHeight="1" s="1349">
      <c r="A341" s="1292" t="inlineStr">
        <is>
          <t>4294577981</t>
        </is>
      </c>
      <c r="B341" s="884" t="n">
        <v>10034034167763</v>
      </c>
      <c r="C341" s="1292" t="inlineStr">
        <is>
          <t>VOLK</t>
        </is>
      </c>
      <c r="D341" s="768" t="inlineStr">
        <is>
          <t>Kit Luva Grip Tricotada Reforçada Volk Tamanho G 12 Pares</t>
        </is>
      </c>
      <c r="E341" s="1206" t="n"/>
      <c r="F341" s="856" t="n">
        <v>134.95</v>
      </c>
      <c r="G341" s="1016">
        <f>F341*17%</f>
        <v/>
      </c>
      <c r="H341" s="831" t="n">
        <v>-1.3</v>
      </c>
      <c r="I341" s="904" t="n">
        <v>19.25</v>
      </c>
      <c r="J341" s="340">
        <f>F341*18%</f>
        <v/>
      </c>
      <c r="K341" s="340">
        <f>(F341-J341)*1.65%</f>
        <v/>
      </c>
      <c r="L341" s="340">
        <f>(F341-J341)*7.6%</f>
        <v/>
      </c>
      <c r="M341" s="1097">
        <f>1.14*12</f>
        <v/>
      </c>
      <c r="N341" s="785">
        <f>(G341+I341)*(9.25%)</f>
        <v/>
      </c>
      <c r="O341" s="679">
        <f>5.64*12</f>
        <v/>
      </c>
      <c r="P341" s="1016">
        <f>(F341 - (G341+I341+O341+(J341+K341+L341))) - (H341-M341-N341)</f>
        <v/>
      </c>
      <c r="Q341" s="462">
        <f>P341/F341</f>
        <v/>
      </c>
      <c r="R341" s="904" t="inlineStr">
        <is>
          <t>Ativo</t>
        </is>
      </c>
      <c r="S341" s="904" t="inlineStr">
        <is>
          <t>12un G</t>
        </is>
      </c>
      <c r="T341" s="569" t="n"/>
      <c r="U341" s="1030" t="n"/>
      <c r="V341" s="1030" t="n"/>
      <c r="W341" s="1030" t="n"/>
    </row>
    <row r="342" ht="15.75" customHeight="1" s="1349">
      <c r="A342" s="1292" t="inlineStr">
        <is>
          <t>4293235549</t>
        </is>
      </c>
      <c r="B342" s="884" t="n">
        <v>10034034168087</v>
      </c>
      <c r="C342" s="1292" t="inlineStr">
        <is>
          <t>Plastcor</t>
        </is>
      </c>
      <c r="D342" s="771" t="inlineStr">
        <is>
          <t>Fita Zebrada Laranja Branca Demarcação Reforçada 100m X</t>
        </is>
      </c>
      <c r="E342" s="771" t="n"/>
      <c r="F342" s="856" t="n">
        <v>24.1</v>
      </c>
      <c r="G342" s="1016">
        <f>F342*16.5%</f>
        <v/>
      </c>
      <c r="H342" s="831" t="n"/>
      <c r="I342" s="904">
        <f>IFS(
  F342&lt;12.5, F342/2,
  F342&lt;29, 6.25,
  F342&lt;50, 6.5,
  F342&lt;=79, 6.75,
  TRUE, 25
)</f>
        <v/>
      </c>
      <c r="J342" s="340">
        <f>F342*18%</f>
        <v/>
      </c>
      <c r="K342" s="340">
        <f>(F342-J342)*1.65%</f>
        <v/>
      </c>
      <c r="L342" s="340">
        <f>(F342-J342)*7.6%</f>
        <v/>
      </c>
      <c r="M342" s="1097" t="n">
        <v>0.91</v>
      </c>
      <c r="N342" s="785">
        <f>(G342+I342)*(9.25%)</f>
        <v/>
      </c>
      <c r="O342" s="701" t="n">
        <v>9.800000000000001</v>
      </c>
      <c r="P342" s="1016">
        <f>(F342 - (G342+I342+O342+(J342+K342+L342))) - (H342-M342-N342)</f>
        <v/>
      </c>
      <c r="Q342" s="462">
        <f>P342/F342</f>
        <v/>
      </c>
      <c r="R342" s="904" t="inlineStr">
        <is>
          <t>sem estoque</t>
        </is>
      </c>
      <c r="S342" s="904" t="inlineStr">
        <is>
          <t>1un</t>
        </is>
      </c>
      <c r="T342" s="569" t="n"/>
      <c r="U342" s="1030" t="n"/>
      <c r="V342" s="1030" t="n"/>
      <c r="W342" s="1030" t="n"/>
    </row>
    <row r="343" ht="15.75" customHeight="1" s="1349">
      <c r="A343" s="1292" t="inlineStr">
        <is>
          <t>4293235795</t>
        </is>
      </c>
      <c r="B343" s="884" t="n">
        <v>10034034168237</v>
      </c>
      <c r="C343" s="1292" t="inlineStr">
        <is>
          <t>Plastcor</t>
        </is>
      </c>
      <c r="D343" s="768" t="inlineStr">
        <is>
          <t>Kit 2 Fita Zebrada Laranja E Branco Reforçada 7 Cm X 200m</t>
        </is>
      </c>
      <c r="E343" s="1206" t="n"/>
      <c r="F343" s="856" t="n">
        <v>32.99</v>
      </c>
      <c r="G343" s="1016">
        <f>F343*11.5%</f>
        <v/>
      </c>
      <c r="H343" s="831" t="n"/>
      <c r="I343" s="904" t="n">
        <v>6.65</v>
      </c>
      <c r="J343" s="340">
        <f>F343*18%</f>
        <v/>
      </c>
      <c r="K343" s="340">
        <f>(F343-J343)*1.65%</f>
        <v/>
      </c>
      <c r="L343" s="340">
        <f>(F343-J343)*7.6%</f>
        <v/>
      </c>
      <c r="M343" s="784">
        <f>2.34*2</f>
        <v/>
      </c>
      <c r="N343" s="785">
        <f>(G343+I343)*(9.25%)</f>
        <v/>
      </c>
      <c r="O343" s="786">
        <f>9.44*2</f>
        <v/>
      </c>
      <c r="P343" s="1016">
        <f>(F343 - (G343+I343+O343+(J343+K343+L343))) - (H343-M343-N343)</f>
        <v/>
      </c>
      <c r="Q343" s="462">
        <f>P343/F343</f>
        <v/>
      </c>
      <c r="R343" s="904" t="inlineStr">
        <is>
          <t>sem estoque</t>
        </is>
      </c>
      <c r="S343" s="904" t="inlineStr">
        <is>
          <t>2un</t>
        </is>
      </c>
      <c r="T343" s="569" t="n"/>
      <c r="U343" s="1030" t="n"/>
      <c r="V343" s="1030" t="n"/>
      <c r="W343" s="1030" t="n"/>
    </row>
    <row r="344" ht="15.75" customHeight="1" s="1349">
      <c r="A344" s="1292" t="inlineStr">
        <is>
          <t>4293235795</t>
        </is>
      </c>
      <c r="B344" s="884" t="n">
        <v>10034034168088</v>
      </c>
      <c r="C344" s="1292" t="inlineStr">
        <is>
          <t>Plastcor</t>
        </is>
      </c>
      <c r="D344" s="1196" t="inlineStr">
        <is>
          <t>kit 2 Fita Zebrada Laranja 100m</t>
        </is>
      </c>
      <c r="E344" s="1196" t="n"/>
      <c r="F344" s="856" t="n">
        <v>29.9</v>
      </c>
      <c r="G344" s="1016">
        <f>F344*16.5%</f>
        <v/>
      </c>
      <c r="H344" s="831" t="n"/>
      <c r="I344" s="904" t="n">
        <v>6.75</v>
      </c>
      <c r="J344" s="340">
        <f>F344*18%</f>
        <v/>
      </c>
      <c r="K344" s="340">
        <f>(F344-J344)*1.65%</f>
        <v/>
      </c>
      <c r="L344" s="340">
        <f>(F344-J344)*7.6%</f>
        <v/>
      </c>
      <c r="M344" s="784">
        <f>1.72*2</f>
        <v/>
      </c>
      <c r="N344" s="785">
        <f>(G344+I344)*(9.25%)</f>
        <v/>
      </c>
      <c r="O344" s="786">
        <f>6.93*2</f>
        <v/>
      </c>
      <c r="P344" s="1016">
        <f>(F344 - (G344+I344+O344+(J344+K344+L344))) - (H344-M344-N344)</f>
        <v/>
      </c>
      <c r="Q344" s="462">
        <f>P344/F344</f>
        <v/>
      </c>
      <c r="R344" s="904" t="inlineStr">
        <is>
          <t>Ativo</t>
        </is>
      </c>
      <c r="S344" s="904" t="n"/>
      <c r="T344" s="774" t="n"/>
      <c r="U344" s="775" t="n"/>
      <c r="V344" s="775" t="n"/>
      <c r="W344" s="775" t="n"/>
    </row>
    <row r="345" ht="15.75" customHeight="1" s="1349">
      <c r="A345" s="1292" t="inlineStr">
        <is>
          <t>5914143390</t>
        </is>
      </c>
      <c r="B345" s="884" t="n">
        <v>10034034167670</v>
      </c>
      <c r="C345" s="1292" t="inlineStr">
        <is>
          <t>Plastcor</t>
        </is>
      </c>
      <c r="D345" s="776" t="inlineStr">
        <is>
          <t>Kit 5 Fita Zebrada Laranja E Branco Reforçada 7 Cm X 100m</t>
        </is>
      </c>
      <c r="E345" s="771" t="n"/>
      <c r="F345" s="856" t="n">
        <v>76.62</v>
      </c>
      <c r="G345" s="1016">
        <f>F345*16.5%</f>
        <v/>
      </c>
      <c r="H345" s="831" t="n">
        <v>-0.66</v>
      </c>
      <c r="I345" s="904">
        <f>IFS(
  F345&lt;12.5, F345/2,
  F345&lt;29, 6.25,
  F345&lt;50, 6.5,
  F345&lt;=79, 6.75,
  TRUE, 25
)</f>
        <v/>
      </c>
      <c r="J345" s="340">
        <f>F345*18%</f>
        <v/>
      </c>
      <c r="K345" s="340">
        <f>(F345-J345)*1.65%</f>
        <v/>
      </c>
      <c r="L345" s="340">
        <f>(F345-J345)*7.6%</f>
        <v/>
      </c>
      <c r="M345" s="1097">
        <f>0.91*5</f>
        <v/>
      </c>
      <c r="N345" s="785">
        <f>(G345+I345)*(9.25%)</f>
        <v/>
      </c>
      <c r="O345" s="701">
        <f>9.8*5</f>
        <v/>
      </c>
      <c r="P345" s="1016">
        <f>(F345 - (G345+I345+O345+(J345+K345+L345))) - (H345-M345-N345)</f>
        <v/>
      </c>
      <c r="Q345" s="462">
        <f>P345/F345</f>
        <v/>
      </c>
      <c r="R345" s="904" t="inlineStr">
        <is>
          <t>sem estoque</t>
        </is>
      </c>
      <c r="S345" s="904" t="inlineStr">
        <is>
          <t>kit 5</t>
        </is>
      </c>
      <c r="T345" s="569" t="n"/>
      <c r="U345" s="1030" t="n"/>
      <c r="V345" s="1030" t="n"/>
      <c r="W345" s="1030" t="n"/>
    </row>
    <row r="346" ht="15.75" customHeight="1" s="1349">
      <c r="A346" s="1292" t="inlineStr">
        <is>
          <t>5914919146</t>
        </is>
      </c>
      <c r="B346" s="884" t="n">
        <v>10034034168086</v>
      </c>
      <c r="C346" s="1292" t="inlineStr">
        <is>
          <t>ÂNCORA</t>
        </is>
      </c>
      <c r="D346" s="776" t="inlineStr">
        <is>
          <t>Kit 10 Parafuso Sextavado Concreto 75mm X M10 Organometálico</t>
        </is>
      </c>
      <c r="E346" s="771" t="n"/>
      <c r="F346" s="856" t="n">
        <v>49.76</v>
      </c>
      <c r="G346" s="1016">
        <f>F346*12%</f>
        <v/>
      </c>
      <c r="H346" s="831" t="n">
        <v>-2.92</v>
      </c>
      <c r="I346" s="904" t="n">
        <v>7.95</v>
      </c>
      <c r="J346" s="340">
        <f>F346*18%</f>
        <v/>
      </c>
      <c r="K346" s="340">
        <f>(F346-J346)*1.65%</f>
        <v/>
      </c>
      <c r="L346" s="340">
        <f>(F346-J346)*7.6%</f>
        <v/>
      </c>
      <c r="M346" s="1097">
        <f>0.33*10</f>
        <v/>
      </c>
      <c r="N346" s="785">
        <f>(G346+I346)*(9.25%)</f>
        <v/>
      </c>
      <c r="O346" s="701">
        <f>2.59*10</f>
        <v/>
      </c>
      <c r="P346" s="1016">
        <f>(F346 - (G346+I346+O346+(J346+K346+L346))) - (H346-M346-N346)</f>
        <v/>
      </c>
      <c r="Q346" s="462">
        <f>P346/F346</f>
        <v/>
      </c>
      <c r="R346" s="904" t="inlineStr">
        <is>
          <t>Ativo</t>
        </is>
      </c>
      <c r="S346" s="904" t="inlineStr">
        <is>
          <t>kit 10</t>
        </is>
      </c>
      <c r="T346" s="569" t="n"/>
      <c r="U346" s="1030" t="n"/>
      <c r="V346" s="1030" t="n"/>
      <c r="W346" s="1030" t="n"/>
    </row>
    <row r="347" ht="15.75" customHeight="1" s="1349">
      <c r="A347" s="1292" t="inlineStr">
        <is>
          <t>4293690737</t>
        </is>
      </c>
      <c r="B347" s="884" t="n">
        <v>10034034168263</v>
      </c>
      <c r="C347" s="1292" t="inlineStr">
        <is>
          <t>ÂNCORA</t>
        </is>
      </c>
      <c r="D347" s="776" t="inlineStr">
        <is>
          <t>Kit 50 Parafuso Sextavado Concreto 75mm X M10 Organometálico</t>
        </is>
      </c>
      <c r="E347" s="771" t="n"/>
      <c r="F347" s="856" t="n">
        <v>265.57</v>
      </c>
      <c r="G347" s="1016">
        <f>F347*17%</f>
        <v/>
      </c>
      <c r="H347" s="831" t="n">
        <v>-6.88</v>
      </c>
      <c r="I347" s="904" t="n">
        <v>24.65</v>
      </c>
      <c r="J347" s="340">
        <f>F347*18%</f>
        <v/>
      </c>
      <c r="K347" s="340">
        <f>(F347-J347)*1.65%</f>
        <v/>
      </c>
      <c r="L347" s="340">
        <f>(F347-J347)*7.6%</f>
        <v/>
      </c>
      <c r="M347" s="1097">
        <f>0.33*50</f>
        <v/>
      </c>
      <c r="N347" s="785">
        <f>(G347+I347)*(9.25%)</f>
        <v/>
      </c>
      <c r="O347" s="701">
        <f>2.59*50</f>
        <v/>
      </c>
      <c r="P347" s="1016">
        <f>(F347 - (G347+I347+O347+(J347+K347+L347))) - (H347-M347-N347)</f>
        <v/>
      </c>
      <c r="Q347" s="462">
        <f>P347/F347</f>
        <v/>
      </c>
      <c r="R347" s="904" t="inlineStr">
        <is>
          <t>Ativo</t>
        </is>
      </c>
      <c r="S347" s="904" t="inlineStr">
        <is>
          <t>kit 50</t>
        </is>
      </c>
      <c r="T347" s="569" t="n"/>
      <c r="U347" s="1030" t="n"/>
      <c r="V347" s="1030" t="n"/>
      <c r="W347" s="1030" t="n"/>
    </row>
    <row r="348" ht="15.75" customHeight="1" s="1349">
      <c r="A348" s="1292" t="inlineStr">
        <is>
          <t>5914819122</t>
        </is>
      </c>
      <c r="B348" s="884" t="n">
        <v>10034034168091</v>
      </c>
      <c r="C348" s="1292" t="inlineStr">
        <is>
          <t>ÂNCORA</t>
        </is>
      </c>
      <c r="D348" s="778" t="inlineStr">
        <is>
          <t>100un Parafuso Chumbador Concreto 75mm X</t>
        </is>
      </c>
      <c r="E348" s="778" t="n"/>
      <c r="F348" s="856" t="n">
        <v>510</v>
      </c>
      <c r="G348" s="1016">
        <f>F348*17%</f>
        <v/>
      </c>
      <c r="H348" s="831" t="n"/>
      <c r="I348" s="904" t="n">
        <v>39.75</v>
      </c>
      <c r="J348" s="340">
        <f>F348*18%</f>
        <v/>
      </c>
      <c r="K348" s="340">
        <f>(F348-J348)*1.65%</f>
        <v/>
      </c>
      <c r="L348" s="340">
        <f>(F348-J348)*7.6%</f>
        <v/>
      </c>
      <c r="M348" s="1097">
        <f>0.33*100</f>
        <v/>
      </c>
      <c r="N348" s="785">
        <f>(G348+I348)*(9.25%)</f>
        <v/>
      </c>
      <c r="O348" s="701">
        <f>2.59*100</f>
        <v/>
      </c>
      <c r="P348" s="1016">
        <f>(F348 - (G348+I348+O348+(J348+K348+L348))) - (H348-M348-N348)</f>
        <v/>
      </c>
      <c r="Q348" s="462">
        <f>P348/F348</f>
        <v/>
      </c>
      <c r="R348" s="904" t="inlineStr">
        <is>
          <t>Ativo</t>
        </is>
      </c>
      <c r="S348" s="904" t="inlineStr">
        <is>
          <t>kit 100</t>
        </is>
      </c>
      <c r="T348" s="569" t="n"/>
      <c r="U348" s="1030" t="n"/>
      <c r="V348" s="1030" t="n"/>
      <c r="W348" s="1030" t="n"/>
    </row>
    <row r="349" ht="15.75" customHeight="1" s="1349">
      <c r="A349" s="779" t="inlineStr">
        <is>
          <t>5914819122</t>
        </is>
      </c>
      <c r="B349" s="835" t="n">
        <v>10034034168091</v>
      </c>
      <c r="C349" s="780" t="inlineStr">
        <is>
          <t>ÂNCORA</t>
        </is>
      </c>
      <c r="D349" s="835" t="inlineStr">
        <is>
          <t>100un Parafuso Chumbador Concreto 75mm X</t>
        </is>
      </c>
      <c r="E349" s="806" t="n"/>
      <c r="F349" s="803" t="n">
        <v>453</v>
      </c>
      <c r="G349" s="782">
        <f>F349*12%</f>
        <v/>
      </c>
      <c r="H349" s="783" t="n">
        <v>-11.3</v>
      </c>
      <c r="I349" s="887" t="n">
        <v>39.75</v>
      </c>
      <c r="J349" s="61">
        <f>F349*18%</f>
        <v/>
      </c>
      <c r="K349" s="61">
        <f>(F349-J349)*1.65%</f>
        <v/>
      </c>
      <c r="L349" s="61">
        <f>(F349-J349)*7.6%</f>
        <v/>
      </c>
      <c r="M349" s="784">
        <f>0.33*100</f>
        <v/>
      </c>
      <c r="N349" s="785">
        <f>(G349+I349)*(9.25%)</f>
        <v/>
      </c>
      <c r="O349" s="786">
        <f>2.59*100</f>
        <v/>
      </c>
      <c r="P349" s="1016">
        <f>(F349 - (G349+I349+O349+(J349+K349+L349))) - (H349-M349-N349)</f>
        <v/>
      </c>
      <c r="Q349" s="591">
        <f>P349/F349</f>
        <v/>
      </c>
      <c r="R349" s="676" t="inlineStr">
        <is>
          <t>Ativo</t>
        </is>
      </c>
      <c r="S349" s="835" t="inlineStr">
        <is>
          <t>kit 100</t>
        </is>
      </c>
      <c r="T349" s="806" t="n"/>
      <c r="U349" s="595" t="n"/>
      <c r="V349" s="595" t="n"/>
      <c r="W349" s="595" t="n"/>
      <c r="X349" s="579" t="n"/>
      <c r="Y349" s="579" t="n"/>
      <c r="Z349" s="579" t="n"/>
      <c r="AA349" s="579" t="n"/>
      <c r="AB349" s="579" t="n"/>
      <c r="AC349" s="579" t="n"/>
      <c r="AD349" s="579" t="n"/>
      <c r="AE349" s="579" t="n"/>
      <c r="AF349" s="579" t="n"/>
    </row>
    <row r="350" ht="15.75" customHeight="1" s="1349">
      <c r="A350" s="1292" t="inlineStr">
        <is>
          <t>5922166854</t>
        </is>
      </c>
      <c r="B350" s="884" t="n">
        <v>10034034167428</v>
      </c>
      <c r="C350" s="1292" t="inlineStr">
        <is>
          <t>EPI</t>
        </is>
      </c>
      <c r="D350" s="481" t="inlineStr">
        <is>
          <t>Macacão Tyvek 500 Reforçado Proteção Química Antiestético</t>
        </is>
      </c>
      <c r="E350" s="904" t="n"/>
      <c r="F350" s="856" t="n">
        <v>119</v>
      </c>
      <c r="G350" s="1016">
        <f>F350*19%</f>
        <v/>
      </c>
      <c r="H350" s="831" t="n"/>
      <c r="I350" s="904" t="n">
        <v>16.41</v>
      </c>
      <c r="J350" s="340">
        <f>F350*18%</f>
        <v/>
      </c>
      <c r="K350" s="340">
        <f>(F350-J350)*1.65%</f>
        <v/>
      </c>
      <c r="L350" s="340">
        <f>(F350-J350)*7.6%</f>
        <v/>
      </c>
      <c r="M350" s="1097" t="n"/>
      <c r="N350" s="785">
        <f>(G350+I350)*(9.25%)</f>
        <v/>
      </c>
      <c r="O350" s="904" t="n">
        <v>53.75</v>
      </c>
      <c r="P350" s="1016">
        <f>(F350 - (G350+I350+O350+(J350+K350+L350))) - (H350-M350-N350)</f>
        <v/>
      </c>
      <c r="Q350" s="462">
        <f>P350/F350</f>
        <v/>
      </c>
      <c r="R350" s="904" t="inlineStr">
        <is>
          <t>Ativo</t>
        </is>
      </c>
      <c r="S350" s="904" t="inlineStr">
        <is>
          <t>XG</t>
        </is>
      </c>
      <c r="T350" s="569" t="n"/>
      <c r="U350" s="1030" t="n"/>
      <c r="V350" s="1030" t="n"/>
      <c r="W350" s="1030" t="n"/>
    </row>
    <row r="351" ht="15.75" customHeight="1" s="1349">
      <c r="A351" s="1292" t="inlineStr">
        <is>
          <t>5923182732</t>
        </is>
      </c>
      <c r="B351" s="884" t="n">
        <v>10034034167041</v>
      </c>
      <c r="C351" s="1292" t="inlineStr">
        <is>
          <t>VOLK</t>
        </is>
      </c>
      <c r="D351" s="765" t="inlineStr">
        <is>
          <t>Luva Látex Verniz Silver Reforçada Punho Picotado Limpeza</t>
        </is>
      </c>
      <c r="E351" s="904" t="n"/>
      <c r="F351" s="856" t="n">
        <v>19.01</v>
      </c>
      <c r="G351" s="1016">
        <f>F351*13%</f>
        <v/>
      </c>
      <c r="H351" s="831" t="n">
        <v>-0.59</v>
      </c>
      <c r="I351" s="904" t="n">
        <v>6.55</v>
      </c>
      <c r="J351" s="340">
        <f>F351*18%</f>
        <v/>
      </c>
      <c r="K351" s="340">
        <f>(F351-J351)*1.65%</f>
        <v/>
      </c>
      <c r="L351" s="340">
        <f>(F351-J351)*7.6%</f>
        <v/>
      </c>
      <c r="M351" s="1097" t="n">
        <v>0.5</v>
      </c>
      <c r="N351" s="785">
        <f>(G351+I351)*(9.25%)</f>
        <v/>
      </c>
      <c r="O351" s="701" t="n">
        <v>3.92</v>
      </c>
      <c r="P351" s="1016">
        <f>(F351 - (G351+I351+O351+(J351+K351+L351))) - (H351-M351-N351)</f>
        <v/>
      </c>
      <c r="Q351" s="462">
        <f>P351/F351</f>
        <v/>
      </c>
      <c r="R351" s="904" t="inlineStr">
        <is>
          <t>Ativo</t>
        </is>
      </c>
      <c r="S351" s="904" t="inlineStr">
        <is>
          <t>1un P,M,G,EG</t>
        </is>
      </c>
      <c r="T351" s="569" t="n"/>
      <c r="U351" s="1030" t="n"/>
      <c r="V351" s="1030" t="n"/>
      <c r="W351" s="1030" t="n"/>
    </row>
    <row r="352" ht="15.75" customHeight="1" s="1349">
      <c r="A352" s="1292" t="inlineStr">
        <is>
          <t>5925150202</t>
        </is>
      </c>
      <c r="B352" s="884" t="n">
        <v>10034034167768</v>
      </c>
      <c r="C352" s="1292" t="inlineStr">
        <is>
          <t>VOLK</t>
        </is>
      </c>
      <c r="D352" s="765" t="inlineStr">
        <is>
          <t>Kit 2 Luva Látex Natural Silver Confortável Alta Aderência</t>
        </is>
      </c>
      <c r="E352" s="904" t="n"/>
      <c r="F352" s="856" t="n">
        <v>24.41</v>
      </c>
      <c r="G352" s="1016">
        <f>F352*18%</f>
        <v/>
      </c>
      <c r="H352" s="831" t="n">
        <v>-0.45</v>
      </c>
      <c r="I352" s="904">
        <f>IFS(
  F352&lt;12.5, F352/2,
  F352&lt;29, 6.25,
  F352&lt;50, 6.5,
  F352&lt;=79, 6.75,
  TRUE, 25
)</f>
        <v/>
      </c>
      <c r="J352" s="340">
        <f>F352*18%</f>
        <v/>
      </c>
      <c r="K352" s="340">
        <f>(F352-J352)*1.65%</f>
        <v/>
      </c>
      <c r="L352" s="340">
        <f>(F352-J352)*7.6%</f>
        <v/>
      </c>
      <c r="M352" s="1097">
        <f>0.5*2</f>
        <v/>
      </c>
      <c r="N352" s="785">
        <f>(G352+I352)*(9.25%)</f>
        <v/>
      </c>
      <c r="O352" s="701">
        <f>3.92*2</f>
        <v/>
      </c>
      <c r="P352" s="1016">
        <f>(F352 - (G352+I352+O352+(J352+K352+L352))) - (H352-M352-N352)</f>
        <v/>
      </c>
      <c r="Q352" s="462">
        <f>P352/F352</f>
        <v/>
      </c>
      <c r="R352" s="904" t="inlineStr">
        <is>
          <t>Ativo</t>
        </is>
      </c>
      <c r="S352" s="904" t="inlineStr">
        <is>
          <t>2un P,M,G,EG</t>
        </is>
      </c>
      <c r="T352" s="569" t="n"/>
      <c r="U352" s="1030" t="n"/>
      <c r="V352" s="1030" t="n"/>
      <c r="W352" s="1030" t="n"/>
    </row>
    <row r="353" ht="15.75" customHeight="1" s="1349">
      <c r="A353" s="1292" t="inlineStr">
        <is>
          <t>5924863266</t>
        </is>
      </c>
      <c r="B353" s="884" t="n">
        <v>10034034167793</v>
      </c>
      <c r="C353" s="1292" t="inlineStr">
        <is>
          <t>VOLK</t>
        </is>
      </c>
      <c r="D353" s="787" t="inlineStr">
        <is>
          <t>Luva Látex Verniz Silver Impermeável Anatômica Cano Curto 6u</t>
        </is>
      </c>
      <c r="E353" s="1206" t="n"/>
      <c r="F353" s="856" t="n">
        <v>51.3</v>
      </c>
      <c r="G353" s="1016">
        <f>F353*18%</f>
        <v/>
      </c>
      <c r="H353" s="831" t="n">
        <v>-0.77</v>
      </c>
      <c r="I353" s="904" t="n">
        <v>8.050000000000001</v>
      </c>
      <c r="J353" s="340">
        <f>F353*18%</f>
        <v/>
      </c>
      <c r="K353" s="340">
        <f>(F353-J353)*1.65%</f>
        <v/>
      </c>
      <c r="L353" s="340">
        <f>(F353-J353)*7.6%</f>
        <v/>
      </c>
      <c r="M353" s="1097">
        <f>0.5*6</f>
        <v/>
      </c>
      <c r="N353" s="785">
        <f>(G353+I353)*(9.25%)</f>
        <v/>
      </c>
      <c r="O353" s="701">
        <f>3.92*6</f>
        <v/>
      </c>
      <c r="P353" s="1016">
        <f>(F353 - (G353+I353+O353+(J353+K353+L353))) - (H353-M353-N353)</f>
        <v/>
      </c>
      <c r="Q353" s="462">
        <f>P353/F353</f>
        <v/>
      </c>
      <c r="R353" s="904" t="inlineStr">
        <is>
          <t>Ativo</t>
        </is>
      </c>
      <c r="S353" s="904" t="inlineStr">
        <is>
          <t>6un P,M,G,EG</t>
        </is>
      </c>
      <c r="T353" s="569" t="n">
        <v>3</v>
      </c>
      <c r="U353" s="1030" t="n"/>
      <c r="V353" s="1030" t="n"/>
      <c r="W353" s="1030" t="n"/>
    </row>
    <row r="354" ht="15.75" customHeight="1" s="1349">
      <c r="A354" s="1292" t="inlineStr">
        <is>
          <t>4300117583</t>
        </is>
      </c>
      <c r="B354" s="884" t="n">
        <v>10034034167802</v>
      </c>
      <c r="C354" s="1292" t="inlineStr">
        <is>
          <t>VOLK</t>
        </is>
      </c>
      <c r="D354" s="765" t="inlineStr">
        <is>
          <t>Kit 10 Luva Látex Natural Silver Antialérgica Limpeza Pesada</t>
        </is>
      </c>
      <c r="E354" s="904" t="n"/>
      <c r="F354" s="856" t="n">
        <v>71.34999999999999</v>
      </c>
      <c r="G354" s="1016">
        <f>F354*14%</f>
        <v/>
      </c>
      <c r="H354" s="831" t="n">
        <v>-0.76</v>
      </c>
      <c r="I354" s="904">
        <f>IFS(
  F354&lt;12.5, F354/2,
  F354&lt;29, 6.25,
  F354&lt;50, 6.5,
  F354&lt;=79, 6.75,
  TRUE, 25
)</f>
        <v/>
      </c>
      <c r="J354" s="340">
        <f>F354*18%</f>
        <v/>
      </c>
      <c r="K354" s="340">
        <f>(F354-J354)*1.65%</f>
        <v/>
      </c>
      <c r="L354" s="340">
        <f>(F354-J354)*7.6%</f>
        <v/>
      </c>
      <c r="M354" s="1097">
        <f>0.5*10</f>
        <v/>
      </c>
      <c r="N354" s="785">
        <f>(G354+I354)*(9.25%)</f>
        <v/>
      </c>
      <c r="O354" s="701">
        <f>3.92*10</f>
        <v/>
      </c>
      <c r="P354" s="1016">
        <f>(F354 - (G354+I354+O354+(J354+K354+L354))) - (H354-M354-N354)</f>
        <v/>
      </c>
      <c r="Q354" s="462">
        <f>P354/F354</f>
        <v/>
      </c>
      <c r="R354" s="904" t="inlineStr">
        <is>
          <t>Ativo</t>
        </is>
      </c>
      <c r="S354" s="904" t="inlineStr">
        <is>
          <t>10u P M G EG</t>
        </is>
      </c>
      <c r="T354" s="569" t="n">
        <v>9</v>
      </c>
      <c r="U354" s="1030" t="n"/>
      <c r="V354" s="1030" t="n"/>
      <c r="W354" s="1030" t="n"/>
    </row>
    <row r="355" ht="15.75" customHeight="1" s="1349">
      <c r="A355" s="1292" t="inlineStr">
        <is>
          <t>4300214669</t>
        </is>
      </c>
      <c r="B355" s="884" t="n">
        <v>10034034166507</v>
      </c>
      <c r="C355" s="1292" t="inlineStr">
        <is>
          <t>EPI</t>
        </is>
      </c>
      <c r="D355" s="904" t="inlineStr">
        <is>
          <t>Rolo Textura Rustica Cabelo De Anjo Acabamento Premium 23cm</t>
        </is>
      </c>
      <c r="E355" s="904" t="n"/>
      <c r="F355" s="856" t="n">
        <v>63.92</v>
      </c>
      <c r="G355" s="1016">
        <f>F355*16.5%</f>
        <v/>
      </c>
      <c r="H355" s="831" t="n">
        <v>-1.98</v>
      </c>
      <c r="I355" s="904" t="n">
        <v>8.550000000000001</v>
      </c>
      <c r="J355" s="340">
        <f>F355*18%</f>
        <v/>
      </c>
      <c r="K355" s="340">
        <f>(F355-J355)*1.65%</f>
        <v/>
      </c>
      <c r="L355" s="340">
        <f>(F355-J355)*7.6%</f>
        <v/>
      </c>
      <c r="M355" s="1097" t="n">
        <v>3.71</v>
      </c>
      <c r="N355" s="785">
        <f>(G355+I355)*(9.25%)</f>
        <v/>
      </c>
      <c r="O355" s="701" t="n">
        <v>28.83</v>
      </c>
      <c r="P355" s="1016">
        <f>(F355 - (G355+I355+O355+(J355+K355+L355))) - (H355-M355-N355)</f>
        <v/>
      </c>
      <c r="Q355" s="462">
        <f>P355/F355</f>
        <v/>
      </c>
      <c r="R355" s="904" t="inlineStr">
        <is>
          <t>Ativo</t>
        </is>
      </c>
      <c r="S355" s="904" t="n"/>
      <c r="T355" s="569" t="n"/>
      <c r="U355" s="1030" t="n"/>
      <c r="V355" s="1030" t="n"/>
      <c r="W355" s="1030" t="n"/>
    </row>
    <row r="356" ht="15.75" customHeight="1" s="1349">
      <c r="A356" s="1292" t="inlineStr">
        <is>
          <t>4300351237</t>
        </is>
      </c>
      <c r="B356" s="884" t="n">
        <v>10034034168298</v>
      </c>
      <c r="C356" s="1292" t="inlineStr">
        <is>
          <t>ÂNCORA</t>
        </is>
      </c>
      <c r="D356" s="789" t="inlineStr">
        <is>
          <t>Kit 50 Chumbador Parabolt Pba 3/8 X 2.1/4 C/ Porca E Arruela</t>
        </is>
      </c>
      <c r="E356" s="1206" t="n"/>
      <c r="F356" s="856" t="n">
        <v>105.89</v>
      </c>
      <c r="G356" s="1016">
        <f>F356*12%</f>
        <v/>
      </c>
      <c r="H356" s="831" t="n"/>
      <c r="I356" s="904" t="n">
        <v>28.55</v>
      </c>
      <c r="J356" s="340">
        <f>F356*18%</f>
        <v/>
      </c>
      <c r="K356" s="340">
        <f>(F356-J356)*1.65%</f>
        <v/>
      </c>
      <c r="L356" s="340">
        <f>(F356-J356)*7.6%</f>
        <v/>
      </c>
      <c r="M356" s="1097" t="n">
        <v>5.28</v>
      </c>
      <c r="N356" s="785">
        <f>(G356+I356)*(9.25%)</f>
        <v/>
      </c>
      <c r="O356" s="718" t="n">
        <v>41</v>
      </c>
      <c r="P356" s="1016">
        <f>(F356 - (G356+I356+O356+(J356+K356+L356))) - (H356-M356-N356)</f>
        <v/>
      </c>
      <c r="Q356" s="462">
        <f>P356/F356</f>
        <v/>
      </c>
      <c r="R356" s="904" t="inlineStr">
        <is>
          <t>Ativo</t>
        </is>
      </c>
      <c r="S356" s="904" t="n"/>
      <c r="T356" s="569" t="n"/>
      <c r="U356" s="1030" t="n"/>
      <c r="V356" s="1030" t="n"/>
      <c r="W356" s="1030" t="n"/>
    </row>
    <row r="357" ht="15.75" customHeight="1" s="1349">
      <c r="A357" s="1292" t="inlineStr">
        <is>
          <t>5926396292</t>
        </is>
      </c>
      <c r="B357" s="884" t="n">
        <v>10034034166904</v>
      </c>
      <c r="C357" s="1292" t="inlineStr">
        <is>
          <t>MARLUVAS</t>
        </is>
      </c>
      <c r="D357" s="481" t="inlineStr">
        <is>
          <t>Sapato Couro Elegante Antiderrapante Bidensidade Laboratório</t>
        </is>
      </c>
      <c r="E357" s="904" t="n"/>
      <c r="F357" s="856" t="n">
        <v>128.43</v>
      </c>
      <c r="G357" s="1016">
        <f>F357*12%</f>
        <v/>
      </c>
      <c r="H357" s="831" t="n">
        <v>-3.97</v>
      </c>
      <c r="I357" s="904" t="n">
        <v>21.05</v>
      </c>
      <c r="J357" s="340">
        <f>F357*18%</f>
        <v/>
      </c>
      <c r="K357" s="340">
        <f>(F357-J357)*1.65%</f>
        <v/>
      </c>
      <c r="L357" s="340">
        <f>(F357-J357)*7.6%</f>
        <v/>
      </c>
      <c r="M357" s="1097" t="n">
        <v>13.62</v>
      </c>
      <c r="N357" s="785">
        <f>(G357+I357)*(9.25%)</f>
        <v/>
      </c>
      <c r="O357" s="701" t="n">
        <v>67.63</v>
      </c>
      <c r="P357" s="1016">
        <f>(F357 - (G357+I357+O357+(J357+K357+L357))) - (H357-M357-N357)</f>
        <v/>
      </c>
      <c r="Q357" s="462">
        <f>P357/F357</f>
        <v/>
      </c>
      <c r="R357" s="904" t="inlineStr">
        <is>
          <t>Ajustar Envio</t>
        </is>
      </c>
      <c r="S357" s="904" t="n"/>
      <c r="T357" s="569" t="n"/>
      <c r="U357" s="1030" t="n"/>
      <c r="V357" s="1030" t="n"/>
      <c r="W357" s="1030" t="n"/>
    </row>
    <row r="358" ht="15.75" customHeight="1" s="1349">
      <c r="A358" s="763" t="inlineStr">
        <is>
          <t>5926598592</t>
        </is>
      </c>
      <c r="B358" s="764" t="inlineStr">
        <is>
          <t>F190430</t>
        </is>
      </c>
      <c r="C358" s="1292" t="inlineStr">
        <is>
          <t>ÂNCORA</t>
        </is>
      </c>
      <c r="D358" s="481" t="inlineStr">
        <is>
          <t>Fita Perfurada Aço Galvanizado Fixação Tubulação 19mm X 30m</t>
        </is>
      </c>
      <c r="E358" s="904" t="n"/>
      <c r="F358" s="856" t="n">
        <v>46.58</v>
      </c>
      <c r="G358" s="1016">
        <f>F358*12%</f>
        <v/>
      </c>
      <c r="H358" s="831" t="n">
        <v>-1.44</v>
      </c>
      <c r="I358" s="904" t="n">
        <v>6.85</v>
      </c>
      <c r="J358" s="340">
        <f>F358*18%</f>
        <v/>
      </c>
      <c r="K358" s="340">
        <f>(F358-J358)*1.65%</f>
        <v/>
      </c>
      <c r="L358" s="340">
        <f>(F358-J358)*7.6%</f>
        <v/>
      </c>
      <c r="M358" s="1097">
        <f>2.66*1</f>
        <v/>
      </c>
      <c r="N358" s="785">
        <f>(G358+I358)*(9.25%)</f>
        <v/>
      </c>
      <c r="O358" s="701">
        <f>21.32*1</f>
        <v/>
      </c>
      <c r="P358" s="1016">
        <f>(F358 - (G358+I358+O358+(J358+K358+L358))) - (H358-M358-N358)</f>
        <v/>
      </c>
      <c r="Q358" s="462">
        <f>P358/F358</f>
        <v/>
      </c>
      <c r="R358" s="904" t="inlineStr">
        <is>
          <t>Ativo</t>
        </is>
      </c>
      <c r="S358" s="904" t="inlineStr">
        <is>
          <t>1un 19mm</t>
        </is>
      </c>
      <c r="T358" s="569" t="n">
        <v>2</v>
      </c>
      <c r="U358" s="1030" t="n"/>
      <c r="V358" s="1030" t="n"/>
      <c r="W358" s="1030" t="n"/>
    </row>
    <row r="359" ht="15.75" customHeight="1" s="1349">
      <c r="A359" s="1292" t="inlineStr">
        <is>
          <t>5926535498</t>
        </is>
      </c>
      <c r="B359" s="884" t="inlineStr">
        <is>
          <t>F170430</t>
        </is>
      </c>
      <c r="C359" s="1292" t="inlineStr">
        <is>
          <t>ÂNCORA</t>
        </is>
      </c>
      <c r="D359" s="481" t="inlineStr">
        <is>
          <t>Fita Perfurada Galvanizado Fixar Sustentação 17mm X 30m Rolo</t>
        </is>
      </c>
      <c r="E359" s="904" t="n">
        <v>55</v>
      </c>
      <c r="F359" s="856" t="n">
        <v>52.25</v>
      </c>
      <c r="G359" s="1016">
        <f>F359*17%</f>
        <v/>
      </c>
      <c r="H359" s="831" t="n"/>
      <c r="I359" s="904" t="n">
        <v>8.15</v>
      </c>
      <c r="J359" s="340">
        <f>F359*18%</f>
        <v/>
      </c>
      <c r="K359" s="340">
        <f>(F359-J359)*1.65%</f>
        <v/>
      </c>
      <c r="L359" s="340">
        <f>(F359-J359)*7.6%</f>
        <v/>
      </c>
      <c r="M359" s="1097">
        <f>3.13*1</f>
        <v/>
      </c>
      <c r="N359" s="785">
        <f>(G359+I359)*(9.25%)</f>
        <v/>
      </c>
      <c r="O359" s="701">
        <f>25.08*1</f>
        <v/>
      </c>
      <c r="P359" s="1016">
        <f>(F359 - (G359+I359+O359+(J359+K359+L359))) - (H359-M359-N359)</f>
        <v/>
      </c>
      <c r="Q359" s="462">
        <f>P359/F359</f>
        <v/>
      </c>
      <c r="R359" s="904" t="inlineStr">
        <is>
          <t>Ativo</t>
        </is>
      </c>
      <c r="S359" s="904" t="inlineStr">
        <is>
          <t>1un 17mm</t>
        </is>
      </c>
      <c r="T359" s="569" t="n"/>
      <c r="U359" s="1030" t="n"/>
      <c r="V359" s="1030" t="n"/>
      <c r="W359" s="1030" t="n"/>
    </row>
    <row r="360" ht="15.75" customHeight="1" s="1349">
      <c r="A360" s="1292" t="inlineStr">
        <is>
          <t>5929240268</t>
        </is>
      </c>
      <c r="B360" s="884" t="n">
        <v>10034034167814</v>
      </c>
      <c r="C360" s="1292" t="inlineStr">
        <is>
          <t>ÂNCORA</t>
        </is>
      </c>
      <c r="D360" s="481" t="inlineStr">
        <is>
          <t>Kit Fita Perfurada Aço Rígido Fixar Tubos 19mm X 30m 4un</t>
        </is>
      </c>
      <c r="E360" s="904" t="n"/>
      <c r="F360" s="856" t="n">
        <v>166.13</v>
      </c>
      <c r="G360" s="1016">
        <f>F360*17%</f>
        <v/>
      </c>
      <c r="H360" s="831" t="n">
        <v>-5.14</v>
      </c>
      <c r="I360" s="904" t="n">
        <v>21.1</v>
      </c>
      <c r="J360" s="340">
        <f>F360*18%</f>
        <v/>
      </c>
      <c r="K360" s="340">
        <f>(F360-J360)*1.65%</f>
        <v/>
      </c>
      <c r="L360" s="340">
        <f>(F360-J360)*7.6%</f>
        <v/>
      </c>
      <c r="M360" s="1097">
        <f>2.66*4</f>
        <v/>
      </c>
      <c r="N360" s="785">
        <f>(G360+I360)*(9.25%)</f>
        <v/>
      </c>
      <c r="O360" s="701">
        <f>21.32*4</f>
        <v/>
      </c>
      <c r="P360" s="1016">
        <f>(F360 - (G360+I360+O360+(J360+K360+L360))) - (H360-M360-N360)</f>
        <v/>
      </c>
      <c r="Q360" s="462">
        <f>P360/F360</f>
        <v/>
      </c>
      <c r="R360" s="904" t="inlineStr">
        <is>
          <t>Ativo</t>
        </is>
      </c>
      <c r="S360" s="904" t="inlineStr">
        <is>
          <t>4un 19mm</t>
        </is>
      </c>
      <c r="T360" s="569" t="n"/>
      <c r="U360" s="1030" t="n"/>
      <c r="V360" s="1030" t="n"/>
      <c r="W360" s="1030" t="n"/>
    </row>
    <row r="361" ht="15.75" customHeight="1" s="1349">
      <c r="A361" s="1292" t="inlineStr">
        <is>
          <t>5929319224</t>
        </is>
      </c>
      <c r="B361" s="884" t="n">
        <v>10034034167823</v>
      </c>
      <c r="C361" s="1292" t="inlineStr">
        <is>
          <t>ÂNCORA</t>
        </is>
      </c>
      <c r="D361" s="481" t="inlineStr">
        <is>
          <t>Kit Fita Perfurada Zincado Galvanizado 17mm X 30 Metros 4un</t>
        </is>
      </c>
      <c r="E361" s="904" t="n"/>
      <c r="F361" s="856" t="n">
        <v>190.12</v>
      </c>
      <c r="G361" s="1016">
        <f>F361*17%</f>
        <v/>
      </c>
      <c r="H361" s="831" t="n">
        <v>-6.98</v>
      </c>
      <c r="I361" s="904" t="n">
        <v>21.1</v>
      </c>
      <c r="J361" s="340">
        <f>F361*18%</f>
        <v/>
      </c>
      <c r="K361" s="340">
        <f>(F361-J361)*1.65%</f>
        <v/>
      </c>
      <c r="L361" s="340">
        <f>(F361-J361)*7.6%</f>
        <v/>
      </c>
      <c r="M361" s="1097">
        <f>3.13*4</f>
        <v/>
      </c>
      <c r="N361" s="785">
        <f>(G361+I361)*(9.25%)</f>
        <v/>
      </c>
      <c r="O361" s="701">
        <f>25.08*4</f>
        <v/>
      </c>
      <c r="P361" s="1016">
        <f>(F361 - (G361+I361+O361+(J361+K361+L361))) - (H361-M361-N361)</f>
        <v/>
      </c>
      <c r="Q361" s="462">
        <f>P361/F361</f>
        <v/>
      </c>
      <c r="R361" s="904" t="inlineStr">
        <is>
          <t>Ativo</t>
        </is>
      </c>
      <c r="S361" s="904" t="inlineStr">
        <is>
          <t>4un 17mm</t>
        </is>
      </c>
      <c r="T361" s="569" t="n"/>
      <c r="U361" s="1030" t="n"/>
      <c r="V361" s="1030" t="n"/>
      <c r="W361" s="1030" t="n"/>
    </row>
    <row r="362" ht="15.75" customHeight="1" s="1349">
      <c r="A362" s="1292" t="inlineStr">
        <is>
          <t>5929982424</t>
        </is>
      </c>
      <c r="B362" s="884" t="n">
        <v>44</v>
      </c>
      <c r="C362" s="1292" t="inlineStr">
        <is>
          <t>ÂNCORA</t>
        </is>
      </c>
      <c r="D362" s="481" t="inlineStr">
        <is>
          <t>Pino Aço Ação Direta 1/4 X 30 X 20 Concreto Px3020 100un</t>
        </is>
      </c>
      <c r="E362" s="904" t="n"/>
      <c r="F362" s="856" t="n">
        <v>48</v>
      </c>
      <c r="G362" s="1016">
        <f>F362*12%</f>
        <v/>
      </c>
      <c r="H362" s="831" t="n">
        <v>1.48</v>
      </c>
      <c r="I362" s="904">
        <f>IFS(
  F362&lt;12.5, F362/2,
  F362&lt;29, 6.25,
  F362&lt;50, 6.5,
  F362&lt;=79, 6.75,
  TRUE, 25
)</f>
        <v/>
      </c>
      <c r="J362" s="340">
        <f>F362*18%</f>
        <v/>
      </c>
      <c r="K362" s="340">
        <f>(F362-J362)*1.65%</f>
        <v/>
      </c>
      <c r="L362" s="340">
        <f>(F362-J362)*7.6%</f>
        <v/>
      </c>
      <c r="M362" s="1097" t="n">
        <v>2.83</v>
      </c>
      <c r="N362" s="785">
        <f>(G362+I362)*(9.25%)</f>
        <v/>
      </c>
      <c r="O362" s="701" t="n">
        <v>23.38</v>
      </c>
      <c r="P362" s="1016">
        <f>(F362 - (G362+I362+O362+(J362+K362+L362))) - (H362-M362-N362)</f>
        <v/>
      </c>
      <c r="Q362" s="462">
        <f>P362/F362</f>
        <v/>
      </c>
      <c r="R362" s="904" t="inlineStr">
        <is>
          <t>Ativo</t>
        </is>
      </c>
      <c r="S362" s="904" t="inlineStr">
        <is>
          <t>1 cx</t>
        </is>
      </c>
      <c r="T362" s="569" t="n"/>
      <c r="U362" s="1030" t="n"/>
      <c r="V362" s="1030" t="n"/>
      <c r="W362" s="1030" t="n"/>
    </row>
    <row r="363" ht="15.75" customHeight="1" s="1349">
      <c r="A363" s="1292" t="inlineStr">
        <is>
          <t>5930022940</t>
        </is>
      </c>
      <c r="B363" s="884" t="n">
        <v>10034034167828</v>
      </c>
      <c r="C363" s="1292" t="inlineStr">
        <is>
          <t>ÂNCORA</t>
        </is>
      </c>
      <c r="D363" s="481" t="inlineStr">
        <is>
          <t>Pino Liso Ação Direta 1/4x30x20 Roscado Concreto 300 Peças</t>
        </is>
      </c>
      <c r="E363" s="904" t="n"/>
      <c r="F363" s="856" t="n">
        <v>142.12</v>
      </c>
      <c r="G363" s="1016">
        <f>F363*17%</f>
        <v/>
      </c>
      <c r="H363" s="831" t="n">
        <v>-4.4</v>
      </c>
      <c r="I363" s="904" t="n">
        <v>18.85</v>
      </c>
      <c r="J363" s="340">
        <f>F363*18%</f>
        <v/>
      </c>
      <c r="K363" s="340">
        <f>(F363-J363)*1.65%</f>
        <v/>
      </c>
      <c r="L363" s="340">
        <f>(F363-J363)*7.6%</f>
        <v/>
      </c>
      <c r="M363" s="1097">
        <f>2.83*3</f>
        <v/>
      </c>
      <c r="N363" s="785">
        <f>(G363+I363)*(9.25%)</f>
        <v/>
      </c>
      <c r="O363" s="701">
        <f>23.38*3</f>
        <v/>
      </c>
      <c r="P363" s="1016">
        <f>(F363 - (G363+I363+O363+(J363+K363+L363))) - (H363-M363-N363)</f>
        <v/>
      </c>
      <c r="Q363" s="462">
        <f>P363/F363</f>
        <v/>
      </c>
      <c r="R363" s="904" t="inlineStr">
        <is>
          <t>Ativo</t>
        </is>
      </c>
      <c r="S363" s="904" t="inlineStr">
        <is>
          <t>3 cx</t>
        </is>
      </c>
      <c r="T363" s="569" t="n"/>
      <c r="U363" s="1030" t="n"/>
      <c r="V363" s="1030" t="n"/>
      <c r="W363" s="1030" t="n"/>
    </row>
    <row r="364" ht="15.75" customHeight="1" s="1349">
      <c r="A364" s="1292" t="inlineStr">
        <is>
          <t>5929989548</t>
        </is>
      </c>
      <c r="B364" s="884" t="n">
        <v>10034034167829</v>
      </c>
      <c r="C364" s="1292" t="inlineStr">
        <is>
          <t>ÂNCORA</t>
        </is>
      </c>
      <c r="D364" s="481" t="inlineStr">
        <is>
          <t>Pino Liso Ação Direta 1/4x30x20mm C/ Rosca Concreto 500pçs</t>
        </is>
      </c>
      <c r="E364" s="904" t="n"/>
      <c r="F364" s="856" t="n">
        <v>211.02</v>
      </c>
      <c r="G364" s="1016">
        <f>F364*17%</f>
        <v/>
      </c>
      <c r="H364" s="831" t="n">
        <v>-8.789999999999999</v>
      </c>
      <c r="I364" s="904" t="n">
        <v>28.35</v>
      </c>
      <c r="J364" s="340">
        <f>F364*18%</f>
        <v/>
      </c>
      <c r="K364" s="340">
        <f>(F364-J364)*1.65%</f>
        <v/>
      </c>
      <c r="L364" s="340">
        <f>(F364-J364)*7.6%</f>
        <v/>
      </c>
      <c r="M364" s="1097">
        <f>2.67*5</f>
        <v/>
      </c>
      <c r="N364" s="785">
        <f>(G364+I364)*(9.25%)</f>
        <v/>
      </c>
      <c r="O364" s="701">
        <f>22.04*5</f>
        <v/>
      </c>
      <c r="P364" s="1016">
        <f>(F364 - (G364+I364+O364+(J364+K364+L364))) - (H364-M364-N364)</f>
        <v/>
      </c>
      <c r="Q364" s="462">
        <f>P364/F364</f>
        <v/>
      </c>
      <c r="R364" s="904" t="inlineStr">
        <is>
          <t>Ativo</t>
        </is>
      </c>
      <c r="S364" s="904" t="inlineStr">
        <is>
          <t>5 cx</t>
        </is>
      </c>
      <c r="T364" s="569" t="n"/>
      <c r="U364" s="1030" t="n"/>
      <c r="V364" s="1030" t="n"/>
      <c r="W364" s="1030" t="n"/>
    </row>
    <row r="365" ht="15.75" customHeight="1" s="1349">
      <c r="A365" s="1292" t="inlineStr">
        <is>
          <t>5862808590</t>
        </is>
      </c>
      <c r="B365" s="884" t="n">
        <v>10034034166493</v>
      </c>
      <c r="C365" s="1292" t="inlineStr">
        <is>
          <t>EPI</t>
        </is>
      </c>
      <c r="D365" s="792" t="inlineStr">
        <is>
          <t>Cinturão Para Ferramentas Irwin 10 Bolsos Lona Iw1408</t>
        </is>
      </c>
      <c r="E365" s="792" t="n"/>
      <c r="F365" s="856" t="n">
        <v>232.61</v>
      </c>
      <c r="G365" s="1016">
        <f>F365*17%</f>
        <v/>
      </c>
      <c r="H365" s="831" t="n"/>
      <c r="I365" s="904" t="n">
        <v>25</v>
      </c>
      <c r="J365" s="340">
        <f>F365*18%</f>
        <v/>
      </c>
      <c r="K365" s="340">
        <f>(F365-J365)*1.65%</f>
        <v/>
      </c>
      <c r="L365" s="340">
        <f>(F365-J365)*7.6%</f>
        <v/>
      </c>
      <c r="M365" s="577" t="n"/>
      <c r="N365" s="543">
        <f>(G365+I365)*(9.25%)</f>
        <v/>
      </c>
      <c r="O365" s="832" t="n">
        <v>151.53</v>
      </c>
      <c r="P365" s="1016">
        <f>(F365 - (G365+I365+O365+(J365+K365+L365))) - (H365-M365-N365)</f>
        <v/>
      </c>
      <c r="Q365" s="462">
        <f>P365/F365</f>
        <v/>
      </c>
      <c r="R365" s="904" t="inlineStr">
        <is>
          <t>Ativo</t>
        </is>
      </c>
      <c r="S365" s="904" t="n"/>
      <c r="T365" s="569" t="n"/>
      <c r="U365" s="1030" t="n"/>
      <c r="V365" s="1030" t="n"/>
      <c r="W365" s="1030" t="n"/>
    </row>
    <row r="366" ht="15.75" customHeight="1" s="1349">
      <c r="A366" s="1292" t="inlineStr">
        <is>
          <t>4306309595</t>
        </is>
      </c>
      <c r="B366" s="884" t="n">
        <v>10034034167835</v>
      </c>
      <c r="C366" s="1292" t="inlineStr">
        <is>
          <t>ÂNCORA</t>
        </is>
      </c>
      <c r="D366" s="491" t="inlineStr">
        <is>
          <t>Chumbador Cba Jaqueta Cone 1/4 32mm Furo 10mm Fixação 50 Pçs</t>
        </is>
      </c>
      <c r="E366" s="492" t="n"/>
      <c r="F366" s="856" t="n">
        <v>33.61</v>
      </c>
      <c r="G366" s="1016">
        <f>F366*17%</f>
        <v/>
      </c>
      <c r="H366" s="831" t="n">
        <v>-1.13</v>
      </c>
      <c r="I366" s="904">
        <f>IFS(
  F366&lt;12.5, F366/2,
  F366&lt;29, 6.25,
  F366&lt;50, 6.5,
  F366&lt;=79, 6.75,
  TRUE, 25
)</f>
        <v/>
      </c>
      <c r="J366" s="340">
        <f>F366*18%</f>
        <v/>
      </c>
      <c r="K366" s="340">
        <f>(F366-J366)*1.65%</f>
        <v/>
      </c>
      <c r="L366" s="340">
        <f>(F366-J366)*7.6%</f>
        <v/>
      </c>
      <c r="M366" s="1097">
        <f>0.03*50</f>
        <v/>
      </c>
      <c r="N366" s="543">
        <f>(G366+I366)*(9.25%)</f>
        <v/>
      </c>
      <c r="O366" s="904">
        <f>0.25*50</f>
        <v/>
      </c>
      <c r="P366" s="1016">
        <f>(F366 - (G366+I366+O366+(J366+K366+L366))) - (H366-M366-N366)</f>
        <v/>
      </c>
      <c r="Q366" s="462">
        <f>P366/F366</f>
        <v/>
      </c>
      <c r="R366" s="904" t="inlineStr">
        <is>
          <t>Ativo</t>
        </is>
      </c>
      <c r="S366" s="904" t="inlineStr">
        <is>
          <t>50un</t>
        </is>
      </c>
      <c r="T366" s="569" t="n"/>
      <c r="U366" s="1030" t="n"/>
      <c r="V366" s="1030" t="n"/>
      <c r="W366" s="1030" t="n"/>
    </row>
    <row r="367" ht="15.75" customHeight="1" s="1349">
      <c r="A367" s="763" t="inlineStr">
        <is>
          <t>5935487142</t>
        </is>
      </c>
      <c r="B367" s="764" t="n">
        <v>10034034167836</v>
      </c>
      <c r="C367" s="1292" t="inlineStr">
        <is>
          <t>ÂNCORA</t>
        </is>
      </c>
      <c r="D367" s="491" t="inlineStr">
        <is>
          <t>Jaqueta Cone 1/4 32mm Furo 10mm Chumbador Cb Alvenaria 100un</t>
        </is>
      </c>
      <c r="E367" s="492" t="n"/>
      <c r="F367" s="856" t="n">
        <v>57.46</v>
      </c>
      <c r="G367" s="1016">
        <f>F367*17%</f>
        <v/>
      </c>
      <c r="H367" s="831" t="n">
        <v>-2.15</v>
      </c>
      <c r="I367" s="904">
        <f>IFS(
F367&lt;12.5, F367/2,
F367&lt;29, 6.25,
F367&lt;50, 6.5,
F367&lt;=79, 6.75,
TRUE, 
25)</f>
        <v/>
      </c>
      <c r="J367" s="340">
        <f>F367*18%</f>
        <v/>
      </c>
      <c r="K367" s="340">
        <f>(F367-J367)*1.65%</f>
        <v/>
      </c>
      <c r="L367" s="340">
        <f>(F367-J367)*7.6%</f>
        <v/>
      </c>
      <c r="M367" s="1097">
        <f>0.03*100</f>
        <v/>
      </c>
      <c r="N367" s="543">
        <f>(G367+I367)*(9.25%)</f>
        <v/>
      </c>
      <c r="O367" s="904">
        <f>0.25*100</f>
        <v/>
      </c>
      <c r="P367" s="1016">
        <f>(F367 - (G367+I367+O367+(J367+K367+L367))) - (H367-M367-N367)</f>
        <v/>
      </c>
      <c r="Q367" s="462">
        <f>P367/F367</f>
        <v/>
      </c>
      <c r="R367" s="904" t="inlineStr">
        <is>
          <t>Ativo</t>
        </is>
      </c>
      <c r="S367" s="904" t="inlineStr">
        <is>
          <t>100un</t>
        </is>
      </c>
      <c r="T367" s="569" t="n"/>
      <c r="U367" s="1030" t="n"/>
      <c r="V367" s="1030" t="n"/>
      <c r="W367" s="1030" t="n"/>
    </row>
    <row r="368" ht="15.75" customHeight="1" s="1349">
      <c r="A368" s="1292" t="inlineStr">
        <is>
          <t>4306495183</t>
        </is>
      </c>
      <c r="B368" s="884" t="n">
        <v>10034034167837</v>
      </c>
      <c r="C368" s="1292" t="inlineStr">
        <is>
          <t>EPI</t>
        </is>
      </c>
      <c r="D368" s="491" t="inlineStr">
        <is>
          <t>Chumbador Jaqueta Cone 1/4 32mm Furo 10mm Concreto Cba 200un</t>
        </is>
      </c>
      <c r="E368" s="492" t="n"/>
      <c r="F368" s="856" t="n">
        <v>129.63</v>
      </c>
      <c r="G368" s="1016">
        <f>F368*17%</f>
        <v/>
      </c>
      <c r="H368" s="831" t="n"/>
      <c r="I368" s="904" t="n">
        <v>19.96</v>
      </c>
      <c r="J368" s="340">
        <f>F368*18%</f>
        <v/>
      </c>
      <c r="K368" s="340">
        <f>(F368-J368)*1.65%</f>
        <v/>
      </c>
      <c r="L368" s="340">
        <f>(F368-J368)*7.6%</f>
        <v/>
      </c>
      <c r="M368" s="1097">
        <f>0.03*200</f>
        <v/>
      </c>
      <c r="N368" s="543">
        <f>(G368+I368)*(9.25%)</f>
        <v/>
      </c>
      <c r="O368" s="904">
        <f>0.25*200</f>
        <v/>
      </c>
      <c r="P368" s="1016">
        <f>(F368 - (G368+I368+O368+(J368+K368+L368))) - (H368-M368-N368)</f>
        <v/>
      </c>
      <c r="Q368" s="462">
        <f>P368/F368</f>
        <v/>
      </c>
      <c r="R368" s="904" t="inlineStr">
        <is>
          <t>Ativo</t>
        </is>
      </c>
      <c r="S368" s="904" t="inlineStr">
        <is>
          <t>200un</t>
        </is>
      </c>
      <c r="T368" s="569" t="n"/>
      <c r="U368" s="1030" t="n"/>
      <c r="V368" s="1030" t="n"/>
      <c r="W368" s="1030" t="n"/>
    </row>
    <row r="369" ht="15.75" customHeight="1" s="1349">
      <c r="A369" s="1292" t="inlineStr">
        <is>
          <t>4306924609</t>
        </is>
      </c>
      <c r="B369" s="884" t="n">
        <v>10034034167838</v>
      </c>
      <c r="C369" s="1292" t="inlineStr">
        <is>
          <t>ÂNCORA</t>
        </is>
      </c>
      <c r="D369" s="481" t="inlineStr">
        <is>
          <t>Chumbador Jaqueta Cone 1/2 50mm Furo 19mm Cb Alvenaria 50pçs</t>
        </is>
      </c>
      <c r="E369" s="904" t="n"/>
      <c r="F369" s="856" t="n">
        <v>193</v>
      </c>
      <c r="G369" s="1016">
        <f>F369*17%</f>
        <v/>
      </c>
      <c r="H369" s="831" t="n"/>
      <c r="I369" s="904" t="n">
        <v>21.1</v>
      </c>
      <c r="J369" s="340">
        <f>F369*18%</f>
        <v/>
      </c>
      <c r="K369" s="340">
        <f>(F369-J369)*1.65%</f>
        <v/>
      </c>
      <c r="L369" s="340">
        <f>(F369-J369)*7.6%</f>
        <v/>
      </c>
      <c r="M369" s="577" t="n"/>
      <c r="N369" s="543">
        <f>(G369+I369)*(9.25%)</f>
        <v/>
      </c>
      <c r="O369" s="904">
        <f>1.57*50</f>
        <v/>
      </c>
      <c r="P369" s="1016">
        <f>(F369 - (G369+I369+O369+(J369+K369+L369))) - (H369-M369-N369)</f>
        <v/>
      </c>
      <c r="Q369" s="462">
        <f>P369/F369</f>
        <v/>
      </c>
      <c r="R369" s="904" t="inlineStr">
        <is>
          <t>Ativo</t>
        </is>
      </c>
      <c r="S369" s="904" t="inlineStr">
        <is>
          <t>50un</t>
        </is>
      </c>
      <c r="T369" s="569" t="n"/>
      <c r="U369" s="1030" t="n"/>
      <c r="V369" s="1030" t="n"/>
      <c r="W369" s="1030" t="n"/>
    </row>
    <row r="370" ht="15.75" customHeight="1" s="1349">
      <c r="A370" s="1292" t="inlineStr">
        <is>
          <t>5937012074</t>
        </is>
      </c>
      <c r="B370" s="884" t="n">
        <v>10034034167839</v>
      </c>
      <c r="C370" s="1292" t="inlineStr">
        <is>
          <t>ÂNCORA</t>
        </is>
      </c>
      <c r="D370" s="481" t="inlineStr">
        <is>
          <t>Chumbador Jaqueta Alvenaria Cb 1/2 50mm Anticorrosivo 100un</t>
        </is>
      </c>
      <c r="E370" s="904" t="n"/>
      <c r="F370" s="856" t="n">
        <v>251.23</v>
      </c>
      <c r="G370" s="1016">
        <f>F370*17%</f>
        <v/>
      </c>
      <c r="H370" s="831" t="n">
        <v>-9.869999999999999</v>
      </c>
      <c r="I370" s="904" t="n">
        <v>24.95</v>
      </c>
      <c r="J370" s="340">
        <f>F370*18%</f>
        <v/>
      </c>
      <c r="K370" s="340">
        <f>(F370-J370)*1.65%</f>
        <v/>
      </c>
      <c r="L370" s="340">
        <f>(F370-J370)*7.6%</f>
        <v/>
      </c>
      <c r="M370" s="577" t="n"/>
      <c r="N370" s="543">
        <f>(G370+I370)*(9.25%)</f>
        <v/>
      </c>
      <c r="O370" s="904">
        <f>1.57*100</f>
        <v/>
      </c>
      <c r="P370" s="1016">
        <f>(F370 - (G370+I370+O370+(J370+K370+L370))) - (H370-M370-N370)</f>
        <v/>
      </c>
      <c r="Q370" s="462">
        <f>P370/F370</f>
        <v/>
      </c>
      <c r="R370" s="904" t="inlineStr">
        <is>
          <t>Ativo</t>
        </is>
      </c>
      <c r="S370" s="904" t="inlineStr">
        <is>
          <t>100un</t>
        </is>
      </c>
      <c r="T370" s="569" t="n"/>
      <c r="U370" s="1030" t="n"/>
      <c r="V370" s="1030" t="n"/>
      <c r="W370" s="1030" t="n"/>
    </row>
    <row r="371" ht="15.75" customHeight="1" s="1349">
      <c r="A371" s="1292" t="inlineStr">
        <is>
          <t>5936892656</t>
        </is>
      </c>
      <c r="B371" s="884" t="n">
        <v>10034034167840</v>
      </c>
      <c r="C371" s="1292" t="inlineStr">
        <is>
          <t>EPI</t>
        </is>
      </c>
      <c r="D371" s="481" t="inlineStr">
        <is>
          <t>Chumbador Jaqueta Cone Cb 1/2 50mm Parafuso Prisioneiro 200</t>
        </is>
      </c>
      <c r="E371" s="904" t="n"/>
      <c r="F371" s="856" t="n">
        <v>599</v>
      </c>
      <c r="G371" s="1016">
        <f>F371*17%</f>
        <v/>
      </c>
      <c r="H371" s="831" t="n"/>
      <c r="I371" s="904" t="n">
        <v>68.65000000000001</v>
      </c>
      <c r="J371" s="340">
        <f>F371*18%</f>
        <v/>
      </c>
      <c r="K371" s="340">
        <f>(F371-J371)*1.65%</f>
        <v/>
      </c>
      <c r="L371" s="340">
        <f>(F371-J371)*7.6%</f>
        <v/>
      </c>
      <c r="M371" s="1097">
        <f>0.15*200</f>
        <v/>
      </c>
      <c r="N371" s="543">
        <f>(G371+I371)*(9.25%)</f>
        <v/>
      </c>
      <c r="O371" s="904">
        <f>1.27*200</f>
        <v/>
      </c>
      <c r="P371" s="1016">
        <f>(F371 - (G371+I371+O371+(J371+K371+L371))) - (H371-M371-N371)</f>
        <v/>
      </c>
      <c r="Q371" s="462">
        <f>P371/F371</f>
        <v/>
      </c>
      <c r="R371" s="904" t="inlineStr">
        <is>
          <t>Ativo</t>
        </is>
      </c>
      <c r="S371" s="904" t="inlineStr">
        <is>
          <t>200un</t>
        </is>
      </c>
      <c r="T371" s="569" t="n"/>
      <c r="U371" s="1030" t="n"/>
      <c r="V371" s="1030" t="n"/>
      <c r="W371" s="1030" t="n"/>
    </row>
    <row r="372" ht="15.75" customHeight="1" s="1349">
      <c r="A372" s="1292" t="inlineStr">
        <is>
          <t>4307100461</t>
        </is>
      </c>
      <c r="B372" s="884" t="n">
        <v>10034034167842</v>
      </c>
      <c r="C372" s="1292" t="inlineStr">
        <is>
          <t>ÂNCORA</t>
        </is>
      </c>
      <c r="D372" s="481" t="inlineStr">
        <is>
          <t>Chumbador Jaqueta Cone Cb Aço 5/16 Pol 34mm Concreto 50un</t>
        </is>
      </c>
      <c r="E372" s="904" t="n"/>
      <c r="F372" s="856" t="n">
        <v>69</v>
      </c>
      <c r="G372" s="1016">
        <f>F372*17%</f>
        <v/>
      </c>
      <c r="H372" s="831" t="n"/>
      <c r="I372" s="904" t="n">
        <v>8.050000000000001</v>
      </c>
      <c r="J372" s="340">
        <f>F372*18%</f>
        <v/>
      </c>
      <c r="K372" s="340">
        <f>(F372-J372)*1.65%</f>
        <v/>
      </c>
      <c r="L372" s="340">
        <f>(F372-J372)*7.6%</f>
        <v/>
      </c>
      <c r="M372" s="1097">
        <f>0.11*50</f>
        <v/>
      </c>
      <c r="N372" s="543">
        <f>(G372+I372)*(9.25%)</f>
        <v/>
      </c>
      <c r="O372" s="904">
        <f>0.58*50</f>
        <v/>
      </c>
      <c r="P372" s="1016">
        <f>(F372 - (G372+I372+O372+(J372+K372+L372))) - (H372-M372-N372)</f>
        <v/>
      </c>
      <c r="Q372" s="462">
        <f>P372/F372</f>
        <v/>
      </c>
      <c r="R372" s="904" t="inlineStr">
        <is>
          <t>Ativo</t>
        </is>
      </c>
      <c r="S372" s="904" t="inlineStr">
        <is>
          <t>50un</t>
        </is>
      </c>
      <c r="T372" s="569" t="n"/>
      <c r="U372" s="1030" t="n"/>
      <c r="V372" s="1030" t="n"/>
      <c r="W372" s="1030" t="n"/>
    </row>
    <row r="373" ht="15.75" customHeight="1" s="1349">
      <c r="A373" s="1292" t="inlineStr">
        <is>
          <t>5944725710</t>
        </is>
      </c>
      <c r="B373" s="884" t="n">
        <v>10034034167843</v>
      </c>
      <c r="C373" s="1292" t="inlineStr">
        <is>
          <t>EPI</t>
        </is>
      </c>
      <c r="D373" s="481" t="inlineStr">
        <is>
          <t>Chumbador Jaqueta Cone Cb 5/16 Pol 34mm Fixação 100 Pçs</t>
        </is>
      </c>
      <c r="E373" s="904" t="n"/>
      <c r="F373" s="856" t="n">
        <v>139</v>
      </c>
      <c r="G373" s="1016">
        <f>F373*17%</f>
        <v/>
      </c>
      <c r="H373" s="831" t="n"/>
      <c r="I373" s="904" t="n">
        <v>18.85</v>
      </c>
      <c r="J373" s="340">
        <f>F373*18%</f>
        <v/>
      </c>
      <c r="K373" s="340">
        <f>(F373-J373)*1.65%</f>
        <v/>
      </c>
      <c r="L373" s="340">
        <f>(F373-J373)*7.6%</f>
        <v/>
      </c>
      <c r="M373" s="1097">
        <f>0.11*100</f>
        <v/>
      </c>
      <c r="N373" s="543">
        <f>(G373+I373)*(9.25%)</f>
        <v/>
      </c>
      <c r="O373" s="904">
        <f>0.58*100</f>
        <v/>
      </c>
      <c r="P373" s="1016">
        <f>(F373 - (G373+I373+O373+(J373+K373+L373))) - (H373-M373-N373)</f>
        <v/>
      </c>
      <c r="Q373" s="462">
        <f>P373/F373</f>
        <v/>
      </c>
      <c r="R373" s="904" t="inlineStr">
        <is>
          <t>Ativo</t>
        </is>
      </c>
      <c r="S373" s="904" t="inlineStr">
        <is>
          <t>100un</t>
        </is>
      </c>
      <c r="T373" s="569" t="n"/>
      <c r="U373" s="1030" t="n"/>
      <c r="V373" s="1030" t="n"/>
      <c r="W373" s="1030" t="n"/>
    </row>
    <row r="374" ht="15.75" customHeight="1" s="1349">
      <c r="A374" s="1292" t="inlineStr">
        <is>
          <t>4313276359</t>
        </is>
      </c>
      <c r="B374" s="884" t="n">
        <v>10034034167847</v>
      </c>
      <c r="C374" s="1292" t="inlineStr">
        <is>
          <t>EPI</t>
        </is>
      </c>
      <c r="D374" s="481" t="inlineStr">
        <is>
          <t>Prolongador Liso 1/2 Zincado P/ Chumbador Cba Extensor 50un</t>
        </is>
      </c>
      <c r="E374" s="904" t="n"/>
      <c r="F374" s="856" t="n">
        <v>132.6</v>
      </c>
      <c r="G374" s="1016">
        <f>F374*16.5%</f>
        <v/>
      </c>
      <c r="H374" s="831" t="n"/>
      <c r="I374" s="904" t="n">
        <v>18.76</v>
      </c>
      <c r="J374" s="340">
        <f>F374*18%</f>
        <v/>
      </c>
      <c r="K374" s="340">
        <f>(F374-J374)*1.65%</f>
        <v/>
      </c>
      <c r="L374" s="340">
        <f>(F374-J374)*7.6%</f>
        <v/>
      </c>
      <c r="M374" s="577" t="n"/>
      <c r="N374" s="543">
        <f>(G374+I374)*(9.25%)</f>
        <v/>
      </c>
      <c r="O374" s="904">
        <f>1.33*50</f>
        <v/>
      </c>
      <c r="P374" s="1016">
        <f>(F374 - (G374+I374+O374+(J374+K374+L374))) - (H374-M374-N374)</f>
        <v/>
      </c>
      <c r="Q374" s="462">
        <f>P374/F374</f>
        <v/>
      </c>
      <c r="R374" s="904" t="inlineStr">
        <is>
          <t>Ativo</t>
        </is>
      </c>
      <c r="S374" s="904" t="inlineStr">
        <is>
          <t>50un</t>
        </is>
      </c>
      <c r="T374" s="569" t="n"/>
      <c r="U374" s="1030" t="n"/>
      <c r="V374" s="1030" t="n"/>
      <c r="W374" s="1030" t="n"/>
    </row>
    <row r="375" ht="15.75" customHeight="1" s="1349">
      <c r="A375" s="1292" t="inlineStr">
        <is>
          <t>4313604651</t>
        </is>
      </c>
      <c r="B375" s="884" t="n">
        <v>10034034167848</v>
      </c>
      <c r="C375" s="1292" t="inlineStr">
        <is>
          <t>EPI</t>
        </is>
      </c>
      <c r="D375" s="481" t="inlineStr">
        <is>
          <t>Prolongador Liso 1/2 Aço Carbono Chumbador Cba Fixação 25un</t>
        </is>
      </c>
      <c r="E375" s="904" t="n"/>
      <c r="F375" s="856" t="n">
        <v>69.90000000000001</v>
      </c>
      <c r="G375" s="1016">
        <f>F375*16.5%</f>
        <v/>
      </c>
      <c r="H375" s="831" t="n">
        <v>-0.9</v>
      </c>
      <c r="I375" s="904">
        <f>IFS(
  F375&lt;12.5, F375/2,
  F375&lt;29, 6.25,
  F375&lt;50, 6.5,
  F375&lt;=79, 6.75,
  TRUE, 25
)</f>
        <v/>
      </c>
      <c r="J375" s="340">
        <f>F375*18%</f>
        <v/>
      </c>
      <c r="K375" s="340">
        <f>(F375-J375)*1.65%</f>
        <v/>
      </c>
      <c r="L375" s="340">
        <f>(F375-J375)*7.6%</f>
        <v/>
      </c>
      <c r="M375" s="577" t="n"/>
      <c r="N375" s="543">
        <f>(G375+I375)*(9.25%)</f>
        <v/>
      </c>
      <c r="O375" s="904">
        <f>1.33*25</f>
        <v/>
      </c>
      <c r="P375" s="1016">
        <f>(F375 - (G375+I375+O375+(J375+K375+L375))) - (H375-M375-N375)</f>
        <v/>
      </c>
      <c r="Q375" s="462">
        <f>P375/F375</f>
        <v/>
      </c>
      <c r="R375" s="904" t="inlineStr">
        <is>
          <t>Ativo</t>
        </is>
      </c>
      <c r="S375" s="904" t="inlineStr">
        <is>
          <t>25un</t>
        </is>
      </c>
      <c r="T375" s="569" t="n"/>
      <c r="U375" s="1030" t="n"/>
      <c r="V375" s="1030" t="n"/>
      <c r="W375" s="1030" t="n"/>
    </row>
    <row r="376" ht="15.75" customHeight="1" s="1349">
      <c r="A376" s="1292" t="inlineStr">
        <is>
          <t>5947781016</t>
        </is>
      </c>
      <c r="B376" s="884" t="n">
        <v>10034034166786</v>
      </c>
      <c r="C376" s="1292" t="inlineStr">
        <is>
          <t>EPI</t>
        </is>
      </c>
      <c r="D376" s="481" t="inlineStr">
        <is>
          <t>Arruela Lisa Plana Acabamento Zincada 5/16 Pol 7mm 1kg 400un</t>
        </is>
      </c>
      <c r="E376" s="904" t="n"/>
      <c r="F376" s="856" t="n">
        <v>38.79</v>
      </c>
      <c r="G376" s="1016">
        <f>F376*11.5%</f>
        <v/>
      </c>
      <c r="H376" s="831" t="n">
        <v>-1.2</v>
      </c>
      <c r="I376" s="904">
        <f>IFS(
F376&lt;12.5, F376/2,
F376&lt;29, 6.25,
F376&lt;50, 6.5,
F376&lt;=79, 6.75,
TRUE, 
25)</f>
        <v/>
      </c>
      <c r="J376" s="340">
        <f>F376*18%</f>
        <v/>
      </c>
      <c r="K376" s="340">
        <f>(F376-J376)*1.65%</f>
        <v/>
      </c>
      <c r="L376" s="340">
        <f>(F376-J376)*7.6%</f>
        <v/>
      </c>
      <c r="M376" s="1097" t="n">
        <v>2.17</v>
      </c>
      <c r="N376" s="785">
        <f>(G376+I376)*(9.25%)</f>
        <v/>
      </c>
      <c r="O376" s="701" t="n">
        <v>18.17</v>
      </c>
      <c r="P376" s="1016">
        <f>(F376 - (G376+I376+O376+(J376+K376+L376))) - (H376-M376-N376)</f>
        <v/>
      </c>
      <c r="Q376" s="462">
        <f>P376/F376</f>
        <v/>
      </c>
      <c r="R376" s="904" t="inlineStr">
        <is>
          <t>Ativo</t>
        </is>
      </c>
      <c r="S376" s="904" t="inlineStr">
        <is>
          <t>1kg</t>
        </is>
      </c>
      <c r="T376" s="569" t="n"/>
      <c r="U376" s="1030" t="n"/>
      <c r="V376" s="1030" t="n"/>
      <c r="W376" s="1030" t="n"/>
    </row>
    <row r="377" ht="15.75" customHeight="1" s="1349">
      <c r="A377" s="1292" t="inlineStr">
        <is>
          <t>5947817988</t>
        </is>
      </c>
      <c r="B377" s="884" t="n">
        <v>10034034167849</v>
      </c>
      <c r="C377" s="1292" t="inlineStr">
        <is>
          <t>ÂNCORA</t>
        </is>
      </c>
      <c r="D377" s="481" t="inlineStr">
        <is>
          <t>Arruela Lisa P/ Chumbadores Parafusos 5/16 Pol 7mm 2kg 800un</t>
        </is>
      </c>
      <c r="E377" s="904" t="n"/>
      <c r="F377" s="856" t="n">
        <v>75.04000000000001</v>
      </c>
      <c r="G377" s="1016">
        <f>F377*16.5%</f>
        <v/>
      </c>
      <c r="H377" s="831" t="n"/>
      <c r="I377" s="904">
        <f>IFS(
F377&lt;12.5, F377/2,
F377&lt;29, 6.25,
F377&lt;50, 6.5,
F377&lt;=79, 6.75,
TRUE, 
25)</f>
        <v/>
      </c>
      <c r="J377" s="340">
        <f>F377*18%</f>
        <v/>
      </c>
      <c r="K377" s="340">
        <f>(F377-J377)*1.65%</f>
        <v/>
      </c>
      <c r="L377" s="340">
        <f>(F377-J377)*7.6%</f>
        <v/>
      </c>
      <c r="M377" s="1097">
        <f>2.17*2</f>
        <v/>
      </c>
      <c r="N377" s="785">
        <f>(G377+I377)*(9.25%)</f>
        <v/>
      </c>
      <c r="O377" s="701">
        <f>18.17*2</f>
        <v/>
      </c>
      <c r="P377" s="1016">
        <f>(F377 - (G377+I377+O377+(J377+K377+L377))) - (H377-M377-N377)</f>
        <v/>
      </c>
      <c r="Q377" s="462">
        <f>P377/F377</f>
        <v/>
      </c>
      <c r="R377" s="904" t="inlineStr">
        <is>
          <t>Ativo</t>
        </is>
      </c>
      <c r="S377" s="904" t="inlineStr">
        <is>
          <t>2kg</t>
        </is>
      </c>
      <c r="T377" s="569" t="n">
        <v>0</v>
      </c>
      <c r="U377" s="1030" t="n"/>
      <c r="V377" s="1030" t="n"/>
      <c r="W377" s="1030" t="n"/>
    </row>
    <row r="378" ht="15.75" customHeight="1" s="1349">
      <c r="A378" s="1292" t="inlineStr">
        <is>
          <t>4315090407</t>
        </is>
      </c>
      <c r="B378" s="884" t="n">
        <v>10034034166784</v>
      </c>
      <c r="C378" s="1292" t="inlineStr">
        <is>
          <t>ÂNCORA</t>
        </is>
      </c>
      <c r="D378" s="481" t="inlineStr">
        <is>
          <t>Arruela Lisa Zincada Brilhante 1/4 Pol Chumbador 1kg 500un</t>
        </is>
      </c>
      <c r="E378" s="904" t="n"/>
      <c r="F378" s="856" t="n">
        <v>37.94</v>
      </c>
      <c r="G378" s="1016">
        <f>F378*17%</f>
        <v/>
      </c>
      <c r="H378" s="831" t="n">
        <v>-1.17</v>
      </c>
      <c r="I378" s="904">
        <f>IFS(
F378&lt;12.5, F378/2,
F378&lt;29, 6.25,
F378&lt;50, 6.5,
F378&lt;=79, 6.75,
TRUE, 
25)</f>
        <v/>
      </c>
      <c r="J378" s="340">
        <f>F378*18%</f>
        <v/>
      </c>
      <c r="K378" s="340">
        <f>(F378-J378)*1.65%</f>
        <v/>
      </c>
      <c r="L378" s="340">
        <f>(F378-J378)*7.6%</f>
        <v/>
      </c>
      <c r="M378" s="1097" t="n">
        <v>1.95</v>
      </c>
      <c r="N378" s="785">
        <f>(G378+I378)*(9.25%)</f>
        <v/>
      </c>
      <c r="O378" s="701" t="n">
        <v>16.09</v>
      </c>
      <c r="P378" s="1016">
        <f>(F378 - (G378+I378+O378+(J378+K378+L378))) - (H378-M378-N378)</f>
        <v/>
      </c>
      <c r="Q378" s="462">
        <f>P378/F378</f>
        <v/>
      </c>
      <c r="R378" s="904" t="inlineStr">
        <is>
          <t>Ativo</t>
        </is>
      </c>
      <c r="S378" s="904" t="inlineStr">
        <is>
          <t>1kg</t>
        </is>
      </c>
      <c r="T378" s="569" t="n"/>
      <c r="U378" s="1030" t="n"/>
      <c r="V378" s="1030" t="n"/>
      <c r="W378" s="1030" t="n"/>
    </row>
    <row r="379" ht="15.75" customHeight="1" s="1349">
      <c r="A379" s="1292" t="inlineStr">
        <is>
          <t>5949891932</t>
        </is>
      </c>
      <c r="B379" s="884" t="n">
        <v>10034034167860</v>
      </c>
      <c r="C379" s="1292" t="inlineStr">
        <is>
          <t>ÂNCORA</t>
        </is>
      </c>
      <c r="D379" s="481" t="inlineStr">
        <is>
          <t>Arruela Lisa Zincada 1/4 Pol Parafuso Chumbador 2kg 1000un</t>
        </is>
      </c>
      <c r="E379" s="904" t="n"/>
      <c r="F379" s="856" t="n">
        <v>66.76000000000001</v>
      </c>
      <c r="G379" s="1016">
        <f>F379*17%</f>
        <v/>
      </c>
      <c r="H379" s="831" t="n">
        <v>-2.06</v>
      </c>
      <c r="I379" s="904">
        <f>IFS(
F379&lt;12.5, F379/2,
F379&lt;29, 6.25,
F379&lt;50, 6.5,
F379&lt;=79, 6.75,
TRUE, 
25)</f>
        <v/>
      </c>
      <c r="J379" s="340">
        <f>F379*18%</f>
        <v/>
      </c>
      <c r="K379" s="340">
        <f>(F379-J379)*1.65%</f>
        <v/>
      </c>
      <c r="L379" s="340">
        <f>(F379-J379)*7.6%</f>
        <v/>
      </c>
      <c r="M379" s="1097">
        <f>1.95*2</f>
        <v/>
      </c>
      <c r="N379" s="785">
        <f>(G379+I379)*(9.25%)</f>
        <v/>
      </c>
      <c r="O379" s="701">
        <f>16.09*2</f>
        <v/>
      </c>
      <c r="P379" s="1016">
        <f>(F379 - (G379+I379+O379+(J379+K379+L379))) - (H379-M379-N379)</f>
        <v/>
      </c>
      <c r="Q379" s="462">
        <f>P379/F379</f>
        <v/>
      </c>
      <c r="R379" s="904" t="inlineStr">
        <is>
          <t>Ativo</t>
        </is>
      </c>
      <c r="S379" s="904" t="inlineStr">
        <is>
          <t>2kg</t>
        </is>
      </c>
      <c r="T379" s="569" t="n"/>
      <c r="U379" s="1030" t="n"/>
      <c r="V379" s="1030" t="n"/>
      <c r="W379" s="1030" t="n"/>
    </row>
    <row r="380" ht="15.75" customHeight="1" s="1349">
      <c r="A380" s="1292" t="inlineStr">
        <is>
          <t>5950732312</t>
        </is>
      </c>
      <c r="B380" s="884" t="n">
        <v>10034034166785</v>
      </c>
      <c r="C380" s="1292" t="inlineStr">
        <is>
          <t>ÂNCORA</t>
        </is>
      </c>
      <c r="D380" s="481" t="inlineStr">
        <is>
          <t>Arruela Lisa Zincada 3/8 Pol M8 P/ Porca Parafuso 1kg 200un</t>
        </is>
      </c>
      <c r="E380" s="904" t="n"/>
      <c r="F380" s="856" t="n">
        <v>41.47</v>
      </c>
      <c r="G380" s="1016">
        <f>F380*17%</f>
        <v/>
      </c>
      <c r="H380" s="831" t="n">
        <v>-0.35</v>
      </c>
      <c r="I380" s="904">
        <f>IFS(
F380&lt;12.5, F380/2,
F380&lt;29, 6.25,
F380&lt;50, 6.5,
F380&lt;=79, 6.75,
TRUE, 
25)</f>
        <v/>
      </c>
      <c r="J380" s="340">
        <f>F380*18%</f>
        <v/>
      </c>
      <c r="K380" s="340">
        <f>(F380-J380)*1.65%</f>
        <v/>
      </c>
      <c r="L380" s="340">
        <f>(F380-J380)*7.6%</f>
        <v/>
      </c>
      <c r="M380" s="1097" t="n">
        <v>2.2</v>
      </c>
      <c r="N380" s="785">
        <f>(G380+I380)*(9.25%)</f>
        <v/>
      </c>
      <c r="O380" s="701" t="n">
        <v>18.17</v>
      </c>
      <c r="P380" s="1016">
        <f>(F380 - (G380+I380+O380+(J380+K380+L380))) - (H380-M380-N380)</f>
        <v/>
      </c>
      <c r="Q380" s="462">
        <f>P380/F380</f>
        <v/>
      </c>
      <c r="R380" s="904" t="inlineStr">
        <is>
          <t>Ativo</t>
        </is>
      </c>
      <c r="S380" s="904" t="inlineStr">
        <is>
          <t>1kg</t>
        </is>
      </c>
      <c r="T380" s="569" t="n">
        <v>0</v>
      </c>
      <c r="U380" s="1030" t="n"/>
      <c r="V380" s="1030" t="n"/>
      <c r="W380" s="1030" t="n"/>
    </row>
    <row r="381" ht="15.75" customHeight="1" s="1349">
      <c r="A381" s="1292" t="inlineStr">
        <is>
          <t>5957051894</t>
        </is>
      </c>
      <c r="B381" s="884" t="n">
        <v>10034034167863</v>
      </c>
      <c r="C381" s="1292" t="inlineStr">
        <is>
          <t>ÂNCORA</t>
        </is>
      </c>
      <c r="D381" s="481" t="inlineStr">
        <is>
          <t>Arruela Lisa Zincada 3/8 M8 P/ Chumbador Parafuso 2kg 400un</t>
        </is>
      </c>
      <c r="E381" s="904" t="n"/>
      <c r="F381" s="856" t="n">
        <v>59</v>
      </c>
      <c r="G381" s="1016">
        <f>F381*17%</f>
        <v/>
      </c>
      <c r="H381" s="831" t="n">
        <v>-1.99</v>
      </c>
      <c r="I381" s="904" t="n">
        <v>8.15</v>
      </c>
      <c r="J381" s="340">
        <f>F381*18%</f>
        <v/>
      </c>
      <c r="K381" s="340">
        <f>(F381-J381)*1.65%</f>
        <v/>
      </c>
      <c r="L381" s="340">
        <f>(F381-J381)*7.6%</f>
        <v/>
      </c>
      <c r="M381" s="1097">
        <f>1.63*2</f>
        <v/>
      </c>
      <c r="N381" s="785">
        <f>(G381+I381)*(9.25%)</f>
        <v/>
      </c>
      <c r="O381" s="701">
        <f>13.45*2</f>
        <v/>
      </c>
      <c r="P381" s="1016">
        <f>(F381 - (G381+I381+O381+(J381+K381+L381))) - (H381-M381-N381)</f>
        <v/>
      </c>
      <c r="Q381" s="462">
        <f>P381/F381</f>
        <v/>
      </c>
      <c r="R381" s="904" t="inlineStr">
        <is>
          <t>Ativo</t>
        </is>
      </c>
      <c r="S381" s="904" t="inlineStr">
        <is>
          <t>2kg</t>
        </is>
      </c>
      <c r="T381" s="569" t="n">
        <v>0</v>
      </c>
      <c r="U381" s="1030" t="n"/>
      <c r="V381" s="1030" t="n"/>
      <c r="W381" s="1030" t="n"/>
    </row>
    <row r="382" ht="15.75" customHeight="1" s="1349">
      <c r="A382" s="1292" t="inlineStr">
        <is>
          <t>4319930445</t>
        </is>
      </c>
      <c r="B382" s="884" t="n">
        <v>10034034166787</v>
      </c>
      <c r="C382" s="1292" t="inlineStr">
        <is>
          <t>ÂNCORA</t>
        </is>
      </c>
      <c r="D382" s="481" t="inlineStr">
        <is>
          <t>Arruela Lisa Zincada 1/2 M12 Barra Roscada Porca 1kg 100un</t>
        </is>
      </c>
      <c r="E382" s="904" t="n"/>
      <c r="F382" s="856" t="n">
        <v>40.65</v>
      </c>
      <c r="G382" s="1016">
        <f>F382*17%</f>
        <v/>
      </c>
      <c r="H382" s="831" t="n">
        <v>-0.63</v>
      </c>
      <c r="I382" s="904" t="n">
        <v>6.75</v>
      </c>
      <c r="J382" s="340">
        <f>F382*18%</f>
        <v/>
      </c>
      <c r="K382" s="340">
        <f>(F382-J382)*1.65%</f>
        <v/>
      </c>
      <c r="L382" s="340">
        <f>(F382-J382)*7.6%</f>
        <v/>
      </c>
      <c r="M382" s="1097" t="n">
        <v>2.2</v>
      </c>
      <c r="N382" s="785">
        <f>(G382+I382)*(9.25%)</f>
        <v/>
      </c>
      <c r="O382" s="701" t="n">
        <v>18.17</v>
      </c>
      <c r="P382" s="1016">
        <f>(F382 - (G382+I382+O382+(J382+K382+L382))) - (H382-M382-N382)</f>
        <v/>
      </c>
      <c r="Q382" s="462">
        <f>P382/F382</f>
        <v/>
      </c>
      <c r="R382" s="904" t="inlineStr">
        <is>
          <t>Ativo</t>
        </is>
      </c>
      <c r="S382" s="904" t="inlineStr">
        <is>
          <t>1kg</t>
        </is>
      </c>
      <c r="T382" s="569" t="n">
        <v>0</v>
      </c>
      <c r="U382" s="1030" t="n"/>
      <c r="V382" s="1030" t="n"/>
      <c r="W382" s="1030" t="n"/>
    </row>
    <row r="383" ht="15.75" customHeight="1" s="1349">
      <c r="A383" s="1292" t="inlineStr">
        <is>
          <t>5957376040</t>
        </is>
      </c>
      <c r="B383" s="884" t="n">
        <v>10034034167864</v>
      </c>
      <c r="C383" s="1292" t="inlineStr">
        <is>
          <t>ÂNCORA</t>
        </is>
      </c>
      <c r="D383" s="481" t="inlineStr">
        <is>
          <t>Arruela Lisa Zincada 1/2 Pol M12 Chumbador Porca 2kg 200un</t>
        </is>
      </c>
      <c r="E383" s="904" t="n"/>
      <c r="F383" s="856" t="n">
        <v>72.79000000000001</v>
      </c>
      <c r="G383" s="1016">
        <f>F383*16.5%</f>
        <v/>
      </c>
      <c r="H383" s="831" t="n">
        <v>-1.97</v>
      </c>
      <c r="I383" s="904">
        <f>IFS(
  F383&lt;12.5, F383/2,
  F383&lt;29, 6.25,
  F383&lt;50, 6.5,
  F383&lt;=79, 6.75,
  TRUE, 25
)</f>
        <v/>
      </c>
      <c r="J383" s="340">
        <f>F383*18%</f>
        <v/>
      </c>
      <c r="K383" s="340">
        <f>(F383-J383)*1.65%</f>
        <v/>
      </c>
      <c r="L383" s="340">
        <f>(F383-J383)*7.6%</f>
        <v/>
      </c>
      <c r="M383" s="1097" t="n">
        <v>2.2</v>
      </c>
      <c r="N383" s="785">
        <f>(G383+I383)*(9.25%)</f>
        <v/>
      </c>
      <c r="O383" s="701">
        <f>18.17*2</f>
        <v/>
      </c>
      <c r="P383" s="1016">
        <f>(F383 - (G383+I383+O383+(J383+K383+L383))) - (H383-M383-N383)</f>
        <v/>
      </c>
      <c r="Q383" s="462">
        <f>P383/F383</f>
        <v/>
      </c>
      <c r="R383" s="904" t="inlineStr">
        <is>
          <t>Ativo</t>
        </is>
      </c>
      <c r="S383" s="904" t="inlineStr">
        <is>
          <t>2kg</t>
        </is>
      </c>
      <c r="T383" s="569" t="n"/>
      <c r="U383" s="1030" t="n"/>
      <c r="V383" s="1030" t="n"/>
      <c r="W383" s="1030" t="n"/>
    </row>
    <row r="384" ht="15.75" customHeight="1" s="1349">
      <c r="A384" s="1292" t="inlineStr">
        <is>
          <t>4320494223</t>
        </is>
      </c>
      <c r="B384" s="884" t="n">
        <v>10034034167850</v>
      </c>
      <c r="C384" s="1292" t="inlineStr">
        <is>
          <t>Danny</t>
        </is>
      </c>
      <c r="D384" s="765" t="inlineStr">
        <is>
          <t>Luva Algodão Látex Térmica Gladiador Vulcanizada Reforçada</t>
        </is>
      </c>
      <c r="E384" s="904" t="n"/>
      <c r="F384" s="856" t="n">
        <v>21.44</v>
      </c>
      <c r="G384" s="1016">
        <f>F384*12%</f>
        <v/>
      </c>
      <c r="H384" s="831" t="n">
        <v>-0.35</v>
      </c>
      <c r="I384" s="904" t="n">
        <v>6.65</v>
      </c>
      <c r="J384" s="340">
        <f>F384*18%</f>
        <v/>
      </c>
      <c r="K384" s="340">
        <f>(F384-J384)*1.65%</f>
        <v/>
      </c>
      <c r="L384" s="340">
        <f>(F384-J384)*7.6%</f>
        <v/>
      </c>
      <c r="M384" s="1097" t="n">
        <v>0.67</v>
      </c>
      <c r="N384" s="785">
        <f>(G384+I384)*(9.25%)</f>
        <v/>
      </c>
      <c r="O384" s="701" t="n">
        <v>6.04</v>
      </c>
      <c r="P384" s="1016">
        <f>(F384 - (G384+I384+O384+(J384+K384+L384))) - (H384-M384-N384)</f>
        <v/>
      </c>
      <c r="Q384" s="462">
        <f>P384/F384</f>
        <v/>
      </c>
      <c r="R384" s="904" t="inlineStr">
        <is>
          <t>Ativo</t>
        </is>
      </c>
      <c r="S384" s="904" t="inlineStr">
        <is>
          <t>1un M,G,XG</t>
        </is>
      </c>
      <c r="T384" s="569" t="n"/>
      <c r="U384" s="1030" t="n"/>
      <c r="V384" s="1030" t="n"/>
      <c r="W384" s="1030" t="n"/>
    </row>
    <row r="385" ht="15.75" customHeight="1" s="1349">
      <c r="A385" s="1292" t="inlineStr">
        <is>
          <t>4324677217</t>
        </is>
      </c>
      <c r="B385" s="884" t="n">
        <v>10034034167873</v>
      </c>
      <c r="C385" s="1292" t="inlineStr">
        <is>
          <t>Danny</t>
        </is>
      </c>
      <c r="D385" s="765" t="inlineStr">
        <is>
          <t>Luva Gladiador Látex Azul Reforçada Segurança Obra 3 Pares</t>
        </is>
      </c>
      <c r="E385" s="904" t="n"/>
      <c r="F385" s="856" t="n">
        <v>40.64</v>
      </c>
      <c r="G385" s="1016">
        <f>F385*17%</f>
        <v/>
      </c>
      <c r="H385" s="831" t="n">
        <v>-0.83</v>
      </c>
      <c r="I385" s="904" t="n">
        <v>6.85</v>
      </c>
      <c r="J385" s="340">
        <f>F385*18%</f>
        <v/>
      </c>
      <c r="K385" s="340">
        <f>(F385-J385)*1.65%</f>
        <v/>
      </c>
      <c r="L385" s="340">
        <f>(F385-J385)*7.6%</f>
        <v/>
      </c>
      <c r="M385" s="1097">
        <f>0.77*3</f>
        <v/>
      </c>
      <c r="N385" s="785">
        <f>(G385+I385)*(9.25%)</f>
        <v/>
      </c>
      <c r="O385" s="701">
        <f>5.94*3</f>
        <v/>
      </c>
      <c r="P385" s="1016">
        <f>(F385 - (G385+I385+O385+(J385+K385+L385))) - (H385-M385-N385)</f>
        <v/>
      </c>
      <c r="Q385" s="462">
        <f>P385/F385</f>
        <v/>
      </c>
      <c r="R385" s="904" t="inlineStr">
        <is>
          <t>Ativo</t>
        </is>
      </c>
      <c r="S385" s="904" t="inlineStr">
        <is>
          <t>3un M,G,XG</t>
        </is>
      </c>
      <c r="T385" s="569" t="n"/>
      <c r="U385" s="1030" t="n"/>
      <c r="V385" s="1030" t="n"/>
      <c r="W385" s="1030" t="n"/>
    </row>
    <row r="386" ht="15.75" customHeight="1" s="1349">
      <c r="A386" s="1265" t="inlineStr">
        <is>
          <t>3954889381</t>
        </is>
      </c>
      <c r="B386" s="1263" t="n">
        <v>10034034167468</v>
      </c>
      <c r="C386" s="1292" t="inlineStr">
        <is>
          <t>Danny</t>
        </is>
      </c>
      <c r="D386" s="194" t="inlineStr">
        <is>
          <t>Kit 6 Luva Reforçada Gladiador Antiderrapante Serviço Pesado</t>
        </is>
      </c>
      <c r="E386" s="654" t="n"/>
      <c r="F386" s="607" t="n">
        <v>67.8</v>
      </c>
      <c r="G386" s="447">
        <f>F386*12%</f>
        <v/>
      </c>
      <c r="H386" s="831" t="n">
        <v>-1.8</v>
      </c>
      <c r="I386" s="904" t="n">
        <v>8.15</v>
      </c>
      <c r="J386" s="340">
        <f>F386*18%</f>
        <v/>
      </c>
      <c r="K386" s="340">
        <f>(F386-J386)*1.65%</f>
        <v/>
      </c>
      <c r="L386" s="340">
        <f>(F386-J386)*7.6%</f>
        <v/>
      </c>
      <c r="M386" s="1097">
        <f>0.77*6</f>
        <v/>
      </c>
      <c r="N386" s="785">
        <f>(G386+I386)*(9.25%)</f>
        <v/>
      </c>
      <c r="O386" s="701">
        <f>5.94*6</f>
        <v/>
      </c>
      <c r="P386" s="1016">
        <f>(F386 - (G386+I386+O386+(J386+K386+L386))) - (H386-M386-N386)</f>
        <v/>
      </c>
      <c r="Q386" s="328">
        <f>P386/F386</f>
        <v/>
      </c>
      <c r="R386" s="904" t="inlineStr">
        <is>
          <t>Ativo</t>
        </is>
      </c>
      <c r="S386" s="904" t="inlineStr">
        <is>
          <t>5un M,G,EG</t>
        </is>
      </c>
      <c r="T386" s="569" t="n">
        <v>18</v>
      </c>
      <c r="U386" s="1030" t="n"/>
      <c r="V386" s="1030" t="n"/>
      <c r="W386" s="1030" t="n"/>
    </row>
    <row r="387" ht="15.75" customHeight="1" s="1349">
      <c r="A387" s="1292" t="inlineStr">
        <is>
          <t>4321967271</t>
        </is>
      </c>
      <c r="B387" s="884" t="n">
        <v>10034034167871</v>
      </c>
      <c r="C387" s="1292" t="inlineStr">
        <is>
          <t>ÂNCORA</t>
        </is>
      </c>
      <c r="D387" s="789" t="inlineStr">
        <is>
          <t>Prego 15x15 Concreto Aço Galvanizado Bicromatizado 1000un</t>
        </is>
      </c>
      <c r="E387" s="904" t="n"/>
      <c r="F387" s="856" t="n">
        <v>59.9</v>
      </c>
      <c r="G387" s="1016">
        <f>F387*11.5%</f>
        <v/>
      </c>
      <c r="H387" s="831" t="n">
        <v>-1.85</v>
      </c>
      <c r="I387" s="904" t="n">
        <v>7.75</v>
      </c>
      <c r="J387" s="340">
        <f>F387*18%</f>
        <v/>
      </c>
      <c r="K387" s="340">
        <f>(F387-J387)*1.65%</f>
        <v/>
      </c>
      <c r="L387" s="340">
        <f>(F387-J387)*7.6%</f>
        <v/>
      </c>
      <c r="M387" s="1097">
        <f>0.36*10</f>
        <v/>
      </c>
      <c r="N387" s="785">
        <f>(G387+I387)*(9.25%)</f>
        <v/>
      </c>
      <c r="O387" s="701">
        <f>2.98*10</f>
        <v/>
      </c>
      <c r="P387" s="1016">
        <f>(F387 - (G387+I387+O387+(J387+K387+L387))) - (H387-M387-N387)</f>
        <v/>
      </c>
      <c r="Q387" s="462">
        <f>P387/F387</f>
        <v/>
      </c>
      <c r="R387" s="904" t="inlineStr">
        <is>
          <t>Ativo</t>
        </is>
      </c>
      <c r="S387" s="904" t="inlineStr">
        <is>
          <t>1.000un</t>
        </is>
      </c>
      <c r="T387" s="569" t="n"/>
      <c r="U387" s="1030" t="n"/>
      <c r="V387" s="1030" t="n"/>
      <c r="W387" s="1030" t="n"/>
    </row>
    <row r="388" ht="15.75" customHeight="1" s="1349">
      <c r="A388" s="1292" t="inlineStr">
        <is>
          <t>4325034181</t>
        </is>
      </c>
      <c r="B388" s="884" t="n">
        <v>10034034167660</v>
      </c>
      <c r="C388" s="1292" t="inlineStr">
        <is>
          <t>Medix</t>
        </is>
      </c>
      <c r="D388" s="789" t="inlineStr">
        <is>
          <t>Luva Descartável de Látex com Pó Medix Cor Natural Tamanho M x 100 Unidades</t>
        </is>
      </c>
      <c r="E388" s="904" t="n"/>
      <c r="F388" s="856" t="n">
        <v>27.95</v>
      </c>
      <c r="G388" s="1016">
        <f>F388*12%</f>
        <v/>
      </c>
      <c r="H388" s="831" t="n">
        <v>-1.67</v>
      </c>
      <c r="I388" s="904">
        <f>IFS(
  F388&lt;12.5, F388/2,
  F388&lt;29, 6.25,
  F388&lt;50, 6.5,
  F388&lt;=79, 6.75,
  TRUE, 25
)</f>
        <v/>
      </c>
      <c r="J388" s="340">
        <f>F388*18%</f>
        <v/>
      </c>
      <c r="K388" s="340">
        <f>(F388-J388)*1.65%</f>
        <v/>
      </c>
      <c r="L388" s="340">
        <f>(F388-J388)*7.6%</f>
        <v/>
      </c>
      <c r="M388" s="1097" t="n">
        <v>1.76</v>
      </c>
      <c r="N388" s="785">
        <f>(G388+I388)*(9.25%)</f>
        <v/>
      </c>
      <c r="O388" s="701" t="n">
        <v>13.7</v>
      </c>
      <c r="P388" s="1016">
        <f>(F388 - (G388+I388+O388+(J388+K388+L388))) - (H388-M388-N388)</f>
        <v/>
      </c>
      <c r="Q388" s="462">
        <f>P388/F388</f>
        <v/>
      </c>
      <c r="R388" s="904" t="inlineStr">
        <is>
          <t>Ativo</t>
        </is>
      </c>
      <c r="S388" s="904" t="inlineStr">
        <is>
          <t>1 CT P,M,G</t>
        </is>
      </c>
      <c r="T388" s="569" t="n"/>
      <c r="U388" s="1030" t="n"/>
      <c r="V388" s="1030" t="n"/>
      <c r="W388" s="1030" t="n"/>
    </row>
    <row r="389" ht="15.75" customHeight="1" s="1349">
      <c r="A389" s="1292" t="inlineStr">
        <is>
          <t>4325301751</t>
        </is>
      </c>
      <c r="B389" s="884" t="n">
        <v>10034034167879</v>
      </c>
      <c r="C389" s="1292" t="inlineStr">
        <is>
          <t>Medix</t>
        </is>
      </c>
      <c r="E389" s="904" t="n"/>
      <c r="F389" s="856" t="n">
        <v>70.33</v>
      </c>
      <c r="G389" s="1016">
        <f>F389*13%</f>
        <v/>
      </c>
      <c r="H389" s="831" t="n">
        <v>-2.18</v>
      </c>
      <c r="I389" s="904">
        <f>IFS(
F389&lt;12.5, F389/2,
F389&lt;29, 6.25,
F389&lt;50, 6.5,
F389&lt;=79, 6.75,
TRUE, 
25)</f>
        <v/>
      </c>
      <c r="J389" s="340">
        <f>F389*18%</f>
        <v/>
      </c>
      <c r="K389" s="340">
        <f>(F389-J389)*1.65%</f>
        <v/>
      </c>
      <c r="L389" s="340">
        <f>(F389-J389)*7.6%</f>
        <v/>
      </c>
      <c r="M389" s="1097">
        <f>1.76*3</f>
        <v/>
      </c>
      <c r="N389" s="785">
        <f>(G389+I389)*(9.25%)</f>
        <v/>
      </c>
      <c r="O389" s="701">
        <f>13.7*3</f>
        <v/>
      </c>
      <c r="P389" s="1016">
        <f>(F389 - (G389+I389+O389+(J389+K389+L389))) - (H389-M389-N389)</f>
        <v/>
      </c>
      <c r="Q389" s="462">
        <f>P389/F389</f>
        <v/>
      </c>
      <c r="R389" s="1206" t="inlineStr">
        <is>
          <t>Ativo</t>
        </is>
      </c>
      <c r="S389" s="904" t="inlineStr">
        <is>
          <t>3 CT P,M,G</t>
        </is>
      </c>
      <c r="T389" s="569" t="n"/>
      <c r="U389" s="1030" t="n"/>
      <c r="V389" s="1030" t="n"/>
      <c r="W389" s="1030" t="n"/>
    </row>
    <row r="390" ht="15.75" customHeight="1" s="1349">
      <c r="A390" s="1292" t="inlineStr">
        <is>
          <t>4325306577</t>
        </is>
      </c>
      <c r="B390" s="884" t="n">
        <v>10034034167883</v>
      </c>
      <c r="C390" s="1292" t="inlineStr">
        <is>
          <t>Medix</t>
        </is>
      </c>
      <c r="D390" s="481" t="inlineStr">
        <is>
          <t>Luva Látex Natural Macia C/ Pó Nitrílica Descartável 500 Un</t>
        </is>
      </c>
      <c r="E390" s="904" t="n"/>
      <c r="F390" s="856" t="n">
        <v>128.51</v>
      </c>
      <c r="G390" s="1016">
        <f>F390*17%</f>
        <v/>
      </c>
      <c r="H390" s="831" t="n">
        <v>-3.97</v>
      </c>
      <c r="I390" s="904" t="n">
        <v>19.96</v>
      </c>
      <c r="J390" s="340">
        <f>F390*18%</f>
        <v/>
      </c>
      <c r="K390" s="340">
        <f>(F390-J390)*1.65%</f>
        <v/>
      </c>
      <c r="L390" s="340">
        <f>(F390-J390)*7.6%</f>
        <v/>
      </c>
      <c r="M390" s="1097">
        <f>1.76*5</f>
        <v/>
      </c>
      <c r="N390" s="785">
        <f>(G390+I390)*(9.25%)</f>
        <v/>
      </c>
      <c r="O390" s="701">
        <f>13.7*5</f>
        <v/>
      </c>
      <c r="P390" s="1016">
        <f>(F390 - (G390+I390+O390+(J390+K390+L390))) - (H390-M390-N390)</f>
        <v/>
      </c>
      <c r="Q390" s="462">
        <f>P390/F390</f>
        <v/>
      </c>
      <c r="R390" s="1206" t="inlineStr">
        <is>
          <t>sem estoque</t>
        </is>
      </c>
      <c r="S390" s="904" t="inlineStr">
        <is>
          <t>5 CT</t>
        </is>
      </c>
      <c r="T390" s="569" t="n"/>
      <c r="U390" s="1030" t="n"/>
      <c r="V390" s="1030" t="n"/>
      <c r="W390" s="1030" t="n"/>
    </row>
    <row r="391" ht="15.75" customHeight="1" s="1349">
      <c r="A391" s="1292" t="inlineStr">
        <is>
          <t>4327306407</t>
        </is>
      </c>
      <c r="B391" s="884" t="n">
        <v>10034034167075</v>
      </c>
      <c r="C391" s="1292" t="inlineStr">
        <is>
          <t>TekBond</t>
        </is>
      </c>
      <c r="D391" s="481" t="inlineStr">
        <is>
          <t>Adesivo Silicone Acético Construção Transparente Vedação</t>
        </is>
      </c>
      <c r="E391" s="904" t="n"/>
      <c r="F391" s="856" t="n">
        <v>31.02</v>
      </c>
      <c r="G391" s="1016">
        <f>F391*16.5%</f>
        <v/>
      </c>
      <c r="H391" s="831" t="n">
        <v>-0.96</v>
      </c>
      <c r="I391" s="904">
        <f>IFS(
  F391&lt;12.5, F391/2,
  F391&lt;29, 6.25,
  F391&lt;50, 6.5,
  F391&lt;=79, 6.75,
  TRUE, 25
)</f>
        <v/>
      </c>
      <c r="J391" s="340">
        <f>F391*18%</f>
        <v/>
      </c>
      <c r="K391" s="340">
        <f>(F391-J391)*1.65%</f>
        <v/>
      </c>
      <c r="L391" s="340">
        <f>(F391-J391)*7.6%</f>
        <v/>
      </c>
      <c r="M391" s="1097" t="n">
        <v>2.75</v>
      </c>
      <c r="N391" s="785">
        <f>(G391+I391)*(9.25%)</f>
        <v/>
      </c>
      <c r="O391" s="701" t="n">
        <v>10.74</v>
      </c>
      <c r="P391" s="1016">
        <f>(F391 - (G391+I391+O391+(J391+K391+L391))) - (H391-M391-N391)</f>
        <v/>
      </c>
      <c r="Q391" s="462">
        <f>P391/F391</f>
        <v/>
      </c>
      <c r="R391" s="1206" t="inlineStr">
        <is>
          <t>Ativo</t>
        </is>
      </c>
      <c r="S391" s="904" t="inlineStr">
        <is>
          <t>1un</t>
        </is>
      </c>
      <c r="T391" s="569" t="n"/>
      <c r="U391" s="1030" t="n"/>
      <c r="V391" s="1030" t="n"/>
      <c r="W391" s="1030" t="n"/>
    </row>
    <row r="392" ht="15.75" customHeight="1" s="1349">
      <c r="A392" s="1292" t="inlineStr">
        <is>
          <t>4327322361</t>
        </is>
      </c>
      <c r="B392" s="884" t="n">
        <v>10034034167886</v>
      </c>
      <c r="C392" s="1292" t="inlineStr">
        <is>
          <t>TekBond</t>
        </is>
      </c>
      <c r="D392" s="481" t="inlineStr">
        <is>
          <t>Silicone Transparente Incolor Acético Construção Box Kit 3un</t>
        </is>
      </c>
      <c r="E392" s="904" t="n"/>
      <c r="F392" s="856" t="n">
        <v>58.2</v>
      </c>
      <c r="G392" s="1016">
        <f>F392*16.5%</f>
        <v/>
      </c>
      <c r="H392" s="831" t="n"/>
      <c r="I392" s="904" t="n">
        <v>8.050000000000001</v>
      </c>
      <c r="J392" s="340">
        <f>F392*18%</f>
        <v/>
      </c>
      <c r="K392" s="340">
        <f>(F392-J392)*1.65%</f>
        <v/>
      </c>
      <c r="L392" s="340">
        <f>(F392-J392)*7.6%</f>
        <v/>
      </c>
      <c r="M392" s="1097">
        <f>2.75*3</f>
        <v/>
      </c>
      <c r="N392" s="785">
        <f>(G392+I392)*(9.25%)</f>
        <v/>
      </c>
      <c r="O392" s="701">
        <f>10.74*3</f>
        <v/>
      </c>
      <c r="P392" s="1016">
        <f>(F392 - (G392+I392+O392+(J392+K392+L392))) - (H392-M392-N392)</f>
        <v/>
      </c>
      <c r="Q392" s="462">
        <f>P392/F392</f>
        <v/>
      </c>
      <c r="R392" s="1206" t="inlineStr">
        <is>
          <t>Ativo</t>
        </is>
      </c>
      <c r="S392" s="904" t="inlineStr">
        <is>
          <t>3un</t>
        </is>
      </c>
      <c r="T392" s="569" t="n"/>
      <c r="U392" s="1030" t="n"/>
      <c r="V392" s="1030" t="n"/>
      <c r="W392" s="1030" t="n"/>
    </row>
    <row r="393" ht="15.75" customHeight="1" s="1349">
      <c r="A393" s="1292" t="inlineStr">
        <is>
          <t>5971005000</t>
        </is>
      </c>
      <c r="B393" s="884" t="n">
        <v>10034034167887</v>
      </c>
      <c r="C393" s="1292" t="inlineStr">
        <is>
          <t>TekBond</t>
        </is>
      </c>
      <c r="D393" s="481" t="inlineStr">
        <is>
          <t>Silicone Incolor Acético Construção Multi Uso Vedação 10un</t>
        </is>
      </c>
      <c r="E393" s="904" t="n"/>
      <c r="F393" s="856" t="n">
        <v>179</v>
      </c>
      <c r="G393" s="1016">
        <f>F393*11.5%</f>
        <v/>
      </c>
      <c r="H393" s="831" t="n"/>
      <c r="I393" s="904" t="n">
        <v>23.65</v>
      </c>
      <c r="J393" s="340">
        <f>F393*18%</f>
        <v/>
      </c>
      <c r="K393" s="340">
        <f>(F393-J393)*1.65%</f>
        <v/>
      </c>
      <c r="L393" s="340">
        <f>(F393-J393)*7.6%</f>
        <v/>
      </c>
      <c r="M393" s="1097">
        <f>2.75*10</f>
        <v/>
      </c>
      <c r="N393" s="785">
        <f>(G393+I393)*(9.25%)</f>
        <v/>
      </c>
      <c r="O393" s="701">
        <f>10.74*10</f>
        <v/>
      </c>
      <c r="P393" s="1016">
        <f>(F393 - (G393+I393+O393+(J393+K393+L393))) - (H393-M393-N393)</f>
        <v/>
      </c>
      <c r="Q393" s="462">
        <f>P393/F393</f>
        <v/>
      </c>
      <c r="R393" s="1206" t="inlineStr">
        <is>
          <t>Ativo</t>
        </is>
      </c>
      <c r="S393" s="904" t="inlineStr">
        <is>
          <t>10un</t>
        </is>
      </c>
      <c r="T393" s="569" t="n"/>
      <c r="U393" s="1030" t="n"/>
      <c r="V393" s="1030" t="n"/>
      <c r="W393" s="1030" t="n"/>
    </row>
    <row r="394" ht="15.75" customHeight="1" s="1349">
      <c r="A394" s="1292" t="inlineStr">
        <is>
          <t>4329667583</t>
        </is>
      </c>
      <c r="B394" s="884" t="n">
        <v>912165</v>
      </c>
      <c r="C394" s="1292" t="inlineStr">
        <is>
          <t>EPI</t>
        </is>
      </c>
      <c r="D394" s="481" t="inlineStr">
        <is>
          <t>Luva Nitrílica Forrada Reutilizável Limpeza Antiderrapante</t>
        </is>
      </c>
      <c r="E394" s="904" t="n"/>
      <c r="F394" s="794" t="n">
        <v>18.72</v>
      </c>
      <c r="G394" s="1016">
        <f>F394*13%</f>
        <v/>
      </c>
      <c r="H394" s="831" t="n">
        <v>-0.32</v>
      </c>
      <c r="I394" s="904" t="n">
        <v>6.65</v>
      </c>
      <c r="J394" s="340">
        <f>F394*18%</f>
        <v/>
      </c>
      <c r="K394" s="340">
        <f>(F394-J394)*1.65%</f>
        <v/>
      </c>
      <c r="L394" s="340">
        <f>(F394-J394)*7.6%</f>
        <v/>
      </c>
      <c r="M394" s="1097" t="n">
        <v>0.84</v>
      </c>
      <c r="N394" s="785">
        <f>(G394+I394)*(9.25%)</f>
        <v/>
      </c>
      <c r="O394" s="701" t="n">
        <v>6.52</v>
      </c>
      <c r="P394" s="1016">
        <f>(F394 - (G394+I394+O394+(J394+K394+L394))) - (H394-M394-N394)</f>
        <v/>
      </c>
      <c r="Q394" s="462">
        <f>P394/F394</f>
        <v/>
      </c>
      <c r="R394" s="1206" t="inlineStr">
        <is>
          <t>Ativo</t>
        </is>
      </c>
      <c r="S394" s="904" t="inlineStr">
        <is>
          <t>1un Forrada</t>
        </is>
      </c>
      <c r="T394" s="569" t="n"/>
      <c r="U394" s="1030" t="n"/>
      <c r="V394" s="1030" t="n"/>
      <c r="W394" s="1030" t="n"/>
    </row>
    <row r="395" ht="15.75" customHeight="1" s="1349">
      <c r="A395" s="1292" t="inlineStr">
        <is>
          <t>4329853609</t>
        </is>
      </c>
      <c r="B395" s="884" t="n">
        <v>10034034167891</v>
      </c>
      <c r="C395" s="1292" t="inlineStr">
        <is>
          <t>VOLK</t>
        </is>
      </c>
      <c r="D395" s="481" t="inlineStr">
        <is>
          <t>Luva Borracha Nitrílica S/ Forro Anatômica Reforçada Limpeza</t>
        </is>
      </c>
      <c r="E395" s="904" t="n"/>
      <c r="F395" s="856" t="n">
        <v>19.3</v>
      </c>
      <c r="G395" s="1016">
        <f>F395*18%</f>
        <v/>
      </c>
      <c r="H395" s="831" t="n">
        <v>-1.07</v>
      </c>
      <c r="I395" s="904">
        <f>IFS(
  F395&lt;12.5, F395/2,
  F395&lt;29, 6.25,
  F395&lt;50, 6.5,
  F395&lt;=79, 6.75,
  TRUE, 25
)</f>
        <v/>
      </c>
      <c r="J395" s="340">
        <f>F395*18%</f>
        <v/>
      </c>
      <c r="K395" s="340">
        <f>(F395-J395)*1.65%</f>
        <v/>
      </c>
      <c r="L395" s="340">
        <f>(F395-J395)*7.6%</f>
        <v/>
      </c>
      <c r="M395" s="1097" t="n">
        <v>0.66</v>
      </c>
      <c r="N395" s="785">
        <f>(G395+I395)*(9.25%)</f>
        <v/>
      </c>
      <c r="O395" s="701" t="n">
        <v>5.14</v>
      </c>
      <c r="P395" s="1016">
        <f>(F395 - (G395+I395+O395+(J395+K395+L395))) - (H395-M395-N395)</f>
        <v/>
      </c>
      <c r="Q395" s="462">
        <f>P395/F395</f>
        <v/>
      </c>
      <c r="R395" s="1206" t="inlineStr">
        <is>
          <t>Ativo</t>
        </is>
      </c>
      <c r="S395" s="904" t="inlineStr">
        <is>
          <t>1un S/ Forro</t>
        </is>
      </c>
      <c r="T395" s="569" t="n"/>
      <c r="U395" s="1030" t="n"/>
      <c r="V395" s="1030" t="n"/>
      <c r="W395" s="1030" t="n"/>
    </row>
    <row r="396" ht="15.75" customHeight="1" s="1349">
      <c r="A396" s="1292" t="inlineStr">
        <is>
          <t>5978942570</t>
        </is>
      </c>
      <c r="B396" s="884" t="n">
        <v>10034034167927</v>
      </c>
      <c r="C396" s="904" t="inlineStr">
        <is>
          <t>VOLK</t>
        </is>
      </c>
      <c r="D396" s="481" t="inlineStr">
        <is>
          <t>Kit Luva Nitrílica Reforçada Limpeza Multi Uso 3 Pares</t>
        </is>
      </c>
      <c r="E396" s="904" t="n"/>
      <c r="F396" s="856" t="n">
        <v>34.2</v>
      </c>
      <c r="G396" s="1016">
        <f>F396*12%</f>
        <v/>
      </c>
      <c r="H396" s="831" t="n">
        <v>-0.48</v>
      </c>
      <c r="I396" s="904">
        <f>IFS(
F396&lt;12.5, F396/2,
F396&lt;29, 6.25,
F396&lt;50, 6.5,
F396&lt;=79, 6.75,
TRUE, 
25)</f>
        <v/>
      </c>
      <c r="J396" s="340">
        <f>F396*18%</f>
        <v/>
      </c>
      <c r="K396" s="340">
        <f>(F396-J396)*1.65%</f>
        <v/>
      </c>
      <c r="L396" s="340">
        <f>(F396-J396)*7.6%</f>
        <v/>
      </c>
      <c r="M396" s="1097">
        <f>0.66*3</f>
        <v/>
      </c>
      <c r="N396" s="785">
        <f>(G396+I396)*(9.25%)</f>
        <v/>
      </c>
      <c r="O396" s="701">
        <f>5.14*3</f>
        <v/>
      </c>
      <c r="P396" s="1016">
        <f>(F396 - (G396+I396+O396+(J396+K396+L396))) - (H396-M396-N396)</f>
        <v/>
      </c>
      <c r="Q396" s="462">
        <f>P396/F396</f>
        <v/>
      </c>
      <c r="R396" s="1206" t="inlineStr">
        <is>
          <t>Ativo</t>
        </is>
      </c>
      <c r="S396" s="904" t="inlineStr">
        <is>
          <t>3un S/ Forro</t>
        </is>
      </c>
      <c r="T396" s="569" t="n"/>
      <c r="U396" s="1030" t="n"/>
      <c r="V396" s="1030" t="n"/>
      <c r="W396" s="1030" t="n"/>
    </row>
    <row r="397" ht="15.75" customHeight="1" s="1349">
      <c r="A397" s="1292" t="inlineStr">
        <is>
          <t>5979402508</t>
        </is>
      </c>
      <c r="B397" s="795" t="n">
        <v>70000652</v>
      </c>
      <c r="C397" s="1292" t="inlineStr">
        <is>
          <t>Plastcor</t>
        </is>
      </c>
      <c r="D397" s="481" t="inlineStr">
        <is>
          <t>Cone Refletivo Flexível 75cm X 40cm Laranja Obra Delimitação</t>
        </is>
      </c>
      <c r="E397" s="904" t="n"/>
      <c r="F397" s="856" t="n">
        <v>76.62</v>
      </c>
      <c r="G397" s="1016">
        <f>F397*12%</f>
        <v/>
      </c>
      <c r="H397" s="831" t="inlineStr">
        <is>
          <t> </t>
        </is>
      </c>
      <c r="I397" s="904" t="n">
        <v>11.55</v>
      </c>
      <c r="J397" s="340">
        <f>F397*18%</f>
        <v/>
      </c>
      <c r="K397" s="340">
        <f>(F397-J397)*1.65%</f>
        <v/>
      </c>
      <c r="L397" s="340">
        <f>(F397-J397)*7.6%</f>
        <v/>
      </c>
      <c r="M397" s="1097" t="n">
        <v>11.9</v>
      </c>
      <c r="N397" s="785">
        <f>(G397+I397)*(9.25%)</f>
        <v/>
      </c>
      <c r="O397" s="701" t="n">
        <v>51.03</v>
      </c>
      <c r="P397" s="1016">
        <f>(F397 - (G397+I397+O397+(J397+K397+L397))) - (H397-M397-N397)</f>
        <v/>
      </c>
      <c r="Q397" s="462">
        <f>P397/F397</f>
        <v/>
      </c>
      <c r="R397" s="1206" t="inlineStr">
        <is>
          <t>Ativo</t>
        </is>
      </c>
      <c r="S397" s="904" t="inlineStr">
        <is>
          <t>1un 75cm</t>
        </is>
      </c>
      <c r="T397" s="569" t="n"/>
      <c r="U397" s="1030" t="n"/>
      <c r="V397" s="1030" t="n"/>
      <c r="W397" s="1030" t="n"/>
    </row>
    <row r="398" ht="15.75" customHeight="1" s="1349">
      <c r="A398" s="1292" t="inlineStr">
        <is>
          <t>5979814910 6755791792</t>
        </is>
      </c>
      <c r="B398" s="884" t="n">
        <v>10034034166641</v>
      </c>
      <c r="C398" s="1292" t="inlineStr">
        <is>
          <t>Plastcor</t>
        </is>
      </c>
      <c r="D398" s="481" t="inlineStr">
        <is>
          <t>Cone Flexível Laranja Faixa Branca 50cm Sinalização Trânsito</t>
        </is>
      </c>
      <c r="E398" s="904" t="n"/>
      <c r="F398" s="856" t="n">
        <v>64.90000000000001</v>
      </c>
      <c r="G398" s="1016">
        <f>F398*17%</f>
        <v/>
      </c>
      <c r="H398" s="831" t="n"/>
      <c r="I398" s="904" t="n">
        <v>11.95</v>
      </c>
      <c r="J398" s="340">
        <f>F398*18%</f>
        <v/>
      </c>
      <c r="K398" s="340">
        <f>(F398-J398)*1.65%</f>
        <v/>
      </c>
      <c r="L398" s="340">
        <f>(F398-J398)*7.6%</f>
        <v/>
      </c>
      <c r="M398" s="1097" t="n">
        <v>7.22</v>
      </c>
      <c r="N398" s="785">
        <f>(G398+I398)*(9.25%)</f>
        <v/>
      </c>
      <c r="O398" s="701" t="n">
        <v>30.98</v>
      </c>
      <c r="P398" s="1016">
        <f>(F398 - (G398+I398+O398+(J398+K398+L398))) - (H398-M398-N398)</f>
        <v/>
      </c>
      <c r="Q398" s="462">
        <f>P398/F398</f>
        <v/>
      </c>
      <c r="R398" s="1206" t="inlineStr">
        <is>
          <t>Ativo</t>
        </is>
      </c>
      <c r="S398" s="904" t="inlineStr">
        <is>
          <t>1un 50cm</t>
        </is>
      </c>
      <c r="T398" s="569" t="n"/>
      <c r="U398" s="1030" t="n"/>
      <c r="V398" s="1030" t="n"/>
      <c r="W398" s="1030" t="n"/>
    </row>
    <row r="399" ht="15.75" customHeight="1" s="1349">
      <c r="A399" s="1292" t="inlineStr">
        <is>
          <t>5979754324</t>
        </is>
      </c>
      <c r="B399" s="884" t="n">
        <v>10034034167934</v>
      </c>
      <c r="C399" s="1292" t="inlineStr">
        <is>
          <t>Plastcor</t>
        </is>
      </c>
      <c r="D399" s="481" t="inlineStr">
        <is>
          <t>Kit 3 Cone Refletivo Flexível 50cm Sinalização Transito Obra</t>
        </is>
      </c>
      <c r="E399" s="904" t="n"/>
      <c r="F399" s="856" t="n">
        <v>199</v>
      </c>
      <c r="G399" s="1016">
        <f>F399*17%</f>
        <v/>
      </c>
      <c r="H399" s="831" t="n">
        <v>-5.1</v>
      </c>
      <c r="I399" s="904" t="n">
        <v>44.45</v>
      </c>
      <c r="J399" s="340">
        <f>F399*18%</f>
        <v/>
      </c>
      <c r="K399" s="340">
        <f>(F399-J399)*1.65%</f>
        <v/>
      </c>
      <c r="L399" s="340">
        <f>(F399-J399)*7.6%</f>
        <v/>
      </c>
      <c r="M399" s="1097">
        <f>7.22*3</f>
        <v/>
      </c>
      <c r="N399" s="785">
        <f>(G399+I399)*(9.25%)</f>
        <v/>
      </c>
      <c r="O399" s="701">
        <f>30.98*3</f>
        <v/>
      </c>
      <c r="P399" s="1016">
        <f>(F399 - (G399+I399+O399+(J399+K399+L399))) - (H399-M399-N399)</f>
        <v/>
      </c>
      <c r="Q399" s="462">
        <f>P399/F399</f>
        <v/>
      </c>
      <c r="R399" s="1206" t="inlineStr">
        <is>
          <t>Ativo</t>
        </is>
      </c>
      <c r="S399" s="904" t="inlineStr">
        <is>
          <t>3un 50cm</t>
        </is>
      </c>
      <c r="T399" s="569" t="n"/>
      <c r="U399" s="1030" t="n"/>
      <c r="V399" s="1030" t="n"/>
      <c r="W399" s="1030" t="n"/>
    </row>
    <row r="400" ht="15.75" customHeight="1" s="1349">
      <c r="A400" s="1292" t="inlineStr">
        <is>
          <t>5982277486</t>
        </is>
      </c>
      <c r="B400" s="884" t="n">
        <v>10034034166643</v>
      </c>
      <c r="C400" s="1292" t="inlineStr">
        <is>
          <t>Plastcor</t>
        </is>
      </c>
      <c r="D400" s="481" t="inlineStr">
        <is>
          <t>Cone Laranja Rígido 27cm X 50cm Plt Faixas Branca Demarcação</t>
        </is>
      </c>
      <c r="E400" s="904" t="n"/>
      <c r="F400" s="856" t="n">
        <v>27.55</v>
      </c>
      <c r="G400" s="1016">
        <f>F400*13%</f>
        <v/>
      </c>
      <c r="H400" s="831" t="n"/>
      <c r="I400" s="904" t="n">
        <v>8.949999999999999</v>
      </c>
      <c r="J400" s="340">
        <f>F400*18%</f>
        <v/>
      </c>
      <c r="K400" s="340">
        <f>(F400-J400)*1.65%</f>
        <v/>
      </c>
      <c r="L400" s="340">
        <f>(F400-J400)*7.6%</f>
        <v/>
      </c>
      <c r="M400" s="1097">
        <f>2.56*1</f>
        <v/>
      </c>
      <c r="N400" s="785">
        <f>(G400+I400)*(9.25%)</f>
        <v/>
      </c>
      <c r="O400" s="701">
        <f>10.98*1</f>
        <v/>
      </c>
      <c r="P400" s="1016">
        <f>(F400 - (G400+I400+O400+(J400+K400+L400))) - (H400-M400-N400)</f>
        <v/>
      </c>
      <c r="Q400" s="462">
        <f>P400/F400</f>
        <v/>
      </c>
      <c r="R400" s="1206" t="inlineStr">
        <is>
          <t>Ativo</t>
        </is>
      </c>
      <c r="S400" s="904" t="inlineStr">
        <is>
          <t>cone plt 1</t>
        </is>
      </c>
      <c r="T400" s="569" t="n">
        <v>10</v>
      </c>
      <c r="U400" s="1030" t="n"/>
      <c r="V400" s="1030" t="n"/>
      <c r="W400" s="1030" t="n"/>
    </row>
    <row r="401" ht="15.75" customHeight="1" s="1349">
      <c r="A401" s="1292" t="inlineStr">
        <is>
          <t>4334088957</t>
        </is>
      </c>
      <c r="B401" s="884" t="n">
        <v>10034034167938</v>
      </c>
      <c r="C401" s="1292" t="inlineStr">
        <is>
          <t>Plastcor</t>
        </is>
      </c>
      <c r="D401" s="481" t="inlineStr">
        <is>
          <t>Cone Laranja Faixa Injetada 27cm X50cm Sinalização Kit 2un</t>
        </is>
      </c>
      <c r="E401" s="904" t="n"/>
      <c r="F401" s="856" t="n">
        <v>48.51</v>
      </c>
      <c r="G401" s="1016">
        <f>F401*12%</f>
        <v/>
      </c>
      <c r="H401" s="831" t="n"/>
      <c r="I401" s="904" t="n">
        <v>11.75</v>
      </c>
      <c r="J401" s="340">
        <f>F401*18%</f>
        <v/>
      </c>
      <c r="K401" s="340">
        <f>(F401-J401)*1.65%</f>
        <v/>
      </c>
      <c r="L401" s="340">
        <f>(F401-J401)*7.6%</f>
        <v/>
      </c>
      <c r="M401" s="1097">
        <f>2.56*2</f>
        <v/>
      </c>
      <c r="N401" s="785">
        <f>(G401+I401)*(9.25%)</f>
        <v/>
      </c>
      <c r="O401" s="701">
        <f>10.98*2</f>
        <v/>
      </c>
      <c r="P401" s="1016">
        <f>(F401 - (G401+I401+O401+(J401+K401+L401))) - (H401-M401-N401)</f>
        <v/>
      </c>
      <c r="Q401" s="462">
        <f>P401/F401</f>
        <v/>
      </c>
      <c r="R401" s="1206" t="inlineStr">
        <is>
          <t>Ativo</t>
        </is>
      </c>
      <c r="S401" s="904" t="inlineStr">
        <is>
          <t>cone plt 2</t>
        </is>
      </c>
      <c r="T401" s="569" t="n"/>
      <c r="U401" s="1030" t="n"/>
      <c r="V401" s="1030" t="n"/>
      <c r="W401" s="1030" t="n"/>
    </row>
    <row r="402" ht="15.75" customHeight="1" s="1349">
      <c r="A402" s="1292" t="inlineStr">
        <is>
          <t>5983162190</t>
        </is>
      </c>
      <c r="B402" s="884" t="n">
        <v>10034034167939</v>
      </c>
      <c r="C402" s="1292" t="inlineStr">
        <is>
          <t>Plastcor</t>
        </is>
      </c>
      <c r="D402" s="481" t="inlineStr">
        <is>
          <t>Cone Rígido Laranja Plástico Delimitar Perímetro Obra 4 Un</t>
        </is>
      </c>
      <c r="E402" s="904" t="n"/>
      <c r="F402" s="856" t="n">
        <v>72.79000000000001</v>
      </c>
      <c r="G402" s="1016">
        <f>F402*17%</f>
        <v/>
      </c>
      <c r="H402" s="831" t="n">
        <v>-2.25</v>
      </c>
      <c r="I402" s="1206" t="n">
        <v>11.55</v>
      </c>
      <c r="J402" s="340">
        <f>F402*18%</f>
        <v/>
      </c>
      <c r="K402" s="340">
        <f>(F402-J402)*1.65%</f>
        <v/>
      </c>
      <c r="L402" s="340">
        <f>(F402-J402)*7.6%</f>
        <v/>
      </c>
      <c r="M402" s="1097">
        <f>2.56*4</f>
        <v/>
      </c>
      <c r="N402" s="785">
        <f>(G402+I402)*(9.25%)</f>
        <v/>
      </c>
      <c r="O402" s="701">
        <f>10.98*4</f>
        <v/>
      </c>
      <c r="P402" s="1016">
        <f>(F402 - (G402+I402+O402+(J402+K402+L402))) - (H402-M402-N402)</f>
        <v/>
      </c>
      <c r="Q402" s="462">
        <f>P402/F402</f>
        <v/>
      </c>
      <c r="R402" s="1206" t="inlineStr">
        <is>
          <t>Ativo</t>
        </is>
      </c>
      <c r="S402" s="904" t="inlineStr">
        <is>
          <t>cone plt 4</t>
        </is>
      </c>
      <c r="T402" s="569" t="n"/>
      <c r="U402" s="1030" t="n"/>
      <c r="V402" s="1030" t="n"/>
      <c r="W402" s="1030" t="n"/>
    </row>
    <row r="403" ht="15.75" customHeight="1" s="1349">
      <c r="A403" s="1292" t="inlineStr">
        <is>
          <t>5986048668</t>
        </is>
      </c>
      <c r="B403" s="884" t="n">
        <v>10034034167020</v>
      </c>
      <c r="C403" s="1292" t="inlineStr">
        <is>
          <t>VOLK</t>
        </is>
      </c>
      <c r="D403" s="481" t="inlineStr">
        <is>
          <t>Luva Nitril Full Punho Liso Proteção Química Mecânica Epi</t>
        </is>
      </c>
      <c r="E403" s="904" t="n"/>
      <c r="F403" s="856" t="n">
        <v>19.99</v>
      </c>
      <c r="G403" s="1016">
        <f>F403*17%</f>
        <v/>
      </c>
      <c r="H403" s="831" t="n">
        <v>-0.9</v>
      </c>
      <c r="I403" s="904" t="n">
        <v>6.55</v>
      </c>
      <c r="J403" s="340">
        <f>F403*18%</f>
        <v/>
      </c>
      <c r="K403" s="340">
        <f>(F403-J403)*1.65%</f>
        <v/>
      </c>
      <c r="L403" s="340">
        <f>(F403-J403)*7.6%</f>
        <v/>
      </c>
      <c r="M403" s="1097" t="n">
        <v>0.8</v>
      </c>
      <c r="N403" s="785">
        <f>(G403+I403)*(9.25%)</f>
        <v/>
      </c>
      <c r="O403" s="701" t="n">
        <v>6.21</v>
      </c>
      <c r="P403" s="1016">
        <f>(F403 - (G403+I403+O403+(J403+K403+L403))) - (H403-M403-N403)</f>
        <v/>
      </c>
      <c r="Q403" s="462">
        <f>P403/F403</f>
        <v/>
      </c>
      <c r="R403" s="1206" t="inlineStr">
        <is>
          <t>Ativo</t>
        </is>
      </c>
      <c r="S403" s="904" t="inlineStr">
        <is>
          <t>kit 1</t>
        </is>
      </c>
      <c r="T403" s="569" t="n"/>
      <c r="U403" s="1030" t="n"/>
      <c r="V403" s="1030" t="n"/>
      <c r="W403" s="1030" t="n"/>
    </row>
    <row r="404" ht="15.75" customHeight="1" s="1349">
      <c r="A404" s="1292" t="inlineStr">
        <is>
          <t>4034318739</t>
        </is>
      </c>
      <c r="B404" s="884" t="n">
        <v>10034034167465</v>
      </c>
      <c r="C404" s="904" t="n"/>
      <c r="D404" s="481" t="inlineStr">
        <is>
          <t>Disco De Corte Diamantado Nove54 No 3 Segmentado 105mm.</t>
        </is>
      </c>
      <c r="E404" s="904" t="n"/>
      <c r="F404" s="856" t="n">
        <v>22.9</v>
      </c>
      <c r="G404" s="1016">
        <f>F404*17%</f>
        <v/>
      </c>
      <c r="H404" s="831" t="n">
        <v>-0.61</v>
      </c>
      <c r="I404" s="904" t="n">
        <v>6.65</v>
      </c>
      <c r="J404" s="340">
        <f>F404*18%</f>
        <v/>
      </c>
      <c r="K404" s="340">
        <f>(F404-J404)*1.65%</f>
        <v/>
      </c>
      <c r="L404" s="340">
        <f>(F404-J404)*7.6%</f>
        <v/>
      </c>
      <c r="M404" s="1097" t="n">
        <v>2.04</v>
      </c>
      <c r="N404" s="785">
        <f>(G404+I404)*(9.25%)</f>
        <v/>
      </c>
      <c r="O404" s="701" t="n">
        <v>7.99</v>
      </c>
      <c r="P404" s="1016">
        <f>(F404 - (G404+I404+O404+(J404+K404+L404))) - (H404-M404-N404)</f>
        <v/>
      </c>
      <c r="Q404" s="462">
        <f>P404/F404</f>
        <v/>
      </c>
      <c r="R404" s="1206" t="inlineStr">
        <is>
          <t>Ativo</t>
        </is>
      </c>
      <c r="S404" s="904" t="n"/>
      <c r="T404" s="569" t="n"/>
      <c r="U404" s="1030" t="n"/>
      <c r="V404" s="1030" t="n"/>
      <c r="W404" s="1030" t="n"/>
    </row>
    <row r="405" ht="15.75" customHeight="1" s="1349">
      <c r="A405" s="1292" t="inlineStr">
        <is>
          <t>4335496915</t>
        </is>
      </c>
      <c r="B405" s="884" t="n">
        <v>10034034167944</v>
      </c>
      <c r="C405" s="1292" t="inlineStr">
        <is>
          <t>VOLK</t>
        </is>
      </c>
      <c r="D405" s="481" t="inlineStr">
        <is>
          <t>Luva Nitril Full Grip Lisa Black Automotivo Óleo Graxa 2 Prs</t>
        </is>
      </c>
      <c r="E405" s="904" t="n"/>
      <c r="F405" s="856" t="n">
        <v>38.79</v>
      </c>
      <c r="G405" s="1016">
        <f>F405*17%</f>
        <v/>
      </c>
      <c r="H405" s="831" t="n">
        <v>-1.2</v>
      </c>
      <c r="I405" s="904" t="n">
        <v>6.75</v>
      </c>
      <c r="J405" s="340">
        <f>F405*18%</f>
        <v/>
      </c>
      <c r="K405" s="340">
        <f>(F405-J405)*1.65%</f>
        <v/>
      </c>
      <c r="L405" s="340">
        <f>(F405-J405)*7.6%</f>
        <v/>
      </c>
      <c r="M405" s="1097">
        <f>1.01*2</f>
        <v/>
      </c>
      <c r="N405" s="785">
        <f>(G405+I405)*(9.25%)</f>
        <v/>
      </c>
      <c r="O405" s="701">
        <f>7.83*2</f>
        <v/>
      </c>
      <c r="P405" s="1016">
        <f>(F405 - (G405+I405+O405+(J405+K405+L405))) - (H405-M405-N405)</f>
        <v/>
      </c>
      <c r="Q405" s="462">
        <f>P405/F405</f>
        <v/>
      </c>
      <c r="R405" s="1206" t="inlineStr">
        <is>
          <t>Ativo</t>
        </is>
      </c>
      <c r="S405" s="904" t="inlineStr">
        <is>
          <t>kit 2</t>
        </is>
      </c>
      <c r="T405" s="569" t="n"/>
      <c r="U405" s="1030" t="n"/>
      <c r="V405" s="1030" t="n"/>
      <c r="W405" s="1030" t="n"/>
    </row>
    <row r="406" ht="15.75" customHeight="1" s="1349">
      <c r="A406" s="1292" t="inlineStr">
        <is>
          <t>4335575325</t>
        </is>
      </c>
      <c r="B406" s="884" t="n">
        <v>10034034167948</v>
      </c>
      <c r="C406" s="1292" t="inlineStr">
        <is>
          <t>VOLK</t>
        </is>
      </c>
      <c r="D406" s="481" t="inlineStr">
        <is>
          <t>Luva Nitril Full Anatômica Fibra Sintética Impermeável 5 Prs</t>
        </is>
      </c>
      <c r="E406" s="904" t="n"/>
      <c r="F406" s="856" t="n">
        <v>75.04000000000001</v>
      </c>
      <c r="G406" s="1016">
        <f>F406*17%</f>
        <v/>
      </c>
      <c r="H406" s="831" t="n"/>
      <c r="I406" s="904">
        <f>IFS(
  F406&lt;12.5, F406/2,
  F406&lt;29, 6.25,
  F406&lt;50, 6.5,
  F406&lt;=79, 6.75,
  TRUE, 25
)</f>
        <v/>
      </c>
      <c r="J406" s="340">
        <f>F406*18%</f>
        <v/>
      </c>
      <c r="K406" s="340">
        <f>(F406-J406)*1.65%</f>
        <v/>
      </c>
      <c r="L406" s="340">
        <f>(F406-J406)*7.6%</f>
        <v/>
      </c>
      <c r="M406" s="1097">
        <f>1.01*5</f>
        <v/>
      </c>
      <c r="N406" s="785">
        <f>(G406+I406)*(9.25%)</f>
        <v/>
      </c>
      <c r="O406" s="701">
        <f>7.83*5</f>
        <v/>
      </c>
      <c r="P406" s="1016">
        <f>(F406 - (G406+I406+O406+(J406+K406+L406))) - (H406-M406-N406)</f>
        <v/>
      </c>
      <c r="Q406" s="462">
        <f>P406/F406</f>
        <v/>
      </c>
      <c r="R406" s="1206" t="inlineStr">
        <is>
          <t>Ativo</t>
        </is>
      </c>
      <c r="S406" s="904" t="inlineStr">
        <is>
          <t>kit 5</t>
        </is>
      </c>
      <c r="T406" s="569" t="n"/>
      <c r="U406" s="1030" t="n"/>
      <c r="V406" s="1030" t="n"/>
      <c r="W406" s="1030" t="n"/>
    </row>
    <row r="407" ht="15.75" customHeight="1" s="1349">
      <c r="A407" s="1292" t="inlineStr">
        <is>
          <t>5986217678</t>
        </is>
      </c>
      <c r="B407" s="884" t="n">
        <v>10034034167952</v>
      </c>
      <c r="C407" s="1292" t="inlineStr">
        <is>
          <t>VOLK</t>
        </is>
      </c>
      <c r="D407" s="481" t="inlineStr">
        <is>
          <t>Luva Nitril Full Tricotado Alta Performance Anatômica 10 Prs</t>
        </is>
      </c>
      <c r="E407" s="1206" t="n"/>
      <c r="F407" s="803" t="n">
        <v>168.29</v>
      </c>
      <c r="G407" s="1016">
        <f>F407*17%</f>
        <v/>
      </c>
      <c r="H407" s="831" t="n"/>
      <c r="I407" s="904" t="n">
        <v>23.65</v>
      </c>
      <c r="J407" s="340">
        <f>F407*18%</f>
        <v/>
      </c>
      <c r="K407" s="340">
        <f>(F407-J407)*1.65%</f>
        <v/>
      </c>
      <c r="L407" s="340">
        <f>(F407-J407)*7.6%</f>
        <v/>
      </c>
      <c r="M407" s="1097">
        <f>1.01*10</f>
        <v/>
      </c>
      <c r="N407" s="785">
        <f>(G407+I407)*(9.25%)</f>
        <v/>
      </c>
      <c r="O407" s="701">
        <f>7.83*10</f>
        <v/>
      </c>
      <c r="P407" s="1016">
        <f>(F407 - (G407+I407+O407+(J407+K407+L407))) - (H407-M407-N407)</f>
        <v/>
      </c>
      <c r="Q407" s="462">
        <f>P407/F407</f>
        <v/>
      </c>
      <c r="R407" s="1206" t="inlineStr">
        <is>
          <t>Ativo</t>
        </is>
      </c>
      <c r="S407" s="904" t="inlineStr">
        <is>
          <t>kit 10</t>
        </is>
      </c>
      <c r="T407" s="569" t="n"/>
      <c r="U407" s="1030" t="n"/>
      <c r="V407" s="1030" t="n"/>
      <c r="W407" s="1030" t="n"/>
    </row>
    <row r="408" ht="15.75" customHeight="1" s="1349">
      <c r="A408" s="1292" t="inlineStr">
        <is>
          <t>4339193469</t>
        </is>
      </c>
      <c r="B408" s="884" t="n">
        <v>10034034167960</v>
      </c>
      <c r="C408" s="1292" t="inlineStr">
        <is>
          <t>Danny</t>
        </is>
      </c>
      <c r="D408" s="481" t="inlineStr">
        <is>
          <t>Luva Limpeza Confort Látex Amarelo Cozinha Multiuso 5 Pares</t>
        </is>
      </c>
      <c r="E408" s="904" t="n"/>
      <c r="F408" s="856" t="n">
        <v>31.74</v>
      </c>
      <c r="G408" s="1016">
        <f>F408*12%</f>
        <v/>
      </c>
      <c r="H408" s="831" t="n">
        <v>-0.32</v>
      </c>
      <c r="I408" s="904" t="n">
        <v>6.65</v>
      </c>
      <c r="J408" s="340">
        <f>F408*18%</f>
        <v/>
      </c>
      <c r="K408" s="340">
        <f>(F408-J408)*1.65%</f>
        <v/>
      </c>
      <c r="L408" s="340">
        <f>(F408-J408)*7.6%</f>
        <v/>
      </c>
      <c r="M408" s="1097">
        <f>0.27*5</f>
        <v/>
      </c>
      <c r="N408" s="785">
        <f>(G408+I408)*(9.25%)</f>
        <v/>
      </c>
      <c r="O408" s="701">
        <f>2.1*5</f>
        <v/>
      </c>
      <c r="P408" s="1016">
        <f>(F408 - (G408+I408+O408+(J408+K408+L408))) - (H408-M408-N408)</f>
        <v/>
      </c>
      <c r="Q408" s="462">
        <f>P408/F408</f>
        <v/>
      </c>
      <c r="R408" s="1206" t="inlineStr">
        <is>
          <t>Ativo</t>
        </is>
      </c>
      <c r="S408" s="904" t="inlineStr">
        <is>
          <t>kit 5</t>
        </is>
      </c>
      <c r="T408" s="569" t="n"/>
      <c r="U408" s="1030" t="n"/>
      <c r="V408" s="1030" t="n"/>
      <c r="W408" s="1030" t="n"/>
    </row>
    <row r="409" ht="15.75" customHeight="1" s="1349">
      <c r="A409" s="1292" t="inlineStr">
        <is>
          <t>4339286271</t>
        </is>
      </c>
      <c r="B409" s="884" t="n">
        <v>10034034167964</v>
      </c>
      <c r="C409" s="1292" t="inlineStr">
        <is>
          <t>Danny</t>
        </is>
      </c>
      <c r="D409" s="481" t="inlineStr">
        <is>
          <t>12 Pr Luva Limpeza Faxina Confort Látex Antiderrapante Louça</t>
        </is>
      </c>
      <c r="E409" s="904" t="n"/>
      <c r="F409" s="856" t="n">
        <v>63.05</v>
      </c>
      <c r="G409" s="1016">
        <f>F409*11.5%</f>
        <v/>
      </c>
      <c r="H409" s="831" t="n">
        <v>-0.66</v>
      </c>
      <c r="I409" s="904" t="n">
        <v>7.95</v>
      </c>
      <c r="J409" s="340">
        <f>F409*18%</f>
        <v/>
      </c>
      <c r="K409" s="340">
        <f>(F409-J409)*1.65%</f>
        <v/>
      </c>
      <c r="L409" s="340">
        <f>(F409-J409)*7.6%</f>
        <v/>
      </c>
      <c r="M409" s="1097">
        <f>0.27*12</f>
        <v/>
      </c>
      <c r="N409" s="785">
        <f>(G409+I409)*(9.25%)</f>
        <v/>
      </c>
      <c r="O409" s="701">
        <f>2.1*12</f>
        <v/>
      </c>
      <c r="P409" s="1016">
        <f>(F409 - (G409+I409+O409+(J409+K409+L409))) - (H409-M409-N409)</f>
        <v/>
      </c>
      <c r="Q409" s="462">
        <f>P409/F409</f>
        <v/>
      </c>
      <c r="R409" s="1206" t="inlineStr">
        <is>
          <t>Ativo</t>
        </is>
      </c>
      <c r="S409" s="904" t="inlineStr">
        <is>
          <t>kit 12</t>
        </is>
      </c>
      <c r="T409" s="569" t="n"/>
      <c r="U409" s="1030" t="n"/>
      <c r="V409" s="1030" t="n"/>
      <c r="W409" s="1030" t="n"/>
    </row>
    <row r="410" ht="15.75" customHeight="1" s="1349">
      <c r="A410" s="1292" t="inlineStr">
        <is>
          <t>4341270499</t>
        </is>
      </c>
      <c r="B410" s="884" t="n">
        <v>10034034166951</v>
      </c>
      <c r="C410" s="1292" t="inlineStr">
        <is>
          <t>Koretech</t>
        </is>
      </c>
      <c r="D410" s="481" t="inlineStr">
        <is>
          <t>Fita Adesiva Bopp Empacotamento 45mm X 100m Alta Aderência</t>
        </is>
      </c>
      <c r="E410" s="904" t="n"/>
      <c r="F410" s="856" t="n">
        <v>19.01</v>
      </c>
      <c r="G410" s="1016">
        <f>F410*16.5%</f>
        <v/>
      </c>
      <c r="H410" s="831" t="n">
        <v>-0.59</v>
      </c>
      <c r="I410" s="904">
        <f>IFS(
  F410&lt;12.5, F410/2,
  F410&lt;29, 6.25,
  F410&lt;50, 6.5,
  F410&lt;=79, 6.75,
  TRUE, 25
)</f>
        <v/>
      </c>
      <c r="J410" s="340">
        <f>F410*18%</f>
        <v/>
      </c>
      <c r="K410" s="340">
        <f>(F410-J410)*1.65%</f>
        <v/>
      </c>
      <c r="L410" s="340">
        <f>(F410-J410)*7.6%</f>
        <v/>
      </c>
      <c r="M410" s="1097" t="n">
        <v>1.01</v>
      </c>
      <c r="N410" s="785">
        <f>(G410+I410)*(9.25%)</f>
        <v/>
      </c>
      <c r="O410" s="701">
        <f>3.94*1</f>
        <v/>
      </c>
      <c r="P410" s="1016">
        <f>(F410 - (G410+I410+O410+(J410+K410+L410))) - (H410-M410-N410)</f>
        <v/>
      </c>
      <c r="Q410" s="462">
        <f>P410/F410</f>
        <v/>
      </c>
      <c r="R410" s="1206" t="inlineStr">
        <is>
          <t>Ativo</t>
        </is>
      </c>
      <c r="S410" s="904" t="inlineStr">
        <is>
          <t>kit 1</t>
        </is>
      </c>
      <c r="T410" s="569" t="n"/>
      <c r="U410" s="1030" t="n"/>
      <c r="V410" s="1030" t="n"/>
      <c r="W410" s="1030" t="n"/>
    </row>
    <row r="411" ht="15.75" customHeight="1" s="1349">
      <c r="A411" s="1292" t="inlineStr">
        <is>
          <t>5996606324</t>
        </is>
      </c>
      <c r="B411" s="884" t="n">
        <v>10034034167969</v>
      </c>
      <c r="C411" s="1292" t="inlineStr">
        <is>
          <t>Koretech</t>
        </is>
      </c>
      <c r="D411" s="481" t="inlineStr">
        <is>
          <t>Kit 2 Fita Adesiva Transparente Reforçada 4,5cm X 100m Mudança 2un</t>
        </is>
      </c>
      <c r="E411" s="904" t="n"/>
      <c r="F411" s="856" t="n">
        <v>23.9</v>
      </c>
      <c r="G411" s="1016">
        <f>F411*16.5%</f>
        <v/>
      </c>
      <c r="H411" s="831" t="n">
        <v>-1.43</v>
      </c>
      <c r="I411" s="904">
        <f>IFS(
F411&lt;12.5, F411/2,
F411&lt;29, 6.25,
F411&lt;50, 6.5,
F411&lt;=79, 6.75,
TRUE, 
25)</f>
        <v/>
      </c>
      <c r="J411" s="340">
        <f>F411*18%</f>
        <v/>
      </c>
      <c r="K411" s="340">
        <f>(F411-J411)*1.65%</f>
        <v/>
      </c>
      <c r="L411" s="340">
        <f>(F411-J411)*7.6%</f>
        <v/>
      </c>
      <c r="M411" s="1097">
        <f>1.01*2</f>
        <v/>
      </c>
      <c r="N411" s="785">
        <f>(G411+I411)*(9.25%)</f>
        <v/>
      </c>
      <c r="O411" s="701">
        <f>3.94*2</f>
        <v/>
      </c>
      <c r="P411" s="1016">
        <f>(F411 - (G411+I411+O411+(J411+K411+L411))) - (H411-M411-N411)</f>
        <v/>
      </c>
      <c r="Q411" s="462">
        <f>P411/F411</f>
        <v/>
      </c>
      <c r="R411" s="1206" t="inlineStr">
        <is>
          <t>Ativo</t>
        </is>
      </c>
      <c r="S411" s="904" t="inlineStr">
        <is>
          <t>kit 2</t>
        </is>
      </c>
      <c r="T411" s="569" t="n"/>
      <c r="U411" s="1030" t="n"/>
      <c r="V411" s="1030" t="n"/>
      <c r="W411" s="1030" t="n"/>
    </row>
    <row r="412" ht="15.75" customHeight="1" s="1349">
      <c r="A412" s="1292" t="inlineStr">
        <is>
          <t>5996546674</t>
        </is>
      </c>
      <c r="B412" s="884" t="n">
        <v>10034034167970</v>
      </c>
      <c r="C412" s="1292" t="inlineStr">
        <is>
          <t>Koretech</t>
        </is>
      </c>
      <c r="D412" s="481" t="inlineStr">
        <is>
          <t>Fita Adesiva Mudança Encomenda 45mm X 100m Logística Kit 5</t>
        </is>
      </c>
      <c r="E412" s="904" t="n"/>
      <c r="F412" s="856" t="n">
        <v>39</v>
      </c>
      <c r="G412" s="1016">
        <f>F412*11.5%</f>
        <v/>
      </c>
      <c r="H412" s="831" t="n">
        <v>-2.34</v>
      </c>
      <c r="I412" s="904" t="n">
        <v>6.85</v>
      </c>
      <c r="J412" s="340">
        <f>F412*18%</f>
        <v/>
      </c>
      <c r="K412" s="340">
        <f>(F412-J412)*1.65%</f>
        <v/>
      </c>
      <c r="L412" s="340">
        <f>(F412-J412)*7.6%</f>
        <v/>
      </c>
      <c r="M412" s="1097">
        <f>1.01*5</f>
        <v/>
      </c>
      <c r="N412" s="785">
        <f>(G412+I412)*(9.25%)</f>
        <v/>
      </c>
      <c r="O412" s="701">
        <f>3.94*5</f>
        <v/>
      </c>
      <c r="P412" s="1016">
        <f>(F412 - (G412+I412+O412+(J412+K412+L412))) - (H412-M412-N412)</f>
        <v/>
      </c>
      <c r="Q412" s="462">
        <f>P412/F412</f>
        <v/>
      </c>
      <c r="R412" s="1206" t="inlineStr">
        <is>
          <t>Ativo</t>
        </is>
      </c>
      <c r="S412" s="904" t="inlineStr">
        <is>
          <t>kit 5</t>
        </is>
      </c>
      <c r="T412" s="569" t="n"/>
      <c r="U412" s="1030" t="n"/>
      <c r="V412" s="1030" t="n"/>
      <c r="W412" s="1030" t="n"/>
    </row>
    <row r="413" ht="15.75" customHeight="1" s="1349">
      <c r="A413" s="1292" t="inlineStr">
        <is>
          <t>4341280901</t>
        </is>
      </c>
      <c r="B413" s="884" t="n">
        <v>10034034167971</v>
      </c>
      <c r="C413" s="1292" t="inlineStr">
        <is>
          <t>Koretech</t>
        </is>
      </c>
      <c r="D413" s="481" t="inlineStr">
        <is>
          <t>Kit 10 Rolo Fita Adesiva Transparente 45mm X 100m Reforçada</t>
        </is>
      </c>
      <c r="E413" s="904" t="n"/>
      <c r="F413" s="856" t="n">
        <v>63.91</v>
      </c>
      <c r="G413" s="1016">
        <f>F413*11.5%</f>
        <v/>
      </c>
      <c r="H413" s="831" t="n">
        <v>-3.83</v>
      </c>
      <c r="I413" s="904" t="n">
        <v>8.550000000000001</v>
      </c>
      <c r="J413" s="340">
        <f>F413*18%</f>
        <v/>
      </c>
      <c r="K413" s="340">
        <f>(F413-J413)*1.65%</f>
        <v/>
      </c>
      <c r="L413" s="340">
        <f>(F413-J413)*7.6%</f>
        <v/>
      </c>
      <c r="M413" s="1097">
        <f>1.01*10</f>
        <v/>
      </c>
      <c r="N413" s="785">
        <f>(G413+I413)*(9.25%)</f>
        <v/>
      </c>
      <c r="O413" s="701">
        <f>3.94*10</f>
        <v/>
      </c>
      <c r="P413" s="1016">
        <f>(F413 - (G413+I413+O413+(J413+K413+L413))) - (H413-M413-N413)</f>
        <v/>
      </c>
      <c r="Q413" s="462">
        <f>P413/F413</f>
        <v/>
      </c>
      <c r="R413" s="1206" t="inlineStr">
        <is>
          <t>Ativo</t>
        </is>
      </c>
      <c r="S413" s="904" t="inlineStr">
        <is>
          <t>kit 10</t>
        </is>
      </c>
      <c r="T413" s="569" t="n"/>
      <c r="U413" s="1030" t="n"/>
      <c r="V413" s="1030" t="n"/>
      <c r="W413" s="1030" t="n"/>
    </row>
    <row r="414" ht="15.75" customHeight="1" s="1349">
      <c r="A414" s="1292" t="inlineStr">
        <is>
          <t>4341490291</t>
        </is>
      </c>
      <c r="B414" s="884" t="n">
        <v>10034034167595</v>
      </c>
      <c r="C414" s="1292" t="inlineStr">
        <is>
          <t>EPI</t>
        </is>
      </c>
      <c r="D414" s="481" t="inlineStr">
        <is>
          <t>Fita Adesiva Cuidado Frágil 48mm X 100m Lacre Sinalização</t>
        </is>
      </c>
      <c r="E414" s="904" t="n"/>
      <c r="F414" s="856" t="n">
        <v>23.04</v>
      </c>
      <c r="G414" s="1016">
        <f>F414*16.5%</f>
        <v/>
      </c>
      <c r="H414" s="831" t="n">
        <v>-0.71</v>
      </c>
      <c r="I414" s="904">
        <f>IFS(
  F414&lt;12.5, F414/2,
  F414&lt;29, 6.25,
  F414&lt;50, 6.5,
  F414&lt;=79, 6.75,
  TRUE, 25
)</f>
        <v/>
      </c>
      <c r="J414" s="340">
        <f>F414*18%</f>
        <v/>
      </c>
      <c r="K414" s="340">
        <f>(F414-J414)*1.65%</f>
        <v/>
      </c>
      <c r="L414" s="340">
        <f>(F414-J414)*7.6%</f>
        <v/>
      </c>
      <c r="M414" s="577" t="n"/>
      <c r="N414" s="543">
        <f>(G414+I414)*(9.25%)</f>
        <v/>
      </c>
      <c r="O414" s="904">
        <f>6.38*1</f>
        <v/>
      </c>
      <c r="P414" s="1016">
        <f>(F414 - (G414+I414+O414+(J414+K414+L414))) - (H414-M414-N414)</f>
        <v/>
      </c>
      <c r="Q414" s="462">
        <f>P414/F414</f>
        <v/>
      </c>
      <c r="R414" s="1206" t="inlineStr">
        <is>
          <t>Ativo</t>
        </is>
      </c>
      <c r="S414" s="904" t="inlineStr">
        <is>
          <t>kit 1</t>
        </is>
      </c>
      <c r="T414" s="569" t="n"/>
      <c r="U414" s="1030" t="n"/>
      <c r="V414" s="1030" t="n"/>
      <c r="W414" s="1030" t="n"/>
    </row>
    <row r="415" ht="15.75" customHeight="1" s="1349">
      <c r="A415" s="1292" t="inlineStr">
        <is>
          <t>5997264470</t>
        </is>
      </c>
      <c r="B415" s="884" t="n">
        <v>10034034167595</v>
      </c>
      <c r="C415" s="1292" t="inlineStr">
        <is>
          <t>EPI</t>
        </is>
      </c>
      <c r="D415" s="481" t="inlineStr">
        <is>
          <t>Fita Adesiva Cuidado Frágil 48mm X 100m Embalagem 2 Rolos</t>
        </is>
      </c>
      <c r="E415" s="904" t="n"/>
      <c r="F415" s="856" t="n">
        <v>38</v>
      </c>
      <c r="G415" s="1016">
        <f>F415*16.5%</f>
        <v/>
      </c>
      <c r="H415" s="831" t="n"/>
      <c r="I415" s="904">
        <f>IFS(
F415&lt;12.5, F415/2,
F415&lt;29, 6.25,
F415&lt;50, 6.5,
F415&lt;=79, 6.75,
TRUE, 
25)</f>
        <v/>
      </c>
      <c r="J415" s="340">
        <f>F415*18%</f>
        <v/>
      </c>
      <c r="K415" s="340">
        <f>(F415-J415)*1.65%</f>
        <v/>
      </c>
      <c r="L415" s="340">
        <f>(F415-J415)*7.6%</f>
        <v/>
      </c>
      <c r="M415" s="577" t="n"/>
      <c r="N415" s="543">
        <f>(G415+I415)*(9.25%)</f>
        <v/>
      </c>
      <c r="O415" s="904">
        <f>6.38*2</f>
        <v/>
      </c>
      <c r="P415" s="1016">
        <f>(F415 - (G415+I415+O415+(J415+K415+L415))) - (H415-M415-N415)</f>
        <v/>
      </c>
      <c r="Q415" s="462">
        <f>P415/F415</f>
        <v/>
      </c>
      <c r="R415" s="1206" t="inlineStr">
        <is>
          <t>Ativo</t>
        </is>
      </c>
      <c r="S415" s="904" t="inlineStr">
        <is>
          <t>kit 2</t>
        </is>
      </c>
      <c r="T415" s="569" t="n"/>
      <c r="U415" s="1030" t="n"/>
      <c r="V415" s="1030" t="n"/>
      <c r="W415" s="1030" t="n"/>
    </row>
    <row r="416" ht="15.75" customHeight="1" s="1349">
      <c r="A416" s="1292" t="inlineStr">
        <is>
          <t>4342763163</t>
        </is>
      </c>
      <c r="B416" s="884" t="n">
        <v>10034034167595</v>
      </c>
      <c r="C416" s="1292" t="inlineStr">
        <is>
          <t>Plastcor</t>
        </is>
      </c>
      <c r="D416" s="481" t="inlineStr">
        <is>
          <t>Kit Fita Adesiva Cuidado Frágil 48mm X 100m Empacotar 5un</t>
        </is>
      </c>
      <c r="E416" s="904" t="n"/>
      <c r="F416" s="856" t="n">
        <v>53.63</v>
      </c>
      <c r="G416" s="1016">
        <f>F416*16.5%</f>
        <v/>
      </c>
      <c r="H416" s="831" t="n">
        <v>-2.53</v>
      </c>
      <c r="I416" s="904">
        <f>IFS(
F416&lt;12.5, F416/2,
F416&lt;29, 6.25,
F416&lt;50, 6.5,
F416&lt;=79, 6.75,
TRUE, 
25)</f>
        <v/>
      </c>
      <c r="J416" s="340">
        <f>F416*18%</f>
        <v/>
      </c>
      <c r="K416" s="340">
        <f>(F416-J416)*1.65%</f>
        <v/>
      </c>
      <c r="L416" s="340">
        <f>(F416-J416)*7.6%</f>
        <v/>
      </c>
      <c r="M416" s="1097">
        <f>1.63*5</f>
        <v/>
      </c>
      <c r="N416" s="785">
        <f>(G416+I416)*(9.25%)</f>
        <v/>
      </c>
      <c r="O416" s="701">
        <f>6.38*5</f>
        <v/>
      </c>
      <c r="P416" s="1016">
        <f>(F416 - (G416+I416+O416+(J416+K416+L416))) - (H416-M416-N416)</f>
        <v/>
      </c>
      <c r="Q416" s="462">
        <f>P416/F416</f>
        <v/>
      </c>
      <c r="R416" s="1206" t="inlineStr">
        <is>
          <t>Ativo</t>
        </is>
      </c>
      <c r="S416" s="904" t="inlineStr">
        <is>
          <t>kit 5</t>
        </is>
      </c>
      <c r="T416" s="569" t="n"/>
      <c r="U416" s="1030" t="n"/>
      <c r="V416" s="1030" t="n"/>
      <c r="W416" s="1030" t="n"/>
    </row>
    <row r="417" ht="15.75" customHeight="1" s="1349">
      <c r="A417" s="1292" t="inlineStr">
        <is>
          <t>4342777621</t>
        </is>
      </c>
      <c r="B417" s="884" t="n">
        <v>10034034167595</v>
      </c>
      <c r="C417" s="1292" t="inlineStr">
        <is>
          <t>Plastcor</t>
        </is>
      </c>
      <c r="D417" s="481" t="inlineStr">
        <is>
          <t>Fita Adesiva Cuidado Frágil 48mm X 100m Mudança Kit 10un</t>
        </is>
      </c>
      <c r="E417" s="904" t="n"/>
      <c r="F417" s="856" t="n">
        <v>116.3</v>
      </c>
      <c r="G417" s="1016">
        <f>F417*16.5%</f>
        <v/>
      </c>
      <c r="H417" s="831" t="n">
        <v>-3.6</v>
      </c>
      <c r="I417" s="904" t="n">
        <v>18.86</v>
      </c>
      <c r="J417" s="340">
        <f>F417*18%</f>
        <v/>
      </c>
      <c r="K417" s="340">
        <f>(F417-J417)*1.65%</f>
        <v/>
      </c>
      <c r="L417" s="340">
        <f>(F417-J417)*7.6%</f>
        <v/>
      </c>
      <c r="M417" s="1097">
        <f>1.63*10</f>
        <v/>
      </c>
      <c r="N417" s="785">
        <f>(G417+I417)*(9.25%)</f>
        <v/>
      </c>
      <c r="O417" s="701">
        <f>6.38*10</f>
        <v/>
      </c>
      <c r="P417" s="1016">
        <f>(F417 - (G417+I417+O417+(J417+K417+L417))) - (H417-M417-N417)</f>
        <v/>
      </c>
      <c r="Q417" s="462">
        <f>P417/F417</f>
        <v/>
      </c>
      <c r="R417" s="1206" t="inlineStr">
        <is>
          <t>Ajustar Envio</t>
        </is>
      </c>
      <c r="S417" s="904" t="inlineStr">
        <is>
          <t>kit 10</t>
        </is>
      </c>
      <c r="T417" s="569" t="n"/>
      <c r="U417" s="1030" t="n"/>
      <c r="V417" s="1030" t="n"/>
      <c r="W417" s="1030" t="n"/>
    </row>
    <row r="418" ht="15.75" customHeight="1" s="1349">
      <c r="A418" s="1292" t="inlineStr">
        <is>
          <t>5926105356</t>
        </is>
      </c>
      <c r="B418" s="884" t="n">
        <v>10034034168090</v>
      </c>
      <c r="C418" s="1292" t="inlineStr">
        <is>
          <t>Atlas</t>
        </is>
      </c>
      <c r="D418" s="481" t="inlineStr">
        <is>
          <t>Kit 2 Rolo Textura Média 110/65 Acabamento Premium 23cm</t>
        </is>
      </c>
      <c r="E418" s="904" t="n"/>
      <c r="F418" s="856" t="n">
        <v>51.99</v>
      </c>
      <c r="G418" s="1016">
        <f>F418*11.5%</f>
        <v/>
      </c>
      <c r="H418" s="831" t="n"/>
      <c r="I418" s="904">
        <f>IFS(
  F418&lt;12.5, F418/2,
  F418&lt;29, 6.25,
  F418&lt;50, 6.5,
  F418&lt;=79, 6.75,
  TRUE, 25
)</f>
        <v/>
      </c>
      <c r="J418" s="340">
        <f>F418*18%</f>
        <v/>
      </c>
      <c r="K418" s="340">
        <f>(F418-J418)*1.65%</f>
        <v/>
      </c>
      <c r="L418" s="340">
        <f>(F418-J418)*7.6%</f>
        <v/>
      </c>
      <c r="M418" s="577">
        <f>2.66*2</f>
        <v/>
      </c>
      <c r="N418" s="543">
        <f>(G418+I418)*(9.25%)</f>
        <v/>
      </c>
      <c r="O418" s="718">
        <f>13.2*2</f>
        <v/>
      </c>
      <c r="P418" s="1016">
        <f>(F418 - (G418+I418+O418+(J418+K418+L418))) - (H418-M418-N418)</f>
        <v/>
      </c>
      <c r="Q418" s="462">
        <f>P418/F418</f>
        <v/>
      </c>
      <c r="R418" s="1206" t="inlineStr">
        <is>
          <t>Ativo</t>
        </is>
      </c>
      <c r="S418" s="904" t="inlineStr">
        <is>
          <t>kit 2</t>
        </is>
      </c>
      <c r="T418" s="569" t="n"/>
      <c r="U418" s="1030" t="n"/>
      <c r="V418" s="1030" t="n"/>
      <c r="W418" s="1030" t="n"/>
    </row>
    <row r="419" ht="15.75" customHeight="1" s="1349">
      <c r="A419" s="1292" t="inlineStr">
        <is>
          <t>4300269223</t>
        </is>
      </c>
      <c r="B419" s="884" t="n">
        <v>10034034167812</v>
      </c>
      <c r="C419" s="1292" t="inlineStr">
        <is>
          <t>Atlas</t>
        </is>
      </c>
      <c r="D419" s="481" t="inlineStr">
        <is>
          <t>Rolo De Textura Média 110/65 Atlas Acabamento Premium 23cm</t>
        </is>
      </c>
      <c r="E419" s="904" t="n"/>
      <c r="F419" s="856" t="n">
        <v>27.01</v>
      </c>
      <c r="G419" s="1016">
        <f>F419*16.5%</f>
        <v/>
      </c>
      <c r="H419" s="831" t="n">
        <v>-1.56</v>
      </c>
      <c r="I419" s="904" t="n">
        <v>6.65</v>
      </c>
      <c r="J419" s="340">
        <f>F419*18%</f>
        <v/>
      </c>
      <c r="K419" s="340">
        <f>(F419-J419)*1.65%</f>
        <v/>
      </c>
      <c r="L419" s="340">
        <f>(F419-J419)*7.6%</f>
        <v/>
      </c>
      <c r="M419" s="1097" t="n">
        <v>2.66</v>
      </c>
      <c r="N419" s="785">
        <f>(G419+I419)*(9.25%)</f>
        <v/>
      </c>
      <c r="O419" s="718" t="n">
        <v>13.2</v>
      </c>
      <c r="P419" s="1016">
        <f>(F419 - (G419+I419+O419+(J419+K419+L419))) - (H419-M419-N419)</f>
        <v/>
      </c>
      <c r="Q419" s="462">
        <f>P419/F419</f>
        <v/>
      </c>
      <c r="R419" s="1206" t="inlineStr">
        <is>
          <t>Ativo</t>
        </is>
      </c>
      <c r="S419" s="904" t="n"/>
      <c r="T419" s="569" t="n"/>
      <c r="U419" s="1030" t="n"/>
      <c r="V419" s="1030" t="n"/>
      <c r="W419" s="1030" t="n"/>
    </row>
    <row r="420" ht="15.75" customHeight="1" s="1349">
      <c r="A420" s="1292" t="inlineStr">
        <is>
          <t>4342821485</t>
        </is>
      </c>
      <c r="B420" s="884" t="n">
        <v>10034034168059</v>
      </c>
      <c r="C420" s="1292" t="inlineStr">
        <is>
          <t>ÂNCORA</t>
        </is>
      </c>
      <c r="D420" s="904" t="inlineStr">
        <is>
          <t>Kit 50 Bucha Tab 1/4 Bases Ocas Drywall Parafuso 1/4 X 2.1/2</t>
        </is>
      </c>
      <c r="E420" s="904" t="n"/>
      <c r="F420" s="856" t="n">
        <v>204.69</v>
      </c>
      <c r="G420" s="1016">
        <f>F420*16.5%</f>
        <v/>
      </c>
      <c r="H420" s="831" t="n">
        <v>-6.33</v>
      </c>
      <c r="I420" s="904" t="n">
        <v>25</v>
      </c>
      <c r="J420" s="340">
        <f>F420*18%</f>
        <v/>
      </c>
      <c r="K420" s="340">
        <f>(F420-J420)*1.65%</f>
        <v/>
      </c>
      <c r="L420" s="340">
        <f>(F420-J420)*7.6%</f>
        <v/>
      </c>
      <c r="M420" s="1097">
        <f>0.23*50</f>
        <v/>
      </c>
      <c r="N420" s="785">
        <f>(G420+I420)*(9.25%)</f>
        <v/>
      </c>
      <c r="O420" s="701">
        <f>1.94*50</f>
        <v/>
      </c>
      <c r="P420" s="1016">
        <f>(F420 - (G420+I420+O420+(J420+K420+L420))) - (H420-M420-N420)</f>
        <v/>
      </c>
      <c r="Q420" s="462">
        <f>P420/F420</f>
        <v/>
      </c>
      <c r="R420" s="1206" t="inlineStr">
        <is>
          <t>Ativo</t>
        </is>
      </c>
      <c r="S420" s="904" t="n"/>
      <c r="T420" s="569" t="n"/>
      <c r="U420" s="1030" t="n"/>
      <c r="V420" s="1030" t="n"/>
      <c r="W420" s="1030" t="n"/>
    </row>
    <row r="421" ht="15.75" customHeight="1" s="1349">
      <c r="A421" s="1292" t="inlineStr">
        <is>
          <t>6001739108</t>
        </is>
      </c>
      <c r="B421" s="884" t="n">
        <v>10034034168058</v>
      </c>
      <c r="C421" s="1292" t="inlineStr">
        <is>
          <t>ÂNCORA</t>
        </is>
      </c>
      <c r="D421" s="904" t="inlineStr">
        <is>
          <t>Kit 10 Bucha Tab 1/4 Bases Ocas Drywall Parafuso 1/4 X 2.1/2</t>
        </is>
      </c>
      <c r="E421" s="904" t="n"/>
      <c r="F421" s="856" t="n">
        <v>43.45</v>
      </c>
      <c r="G421" s="1016">
        <f>F421*11.5%</f>
        <v/>
      </c>
      <c r="H421" s="831" t="n">
        <v>-1.25</v>
      </c>
      <c r="I421" s="904" t="n">
        <v>6.65</v>
      </c>
      <c r="J421" s="340">
        <f>F421*18%</f>
        <v/>
      </c>
      <c r="K421" s="340">
        <f>(F421-J421)*1.65%</f>
        <v/>
      </c>
      <c r="L421" s="340">
        <f>(F421-J421)*7.6%</f>
        <v/>
      </c>
      <c r="M421" s="1097">
        <f>0.23*10</f>
        <v/>
      </c>
      <c r="N421" s="785">
        <f>(G421+I421)*(9.25%)</f>
        <v/>
      </c>
      <c r="O421" s="701">
        <f>1.94*10</f>
        <v/>
      </c>
      <c r="P421" s="1016">
        <f>(F421 - (G421+I421+O421+(J421+K421+L421))) - (H421-M421-N421)</f>
        <v/>
      </c>
      <c r="Q421" s="462">
        <f>P421/F421</f>
        <v/>
      </c>
      <c r="R421" s="1206" t="inlineStr">
        <is>
          <t>Ativo</t>
        </is>
      </c>
      <c r="S421" s="904" t="n"/>
      <c r="T421" s="569" t="n"/>
      <c r="U421" s="1030" t="n"/>
      <c r="V421" s="1030" t="n"/>
      <c r="W421" s="1030" t="n"/>
    </row>
    <row r="422" ht="15.75" customHeight="1" s="1349">
      <c r="A422" s="1292" t="inlineStr">
        <is>
          <t>6001740376</t>
        </is>
      </c>
      <c r="B422" s="884" t="n">
        <v>10034034168057</v>
      </c>
      <c r="C422" s="1292" t="inlineStr">
        <is>
          <t>ÂNCORA</t>
        </is>
      </c>
      <c r="D422" s="904" t="inlineStr">
        <is>
          <t>Kit 4 Bucha Tab 1/4 Bases Ocas Drywall Parafuso 1/4 X 2.1/2</t>
        </is>
      </c>
      <c r="E422" s="904" t="n"/>
      <c r="F422" s="856" t="n">
        <v>23.59</v>
      </c>
      <c r="G422" s="1016">
        <f>F422*11.5%</f>
        <v/>
      </c>
      <c r="H422" s="831" t="n">
        <v>-0.45</v>
      </c>
      <c r="I422" s="904" t="n">
        <v>6.65</v>
      </c>
      <c r="J422" s="340">
        <f>F422*18%</f>
        <v/>
      </c>
      <c r="K422" s="340">
        <f>(F422-J422)*1.65%</f>
        <v/>
      </c>
      <c r="L422" s="340">
        <f>(F422-J422)*7.6%</f>
        <v/>
      </c>
      <c r="M422" s="1097">
        <f>0.23*4</f>
        <v/>
      </c>
      <c r="N422" s="785">
        <f>(G422+I422)*(9.25%)</f>
        <v/>
      </c>
      <c r="O422" s="701">
        <f>1.94*4</f>
        <v/>
      </c>
      <c r="P422" s="1016">
        <f>(F422 - (G422+I422+O422+(J422+K422+L422))) - (H422-M422-N422)</f>
        <v/>
      </c>
      <c r="Q422" s="462">
        <f>P422/F422</f>
        <v/>
      </c>
      <c r="R422" s="1206" t="inlineStr">
        <is>
          <t>Ativo</t>
        </is>
      </c>
      <c r="S422" s="904" t="n"/>
      <c r="T422" s="569" t="n"/>
      <c r="U422" s="1030" t="n"/>
      <c r="V422" s="1030" t="n"/>
      <c r="W422" s="1030" t="n"/>
    </row>
    <row r="423" ht="15.75" customHeight="1" s="1349">
      <c r="A423" s="1292" t="inlineStr">
        <is>
          <t>6001877418</t>
        </is>
      </c>
      <c r="B423" s="884" t="n">
        <v>10034034167306</v>
      </c>
      <c r="C423" s="1292" t="inlineStr">
        <is>
          <t>Bracol</t>
        </is>
      </c>
      <c r="D423" s="799" t="inlineStr">
        <is>
          <t>Tênis Ocupacional Preto Bse Segurança Bico Pvc Bidensidade</t>
        </is>
      </c>
      <c r="E423" s="800" t="n"/>
      <c r="F423" s="856" t="n">
        <v>128.03</v>
      </c>
      <c r="G423" s="1016">
        <f>F423*17%</f>
        <v/>
      </c>
      <c r="H423" s="831" t="n">
        <v>-2.69</v>
      </c>
      <c r="I423" s="904" t="n">
        <v>21.05</v>
      </c>
      <c r="J423" s="340">
        <f>F423*18%</f>
        <v/>
      </c>
      <c r="K423" s="340">
        <f>(F423-J423)*1.65%</f>
        <v/>
      </c>
      <c r="L423" s="340">
        <f>(F423-J423)*7.6%</f>
        <v/>
      </c>
      <c r="M423" s="1097" t="n">
        <v>12.2</v>
      </c>
      <c r="N423" s="785">
        <f>(G423+I423)*(9.25%)</f>
        <v/>
      </c>
      <c r="O423" s="701" t="n">
        <v>60.57</v>
      </c>
      <c r="P423" s="1016">
        <f>(F423 - (G423+I423+O423+(J423+K423+L423))) - (H423-M423-N423)</f>
        <v/>
      </c>
      <c r="Q423" s="462">
        <f>P423/F423</f>
        <v/>
      </c>
      <c r="R423" s="1206" t="inlineStr">
        <is>
          <t>Ativo</t>
        </is>
      </c>
      <c r="S423" s="904" t="n"/>
      <c r="T423" s="569" t="n"/>
      <c r="U423" s="1030" t="n"/>
      <c r="V423" s="1030" t="n"/>
      <c r="W423" s="1030" t="n"/>
      <c r="X423" s="579" t="n"/>
      <c r="Y423" s="579" t="n"/>
      <c r="Z423" s="579" t="n"/>
      <c r="AA423" s="579" t="n"/>
      <c r="AB423" s="579" t="n"/>
      <c r="AC423" s="579" t="n"/>
      <c r="AD423" s="579" t="n"/>
      <c r="AE423" s="579" t="n"/>
      <c r="AF423" s="579" t="n"/>
    </row>
    <row r="424" ht="15.75" customHeight="1" s="1349">
      <c r="A424" s="1292" t="inlineStr">
        <is>
          <t>6002979214</t>
        </is>
      </c>
      <c r="B424" s="884" t="n">
        <v>10034034166502</v>
      </c>
      <c r="C424" s="1292" t="inlineStr">
        <is>
          <t>Irwin</t>
        </is>
      </c>
      <c r="D424" s="481" t="inlineStr">
        <is>
          <t>Trena Profissional 3m X 13mm 1/2 Pol Standard Sistema Freio</t>
        </is>
      </c>
      <c r="E424" s="904" t="n"/>
      <c r="F424" s="856" t="n">
        <v>24.44</v>
      </c>
      <c r="G424" s="1016">
        <f>F424*17%</f>
        <v/>
      </c>
      <c r="H424" s="831" t="n">
        <v>-1.44</v>
      </c>
      <c r="I424" s="904" t="n">
        <v>6.75</v>
      </c>
      <c r="J424" s="450" t="n">
        <v>0</v>
      </c>
      <c r="K424" s="340">
        <f>(F424-J424)*1.65%</f>
        <v/>
      </c>
      <c r="L424" s="340">
        <f>(F424-J424)*7.6%</f>
        <v/>
      </c>
      <c r="M424" s="1097" t="n">
        <v>1.02</v>
      </c>
      <c r="N424" s="785">
        <f>(G424+I424)*(9.25%)</f>
        <v/>
      </c>
      <c r="O424" s="701" t="n">
        <v>12.75</v>
      </c>
      <c r="P424" s="1016">
        <f>(F424 - (G424+I424+O424+(J424+K424+L424))) - (H424-M424-N424)</f>
        <v/>
      </c>
      <c r="Q424" s="462">
        <f>P424/F424</f>
        <v/>
      </c>
      <c r="R424" s="1206" t="inlineStr">
        <is>
          <t>Ativo</t>
        </is>
      </c>
      <c r="S424" s="904" t="n"/>
      <c r="T424" s="569" t="n"/>
      <c r="U424" s="1030" t="n"/>
      <c r="V424" s="1030" t="n"/>
      <c r="W424" s="1030" t="n"/>
    </row>
    <row r="425" ht="15.75" customHeight="1" s="1349">
      <c r="A425" s="1292" t="inlineStr">
        <is>
          <t>6003023808</t>
        </is>
      </c>
      <c r="B425" s="884" t="n">
        <v>10034034166503</v>
      </c>
      <c r="C425" s="1292" t="inlineStr">
        <is>
          <t>Irwin</t>
        </is>
      </c>
      <c r="D425" s="481" t="inlineStr">
        <is>
          <t>Trena Profissional 5m X 19mm Standard Fita Aço Trava Medição</t>
        </is>
      </c>
      <c r="E425" s="904" t="n"/>
      <c r="F425" s="856" t="n">
        <v>31.9</v>
      </c>
      <c r="G425" s="1016">
        <f>F425*17%</f>
        <v/>
      </c>
      <c r="H425" s="831" t="n">
        <v>-1.71</v>
      </c>
      <c r="I425" s="904" t="n">
        <v>6.65</v>
      </c>
      <c r="J425" s="450" t="n">
        <v>0</v>
      </c>
      <c r="K425" s="340">
        <f>(F425-J425)*1.65%</f>
        <v/>
      </c>
      <c r="L425" s="340">
        <f>(F425-J425)*7.6%</f>
        <v/>
      </c>
      <c r="M425" s="1097" t="n">
        <v>1.66</v>
      </c>
      <c r="N425" s="785">
        <f>(G425+I425)*(9.25%)</f>
        <v/>
      </c>
      <c r="O425" s="701" t="n">
        <v>20.47</v>
      </c>
      <c r="P425" s="1016">
        <f>(F425 - (G425+I425+O425+(J425+K425+L425))) - (H425-M425-N425)</f>
        <v/>
      </c>
      <c r="Q425" s="462">
        <f>P425/F425</f>
        <v/>
      </c>
      <c r="R425" s="1206" t="inlineStr">
        <is>
          <t>Ativo</t>
        </is>
      </c>
      <c r="S425" s="904" t="n"/>
      <c r="T425" s="569" t="n"/>
      <c r="U425" s="1030" t="n"/>
      <c r="V425" s="1030" t="n"/>
      <c r="W425" s="1030" t="n"/>
    </row>
    <row r="426" ht="15.75" customHeight="1" s="1349">
      <c r="A426" s="779" t="n"/>
      <c r="B426" s="835" t="inlineStr">
        <is>
          <t>TRENAIRWIN5MKIT3</t>
        </is>
      </c>
      <c r="C426" s="582" t="inlineStr">
        <is>
          <t>Irwin</t>
        </is>
      </c>
      <c r="D426" s="802" t="inlineStr">
        <is>
          <t>Kit 5 Trena 5m Standard Premium Profissional Com Trava</t>
        </is>
      </c>
      <c r="E426" s="762" t="n">
        <v>199</v>
      </c>
      <c r="F426" s="803" t="n">
        <v>155.9</v>
      </c>
      <c r="G426" s="782">
        <f>F426*17%</f>
        <v/>
      </c>
      <c r="H426" s="783" t="n"/>
      <c r="I426" s="887" t="n">
        <v>18.45</v>
      </c>
      <c r="J426" s="804" t="n">
        <v>0</v>
      </c>
      <c r="K426" s="61">
        <f>(F426-J426)*1.65%</f>
        <v/>
      </c>
      <c r="L426" s="61">
        <f>(F426-J426)*7.6%</f>
        <v/>
      </c>
      <c r="M426" s="784">
        <f>1.66*5</f>
        <v/>
      </c>
      <c r="N426" s="785">
        <f>(G426+I426)*(9.25%)</f>
        <v/>
      </c>
      <c r="O426" s="786">
        <f>20.47*5</f>
        <v/>
      </c>
      <c r="P426" s="1016">
        <f>(F426 - (G426+I426+O426+(J426+K426+L426))) - (H426-M426-N426)</f>
        <v/>
      </c>
      <c r="Q426" s="591">
        <f>P426/F426</f>
        <v/>
      </c>
      <c r="R426" s="805" t="inlineStr">
        <is>
          <t>Ativo</t>
        </is>
      </c>
      <c r="S426" s="806" t="n"/>
      <c r="T426" s="806" t="n"/>
      <c r="U426" s="595" t="n"/>
      <c r="V426" s="595" t="n"/>
      <c r="W426" s="595" t="n"/>
    </row>
    <row r="427" ht="15.75" customHeight="1" s="1349">
      <c r="A427" s="1292" t="inlineStr">
        <is>
          <t>4343694043</t>
        </is>
      </c>
      <c r="B427" s="884" t="n">
        <v>10034034166504</v>
      </c>
      <c r="C427" s="1292" t="inlineStr">
        <is>
          <t>Irwin</t>
        </is>
      </c>
      <c r="D427" s="765" t="inlineStr">
        <is>
          <t>Trena De Medição 8m X 25mm Profissional Fita Aço Com Trava</t>
        </is>
      </c>
      <c r="E427" s="766" t="n"/>
      <c r="F427" s="856" t="n">
        <v>54.21</v>
      </c>
      <c r="G427" s="1016">
        <f>F427*17%</f>
        <v/>
      </c>
      <c r="H427" s="831" t="n">
        <v>-2.47</v>
      </c>
      <c r="I427" s="904">
        <f>IFS(
  F427&lt;12.5, F427/2,
  F427&lt;29, 6.25,
  F427&lt;50, 6.5,
  F427&lt;=79, 6.75,
  TRUE, 25
)</f>
        <v/>
      </c>
      <c r="J427" s="450" t="n">
        <v>0</v>
      </c>
      <c r="K427" s="340">
        <f>(F427-J427)*1.65%</f>
        <v/>
      </c>
      <c r="L427" s="340">
        <f>(F427-J427)*7.6%</f>
        <v/>
      </c>
      <c r="M427" s="1097" t="n">
        <v>2.8</v>
      </c>
      <c r="N427" s="785">
        <f>(G427+I427)*(9.25%)</f>
        <v/>
      </c>
      <c r="O427" s="701" t="n">
        <v>34.98</v>
      </c>
      <c r="P427" s="1016">
        <f>(F427 - (G427+I427+O427+(J427+K427+L427))) - (H427-M427-N427)</f>
        <v/>
      </c>
      <c r="Q427" s="462">
        <f>P427/F427</f>
        <v/>
      </c>
      <c r="R427" s="1206" t="inlineStr">
        <is>
          <t>Ativo</t>
        </is>
      </c>
      <c r="S427" s="904" t="n"/>
      <c r="T427" s="569" t="n"/>
      <c r="U427" s="1030" t="n"/>
      <c r="V427" s="1030" t="n"/>
      <c r="W427" s="1030" t="n"/>
    </row>
    <row r="428" ht="15.75" customHeight="1" s="1349">
      <c r="A428" s="1292" t="inlineStr">
        <is>
          <t>6004919462 6004855630</t>
        </is>
      </c>
      <c r="B428" s="884" t="n">
        <v>10034034167818</v>
      </c>
      <c r="C428" s="1292" t="inlineStr">
        <is>
          <t>Vonder</t>
        </is>
      </c>
      <c r="D428" s="481" t="inlineStr">
        <is>
          <t>Trena Profissional Plus Auto Trava 10m X 25mm Alta Precisão</t>
        </is>
      </c>
      <c r="E428" s="904" t="n"/>
      <c r="F428" s="856" t="n">
        <v>68.3</v>
      </c>
      <c r="G428" s="1016">
        <f>F428*17%</f>
        <v/>
      </c>
      <c r="H428" s="831" t="n"/>
      <c r="I428" s="904">
        <f>IFS(
F428&lt;12.5, F428/2,
F428&lt;29, 6.25,
F428&lt;50, 6.5,
F428&lt;=79, 6.75,
TRUE, 
25)</f>
        <v/>
      </c>
      <c r="J428" s="340">
        <f>F428*18%</f>
        <v/>
      </c>
      <c r="K428" s="340">
        <f>(F428-J428)*1.65%</f>
        <v/>
      </c>
      <c r="L428" s="340">
        <f>(F428-J428)*7.6%</f>
        <v/>
      </c>
      <c r="M428" s="1097" t="n">
        <v>8.109999999999999</v>
      </c>
      <c r="N428" s="785">
        <f>(G428+I428)*(9.25%)</f>
        <v/>
      </c>
      <c r="O428" s="718" t="n">
        <v>38.49</v>
      </c>
      <c r="P428" s="1016">
        <f>(F428 - (G428+I428+O428+(J428+K428+L428))) - (H428-M428-N428)</f>
        <v/>
      </c>
      <c r="Q428" s="462">
        <f>P428/F428</f>
        <v/>
      </c>
      <c r="R428" s="1206" t="inlineStr">
        <is>
          <t>Ativo</t>
        </is>
      </c>
      <c r="S428" s="904" t="inlineStr">
        <is>
          <t>10m c/ trava</t>
        </is>
      </c>
      <c r="T428" s="569" t="n">
        <v>0</v>
      </c>
      <c r="U428" s="1030" t="n"/>
      <c r="V428" s="1030" t="n"/>
      <c r="W428" s="1030" t="n"/>
    </row>
    <row r="429" ht="15.75" customHeight="1" s="1349">
      <c r="A429" s="1292" t="inlineStr">
        <is>
          <t>6005244942</t>
        </is>
      </c>
      <c r="B429" s="884" t="n">
        <v>10034034167819</v>
      </c>
      <c r="C429" s="1292" t="inlineStr">
        <is>
          <t>Vonder</t>
        </is>
      </c>
      <c r="D429" s="481" t="inlineStr">
        <is>
          <t>Trena Profissional Plus Auto Trava 8m X 25mm Emborrachada</t>
        </is>
      </c>
      <c r="E429" s="904" t="n"/>
      <c r="F429" s="856" t="n">
        <v>55.2</v>
      </c>
      <c r="G429" s="1016">
        <f>F429*17%</f>
        <v/>
      </c>
      <c r="H429" s="831" t="n">
        <v>-2.37</v>
      </c>
      <c r="I429" s="904" t="n">
        <v>7.85</v>
      </c>
      <c r="J429" s="340">
        <f>F429*18%</f>
        <v/>
      </c>
      <c r="K429" s="340">
        <f>(F429-J429)*1.65%</f>
        <v/>
      </c>
      <c r="L429" s="340">
        <f>(F429-J429)*7.6%</f>
        <v/>
      </c>
      <c r="M429" s="1097" t="n">
        <v>6.45</v>
      </c>
      <c r="N429" s="785">
        <f>(G429+I429)*(9.25%)</f>
        <v/>
      </c>
      <c r="O429" s="718" t="n">
        <v>32.04</v>
      </c>
      <c r="P429" s="1016">
        <f>(F429 - (G429+I429+O429+(J429+K429+L429))) - (H429-M429-N429)</f>
        <v/>
      </c>
      <c r="Q429" s="462">
        <f>P429/F429</f>
        <v/>
      </c>
      <c r="R429" s="1206" t="inlineStr">
        <is>
          <t>Ativo</t>
        </is>
      </c>
      <c r="S429" s="904" t="inlineStr">
        <is>
          <t>8m c/ trava</t>
        </is>
      </c>
      <c r="T429" s="569" t="n">
        <v>1</v>
      </c>
      <c r="U429" s="1030" t="n"/>
      <c r="V429" s="1030" t="n"/>
      <c r="W429" s="1030" t="n"/>
    </row>
    <row r="430" ht="15.75" customHeight="1" s="1349">
      <c r="A430" s="1292" t="inlineStr">
        <is>
          <t>4345284807</t>
        </is>
      </c>
      <c r="B430" s="884" t="n">
        <v>10034034167820</v>
      </c>
      <c r="C430" s="1292" t="inlineStr">
        <is>
          <t>EPI</t>
        </is>
      </c>
      <c r="D430" s="481" t="inlineStr">
        <is>
          <t>Trena Aço 10m X 25mm Abs Plus Profissional Medição Precisa</t>
        </is>
      </c>
      <c r="E430" s="904" t="n"/>
      <c r="F430" s="856" t="n">
        <v>75.04000000000001</v>
      </c>
      <c r="G430" s="1016">
        <f>F430*17%</f>
        <v/>
      </c>
      <c r="H430" s="831" t="n"/>
      <c r="I430" s="904">
        <f>IFS(
  F430&lt;12.5, F430/2,
  F430&lt;29, 6.25,
  F430&lt;50, 6.5,
  F430&lt;=79, 6.75,
  TRUE, 25
)</f>
        <v/>
      </c>
      <c r="J430" s="340">
        <f>F430*18%</f>
        <v/>
      </c>
      <c r="K430" s="340">
        <f>(F430-J430)*1.65%</f>
        <v/>
      </c>
      <c r="L430" s="340">
        <f>(F430-J430)*7.6%</f>
        <v/>
      </c>
      <c r="M430" s="577" t="n"/>
      <c r="N430" s="543">
        <f>(G430+I430)*(9.25%)</f>
        <v/>
      </c>
      <c r="O430" s="904" t="n">
        <v>38.36</v>
      </c>
      <c r="P430" s="1016">
        <f>(F430 - (G430+I430+O430+(J430+K430+L430))) - (H430-M430-N430)</f>
        <v/>
      </c>
      <c r="Q430" s="462">
        <f>P430/F430</f>
        <v/>
      </c>
      <c r="R430" s="1206" t="inlineStr">
        <is>
          <t>sem estoque</t>
        </is>
      </c>
      <c r="S430" s="904" t="inlineStr">
        <is>
          <t>10m</t>
        </is>
      </c>
      <c r="T430" s="569" t="n"/>
      <c r="U430" s="1030" t="n"/>
      <c r="V430" s="1030" t="n"/>
      <c r="W430" s="1030" t="n"/>
    </row>
    <row r="431" ht="15.75" customHeight="1" s="1349">
      <c r="A431" s="1292" t="inlineStr">
        <is>
          <t>6005537412</t>
        </is>
      </c>
      <c r="B431" s="884" t="n">
        <v>10034034167817</v>
      </c>
      <c r="C431" s="1292" t="inlineStr">
        <is>
          <t>EPI</t>
        </is>
      </c>
      <c r="D431" s="481" t="inlineStr">
        <is>
          <t>Trena Profissional Plus 8mts X 25mm Metragem Metro Polegada</t>
        </is>
      </c>
      <c r="E431" s="904" t="n"/>
      <c r="F431" s="856" t="n">
        <v>59.9</v>
      </c>
      <c r="G431" s="1016">
        <f>F431*17%</f>
        <v/>
      </c>
      <c r="H431" s="831" t="n"/>
      <c r="I431" s="904">
        <f>IFS(
F431&lt;12.5, F431/2,
F431&lt;29, 6.25,
F431&lt;50, 6.5,
F431&lt;=79, 6.75,
TRUE, 
25)</f>
        <v/>
      </c>
      <c r="J431" s="340">
        <f>F431*18%</f>
        <v/>
      </c>
      <c r="K431" s="340">
        <f>(F431-J431)*1.65%</f>
        <v/>
      </c>
      <c r="L431" s="340">
        <f>(F431-J431)*7.6%</f>
        <v/>
      </c>
      <c r="M431" s="577" t="n"/>
      <c r="N431" s="543">
        <f>(G431+I431)*(9.25%)</f>
        <v/>
      </c>
      <c r="O431" s="904" t="n">
        <v>24.71</v>
      </c>
      <c r="P431" s="1016">
        <f>(F431 - (G431+I431+O431+(J431+K431+L431))) - (H431-M431-N431)</f>
        <v/>
      </c>
      <c r="Q431" s="462">
        <f>P431/F431</f>
        <v/>
      </c>
      <c r="R431" s="1206" t="inlineStr">
        <is>
          <t>Ativo</t>
        </is>
      </c>
      <c r="S431" s="904" t="inlineStr">
        <is>
          <t>8m</t>
        </is>
      </c>
      <c r="T431" s="569" t="n"/>
      <c r="U431" s="1030" t="n"/>
      <c r="V431" s="1030" t="n"/>
      <c r="W431" s="1030" t="n"/>
    </row>
    <row r="432" ht="15.75" customHeight="1" s="1349">
      <c r="A432" s="1292" t="inlineStr">
        <is>
          <t>6005668978</t>
        </is>
      </c>
      <c r="B432" s="884" t="n">
        <v>10034034167816</v>
      </c>
      <c r="C432" s="1292" t="inlineStr">
        <is>
          <t>Vonder</t>
        </is>
      </c>
      <c r="D432" s="481" t="inlineStr">
        <is>
          <t>Trena Plus 5mts X 19mm Fita Aço Anatômica Termoplástica Obra</t>
        </is>
      </c>
      <c r="E432" s="904" t="n"/>
      <c r="F432" s="856" t="n">
        <v>33.9</v>
      </c>
      <c r="G432" s="1016">
        <f>F432*17%</f>
        <v/>
      </c>
      <c r="H432" s="831" t="n">
        <v>-0.51</v>
      </c>
      <c r="I432" s="904">
        <f>IFS(
F432&lt;12.5, F432/2,
F432&lt;29, 6.25,
F432&lt;50, 6.5,
F432&lt;=79, 6.75,
TRUE, 
25)</f>
        <v/>
      </c>
      <c r="J432" s="450" t="n">
        <v>0</v>
      </c>
      <c r="K432" s="340">
        <f>(F432-J432)*1.65%</f>
        <v/>
      </c>
      <c r="L432" s="340">
        <f>(F432-J432)*7.6%</f>
        <v/>
      </c>
      <c r="M432" s="1097" t="n">
        <v>1.17</v>
      </c>
      <c r="N432" s="785">
        <f>(G432+I432)*(9.25%)</f>
        <v/>
      </c>
      <c r="O432" s="701" t="n">
        <v>15.68</v>
      </c>
      <c r="P432" s="1016">
        <f>(F432 - (G432+I432+O432+(J432+K432+L432))) - (H432-M432-N432)</f>
        <v/>
      </c>
      <c r="Q432" s="462">
        <f>P432/F432</f>
        <v/>
      </c>
      <c r="R432" s="1206" t="inlineStr">
        <is>
          <t>Ativo</t>
        </is>
      </c>
      <c r="S432" s="904" t="inlineStr">
        <is>
          <t>5m</t>
        </is>
      </c>
      <c r="T432" s="569" t="n"/>
      <c r="U432" s="1030" t="n"/>
      <c r="V432" s="1030" t="n"/>
      <c r="W432" s="1030" t="n"/>
    </row>
    <row r="433" ht="15.75" customHeight="1" s="1349">
      <c r="A433" s="1292" t="inlineStr">
        <is>
          <t>4345559345</t>
        </is>
      </c>
      <c r="B433" s="884" t="n">
        <v>10034034167822</v>
      </c>
      <c r="C433" s="1292" t="inlineStr">
        <is>
          <t>EPI</t>
        </is>
      </c>
      <c r="D433" s="481" t="inlineStr">
        <is>
          <t>Trena Longa Aço 10mts X 25mm Linha Milímetros Polegadas Pro</t>
        </is>
      </c>
      <c r="E433" s="904" t="n"/>
      <c r="F433" s="856" t="n">
        <v>134.99</v>
      </c>
      <c r="G433" s="1016">
        <f>F433*17%</f>
        <v/>
      </c>
      <c r="H433" s="831" t="n">
        <v>-2.52</v>
      </c>
      <c r="I433" s="904" t="n">
        <v>18.76</v>
      </c>
      <c r="J433" s="340">
        <f>F433*18%</f>
        <v/>
      </c>
      <c r="K433" s="340">
        <f>(F433-J433)*1.65%</f>
        <v/>
      </c>
      <c r="L433" s="340">
        <f>(F433-J433)*7.6%</f>
        <v/>
      </c>
      <c r="M433" s="577" t="n"/>
      <c r="N433" s="543">
        <f>(G433+I433)*(9.25%)</f>
        <v/>
      </c>
      <c r="O433" s="904" t="n">
        <v>60.67</v>
      </c>
      <c r="P433" s="1016">
        <f>(F433 - (G433+I433+O433+(J433+K433+L433))) - (H433-M433-N433)</f>
        <v/>
      </c>
      <c r="Q433" s="462">
        <f>P433/F433</f>
        <v/>
      </c>
      <c r="R433" s="1206" t="inlineStr">
        <is>
          <t>Ativo</t>
        </is>
      </c>
      <c r="S433" s="904" t="n"/>
      <c r="T433" s="569" t="n"/>
      <c r="U433" s="1030" t="n"/>
      <c r="V433" s="1030" t="n"/>
      <c r="W433" s="1030" t="n"/>
    </row>
    <row r="434" ht="15.75" customHeight="1" s="1349">
      <c r="A434" s="1292" t="inlineStr">
        <is>
          <t>4357540455</t>
        </is>
      </c>
      <c r="B434" s="884" t="n">
        <v>10034034167975</v>
      </c>
      <c r="C434" s="1292" t="inlineStr">
        <is>
          <t>Bracol</t>
        </is>
      </c>
      <c r="D434" s="481" t="inlineStr">
        <is>
          <t>Botina Cano Alto Microfibra Esmeralda Bidensidade Antifuro</t>
        </is>
      </c>
      <c r="E434" s="904" t="n"/>
      <c r="F434" s="856" t="n">
        <v>268.2</v>
      </c>
      <c r="G434" s="1016">
        <f>F434*17%</f>
        <v/>
      </c>
      <c r="H434" s="831" t="n">
        <v>-8.300000000000001</v>
      </c>
      <c r="I434" s="904" t="n">
        <v>23.45</v>
      </c>
      <c r="J434" s="340">
        <f>F434*18%</f>
        <v/>
      </c>
      <c r="K434" s="340">
        <f>(F434-J434)*1.65%</f>
        <v/>
      </c>
      <c r="L434" s="340">
        <f>(F434-J434)*7.6%</f>
        <v/>
      </c>
      <c r="M434" s="1097" t="n">
        <v>34.15</v>
      </c>
      <c r="N434" s="785">
        <f>(G434+I434)*(9.25%)</f>
        <v/>
      </c>
      <c r="O434" s="701" t="n">
        <v>169.56</v>
      </c>
      <c r="P434" s="1016">
        <f>(F434 - (G434+I434+O434+(J434+K434+L434))) - (H434-M434-N434)</f>
        <v/>
      </c>
      <c r="Q434" s="462">
        <f>P434/F434</f>
        <v/>
      </c>
      <c r="R434" s="1206" t="inlineStr">
        <is>
          <t>Ativo</t>
        </is>
      </c>
      <c r="S434" s="904" t="n"/>
      <c r="T434" s="569" t="n"/>
      <c r="U434" s="1030" t="n"/>
      <c r="V434" s="1030" t="n"/>
      <c r="W434" s="1030" t="n"/>
    </row>
    <row r="435" ht="15.75" customHeight="1" s="1349">
      <c r="A435" s="1292" t="inlineStr">
        <is>
          <t>3311931496564433</t>
        </is>
      </c>
      <c r="B435" s="884" t="n">
        <v>10034034167980</v>
      </c>
      <c r="C435" s="1292" t="inlineStr">
        <is>
          <t>Bracol</t>
        </is>
      </c>
      <c r="D435" s="765" t="inlineStr">
        <is>
          <t>Tênnis Detroit Lite Segurança Tridensidade Preto Bico Pvc</t>
        </is>
      </c>
      <c r="E435" s="904" t="n"/>
      <c r="F435" s="856" t="n">
        <v>257.63</v>
      </c>
      <c r="G435" s="1016">
        <f>F435*13%</f>
        <v/>
      </c>
      <c r="H435" s="831" t="n">
        <v>-9.76</v>
      </c>
      <c r="I435" s="904" t="n">
        <v>23.45</v>
      </c>
      <c r="J435" s="340">
        <f>F435*18%</f>
        <v/>
      </c>
      <c r="K435" s="340">
        <f>(F435-J435)*1.65%</f>
        <v/>
      </c>
      <c r="L435" s="340">
        <f>(F435-J435)*7.6%</f>
        <v/>
      </c>
      <c r="M435" s="1097" t="n">
        <v>32.54</v>
      </c>
      <c r="N435" s="785">
        <f>(G435+I435)*(9.25%)</f>
        <v/>
      </c>
      <c r="O435" s="701" t="n">
        <v>161.59</v>
      </c>
      <c r="P435" s="1016">
        <f>(F435 - (G435+I435+O435+(J435+K435+L435))) - (H435-M435-N435)</f>
        <v/>
      </c>
      <c r="Q435" s="462">
        <f>P435/F435</f>
        <v/>
      </c>
      <c r="R435" s="1206" t="inlineStr">
        <is>
          <t>Ativo</t>
        </is>
      </c>
      <c r="S435" s="904" t="n"/>
      <c r="T435" s="569" t="n"/>
      <c r="U435" s="1030" t="n"/>
      <c r="V435" s="1030" t="n"/>
      <c r="W435" s="1030" t="n"/>
    </row>
    <row r="436" ht="15.75" customHeight="1" s="1349">
      <c r="A436" s="1292" t="inlineStr">
        <is>
          <t>6010951346</t>
        </is>
      </c>
      <c r="B436" s="884" t="n">
        <v>10034034167833</v>
      </c>
      <c r="C436" s="1292" t="inlineStr">
        <is>
          <t>Nutriex</t>
        </is>
      </c>
      <c r="D436" s="481" t="inlineStr">
        <is>
          <t>Protetor Solar Fps 60 Corporal Profissional Praia Sol 120ml</t>
        </is>
      </c>
      <c r="E436" s="904" t="n"/>
      <c r="F436" s="856" t="n">
        <v>28.26</v>
      </c>
      <c r="G436" s="1016">
        <f>F436*19%</f>
        <v/>
      </c>
      <c r="H436" s="831" t="n">
        <v>-1.84</v>
      </c>
      <c r="I436" s="904" t="n">
        <v>6.65</v>
      </c>
      <c r="J436" s="340">
        <f>F436*18%</f>
        <v/>
      </c>
      <c r="K436" s="450" t="n">
        <v>0</v>
      </c>
      <c r="L436" s="450" t="n">
        <v>0</v>
      </c>
      <c r="M436" s="1097" t="n">
        <v>1.56</v>
      </c>
      <c r="N436" s="785">
        <f>(G436+I436)*(9.25%)</f>
        <v/>
      </c>
      <c r="O436" s="701">
        <f>13*1</f>
        <v/>
      </c>
      <c r="P436" s="1016">
        <f>(F436 - (G436+I436+O436+(J436+K436+L436))) - (H436-M436-N436)</f>
        <v/>
      </c>
      <c r="Q436" s="462">
        <f>P436/F436</f>
        <v/>
      </c>
      <c r="R436" s="1206" t="inlineStr">
        <is>
          <t>Ativo</t>
        </is>
      </c>
      <c r="S436" s="904" t="inlineStr">
        <is>
          <t>1un</t>
        </is>
      </c>
      <c r="T436" s="569" t="n"/>
      <c r="U436" s="1030" t="n"/>
      <c r="V436" s="1030" t="n"/>
      <c r="W436" s="1030" t="n"/>
    </row>
    <row r="437" ht="15.75" customHeight="1" s="1349">
      <c r="A437" s="1292" t="inlineStr">
        <is>
          <t>4347376325</t>
        </is>
      </c>
      <c r="B437" s="884" t="n">
        <v>10034034167994</v>
      </c>
      <c r="C437" s="1292" t="inlineStr">
        <is>
          <t>Nutriex</t>
        </is>
      </c>
      <c r="D437" s="481" t="inlineStr">
        <is>
          <t>Protetor Solar Fps 60 Corporal Proteção Intensa 120ml 2un</t>
        </is>
      </c>
      <c r="E437" s="904" t="n"/>
      <c r="F437" s="856" t="n">
        <v>54.92</v>
      </c>
      <c r="G437" s="1016">
        <f>F437*19%</f>
        <v/>
      </c>
      <c r="H437" s="831" t="n">
        <v>-2.4</v>
      </c>
      <c r="I437" s="904" t="n">
        <v>7.85</v>
      </c>
      <c r="J437" s="340">
        <f>F437*18%</f>
        <v/>
      </c>
      <c r="K437" s="450" t="n">
        <v>0</v>
      </c>
      <c r="L437" s="450" t="n">
        <v>0</v>
      </c>
      <c r="M437" s="1097">
        <f>1.56*2</f>
        <v/>
      </c>
      <c r="N437" s="785">
        <f>(G437+I437)*(9.25%)</f>
        <v/>
      </c>
      <c r="O437" s="701">
        <f>13*2</f>
        <v/>
      </c>
      <c r="P437" s="1016">
        <f>(F437 - (G437+I437+O437+(J437+K437+L437))) - (H437-M437-N437)</f>
        <v/>
      </c>
      <c r="Q437" s="462">
        <f>P437/F437</f>
        <v/>
      </c>
      <c r="R437" s="1206" t="inlineStr">
        <is>
          <t>Ativo</t>
        </is>
      </c>
      <c r="S437" s="904" t="inlineStr">
        <is>
          <t>2un</t>
        </is>
      </c>
      <c r="T437" s="569" t="n"/>
      <c r="U437" s="1030" t="n"/>
      <c r="V437" s="1030" t="n"/>
      <c r="W437" s="1030" t="n"/>
    </row>
    <row r="438" ht="15.75" customHeight="1" s="1349">
      <c r="A438" s="1292" t="inlineStr">
        <is>
          <t>4347380115</t>
        </is>
      </c>
      <c r="B438" s="884" t="n">
        <v>10034034167995</v>
      </c>
      <c r="C438" s="1292" t="inlineStr">
        <is>
          <t>Nutriex</t>
        </is>
      </c>
      <c r="D438" s="481" t="inlineStr">
        <is>
          <t>Kit Bloqueador Solar Fps 60 Corporal Hidratante 120ml 5un</t>
        </is>
      </c>
      <c r="E438" s="904" t="n"/>
      <c r="F438" s="856" t="n">
        <v>133.61</v>
      </c>
      <c r="G438" s="1016">
        <f>F438*19%</f>
        <v/>
      </c>
      <c r="H438" s="831" t="n">
        <v>-4.13</v>
      </c>
      <c r="I438" s="904" t="n">
        <v>17.96</v>
      </c>
      <c r="J438" s="340">
        <f>F438*18%</f>
        <v/>
      </c>
      <c r="K438" s="450" t="n">
        <v>0</v>
      </c>
      <c r="L438" s="450" t="n">
        <v>0</v>
      </c>
      <c r="M438" s="1097">
        <f>1.56*5</f>
        <v/>
      </c>
      <c r="N438" s="785">
        <f>(G438+I438)*(9.25%)</f>
        <v/>
      </c>
      <c r="O438" s="701">
        <f>13*5</f>
        <v/>
      </c>
      <c r="P438" s="1016">
        <f>(F438 - (G438+I438+O438+(J438+K438+L438))) - (H438-M438-N438)</f>
        <v/>
      </c>
      <c r="Q438" s="462">
        <f>P438/F438</f>
        <v/>
      </c>
      <c r="R438" s="1206" t="inlineStr">
        <is>
          <t>Ativo</t>
        </is>
      </c>
      <c r="S438" s="904" t="inlineStr">
        <is>
          <t>5un</t>
        </is>
      </c>
      <c r="T438" s="569" t="n"/>
      <c r="U438" s="1030" t="n"/>
      <c r="V438" s="1030" t="n"/>
      <c r="W438" s="1030" t="n"/>
    </row>
    <row r="439" ht="15.75" customHeight="1" s="1349">
      <c r="A439" s="1292" t="inlineStr">
        <is>
          <t>6011208964</t>
        </is>
      </c>
      <c r="B439" s="884" t="n">
        <v>10034034167996</v>
      </c>
      <c r="C439" s="1292" t="inlineStr">
        <is>
          <t>Nutriex</t>
        </is>
      </c>
      <c r="D439" s="481" t="inlineStr">
        <is>
          <t xml:space="preserve"> Kit Protetor Solar Fps 60 Filtro Proteção UV UVB 120ml 10un</t>
        </is>
      </c>
      <c r="E439" s="904" t="n"/>
      <c r="F439" s="856" t="n">
        <v>239</v>
      </c>
      <c r="G439" s="1016">
        <f>F439*19%</f>
        <v/>
      </c>
      <c r="H439" s="831" t="n">
        <v>-4.1</v>
      </c>
      <c r="I439" s="904" t="n">
        <v>24.65</v>
      </c>
      <c r="J439" s="340">
        <f>F439*18%</f>
        <v/>
      </c>
      <c r="K439" s="450" t="n">
        <v>0</v>
      </c>
      <c r="L439" s="450" t="n">
        <v>0</v>
      </c>
      <c r="M439" s="1097">
        <f>1.56*10</f>
        <v/>
      </c>
      <c r="N439" s="785">
        <f>(G439+I439)*(9.25%)</f>
        <v/>
      </c>
      <c r="O439" s="701">
        <f>13*10</f>
        <v/>
      </c>
      <c r="P439" s="1016">
        <f>(F439 - (G439+I439+O439+(J439+K439+L439))) - (H439-M439-N439)</f>
        <v/>
      </c>
      <c r="Q439" s="462">
        <f>P439/F439</f>
        <v/>
      </c>
      <c r="R439" s="1206" t="inlineStr">
        <is>
          <t>Ativo</t>
        </is>
      </c>
      <c r="S439" s="904" t="inlineStr">
        <is>
          <t>10un</t>
        </is>
      </c>
      <c r="T439" s="569" t="n"/>
      <c r="U439" s="1030" t="n"/>
      <c r="V439" s="1030" t="n"/>
      <c r="W439" s="1030" t="n"/>
    </row>
    <row r="440" ht="15.75" customHeight="1" s="1349">
      <c r="A440" s="1292" t="inlineStr">
        <is>
          <t>4347775613</t>
        </is>
      </c>
      <c r="B440" s="884" t="n">
        <v>10034034166513</v>
      </c>
      <c r="C440" s="1292" t="inlineStr">
        <is>
          <t>Atlas</t>
        </is>
      </c>
      <c r="D440" s="904" t="inlineStr">
        <is>
          <t>Garfo Suporte Rolo 23cm Alta Pressão Sem Rosc</t>
        </is>
      </c>
      <c r="E440" s="904" t="n"/>
      <c r="F440" s="794" t="n">
        <v>17.51</v>
      </c>
      <c r="G440" s="1016">
        <f>F440*16.5%</f>
        <v/>
      </c>
      <c r="H440" s="831" t="n">
        <v>-0.43</v>
      </c>
      <c r="I440" s="904" t="n">
        <v>6.85</v>
      </c>
      <c r="J440" s="340">
        <f>F440*18%</f>
        <v/>
      </c>
      <c r="K440" s="340">
        <f>(F440-J440)*1.65%</f>
        <v/>
      </c>
      <c r="L440" s="340">
        <f>(F440-J440)*7.6%</f>
        <v/>
      </c>
      <c r="M440" s="1097">
        <f>1.34</f>
        <v/>
      </c>
      <c r="N440" s="785">
        <f>(G440+I440)*(9.25%)</f>
        <v/>
      </c>
      <c r="O440" s="701" t="n">
        <v>5.48</v>
      </c>
      <c r="P440" s="1016">
        <f>(F440 - (G440+I440+O440+(J440+K440+L440))) - (H440-M440-N440)</f>
        <v/>
      </c>
      <c r="Q440" s="462">
        <f>P440/F440</f>
        <v/>
      </c>
      <c r="R440" s="1206" t="inlineStr">
        <is>
          <t>Ativo</t>
        </is>
      </c>
      <c r="S440" s="904" t="n"/>
      <c r="T440" s="569" t="n"/>
      <c r="U440" s="1030" t="n"/>
      <c r="V440" s="1030" t="n"/>
      <c r="W440" s="1030" t="n"/>
    </row>
    <row r="441" ht="15.75" customHeight="1" s="1349">
      <c r="A441" s="1292" t="inlineStr">
        <is>
          <t>4347814851</t>
        </is>
      </c>
      <c r="B441" s="884" t="n">
        <v>10034034168224</v>
      </c>
      <c r="C441" s="1292" t="inlineStr">
        <is>
          <t>Atlas</t>
        </is>
      </c>
      <c r="D441" s="904" t="inlineStr">
        <is>
          <t>Kit Suporte 23cm E Rolo Textura Cabelo De Anjo Rustica Atlas</t>
        </is>
      </c>
      <c r="E441" s="904" t="n"/>
      <c r="F441" s="856" t="n">
        <v>64.98999999999999</v>
      </c>
      <c r="G441" s="1016">
        <f>F441*16.5%</f>
        <v/>
      </c>
      <c r="H441" s="831" t="n"/>
      <c r="I441" s="904">
        <f>IFS(
  F441&lt;12.5, F441/2,
  F441&lt;29, 6.25,
  F441&lt;50, 6.5,
  F441&lt;=79, 6.75,
  TRUE, 25
)</f>
        <v/>
      </c>
      <c r="J441" s="340">
        <f>F441*18%</f>
        <v/>
      </c>
      <c r="K441" s="340">
        <f>(F441-J441)*1.65%</f>
        <v/>
      </c>
      <c r="L441" s="340">
        <f>(F441-J441)*7.6%</f>
        <v/>
      </c>
      <c r="M441" s="1097" t="n">
        <v>8.720000000000001</v>
      </c>
      <c r="N441" s="785">
        <f>(G441+I441)*(9.25%)</f>
        <v/>
      </c>
      <c r="O441" s="701" t="n">
        <v>34.31</v>
      </c>
      <c r="P441" s="1016">
        <f>(F441 - (G441+I441+O441+(J441+K441+L441))) - (H441-M441-N441)</f>
        <v/>
      </c>
      <c r="Q441" s="462">
        <f>P441/F441</f>
        <v/>
      </c>
      <c r="R441" s="1206" t="inlineStr">
        <is>
          <t>Ativo</t>
        </is>
      </c>
      <c r="S441" s="904" t="n"/>
      <c r="T441" s="569" t="n"/>
      <c r="U441" s="1030" t="n"/>
      <c r="V441" s="1030" t="n"/>
      <c r="W441" s="1030" t="n"/>
    </row>
    <row r="442" ht="15.75" customHeight="1" s="1349">
      <c r="A442" s="1292" t="inlineStr">
        <is>
          <t>4347764859</t>
        </is>
      </c>
      <c r="B442" s="884" t="n">
        <v>10034034168382</v>
      </c>
      <c r="C442" s="1292" t="inlineStr">
        <is>
          <t>Atlas</t>
        </is>
      </c>
      <c r="D442" s="904" t="inlineStr">
        <is>
          <t>3un Garfo Suporte Rolo 23cm Reforçado Alta Pressão S</t>
        </is>
      </c>
      <c r="E442" s="904" t="n"/>
      <c r="F442" s="856" t="n">
        <v>32.87</v>
      </c>
      <c r="G442" s="1016">
        <f>F442*16.5%</f>
        <v/>
      </c>
      <c r="H442" s="831" t="n">
        <v>-1.02</v>
      </c>
      <c r="I442" s="904">
        <f>IFS(
F442&lt;12.5, F442/2,
F442&lt;29, 6.25,
F442&lt;50, 6.5,
F442&lt;=79, 6.75,
TRUE, 
25)</f>
        <v/>
      </c>
      <c r="J442" s="340">
        <f>F442*18%</f>
        <v/>
      </c>
      <c r="K442" s="340">
        <f>(F442-J442)*1.65%</f>
        <v/>
      </c>
      <c r="L442" s="340">
        <f>(F442-J442)*7.6%</f>
        <v/>
      </c>
      <c r="M442" s="1097">
        <f>1.34*3</f>
        <v/>
      </c>
      <c r="N442" s="785">
        <f>(G442+I442)*(9.25%)</f>
        <v/>
      </c>
      <c r="O442" s="701">
        <f>5.48*3</f>
        <v/>
      </c>
      <c r="P442" s="1016">
        <f>(F442 - (G442+I442+O442+(J442+K442+L442))) - (H442-M442-N442)</f>
        <v/>
      </c>
      <c r="Q442" s="462">
        <f>P442/F442</f>
        <v/>
      </c>
      <c r="R442" s="1206" t="inlineStr">
        <is>
          <t>Ativo</t>
        </is>
      </c>
      <c r="S442" s="904" t="n"/>
      <c r="T442" s="569" t="n"/>
      <c r="U442" s="1030" t="n"/>
      <c r="V442" s="1030" t="n"/>
      <c r="W442" s="1030" t="n"/>
    </row>
    <row r="443" ht="15.75" customHeight="1" s="1349">
      <c r="A443" s="1292" t="inlineStr">
        <is>
          <t>4347805719</t>
        </is>
      </c>
      <c r="B443" s="884" t="n">
        <v>10034034166209</v>
      </c>
      <c r="C443" s="1292" t="inlineStr">
        <is>
          <t>Nutriex</t>
        </is>
      </c>
      <c r="D443" s="765" t="inlineStr">
        <is>
          <t>Protetor Solar Fps 60 Repelente Bioactive Vitamina E P/ Pele</t>
        </is>
      </c>
      <c r="E443" s="904" t="n"/>
      <c r="F443" s="856" t="n">
        <v>40.5</v>
      </c>
      <c r="G443" s="1016">
        <f>F443*14%</f>
        <v/>
      </c>
      <c r="H443" s="831" t="n"/>
      <c r="I443" s="904">
        <f>IFS(
F443&lt;12.5, F443/2,
F443&lt;29, 6.25,
F443&lt;50, 6.5,
F443&lt;=79, 6.75,
TRUE, 
25)</f>
        <v/>
      </c>
      <c r="J443" s="340">
        <f>F443*18%</f>
        <v/>
      </c>
      <c r="K443" s="340">
        <f>(F443-J443)*1.65%</f>
        <v/>
      </c>
      <c r="L443" s="340">
        <f>(F443-J443)*7.6%</f>
        <v/>
      </c>
      <c r="M443" s="577" t="n"/>
      <c r="N443" s="543">
        <f>(G443+I443)*(9.25%)</f>
        <v/>
      </c>
      <c r="O443" s="904">
        <f>13.79*1</f>
        <v/>
      </c>
      <c r="P443" s="1016">
        <f>(F443 - (G443+I443+O443+(J443+K443+L443))) - (H443-M443-N443)</f>
        <v/>
      </c>
      <c r="Q443" s="462">
        <f>P443/F443</f>
        <v/>
      </c>
      <c r="R443" s="1206" t="inlineStr">
        <is>
          <t>sem estoque</t>
        </is>
      </c>
      <c r="S443" s="904" t="inlineStr">
        <is>
          <t>1un</t>
        </is>
      </c>
      <c r="T443" s="569" t="n"/>
      <c r="U443" s="1030" t="n"/>
      <c r="V443" s="1030" t="n"/>
      <c r="W443" s="1030" t="n"/>
    </row>
    <row r="444" ht="15.75" customHeight="1" s="1349">
      <c r="A444" s="1292" t="inlineStr">
        <is>
          <t>6011593770</t>
        </is>
      </c>
      <c r="B444" s="884" t="n">
        <v>10034034168002</v>
      </c>
      <c r="C444" s="1292" t="inlineStr">
        <is>
          <t>EPI</t>
        </is>
      </c>
      <c r="D444" s="481" t="inlineStr">
        <is>
          <t>Kit 2 Protetor Solar Fps 60 Repelente Proteção Intensa 120ml</t>
        </is>
      </c>
      <c r="E444" s="904" t="n"/>
      <c r="F444" s="856" t="n">
        <v>49.8</v>
      </c>
      <c r="G444" s="1016">
        <f>F444*14%</f>
        <v/>
      </c>
      <c r="H444" s="831" t="n">
        <v>-2.91</v>
      </c>
      <c r="I444" s="904">
        <f>IFS(
F444&lt;12.5, F444/2,
F444&lt;29, 6.25,
F444&lt;50, 6.5,
F444&lt;=79, 6.75,
TRUE, 
25)</f>
        <v/>
      </c>
      <c r="J444" s="340">
        <f>F444*18%</f>
        <v/>
      </c>
      <c r="K444" s="340">
        <f>(F444-J444)*1.65%</f>
        <v/>
      </c>
      <c r="L444" s="340">
        <f>(F444-J444)*7.6%</f>
        <v/>
      </c>
      <c r="M444" s="577" t="n"/>
      <c r="N444" s="543">
        <f>(G444+I444)*(9.25%)</f>
        <v/>
      </c>
      <c r="O444" s="904">
        <f>13.79*2</f>
        <v/>
      </c>
      <c r="P444" s="1016">
        <f>(F444 - (G444+I444+O444+(J444+K444+L444))) - (H444-M444-N444)</f>
        <v/>
      </c>
      <c r="Q444" s="462">
        <f>P444/F444</f>
        <v/>
      </c>
      <c r="R444" s="1206" t="inlineStr">
        <is>
          <t>sem estoque</t>
        </is>
      </c>
      <c r="S444" s="904" t="inlineStr">
        <is>
          <t>2un</t>
        </is>
      </c>
      <c r="T444" s="569" t="n"/>
      <c r="U444" s="1030" t="n"/>
      <c r="V444" s="1030" t="n"/>
      <c r="W444" s="1030" t="n"/>
    </row>
    <row r="445" ht="15.75" customHeight="1" s="1349">
      <c r="A445" s="1292" t="inlineStr">
        <is>
          <t>6011595994</t>
        </is>
      </c>
      <c r="B445" s="884" t="n">
        <v>10034034168003</v>
      </c>
      <c r="C445" s="1292" t="inlineStr">
        <is>
          <t>EPI</t>
        </is>
      </c>
      <c r="D445" s="481" t="inlineStr">
        <is>
          <t>Kit 5 Protetor Solar Fps 60 Repelente Alta Proteção Solar</t>
        </is>
      </c>
      <c r="E445" s="904" t="n"/>
      <c r="F445" s="856" t="n">
        <v>148.99</v>
      </c>
      <c r="G445" s="1016">
        <f>F445*19%</f>
        <v/>
      </c>
      <c r="H445" s="831" t="n"/>
      <c r="I445" s="904" t="n">
        <v>18.45</v>
      </c>
      <c r="J445" s="340">
        <f>F445*18%</f>
        <v/>
      </c>
      <c r="K445" s="450" t="n">
        <v>0</v>
      </c>
      <c r="L445" s="450" t="n">
        <v>0</v>
      </c>
      <c r="M445" s="1097">
        <f>1.56*10</f>
        <v/>
      </c>
      <c r="N445" s="543">
        <f>(G445+I445)*(9.25%)</f>
        <v/>
      </c>
      <c r="O445" s="701">
        <f>13*5</f>
        <v/>
      </c>
      <c r="P445" s="1016">
        <f>(F445 - (G445+I445+O445+(J445+K445+L445))) - (H445-M445-N445)</f>
        <v/>
      </c>
      <c r="Q445" s="462">
        <f>P445/F445</f>
        <v/>
      </c>
      <c r="R445" s="1206" t="inlineStr">
        <is>
          <t>Ativo</t>
        </is>
      </c>
      <c r="S445" s="904" t="inlineStr">
        <is>
          <t>5un</t>
        </is>
      </c>
      <c r="T445" s="569" t="n"/>
      <c r="U445" s="1030" t="n"/>
      <c r="V445" s="1030" t="n"/>
      <c r="W445" s="1030" t="n"/>
    </row>
    <row r="446" ht="15.75" customHeight="1" s="1349">
      <c r="A446" s="1292" t="inlineStr">
        <is>
          <t>6011679382</t>
        </is>
      </c>
      <c r="B446" s="884" t="n">
        <v>10034034168004</v>
      </c>
      <c r="C446" s="1292" t="inlineStr">
        <is>
          <t>EPI</t>
        </is>
      </c>
      <c r="D446" s="481" t="inlineStr">
        <is>
          <t>Kit 10 Protetor Solar Fps 60 Repelente Formula Natural 120ml</t>
        </is>
      </c>
      <c r="E446" s="904" t="n"/>
      <c r="F446" s="856" t="n">
        <v>229.7</v>
      </c>
      <c r="G446" s="1016">
        <f>F446*19%</f>
        <v/>
      </c>
      <c r="H446" s="831" t="n">
        <v>-9.029999999999999</v>
      </c>
      <c r="I446" s="904" t="n">
        <v>23.45</v>
      </c>
      <c r="J446" s="340">
        <f>F446*18%</f>
        <v/>
      </c>
      <c r="K446" s="340">
        <f>(F446-J446)*1.65%</f>
        <v/>
      </c>
      <c r="L446" s="340">
        <f>(F446-J446)*7.6%</f>
        <v/>
      </c>
      <c r="M446" s="577" t="n"/>
      <c r="N446" s="543">
        <f>(G446+I446)*(9.25%)</f>
        <v/>
      </c>
      <c r="O446" s="904">
        <f>13.79*10</f>
        <v/>
      </c>
      <c r="P446" s="1016">
        <f>(F446 - (G446+I446+O446+(J446+K446+L446))) - (H446-M446-N446)</f>
        <v/>
      </c>
      <c r="Q446" s="462">
        <f>P446/F446</f>
        <v/>
      </c>
      <c r="R446" s="1206" t="inlineStr">
        <is>
          <t>sem estoque</t>
        </is>
      </c>
      <c r="S446" s="904" t="inlineStr">
        <is>
          <t>10un</t>
        </is>
      </c>
      <c r="T446" s="569" t="n"/>
      <c r="U446" s="1030" t="n"/>
      <c r="V446" s="1030" t="n"/>
      <c r="W446" s="1030" t="n"/>
    </row>
    <row r="447" ht="15.75" customHeight="1" s="1349">
      <c r="A447" s="1292" t="inlineStr">
        <is>
          <t>6012194354</t>
        </is>
      </c>
      <c r="B447" s="884" t="n">
        <v>10034034167834</v>
      </c>
      <c r="C447" s="1292" t="inlineStr">
        <is>
          <t>Nutriex</t>
        </is>
      </c>
      <c r="D447" s="481" t="inlineStr">
        <is>
          <t>Protetor Solar Fps 99 Profissional Proteção Extrema Raio Uva</t>
        </is>
      </c>
      <c r="E447" s="904" t="n"/>
      <c r="F447" s="856" t="n">
        <v>60.9</v>
      </c>
      <c r="G447" s="1016">
        <f>F447*19%</f>
        <v/>
      </c>
      <c r="H447" s="831" t="n">
        <v>-2.55</v>
      </c>
      <c r="I447" s="904">
        <f>IFS(
  F447&lt;12.5, F447/2,
  F447&lt;29, 6.25,
  F447&lt;50, 6.5,
  F447&lt;=79, 6.75,
  TRUE, 25
)</f>
        <v/>
      </c>
      <c r="J447" s="340">
        <f>F447*18%</f>
        <v/>
      </c>
      <c r="K447" s="450" t="n">
        <v>0</v>
      </c>
      <c r="L447" s="450" t="n">
        <v>0</v>
      </c>
      <c r="M447" s="1097" t="n">
        <v>4.42</v>
      </c>
      <c r="N447" s="785">
        <f>(G447+I447)*(9.25%)</f>
        <v/>
      </c>
      <c r="O447" s="701" t="n">
        <v>36.83</v>
      </c>
      <c r="P447" s="1016">
        <f>(F447 - (G447+I447+O447+(J447+K447+L447))) - (H447-M447-N447)</f>
        <v/>
      </c>
      <c r="Q447" s="462">
        <f>P447/F447</f>
        <v/>
      </c>
      <c r="R447" s="1206" t="inlineStr">
        <is>
          <t>Ativo</t>
        </is>
      </c>
      <c r="S447" s="904" t="inlineStr">
        <is>
          <t>1un</t>
        </is>
      </c>
      <c r="T447" s="569" t="n"/>
      <c r="U447" s="1030" t="n"/>
      <c r="V447" s="1030" t="n"/>
      <c r="W447" s="1030" t="n"/>
    </row>
    <row r="448" ht="15.75" customHeight="1" s="1349">
      <c r="A448" s="1292" t="inlineStr">
        <is>
          <t>6012906158</t>
        </is>
      </c>
      <c r="B448" s="884" t="n">
        <v>10034034168006</v>
      </c>
      <c r="C448" s="1292" t="inlineStr">
        <is>
          <t>Nutriex</t>
        </is>
      </c>
      <c r="D448" s="481" t="inlineStr">
        <is>
          <t>Protetor Solar Fps 99 Proteção Altamente Eficaz Facial 2un</t>
        </is>
      </c>
      <c r="E448" s="904" t="n"/>
      <c r="F448" s="856" t="n">
        <v>129</v>
      </c>
      <c r="G448" s="1016">
        <f>F448*19%</f>
        <v/>
      </c>
      <c r="H448" s="831" t="n">
        <v>-3</v>
      </c>
      <c r="I448" s="904" t="n">
        <v>17.96</v>
      </c>
      <c r="J448" s="340">
        <f>F448*18%</f>
        <v/>
      </c>
      <c r="K448" s="450" t="n">
        <v>0</v>
      </c>
      <c r="L448" s="450" t="n">
        <v>0</v>
      </c>
      <c r="M448" s="1097">
        <f>4.42*2</f>
        <v/>
      </c>
      <c r="N448" s="785">
        <f>(G448+I448)*(9.25%)</f>
        <v/>
      </c>
      <c r="O448" s="701">
        <f>36.83*2</f>
        <v/>
      </c>
      <c r="P448" s="1016">
        <f>(F448 - (G448+I448+O448+(J448+K448+L448))) - (H448-M448-N448)</f>
        <v/>
      </c>
      <c r="Q448" s="462">
        <f>P448/F448</f>
        <v/>
      </c>
      <c r="R448" s="1206" t="inlineStr">
        <is>
          <t>Ativo</t>
        </is>
      </c>
      <c r="S448" s="904" t="inlineStr">
        <is>
          <t>2un</t>
        </is>
      </c>
      <c r="T448" s="569" t="n"/>
      <c r="U448" s="1030" t="n"/>
      <c r="V448" s="1030" t="n"/>
      <c r="W448" s="1030" t="n"/>
    </row>
    <row r="449" ht="15.75" customHeight="1" s="1349">
      <c r="A449" s="1292" t="inlineStr">
        <is>
          <t>4348211755</t>
        </is>
      </c>
      <c r="B449" s="884" t="n">
        <v>10034034168007</v>
      </c>
      <c r="C449" s="1292" t="inlineStr">
        <is>
          <t>EPI</t>
        </is>
      </c>
      <c r="D449" s="481" t="inlineStr">
        <is>
          <t>Protetor Solar Fps 99 Proteção Garantida Bioactive 120ml 4un</t>
        </is>
      </c>
      <c r="E449" s="904" t="n"/>
      <c r="F449" s="856" t="n">
        <v>250.26</v>
      </c>
      <c r="G449" s="1016">
        <f>F449*19%</f>
        <v/>
      </c>
      <c r="H449" s="831" t="n">
        <v>-7.74</v>
      </c>
      <c r="I449" s="904" t="n">
        <v>23.45</v>
      </c>
      <c r="J449" s="340">
        <f>F449*18%</f>
        <v/>
      </c>
      <c r="K449" s="450" t="n">
        <v>0</v>
      </c>
      <c r="L449" s="450" t="n">
        <v>0</v>
      </c>
      <c r="M449" s="1097">
        <f>4.42*4</f>
        <v/>
      </c>
      <c r="N449" s="785">
        <f>(G449+I449)*(9.25%)</f>
        <v/>
      </c>
      <c r="O449" s="701">
        <f>36.83*4</f>
        <v/>
      </c>
      <c r="P449" s="1016">
        <f>(F449 - (G449+I449+O449+(J449+K449+L449))) - (H449-M449-N449)</f>
        <v/>
      </c>
      <c r="Q449" s="462">
        <f>P449/F449</f>
        <v/>
      </c>
      <c r="R449" s="1206" t="inlineStr">
        <is>
          <t>Ativo</t>
        </is>
      </c>
      <c r="S449" s="904" t="inlineStr">
        <is>
          <t>4un</t>
        </is>
      </c>
      <c r="T449" s="569" t="n"/>
      <c r="U449" s="1030" t="n"/>
      <c r="V449" s="1030" t="n"/>
      <c r="W449" s="1030" t="n"/>
    </row>
    <row r="450" ht="15.75" customHeight="1" s="1349">
      <c r="A450" s="1292" t="inlineStr">
        <is>
          <t>6012881614</t>
        </is>
      </c>
      <c r="B450" s="884" t="n">
        <v>10034034168008</v>
      </c>
      <c r="C450" s="1292" t="inlineStr">
        <is>
          <t>EPI</t>
        </is>
      </c>
      <c r="D450" s="481" t="inlineStr">
        <is>
          <t>Protetor Solar Fps 99 Facial Corporal Dupla Potencia 10un</t>
        </is>
      </c>
      <c r="E450" s="904" t="n"/>
      <c r="F450" s="856" t="n">
        <v>569.99</v>
      </c>
      <c r="G450" s="1016">
        <f>F450*19%</f>
        <v/>
      </c>
      <c r="H450" s="831" t="n">
        <v>-18</v>
      </c>
      <c r="I450" s="904" t="n">
        <v>28.45</v>
      </c>
      <c r="J450" s="340">
        <f>F450*18%</f>
        <v/>
      </c>
      <c r="K450" s="450" t="n">
        <v>0</v>
      </c>
      <c r="L450" s="450" t="n">
        <v>0</v>
      </c>
      <c r="M450" s="577">
        <f>4.42*10</f>
        <v/>
      </c>
      <c r="N450" s="543">
        <f>(G450+I450)*(9.25%)</f>
        <v/>
      </c>
      <c r="O450" s="701">
        <f>36.83*10</f>
        <v/>
      </c>
      <c r="P450" s="1016">
        <f>(F450 - (G450+I450+O450+(J450+K450+L450))) - (H450-M450-N450)</f>
        <v/>
      </c>
      <c r="Q450" s="462">
        <f>P450/F450</f>
        <v/>
      </c>
      <c r="R450" s="1206" t="inlineStr">
        <is>
          <t>Ativo</t>
        </is>
      </c>
      <c r="S450" s="904" t="inlineStr">
        <is>
          <t>10un</t>
        </is>
      </c>
      <c r="T450" s="569" t="n"/>
      <c r="U450" s="1030" t="n"/>
      <c r="V450" s="1030" t="n"/>
      <c r="W450" s="1030" t="n"/>
    </row>
    <row r="451" ht="15.75" customHeight="1" s="1349">
      <c r="A451" s="1292" t="inlineStr">
        <is>
          <t>6014653278</t>
        </is>
      </c>
      <c r="B451" s="884" t="n">
        <v>10034034167815</v>
      </c>
      <c r="C451" s="1292" t="inlineStr">
        <is>
          <t>Nutriex</t>
        </is>
      </c>
      <c r="D451" s="481" t="inlineStr">
        <is>
          <t>Sabonete Líquido Citric Power 200ml Esfoliante Biodegradável</t>
        </is>
      </c>
      <c r="E451" s="904" t="n"/>
      <c r="F451" s="856" t="n">
        <v>20.67</v>
      </c>
      <c r="G451" s="1016">
        <f>F451*19%</f>
        <v/>
      </c>
      <c r="H451" s="831" t="n">
        <v>-0.43</v>
      </c>
      <c r="I451" s="904" t="n">
        <v>6.85</v>
      </c>
      <c r="J451" s="340">
        <f>F451*18%</f>
        <v/>
      </c>
      <c r="K451" s="450" t="n">
        <v>0</v>
      </c>
      <c r="L451" s="450" t="n">
        <v>0</v>
      </c>
      <c r="M451" s="1097" t="n">
        <v>0.72</v>
      </c>
      <c r="N451" s="785">
        <f>(G451+I451)*(9.25%)</f>
        <v/>
      </c>
      <c r="O451" s="701">
        <f>5.99*1</f>
        <v/>
      </c>
      <c r="P451" s="1016">
        <f>(F451 - (G451+I451+O451+(J451+K451+L451))) - (H451-M451-N451)</f>
        <v/>
      </c>
      <c r="Q451" s="462">
        <f>P451/F451</f>
        <v/>
      </c>
      <c r="R451" s="1206" t="inlineStr">
        <is>
          <t>Ativo</t>
        </is>
      </c>
      <c r="S451" s="904" t="inlineStr">
        <is>
          <t>1un</t>
        </is>
      </c>
      <c r="T451" s="569" t="n"/>
      <c r="U451" s="1030" t="n"/>
      <c r="V451" s="1030" t="n"/>
      <c r="W451" s="1030" t="n"/>
    </row>
    <row r="452" ht="15.75" customHeight="1" s="1349">
      <c r="A452" s="1292" t="inlineStr">
        <is>
          <t>6014487038</t>
        </is>
      </c>
      <c r="B452" s="884" t="n">
        <v>10034034168009</v>
      </c>
      <c r="C452" s="1292" t="inlineStr">
        <is>
          <t>Nutriex</t>
        </is>
      </c>
      <c r="D452" s="481" t="inlineStr">
        <is>
          <t>Sabonete Líquido Citric Power 200ml Desengraxante Kit 2un</t>
        </is>
      </c>
      <c r="E452" s="904" t="n"/>
      <c r="F452" s="856" t="n">
        <v>29.9</v>
      </c>
      <c r="G452" s="1016">
        <f>F452*19%</f>
        <v/>
      </c>
      <c r="H452" s="831" t="n">
        <v>-0.91</v>
      </c>
      <c r="I452" s="904" t="n">
        <v>6.85</v>
      </c>
      <c r="J452" s="340">
        <f>F452*18%</f>
        <v/>
      </c>
      <c r="K452" s="450" t="n">
        <v>0</v>
      </c>
      <c r="L452" s="450" t="n">
        <v>0</v>
      </c>
      <c r="M452" s="1097">
        <f>0.72*2</f>
        <v/>
      </c>
      <c r="N452" s="785">
        <f>(G452+I452)*(9.25%)</f>
        <v/>
      </c>
      <c r="O452" s="701">
        <f>5.99*2</f>
        <v/>
      </c>
      <c r="P452" s="1016">
        <f>(F452 - (G452+I452+O452+(J452+K452+L452))) - (H452-M452-N452)</f>
        <v/>
      </c>
      <c r="Q452" s="462">
        <f>P452/F452</f>
        <v/>
      </c>
      <c r="R452" s="1206" t="inlineStr">
        <is>
          <t>Ativo</t>
        </is>
      </c>
      <c r="S452" s="904" t="inlineStr">
        <is>
          <t>2un</t>
        </is>
      </c>
      <c r="T452" s="569" t="n"/>
      <c r="U452" s="1030" t="n"/>
      <c r="V452" s="1030" t="n"/>
      <c r="W452" s="1030" t="n"/>
    </row>
    <row r="453" ht="15.75" customHeight="1" s="1349">
      <c r="A453" s="1292" t="inlineStr">
        <is>
          <t>6014680906</t>
        </is>
      </c>
      <c r="B453" s="884" t="n">
        <v>10034034168010</v>
      </c>
      <c r="C453" s="1292" t="inlineStr">
        <is>
          <t>Nutriex</t>
        </is>
      </c>
      <c r="D453" s="765" t="inlineStr">
        <is>
          <t>Sabonete Líquido Citric Limpeza Pesada Ação Profunda 120ml 4</t>
        </is>
      </c>
      <c r="E453" s="904" t="n"/>
      <c r="F453" s="856" t="n">
        <v>42</v>
      </c>
      <c r="G453" s="1016">
        <f>F453*13%</f>
        <v/>
      </c>
      <c r="H453" s="831" t="n"/>
      <c r="I453" s="904" t="n">
        <v>6.95</v>
      </c>
      <c r="J453" s="340">
        <f>F453*18%</f>
        <v/>
      </c>
      <c r="K453" s="450" t="n">
        <v>0</v>
      </c>
      <c r="L453" s="450" t="n">
        <v>0</v>
      </c>
      <c r="M453" s="1097">
        <f>0.72*4</f>
        <v/>
      </c>
      <c r="N453" s="785">
        <f>(G453+I453)*(9.25%)</f>
        <v/>
      </c>
      <c r="O453" s="701">
        <f>5.99*4</f>
        <v/>
      </c>
      <c r="P453" s="1016">
        <f>(F453 - (G453+I453+O453+(J453+K453+L453))) - (H453-M453-N453)</f>
        <v/>
      </c>
      <c r="Q453" s="462">
        <f>P453/F453</f>
        <v/>
      </c>
      <c r="R453" s="1206" t="inlineStr">
        <is>
          <t>Ativo</t>
        </is>
      </c>
      <c r="S453" s="904" t="inlineStr">
        <is>
          <t>4un</t>
        </is>
      </c>
      <c r="T453" s="569" t="n"/>
      <c r="U453" s="1030" t="n"/>
      <c r="V453" s="1030" t="n"/>
      <c r="W453" s="1030" t="n"/>
    </row>
    <row r="454" ht="15.75" customHeight="1" s="1349">
      <c r="A454" s="1292" t="inlineStr">
        <is>
          <t>4349586081</t>
        </is>
      </c>
      <c r="B454" s="884" t="n">
        <v>10034034168011</v>
      </c>
      <c r="C454" s="1292" t="inlineStr">
        <is>
          <t>Nutriex</t>
        </is>
      </c>
      <c r="D454" s="765" t="inlineStr">
        <is>
          <t>Sabonete Líquido Citric Profissional Limpa Tudo Multiuso 10</t>
        </is>
      </c>
      <c r="E454" s="904" t="n"/>
      <c r="F454" s="856" t="n">
        <v>116.35</v>
      </c>
      <c r="G454" s="1016">
        <f>F454*19%</f>
        <v/>
      </c>
      <c r="H454" s="831" t="n">
        <v>-4.62</v>
      </c>
      <c r="I454" s="904" t="n">
        <v>21.56</v>
      </c>
      <c r="J454" s="340">
        <f>F454*18%</f>
        <v/>
      </c>
      <c r="K454" s="450" t="n">
        <v>0</v>
      </c>
      <c r="L454" s="450" t="n">
        <v>0</v>
      </c>
      <c r="M454" s="1097">
        <f>0.72*10</f>
        <v/>
      </c>
      <c r="N454" s="785">
        <f>(G454+I454)*(9.25%)</f>
        <v/>
      </c>
      <c r="O454" s="701">
        <f>5.99*10</f>
        <v/>
      </c>
      <c r="P454" s="1016">
        <f>(F454 - (G454+I454+O454+(J454+K454+L454))) - (H454-M454-N454)</f>
        <v/>
      </c>
      <c r="Q454" s="462">
        <f>P454/F454</f>
        <v/>
      </c>
      <c r="R454" s="1206" t="inlineStr">
        <is>
          <t>Ativo</t>
        </is>
      </c>
      <c r="S454" s="904" t="inlineStr">
        <is>
          <t>10un</t>
        </is>
      </c>
      <c r="T454" s="569" t="n"/>
      <c r="U454" s="1030" t="n"/>
      <c r="V454" s="1030" t="n"/>
      <c r="W454" s="1030" t="n"/>
    </row>
    <row r="455" ht="15.75" customHeight="1" s="1349">
      <c r="A455" s="1292" t="inlineStr">
        <is>
          <t>6019991838</t>
        </is>
      </c>
      <c r="B455" s="884" t="n">
        <v>912309</v>
      </c>
      <c r="C455" s="1292" t="inlineStr">
        <is>
          <t>Nutriex</t>
        </is>
      </c>
      <c r="D455" s="765" t="inlineStr">
        <is>
          <t>Spray Repelente Expert Total 200ml Proteção Insetos 10hrs</t>
        </is>
      </c>
      <c r="E455" s="904" t="n"/>
      <c r="F455" s="856" t="n">
        <v>22.56</v>
      </c>
      <c r="G455" s="1016">
        <f>F455*17.5%</f>
        <v/>
      </c>
      <c r="H455" s="831" t="n">
        <v>-1.35</v>
      </c>
      <c r="I455" s="904" t="n">
        <v>6.65</v>
      </c>
      <c r="J455" s="340">
        <f>F455*18%</f>
        <v/>
      </c>
      <c r="K455" s="340">
        <f>(F455-J455)*1.65%</f>
        <v/>
      </c>
      <c r="L455" s="340">
        <f>(F455-J455)*7.6%</f>
        <v/>
      </c>
      <c r="M455" s="1097" t="n">
        <v>1.81</v>
      </c>
      <c r="N455" s="785">
        <f>(G455+I455)*(9.25%)</f>
        <v/>
      </c>
      <c r="O455" s="701" t="n">
        <v>9</v>
      </c>
      <c r="P455" s="1016">
        <f>(F455 - (G455+I455+O455+(J455+K455+L455))) - (H455-M455-N455)</f>
        <v/>
      </c>
      <c r="Q455" s="462">
        <f>P455/F455</f>
        <v/>
      </c>
      <c r="R455" s="1206" t="inlineStr">
        <is>
          <t>Ativo</t>
        </is>
      </c>
      <c r="S455" s="904" t="inlineStr">
        <is>
          <t>1un</t>
        </is>
      </c>
      <c r="T455" s="569" t="n"/>
      <c r="U455" s="1030" t="n"/>
      <c r="V455" s="1030" t="n"/>
      <c r="W455" s="1030" t="n"/>
    </row>
    <row r="456" ht="15.75" customHeight="1" s="1349">
      <c r="A456" s="1292" t="inlineStr">
        <is>
          <t>6019881792</t>
        </is>
      </c>
      <c r="B456" s="884" t="n">
        <v>10034034168013</v>
      </c>
      <c r="C456" s="1292" t="inlineStr">
        <is>
          <t>Nutriex</t>
        </is>
      </c>
      <c r="D456" s="765" t="inlineStr">
        <is>
          <t>Spray Repelente Expert Total 200ml Criança Anti Mosquito 2un</t>
        </is>
      </c>
      <c r="E456" s="904" t="n"/>
      <c r="F456" s="856" t="n">
        <v>38.7</v>
      </c>
      <c r="G456" s="1016">
        <f>F456*12.5%</f>
        <v/>
      </c>
      <c r="H456" s="831" t="n">
        <v>-1.13</v>
      </c>
      <c r="I456" s="904" t="n">
        <v>7.85</v>
      </c>
      <c r="J456" s="340">
        <f>F456*18%</f>
        <v/>
      </c>
      <c r="K456" s="340">
        <f>(F456-J456)*1.65%</f>
        <v/>
      </c>
      <c r="L456" s="340">
        <f>(F456-J456)*7.6%</f>
        <v/>
      </c>
      <c r="M456" s="1097">
        <f>1.81*2</f>
        <v/>
      </c>
      <c r="N456" s="785">
        <f>(G456+I456)*(9.25%)</f>
        <v/>
      </c>
      <c r="O456" s="701">
        <f>9*2</f>
        <v/>
      </c>
      <c r="P456" s="1016">
        <f>(F456 - (G456+I456+O456+(J456+K456+L456))) - (H456-M456-N456)</f>
        <v/>
      </c>
      <c r="Q456" s="462">
        <f>P456/F456</f>
        <v/>
      </c>
      <c r="R456" s="1206" t="inlineStr">
        <is>
          <t>Ativo</t>
        </is>
      </c>
      <c r="S456" s="904" t="inlineStr">
        <is>
          <t>2un</t>
        </is>
      </c>
      <c r="T456" s="569" t="n"/>
      <c r="U456" s="1030" t="n"/>
      <c r="V456" s="1030" t="n"/>
      <c r="W456" s="1030" t="n"/>
    </row>
    <row r="457" ht="15.75" customHeight="1" s="1349">
      <c r="A457" s="489" t="inlineStr">
        <is>
          <t>3820800495</t>
        </is>
      </c>
      <c r="B457" s="713" t="n">
        <v>10034034166279</v>
      </c>
      <c r="C457" s="1292" t="inlineStr">
        <is>
          <t>Nutriex</t>
        </is>
      </c>
      <c r="D457" s="566" t="inlineStr">
        <is>
          <t>Repelente Nutriex Expert Total 200ml Proteção Até 10hr 4un</t>
        </is>
      </c>
      <c r="E457" s="654" t="n"/>
      <c r="F457" s="607" t="n">
        <v>64.64</v>
      </c>
      <c r="G457" s="447">
        <f>F457*12.5%</f>
        <v/>
      </c>
      <c r="H457" s="831" t="n">
        <v>-1.43</v>
      </c>
      <c r="I457" s="904" t="n">
        <v>7.75</v>
      </c>
      <c r="J457" s="340">
        <f>F457*18%</f>
        <v/>
      </c>
      <c r="K457" s="340">
        <f>(F457-J457)*1.65%</f>
        <v/>
      </c>
      <c r="L457" s="340">
        <f>(F457-J457)*7.6%</f>
        <v/>
      </c>
      <c r="M457" s="1097">
        <f>1.81*4</f>
        <v/>
      </c>
      <c r="N457" s="785">
        <f>(G457+I457)*(9.25%)</f>
        <v/>
      </c>
      <c r="O457" s="197">
        <f>9*4</f>
        <v/>
      </c>
      <c r="P457" s="1016">
        <f>(F457 - (G457+I457+O457+(J457+K457+L457))) - (H457-M457-N457)</f>
        <v/>
      </c>
      <c r="Q457" s="328">
        <f>P457/F457</f>
        <v/>
      </c>
      <c r="R457" s="904" t="inlineStr">
        <is>
          <t>Ativo</t>
        </is>
      </c>
      <c r="S457" s="904" t="inlineStr">
        <is>
          <t>4un</t>
        </is>
      </c>
      <c r="T457" s="569" t="n"/>
      <c r="U457" s="1030" t="n"/>
      <c r="V457" s="1030" t="n"/>
      <c r="W457" s="1030" t="n"/>
    </row>
    <row r="458" ht="15.75" customHeight="1" s="1349">
      <c r="A458" s="1292" t="inlineStr">
        <is>
          <t>4352995045</t>
        </is>
      </c>
      <c r="B458" s="884" t="n">
        <v>10034034168014</v>
      </c>
      <c r="C458" s="1292" t="inlineStr">
        <is>
          <t>Nutriex</t>
        </is>
      </c>
      <c r="D458" s="481" t="inlineStr">
        <is>
          <t>Kit Repelente Expert Total Família Extrato Babosa Suave 10un</t>
        </is>
      </c>
      <c r="E458" s="904" t="n"/>
      <c r="F458" s="856" t="n">
        <v>174.99</v>
      </c>
      <c r="G458" s="1016">
        <f>F458*17.5%</f>
        <v/>
      </c>
      <c r="H458" s="831" t="n"/>
      <c r="I458" s="904" t="n">
        <v>21.1</v>
      </c>
      <c r="J458" s="340">
        <f>F458*18%</f>
        <v/>
      </c>
      <c r="K458" s="340">
        <f>(F458-J458)*1.65%</f>
        <v/>
      </c>
      <c r="L458" s="340">
        <f>(F458-J458)*7.6%</f>
        <v/>
      </c>
      <c r="M458" s="1097">
        <f>1.81*9</f>
        <v/>
      </c>
      <c r="N458" s="785">
        <f>(G458+I458)*(9.25%)</f>
        <v/>
      </c>
      <c r="O458" s="701">
        <f>9*10</f>
        <v/>
      </c>
      <c r="P458" s="1016">
        <f>(F458 - (G458+I458+O458+(J458+K458+L458))) - (H458-M458-N458)</f>
        <v/>
      </c>
      <c r="Q458" s="462">
        <f>P458/F458</f>
        <v/>
      </c>
      <c r="R458" s="1206" t="inlineStr">
        <is>
          <t>Ativo</t>
        </is>
      </c>
      <c r="S458" s="904" t="inlineStr">
        <is>
          <t>10un</t>
        </is>
      </c>
      <c r="T458" s="569" t="n"/>
      <c r="U458" s="1030" t="n"/>
      <c r="V458" s="1030" t="n"/>
      <c r="W458" s="1030" t="n"/>
    </row>
    <row r="459" ht="15.75" customHeight="1" s="1349">
      <c r="A459" s="1292" t="inlineStr">
        <is>
          <t>4353364505</t>
        </is>
      </c>
      <c r="B459" s="884" t="n">
        <v>912306</v>
      </c>
      <c r="C459" s="1292" t="inlineStr">
        <is>
          <t>Nutriex</t>
        </is>
      </c>
      <c r="D459" s="765" t="inlineStr">
        <is>
          <t>Spray Repelente Insetos 10hrs Proteção Estendida Seca Rápido</t>
        </is>
      </c>
      <c r="E459" s="904" t="n"/>
      <c r="F459" s="856" t="n">
        <v>24.8</v>
      </c>
      <c r="G459" s="1016">
        <f>F459*17.5%</f>
        <v/>
      </c>
      <c r="H459" s="831" t="n">
        <v>-0.52</v>
      </c>
      <c r="I459" s="904" t="n">
        <v>6.55</v>
      </c>
      <c r="J459" s="340">
        <f>F459*18%</f>
        <v/>
      </c>
      <c r="K459" s="340">
        <f>(F459-J459)*1.65%</f>
        <v/>
      </c>
      <c r="L459" s="340">
        <f>(F459-J459)*7.6%</f>
        <v/>
      </c>
      <c r="M459" s="1097">
        <f>1.81*1</f>
        <v/>
      </c>
      <c r="N459" s="785">
        <f>(G459+I459)*(9.25%)</f>
        <v/>
      </c>
      <c r="O459" s="701">
        <f>9*1</f>
        <v/>
      </c>
      <c r="P459" s="1016">
        <f>(F459 - (G459+I459+O459+(J459+K459+L459))) - (H459-M459-N459)</f>
        <v/>
      </c>
      <c r="Q459" s="462">
        <f>P459/F459</f>
        <v/>
      </c>
      <c r="R459" s="1206" t="inlineStr">
        <is>
          <t>Ativo</t>
        </is>
      </c>
      <c r="S459" s="904" t="inlineStr">
        <is>
          <t>1un</t>
        </is>
      </c>
      <c r="T459" s="569" t="n"/>
      <c r="U459" s="1030" t="n"/>
      <c r="V459" s="1030" t="n"/>
      <c r="W459" s="1030" t="n"/>
    </row>
    <row r="460" ht="15.75" customHeight="1" s="1349">
      <c r="A460" s="1292" t="inlineStr">
        <is>
          <t>6020547496</t>
        </is>
      </c>
      <c r="B460" s="884" t="n">
        <v>10034034168016</v>
      </c>
      <c r="C460" s="1292" t="inlineStr">
        <is>
          <t>Nutriex</t>
        </is>
      </c>
      <c r="D460" s="765" t="inlineStr">
        <is>
          <t>Spray Repelente Corporal Insetos Mosquitos Pernilongos 10hrs</t>
        </is>
      </c>
      <c r="E460" s="904" t="n"/>
      <c r="F460" s="856" t="n">
        <v>36.38</v>
      </c>
      <c r="G460" s="1016">
        <f>F460*17.5%</f>
        <v/>
      </c>
      <c r="H460" s="831" t="n">
        <v>-1.36</v>
      </c>
      <c r="I460" s="904" t="n">
        <v>7.85</v>
      </c>
      <c r="J460" s="340">
        <f>F460*18%</f>
        <v/>
      </c>
      <c r="K460" s="340">
        <f>(F460-J460)*1.65%</f>
        <v/>
      </c>
      <c r="L460" s="340">
        <f>(F460-J460)*7.6%</f>
        <v/>
      </c>
      <c r="M460" s="1097">
        <f>1.81*2</f>
        <v/>
      </c>
      <c r="N460" s="785">
        <f>(G460+I460)*(9.25%)</f>
        <v/>
      </c>
      <c r="O460" s="701">
        <f>9*2</f>
        <v/>
      </c>
      <c r="P460" s="1016">
        <f>(F460 - (G460+I460+O460+(J460+K460+L460))) - (H460-M460-N460)</f>
        <v/>
      </c>
      <c r="Q460" s="462">
        <f>P460/F460</f>
        <v/>
      </c>
      <c r="R460" s="1206" t="inlineStr">
        <is>
          <t>Ativo</t>
        </is>
      </c>
      <c r="S460" s="904" t="inlineStr">
        <is>
          <t>2un</t>
        </is>
      </c>
      <c r="T460" s="569" t="n"/>
      <c r="U460" s="1030" t="n"/>
      <c r="V460" s="1030" t="n"/>
      <c r="W460" s="1030" t="n"/>
    </row>
    <row r="461" ht="15.75" customHeight="1" s="1349">
      <c r="A461" s="1292" t="inlineStr">
        <is>
          <t>4353437001</t>
        </is>
      </c>
      <c r="B461" s="884" t="n">
        <v>10034034168018</v>
      </c>
      <c r="C461" s="1292" t="inlineStr">
        <is>
          <t>Nutriex</t>
        </is>
      </c>
      <c r="D461" s="765" t="inlineStr">
        <is>
          <t>Spray Repelente Dermatologicamente Testado 10hrs Kit 4un</t>
        </is>
      </c>
      <c r="E461" s="904" t="n"/>
      <c r="F461" s="803" t="n">
        <v>60.2</v>
      </c>
      <c r="G461" s="807">
        <f>F461*12.5%</f>
        <v/>
      </c>
      <c r="H461" s="831" t="n">
        <v>-2.86</v>
      </c>
      <c r="I461" s="904">
        <f>IFS(
  F461&lt;12.5, F461/2,
  F461&lt;29, 6.25,
  F461&lt;50, 6.5,
  F461&lt;=79, 6.75,
  TRUE, 25
)</f>
        <v/>
      </c>
      <c r="J461" s="340">
        <f>F461*18%</f>
        <v/>
      </c>
      <c r="K461" s="340">
        <f>(F461-J461)*1.65%</f>
        <v/>
      </c>
      <c r="L461" s="340">
        <f>(F461-J461)*7.6%</f>
        <v/>
      </c>
      <c r="M461" s="1097">
        <f>1.81*4</f>
        <v/>
      </c>
      <c r="N461" s="785">
        <f>(G461+I461)*(9.25%)</f>
        <v/>
      </c>
      <c r="O461" s="786">
        <f>9*4</f>
        <v/>
      </c>
      <c r="P461" s="1016">
        <f>(F461 - (G461+I461+O461+(J461+K461+L461))) - (H461-M461-N461)</f>
        <v/>
      </c>
      <c r="Q461" s="462">
        <f>P461/F461</f>
        <v/>
      </c>
      <c r="R461" s="1206" t="inlineStr">
        <is>
          <t>Ativo</t>
        </is>
      </c>
      <c r="S461" s="904" t="inlineStr">
        <is>
          <t>4un</t>
        </is>
      </c>
      <c r="T461" s="569" t="n"/>
      <c r="U461" s="1030" t="n"/>
      <c r="V461" s="1030" t="n"/>
      <c r="W461" s="1030" t="n"/>
    </row>
    <row r="462" ht="15.75" customHeight="1" s="1349">
      <c r="A462" s="763" t="inlineStr">
        <is>
          <t>6021278778</t>
        </is>
      </c>
      <c r="B462" s="764" t="n">
        <v>10034034168017</v>
      </c>
      <c r="C462" s="1292" t="inlineStr">
        <is>
          <t>Nutriex</t>
        </is>
      </c>
      <c r="D462" s="765" t="inlineStr">
        <is>
          <t>Spray Repelente Adulto Criança Uso Diário Formula Suave 10un</t>
        </is>
      </c>
      <c r="E462" s="904" t="n"/>
      <c r="F462" s="856" t="n">
        <v>155.39</v>
      </c>
      <c r="G462" s="1016">
        <f>F462*12%</f>
        <v/>
      </c>
      <c r="H462" s="831" t="n">
        <v>-4.26</v>
      </c>
      <c r="I462" s="904" t="n">
        <v>21.1</v>
      </c>
      <c r="J462" s="340">
        <f>F462*18%</f>
        <v/>
      </c>
      <c r="K462" s="340">
        <f>(F462-J462)*1.65%</f>
        <v/>
      </c>
      <c r="L462" s="340">
        <f>(F462-J462)*7.6%</f>
        <v/>
      </c>
      <c r="M462" s="1097">
        <f>1.81*10</f>
        <v/>
      </c>
      <c r="N462" s="785">
        <f>(G462+I462)*(9.25%)</f>
        <v/>
      </c>
      <c r="O462" s="701">
        <f>9*10</f>
        <v/>
      </c>
      <c r="P462" s="1016">
        <f>(F462 - (G462+I462+O462+(J462+K462+L462))) - (H462-M462-N462)</f>
        <v/>
      </c>
      <c r="Q462" s="462">
        <f>P462/F462</f>
        <v/>
      </c>
      <c r="R462" s="1206" t="inlineStr">
        <is>
          <t>Valor será corrigido após venda</t>
        </is>
      </c>
      <c r="S462" s="904" t="inlineStr">
        <is>
          <t>10un</t>
        </is>
      </c>
      <c r="T462" s="569" t="n"/>
      <c r="U462" s="1030" t="n"/>
      <c r="V462" s="1030" t="n"/>
      <c r="W462" s="1030" t="n"/>
    </row>
    <row r="463" ht="15.75" customHeight="1" s="1349">
      <c r="A463" s="904" t="n">
        <v>4353669603</v>
      </c>
      <c r="B463" s="884" t="n">
        <v>912304</v>
      </c>
      <c r="C463" s="1292" t="inlineStr">
        <is>
          <t>Nutriex</t>
        </is>
      </c>
      <c r="D463" s="721" t="inlineStr">
        <is>
          <t>Spray Repelente Corporal Insetos Mosquitos Pernilongos 10hrs</t>
        </is>
      </c>
      <c r="E463" s="904" t="n"/>
      <c r="F463" s="856" t="n">
        <v>19</v>
      </c>
      <c r="G463" s="1016">
        <f>F463*17.5%</f>
        <v/>
      </c>
      <c r="H463" s="831" t="n">
        <v>-1.1</v>
      </c>
      <c r="I463" s="904">
        <f>IFS(
  F463&lt;12.5, F463/2,
  F463&lt;29, 6.25,
  F463&lt;50, 6.5,
  F463&lt;=79, 6.75,
  TRUE, 25
)</f>
        <v/>
      </c>
      <c r="J463" s="340">
        <f>F463*18%</f>
        <v/>
      </c>
      <c r="K463" s="340">
        <f>(F463-J463)*1.65%</f>
        <v/>
      </c>
      <c r="L463" s="340">
        <f>(F463-J463)*7.6%</f>
        <v/>
      </c>
      <c r="M463" s="1097" t="n">
        <v>0.96</v>
      </c>
      <c r="N463" s="785">
        <f>(G463+I463)*(9.25%)</f>
        <v/>
      </c>
      <c r="O463" s="701" t="n">
        <v>4.76</v>
      </c>
      <c r="P463" s="1016">
        <f>(F463 - (G463+I463+O463+(J463+K463+L463))) - (H463-M463-N463)</f>
        <v/>
      </c>
      <c r="Q463" s="462">
        <f>P463/F463</f>
        <v/>
      </c>
      <c r="R463" s="1206" t="inlineStr">
        <is>
          <t>Ativo</t>
        </is>
      </c>
      <c r="S463" s="904" t="inlineStr">
        <is>
          <t>1un</t>
        </is>
      </c>
      <c r="T463" s="569" t="n"/>
      <c r="U463" s="1030" t="n"/>
      <c r="V463" s="1030" t="n"/>
      <c r="W463" s="1030" t="n"/>
    </row>
    <row r="464" ht="15.75" customHeight="1" s="1349">
      <c r="A464" s="1292" t="inlineStr">
        <is>
          <t>6021709586</t>
        </is>
      </c>
      <c r="B464" s="884" t="n">
        <v>10034034166368</v>
      </c>
      <c r="C464" s="1292" t="inlineStr">
        <is>
          <t>Nutriex</t>
        </is>
      </c>
      <c r="D464" s="481" t="inlineStr">
        <is>
          <t>Repelente Spray 4h Profissional Proteção Longa Praia Viagem</t>
        </is>
      </c>
      <c r="E464" s="904" t="n"/>
      <c r="F464" s="856" t="n">
        <v>32.99</v>
      </c>
      <c r="G464" s="1016">
        <f>F464*17.5%</f>
        <v/>
      </c>
      <c r="H464" s="831" t="n"/>
      <c r="I464" s="904" t="n">
        <v>7.85</v>
      </c>
      <c r="J464" s="340">
        <f>F464*18%</f>
        <v/>
      </c>
      <c r="K464" s="340">
        <f>(F464-J464)*1.65%</f>
        <v/>
      </c>
      <c r="L464" s="340">
        <f>(F464-J464)*7.6%</f>
        <v/>
      </c>
      <c r="M464" s="1097">
        <f>0.96*2</f>
        <v/>
      </c>
      <c r="N464" s="785">
        <f>(G464+I464)*(9.25%)</f>
        <v/>
      </c>
      <c r="O464" s="701">
        <f>4.76*2</f>
        <v/>
      </c>
      <c r="P464" s="1016">
        <f>(F464 - (G464+I464+O464+(J464+K464+L464))) - (H464-M464-N464)</f>
        <v/>
      </c>
      <c r="Q464" s="462">
        <f>P464/F464</f>
        <v/>
      </c>
      <c r="R464" s="1206" t="inlineStr">
        <is>
          <t>Ativo</t>
        </is>
      </c>
      <c r="S464" s="904" t="inlineStr">
        <is>
          <t>2un</t>
        </is>
      </c>
      <c r="T464" s="569" t="n"/>
      <c r="U464" s="1030" t="n"/>
      <c r="V464" s="1030" t="n"/>
      <c r="W464" s="1030" t="n"/>
    </row>
    <row r="465" ht="15.75" customHeight="1" s="1349">
      <c r="A465" s="1292" t="inlineStr">
        <is>
          <t>6021508624</t>
        </is>
      </c>
      <c r="B465" s="884" t="n">
        <v>10034034166369</v>
      </c>
      <c r="C465" s="1292" t="inlineStr">
        <is>
          <t>Nutriex</t>
        </is>
      </c>
      <c r="D465" s="481" t="inlineStr">
        <is>
          <t>Repelente Spray Suave Proteção Total 100ml Corporal Kit 4un</t>
        </is>
      </c>
      <c r="E465" s="904" t="n"/>
      <c r="F465" s="856" t="n">
        <v>46.89</v>
      </c>
      <c r="G465" s="1016">
        <f>F465*17.5%</f>
        <v/>
      </c>
      <c r="H465" s="831" t="n"/>
      <c r="I465" s="904">
        <f>IFS(
  F465&lt;12.5, F465/2,
  F465&lt;29, 6.25,
  F465&lt;50, 6.5,
  F465&lt;=79, 6.75,
  TRUE, 25
)</f>
        <v/>
      </c>
      <c r="J465" s="340">
        <f>F465*18%</f>
        <v/>
      </c>
      <c r="K465" s="340">
        <f>(F465-J465)*1.65%</f>
        <v/>
      </c>
      <c r="L465" s="340">
        <f>(F465-J465)*7.6%</f>
        <v/>
      </c>
      <c r="M465" s="1097">
        <f>0.96*4</f>
        <v/>
      </c>
      <c r="N465" s="785">
        <f>(G465+I465)*(9.25%)</f>
        <v/>
      </c>
      <c r="O465" s="701">
        <f>4.76*4</f>
        <v/>
      </c>
      <c r="P465" s="1016">
        <f>(F465 - (G465+I465+O465+(J465+K465+L465))) - (H465-M465-N465)</f>
        <v/>
      </c>
      <c r="Q465" s="462">
        <f>P465/F465</f>
        <v/>
      </c>
      <c r="R465" s="1206" t="inlineStr">
        <is>
          <t>Ativo</t>
        </is>
      </c>
      <c r="S465" s="904" t="inlineStr">
        <is>
          <t>4un</t>
        </is>
      </c>
      <c r="T465" s="569" t="n"/>
      <c r="U465" s="1030" t="n"/>
      <c r="V465" s="1030" t="n"/>
      <c r="W465" s="1030" t="n"/>
    </row>
    <row r="466" ht="15.75" customHeight="1" s="1349">
      <c r="A466" s="1292" t="inlineStr">
        <is>
          <t>6021544944</t>
        </is>
      </c>
      <c r="B466" s="884" t="n">
        <v>10034034168020</v>
      </c>
      <c r="C466" s="1292" t="inlineStr">
        <is>
          <t>Nutriex</t>
        </is>
      </c>
      <c r="D466" s="765" t="inlineStr">
        <is>
          <t>Spray Repelente 100ml Profissional Alta Eficiência Kit 10un</t>
        </is>
      </c>
      <c r="E466" s="904" t="n"/>
      <c r="F466" s="856" t="n">
        <v>113.38</v>
      </c>
      <c r="G466" s="1016">
        <f>F466*17.5%</f>
        <v/>
      </c>
      <c r="H466" s="831" t="n">
        <v>-6.8</v>
      </c>
      <c r="I466" s="904" t="n">
        <v>21.1</v>
      </c>
      <c r="J466" s="340">
        <f>F466*18%</f>
        <v/>
      </c>
      <c r="K466" s="340">
        <f>(F466-J466)*1.65%</f>
        <v/>
      </c>
      <c r="L466" s="340">
        <f>(F466-J466)*7.6%</f>
        <v/>
      </c>
      <c r="M466" s="1097">
        <f>0.96*10</f>
        <v/>
      </c>
      <c r="N466" s="785">
        <f>(G466+I466)*(9.25%)</f>
        <v/>
      </c>
      <c r="O466" s="701">
        <f>4.76*10</f>
        <v/>
      </c>
      <c r="P466" s="1016">
        <f>(F466 - (G466+I466+O466+(J466+K466+L466))) - (H466-M466-N466)</f>
        <v/>
      </c>
      <c r="Q466" s="462">
        <f>P466/F466</f>
        <v/>
      </c>
      <c r="R466" s="1206" t="inlineStr">
        <is>
          <t>Valor será corrigido após venda</t>
        </is>
      </c>
      <c r="S466" s="904" t="inlineStr">
        <is>
          <t>10un</t>
        </is>
      </c>
      <c r="T466" s="569" t="n"/>
      <c r="U466" s="1030" t="n"/>
      <c r="V466" s="1030" t="n"/>
      <c r="W466" s="1030" t="n"/>
    </row>
    <row r="467" ht="15.75" customHeight="1" s="1349">
      <c r="A467" s="1292" t="inlineStr">
        <is>
          <t>4355101819</t>
        </is>
      </c>
      <c r="B467" s="884" t="n">
        <v>10034034166210</v>
      </c>
      <c r="C467" s="1292" t="inlineStr">
        <is>
          <t>EPI</t>
        </is>
      </c>
      <c r="D467" s="481" t="inlineStr">
        <is>
          <t>Sabonete Líquido Citric Power Esfoliante Limpeza Pesada 4l</t>
        </is>
      </c>
      <c r="E467" s="904" t="n"/>
      <c r="F467" s="856" t="n">
        <v>144</v>
      </c>
      <c r="G467" s="1016">
        <f>F467*18%</f>
        <v/>
      </c>
      <c r="H467" s="831" t="n"/>
      <c r="I467" s="904" t="n">
        <v>22.76</v>
      </c>
      <c r="J467" s="340">
        <f>F467*18%</f>
        <v/>
      </c>
      <c r="K467" s="340">
        <f>(F467-J467)*1.65%</f>
        <v/>
      </c>
      <c r="L467" s="340">
        <f>(F467-J467)*7.6%</f>
        <v/>
      </c>
      <c r="M467" s="577" t="n"/>
      <c r="N467" s="543">
        <f>(G467+I467)*(9.25%)</f>
        <v/>
      </c>
      <c r="O467" s="904" t="n">
        <v>63.6</v>
      </c>
      <c r="P467" s="1016">
        <f>(F467 - (G467+I467+O467+(J467+K467+L467))) - (H467-M467-N467)</f>
        <v/>
      </c>
      <c r="Q467" s="462">
        <f>P467/F467</f>
        <v/>
      </c>
      <c r="R467" s="1206" t="inlineStr">
        <is>
          <t>sem estoque</t>
        </is>
      </c>
      <c r="S467" s="904" t="n"/>
      <c r="T467" s="569" t="n"/>
      <c r="U467" s="1030" t="n"/>
      <c r="V467" s="1030" t="n"/>
      <c r="W467" s="1030" t="n"/>
    </row>
    <row r="468" ht="15.75" customHeight="1" s="1349">
      <c r="A468" s="1292" t="inlineStr">
        <is>
          <t>4355515951</t>
        </is>
      </c>
      <c r="B468" s="884" t="n">
        <v>912302</v>
      </c>
      <c r="C468" s="1292" t="inlineStr">
        <is>
          <t>EPI</t>
        </is>
      </c>
      <c r="D468" s="481" t="inlineStr">
        <is>
          <t>Protetor Solar Repelente Fps 30 Creme Corporal Hidratante</t>
        </is>
      </c>
      <c r="E468" s="904" t="n"/>
      <c r="F468" s="856" t="n">
        <v>260.93</v>
      </c>
      <c r="G468" s="1016">
        <f>F468*19%</f>
        <v/>
      </c>
      <c r="H468" s="831" t="n">
        <v>-6.2</v>
      </c>
      <c r="I468" s="904" t="n">
        <v>23.45</v>
      </c>
      <c r="J468" s="340">
        <f>F468*18%</f>
        <v/>
      </c>
      <c r="K468" s="340">
        <f>(F468-J468)*1.65%</f>
        <v/>
      </c>
      <c r="L468" s="340">
        <f>(F468-J468)*7.6%</f>
        <v/>
      </c>
      <c r="M468" s="577" t="n"/>
      <c r="N468" s="543">
        <f>(G468+I468)*(9.25%)</f>
        <v/>
      </c>
      <c r="O468" s="904" t="n">
        <v>122.69</v>
      </c>
      <c r="P468" s="1016">
        <f>(F468 - (G468+I468+O468+(J468+K468+L468))) - (H468-M468-N468)</f>
        <v/>
      </c>
      <c r="Q468" s="462">
        <f>P468/F468</f>
        <v/>
      </c>
      <c r="R468" s="1206" t="inlineStr">
        <is>
          <t>Ativo</t>
        </is>
      </c>
      <c r="S468" s="904" t="n"/>
      <c r="T468" s="569" t="n"/>
      <c r="U468" s="1030" t="n"/>
      <c r="V468" s="1030" t="n"/>
      <c r="W468" s="1030" t="n"/>
    </row>
    <row r="469" ht="15.75" customHeight="1" s="1349">
      <c r="A469" s="1292" t="inlineStr">
        <is>
          <t>6027548656</t>
        </is>
      </c>
      <c r="B469" s="884" t="n">
        <v>912302</v>
      </c>
      <c r="C469" s="904" t="inlineStr">
        <is>
          <t>Nutriex</t>
        </is>
      </c>
      <c r="D469" s="481" t="inlineStr">
        <is>
          <t>Protetor Solar Nutriex Profissional Com Repelente Fps30 Creme 2l Corpo</t>
        </is>
      </c>
      <c r="E469" s="904" t="n"/>
      <c r="F469" s="856" t="n">
        <v>190.1</v>
      </c>
      <c r="G469" s="1016">
        <f>F469*14%</f>
        <v/>
      </c>
      <c r="H469" s="831" t="n">
        <v>-10.9</v>
      </c>
      <c r="I469" s="904" t="n">
        <v>24.95</v>
      </c>
      <c r="J469" s="340">
        <f>F469*18%</f>
        <v/>
      </c>
      <c r="K469" s="450" t="n">
        <v>0</v>
      </c>
      <c r="L469" s="450" t="n">
        <v>0</v>
      </c>
      <c r="M469" s="1097" t="n">
        <v>14.72</v>
      </c>
      <c r="N469" s="785">
        <f>(G469+I469)*(9.25%)</f>
        <v/>
      </c>
      <c r="O469" s="718" t="n">
        <v>122.69</v>
      </c>
      <c r="P469" s="1016">
        <f>(F469 - (G469+I469+O469+(J469+K469+L469))) - (H469-M469-N469)</f>
        <v/>
      </c>
      <c r="Q469" s="462">
        <f>P469/F469</f>
        <v/>
      </c>
      <c r="R469" s="1206" t="inlineStr">
        <is>
          <t>Ativo</t>
        </is>
      </c>
      <c r="S469" s="904" t="inlineStr">
        <is>
          <t>(catalogo)</t>
        </is>
      </c>
      <c r="T469" s="569" t="n">
        <v>0</v>
      </c>
      <c r="U469" s="1030" t="n"/>
      <c r="V469" s="1030" t="n"/>
      <c r="W469" s="1030" t="n"/>
    </row>
    <row r="470" ht="15.75" customHeight="1" s="1349">
      <c r="A470" s="1292" t="inlineStr">
        <is>
          <t>6027612064</t>
        </is>
      </c>
      <c r="B470" s="884" t="n">
        <v>10034034168023</v>
      </c>
      <c r="C470" s="1292" t="inlineStr">
        <is>
          <t>EPI</t>
        </is>
      </c>
      <c r="D470" s="481" t="inlineStr">
        <is>
          <t>Protetor Solar Repelente Fps 30 Alta Proteção Uva Uvb 2un</t>
        </is>
      </c>
      <c r="E470" s="904" t="n"/>
      <c r="F470" s="856" t="n">
        <v>474.05</v>
      </c>
      <c r="G470" s="1016">
        <f>F470*17.5%</f>
        <v/>
      </c>
      <c r="H470" s="831" t="n"/>
      <c r="I470" s="904" t="n">
        <v>26.95</v>
      </c>
      <c r="J470" s="340">
        <f>F470*18%</f>
        <v/>
      </c>
      <c r="K470" s="340">
        <f>(F470-J470)*1.65%</f>
        <v/>
      </c>
      <c r="L470" s="340">
        <f>(F470-J470)*7.6%</f>
        <v/>
      </c>
      <c r="M470" s="577" t="n"/>
      <c r="N470" s="543">
        <f>(G470+I470)*(9.25%)</f>
        <v/>
      </c>
      <c r="O470" s="904">
        <f>122.69*2</f>
        <v/>
      </c>
      <c r="P470" s="1016">
        <f>(F470 - (G470+I470+O470+(J470+K470+L470))) - (H470-M470-N470)</f>
        <v/>
      </c>
      <c r="Q470" s="462">
        <f>P470/F470</f>
        <v/>
      </c>
      <c r="R470" s="1206" t="inlineStr">
        <is>
          <t>sem estoque</t>
        </is>
      </c>
      <c r="S470" s="904" t="n"/>
      <c r="T470" s="569" t="n"/>
      <c r="U470" s="1030" t="n"/>
      <c r="V470" s="1030" t="n"/>
      <c r="W470" s="1030" t="n"/>
    </row>
    <row r="471" ht="15.75" customHeight="1" s="1349">
      <c r="A471" s="1292" t="inlineStr">
        <is>
          <t>4355638745</t>
        </is>
      </c>
      <c r="B471" s="884" t="n">
        <v>10034034166941</v>
      </c>
      <c r="C471" s="1292" t="inlineStr">
        <is>
          <t>Nutriex</t>
        </is>
      </c>
      <c r="D471" s="481" t="inlineStr">
        <is>
          <t>Protetor Bloqueador Solar Fps 60 Bombona Creme Corporal 1l</t>
        </is>
      </c>
      <c r="E471" s="904" t="n"/>
      <c r="F471" s="856" t="n">
        <v>189.5</v>
      </c>
      <c r="G471" s="1016">
        <f>F471*17.5%</f>
        <v/>
      </c>
      <c r="H471" s="831" t="n">
        <v>-6.05</v>
      </c>
      <c r="I471" s="904" t="n">
        <v>22.45</v>
      </c>
      <c r="J471" s="340">
        <f>F471*18%</f>
        <v/>
      </c>
      <c r="K471" s="450" t="n">
        <v>0</v>
      </c>
      <c r="L471" s="450" t="n">
        <v>0</v>
      </c>
      <c r="M471" s="1097" t="n">
        <v>13.2</v>
      </c>
      <c r="N471" s="785">
        <f>(G471+I471)*(9.25%)</f>
        <v/>
      </c>
      <c r="O471" s="701" t="n">
        <v>109.99</v>
      </c>
      <c r="P471" s="1016">
        <f>(F471 - (G471+I471+O471+(J471+K471+L471))) - (H471-M471-N471)</f>
        <v/>
      </c>
      <c r="Q471" s="462">
        <f>P471/F471</f>
        <v/>
      </c>
      <c r="R471" s="1206" t="inlineStr">
        <is>
          <t>Ativo</t>
        </is>
      </c>
      <c r="S471" s="904" t="n"/>
      <c r="T471" s="569" t="n"/>
      <c r="U471" s="1030" t="n"/>
      <c r="V471" s="1030" t="n"/>
      <c r="W471" s="1030" t="n"/>
    </row>
    <row r="472" ht="15.75" customHeight="1" s="1349">
      <c r="A472" s="1292" t="inlineStr">
        <is>
          <t>4355664519</t>
        </is>
      </c>
      <c r="B472" s="884" t="n">
        <v>10034034168025</v>
      </c>
      <c r="C472" s="1292" t="inlineStr">
        <is>
          <t>Nutriex</t>
        </is>
      </c>
      <c r="D472" s="481" t="inlineStr">
        <is>
          <t>Kit Protetor Bloqueador Solar Fps 60 Alta Proteção Uva 2un</t>
        </is>
      </c>
      <c r="E472" s="904" t="n"/>
      <c r="F472" s="856" t="n">
        <v>353.08</v>
      </c>
      <c r="G472" s="1016">
        <f>F472*17.5%</f>
        <v/>
      </c>
      <c r="H472" s="831" t="n">
        <v>-21.18</v>
      </c>
      <c r="I472" s="904" t="n">
        <v>24.45</v>
      </c>
      <c r="J472" s="340">
        <f>F472*18%</f>
        <v/>
      </c>
      <c r="K472" s="450" t="n">
        <v>0</v>
      </c>
      <c r="L472" s="450" t="n">
        <v>0</v>
      </c>
      <c r="M472" s="1097">
        <f>13.2*2</f>
        <v/>
      </c>
      <c r="N472" s="785">
        <f>(G472+I472)*(9.25%)</f>
        <v/>
      </c>
      <c r="O472" s="701">
        <f>109.99*2</f>
        <v/>
      </c>
      <c r="P472" s="1016">
        <f>(F472 - (G472+I472+O472+(J472+K472+L472))) - (H472-M472-N472)</f>
        <v/>
      </c>
      <c r="Q472" s="462">
        <f>P472/F472</f>
        <v/>
      </c>
      <c r="R472" s="1206" t="inlineStr">
        <is>
          <t>Ativo</t>
        </is>
      </c>
      <c r="S472" s="904" t="n"/>
      <c r="T472" s="569" t="n"/>
      <c r="U472" s="1030" t="n"/>
      <c r="V472" s="1030" t="n"/>
      <c r="W472" s="1030" t="n"/>
    </row>
    <row r="473" ht="15.75" customHeight="1" s="1349">
      <c r="A473" s="1292" t="inlineStr">
        <is>
          <t>4357217573</t>
        </is>
      </c>
      <c r="B473" s="884" t="n">
        <v>10034034167821</v>
      </c>
      <c r="C473" s="1292" t="inlineStr">
        <is>
          <t>EPI</t>
        </is>
      </c>
      <c r="D473" s="481" t="inlineStr">
        <is>
          <t>Fita Isolante 19mm X 20m Uso Geral Resistência Durabilidade</t>
        </is>
      </c>
      <c r="E473" s="904" t="n"/>
      <c r="F473" s="794" t="n">
        <v>12.9</v>
      </c>
      <c r="G473" s="1016">
        <f>F473*16.5%</f>
        <v/>
      </c>
      <c r="H473" s="831" t="n">
        <v>-0.61</v>
      </c>
      <c r="I473" s="904">
        <f>IFS(
  F473&lt;12.5, F473/2,
  F473&lt;29, 6.25,
  F473&lt;50, 6.5,
  F473&lt;=79, 6.75,
  TRUE, 25
)</f>
        <v/>
      </c>
      <c r="J473" s="340">
        <f>F473*18%</f>
        <v/>
      </c>
      <c r="K473" s="340">
        <f>(F473-J473)*1.65%</f>
        <v/>
      </c>
      <c r="L473" s="340">
        <f>(F473-J473)*7.6%</f>
        <v/>
      </c>
      <c r="M473" s="577" t="n"/>
      <c r="N473" s="543">
        <f>(G473+I473)*(9.25%)</f>
        <v/>
      </c>
      <c r="O473" s="904" t="n">
        <v>2.68</v>
      </c>
      <c r="P473" s="1016">
        <f>(F473 - (G473+I473+O473+(J473+K473+L473))) - (H473-M473-N473)</f>
        <v/>
      </c>
      <c r="Q473" s="462">
        <f>P473/F473</f>
        <v/>
      </c>
      <c r="R473" s="1206" t="inlineStr">
        <is>
          <t>sem estoque</t>
        </is>
      </c>
      <c r="S473" s="904" t="inlineStr">
        <is>
          <t>1un</t>
        </is>
      </c>
      <c r="T473" s="569" t="n"/>
      <c r="U473" s="1030" t="n"/>
      <c r="V473" s="1030" t="n"/>
      <c r="W473" s="1030" t="n"/>
    </row>
    <row r="474" ht="15.75" customHeight="1" s="1349">
      <c r="A474" s="1292" t="inlineStr">
        <is>
          <t>6031600938</t>
        </is>
      </c>
      <c r="B474" s="884" t="n">
        <v>10034034168026</v>
      </c>
      <c r="C474" s="1292" t="inlineStr">
        <is>
          <t>EPI</t>
        </is>
      </c>
      <c r="D474" s="481" t="inlineStr">
        <is>
          <t>Fita Isolante 19mm X 20m Reforçada Rolo Resistente Calor 3un</t>
        </is>
      </c>
      <c r="E474" s="904" t="n"/>
      <c r="F474" s="856" t="n">
        <v>20.37</v>
      </c>
      <c r="G474" s="1016">
        <f>F474*16.5%</f>
        <v/>
      </c>
      <c r="H474" s="831" t="n">
        <v>-0.96</v>
      </c>
      <c r="I474" s="904">
        <f>IFS(
F474&lt;12.5, F474/2,
F474&lt;29, 6.25,
F474&lt;50, 6.5,
F474&lt;=79, 6.75,
TRUE, 
25)</f>
        <v/>
      </c>
      <c r="J474" s="340">
        <f>F474*18%</f>
        <v/>
      </c>
      <c r="K474" s="340">
        <f>(F474-J474)*1.65%</f>
        <v/>
      </c>
      <c r="L474" s="340">
        <f>(F474-J474)*7.6%</f>
        <v/>
      </c>
      <c r="M474" s="577" t="n"/>
      <c r="N474" s="543">
        <f>(G474+I474)*(9.25%)</f>
        <v/>
      </c>
      <c r="O474" s="904">
        <f>2.68*3</f>
        <v/>
      </c>
      <c r="P474" s="1016">
        <f>(F474 - (G474+I474+O474+(J474+K474+L474))) - (H474-M474-N474)</f>
        <v/>
      </c>
      <c r="Q474" s="462">
        <f>P474/F474</f>
        <v/>
      </c>
      <c r="R474" s="1206" t="inlineStr">
        <is>
          <t>sem estoque</t>
        </is>
      </c>
      <c r="S474" s="904" t="inlineStr">
        <is>
          <t>3un</t>
        </is>
      </c>
      <c r="T474" s="569" t="n"/>
      <c r="U474" s="1030" t="n"/>
      <c r="V474" s="1030" t="n"/>
      <c r="W474" s="1030" t="n"/>
    </row>
    <row r="475" ht="15.75" customHeight="1" s="1349">
      <c r="A475" s="1292" t="inlineStr">
        <is>
          <t>4357168001</t>
        </is>
      </c>
      <c r="B475" s="884" t="n">
        <v>10034034168027</v>
      </c>
      <c r="C475" s="1292" t="inlineStr">
        <is>
          <t>EPI</t>
        </is>
      </c>
      <c r="D475" s="481" t="inlineStr">
        <is>
          <t>Kit Fita Isolante Profissional 19mm X 20 Mts Aderência 6un</t>
        </is>
      </c>
      <c r="E475" s="904" t="n"/>
      <c r="F475" s="856" t="n">
        <v>31.86</v>
      </c>
      <c r="G475" s="1016">
        <f>F475*16.5%</f>
        <v/>
      </c>
      <c r="H475" s="831" t="n">
        <v>-1.31</v>
      </c>
      <c r="I475" s="904">
        <f>IFS(
F475&lt;12.5, F475/2,
F475&lt;29, 6.25,
F475&lt;50, 6.5,
F475&lt;=79, 6.75,
TRUE, 
25)</f>
        <v/>
      </c>
      <c r="J475" s="340">
        <f>F475*18%</f>
        <v/>
      </c>
      <c r="K475" s="340">
        <f>(F475-J475)*1.65%</f>
        <v/>
      </c>
      <c r="L475" s="340">
        <f>(F475-J475)*7.6%</f>
        <v/>
      </c>
      <c r="M475" s="577" t="n"/>
      <c r="N475" s="543">
        <f>(G475+I475)*(9.25%)</f>
        <v/>
      </c>
      <c r="O475" s="904">
        <f>2.68*6</f>
        <v/>
      </c>
      <c r="P475" s="1016">
        <f>(F475 - (G475+I475+O475+(J475+K475+L475))) - (H475-M475-N475)</f>
        <v/>
      </c>
      <c r="Q475" s="462">
        <f>P475/F475</f>
        <v/>
      </c>
      <c r="R475" s="1206" t="inlineStr">
        <is>
          <t>sem estoque</t>
        </is>
      </c>
      <c r="S475" s="904" t="inlineStr">
        <is>
          <t>6un</t>
        </is>
      </c>
      <c r="T475" s="569" t="n"/>
      <c r="U475" s="1030" t="n"/>
      <c r="V475" s="1030" t="n"/>
      <c r="W475" s="1030" t="n"/>
    </row>
    <row r="476" ht="15.75" customHeight="1" s="1349">
      <c r="A476" s="1292" t="inlineStr">
        <is>
          <t>4357194329</t>
        </is>
      </c>
      <c r="B476" s="884" t="n">
        <v>10034034168028</v>
      </c>
      <c r="C476" s="1292" t="inlineStr">
        <is>
          <t>EPI</t>
        </is>
      </c>
      <c r="D476" s="481" t="inlineStr">
        <is>
          <t>Fita Isolante 19mm X 20m Instalações Reparos Manutenções 10u</t>
        </is>
      </c>
      <c r="E476" s="904" t="n"/>
      <c r="F476" s="856" t="n">
        <v>47.29</v>
      </c>
      <c r="G476" s="1016">
        <f>F476*16.5%</f>
        <v/>
      </c>
      <c r="H476" s="831" t="n">
        <v>-1.77</v>
      </c>
      <c r="I476" s="904">
        <f>IFS(
F476&lt;12.5, F476/2,
F476&lt;29, 6.25,
F476&lt;50, 6.5,
F476&lt;=79, 6.75,
TRUE, 
25)</f>
        <v/>
      </c>
      <c r="J476" s="340">
        <f>F476*18%</f>
        <v/>
      </c>
      <c r="K476" s="340">
        <f>(F476-J476)*1.65%</f>
        <v/>
      </c>
      <c r="L476" s="340">
        <f>(F476-J476)*7.6%</f>
        <v/>
      </c>
      <c r="M476" s="577" t="n"/>
      <c r="N476" s="543">
        <f>(G476+I476)*(9.25%)</f>
        <v/>
      </c>
      <c r="O476" s="904">
        <f>2.68*10</f>
        <v/>
      </c>
      <c r="P476" s="1016">
        <f>(F476 - (G476+I476+O476+(J476+K476+L476))) - (H476-M476-N476)</f>
        <v/>
      </c>
      <c r="Q476" s="462">
        <f>P476/F476</f>
        <v/>
      </c>
      <c r="R476" s="1206" t="inlineStr">
        <is>
          <t>sem estoque</t>
        </is>
      </c>
      <c r="S476" s="904" t="inlineStr">
        <is>
          <t>10un</t>
        </is>
      </c>
      <c r="T476" s="569" t="n"/>
      <c r="U476" s="1030" t="n"/>
      <c r="V476" s="1030" t="n"/>
      <c r="W476" s="1030" t="n"/>
    </row>
    <row r="477" ht="15.75" customHeight="1" s="1349">
      <c r="A477" s="1292" t="inlineStr">
        <is>
          <t>994122048706834</t>
        </is>
      </c>
      <c r="B477" s="884" t="n">
        <v>10034034167217</v>
      </c>
      <c r="C477" s="1292" t="inlineStr">
        <is>
          <t>Norton</t>
        </is>
      </c>
      <c r="D477" s="481" t="inlineStr">
        <is>
          <t>Disco Flap Standard G120 7 Pol 180mm X 22mm Acabamento Lixar</t>
        </is>
      </c>
      <c r="E477" s="904" t="n"/>
      <c r="F477" s="856" t="n">
        <v>33.25</v>
      </c>
      <c r="G477" s="1016">
        <f>F477*17%</f>
        <v/>
      </c>
      <c r="H477" s="831" t="n"/>
      <c r="I477" s="904" t="n">
        <v>6.75</v>
      </c>
      <c r="J477" s="340">
        <f>F477*18%</f>
        <v/>
      </c>
      <c r="K477" s="340">
        <f>(F477-J477)*1.65%</f>
        <v/>
      </c>
      <c r="L477" s="340">
        <f>(F477-J477)*7.6%</f>
        <v/>
      </c>
      <c r="M477" s="784">
        <f>3.89*1</f>
        <v/>
      </c>
      <c r="N477" s="785">
        <f>(G477+I477)*(9.25%)</f>
        <v/>
      </c>
      <c r="O477" s="786">
        <f>15.19*1</f>
        <v/>
      </c>
      <c r="P477" s="1016">
        <f>(F477 - (G477+I477+O477+(J477+K477+L477))) - (H477-M477-N477)</f>
        <v/>
      </c>
      <c r="Q477" s="462">
        <f>P477/F477</f>
        <v/>
      </c>
      <c r="R477" s="1206" t="inlineStr">
        <is>
          <t>Ativo</t>
        </is>
      </c>
      <c r="S477" s="904" t="inlineStr">
        <is>
          <t>1un</t>
        </is>
      </c>
      <c r="T477" s="569" t="n"/>
      <c r="U477" s="1030" t="n"/>
      <c r="V477" s="1030" t="n"/>
      <c r="W477" s="1030" t="n"/>
    </row>
    <row r="478" ht="15.75" customHeight="1" s="1349">
      <c r="A478" s="1292" t="inlineStr">
        <is>
          <t>994122048706834</t>
        </is>
      </c>
      <c r="B478" s="884" t="n">
        <v>10034034167217</v>
      </c>
      <c r="C478" s="1292" t="inlineStr">
        <is>
          <t>Norton</t>
        </is>
      </c>
      <c r="D478" s="1043" t="inlineStr">
        <is>
          <t>g80 4.1/2" [PEQUENO]</t>
        </is>
      </c>
      <c r="E478" s="1043" t="n"/>
      <c r="F478" s="856" t="n">
        <v>22.9</v>
      </c>
      <c r="G478" s="1016">
        <f>F478*17%</f>
        <v/>
      </c>
      <c r="H478" s="831" t="n"/>
      <c r="I478" s="904" t="n">
        <v>7.95</v>
      </c>
      <c r="J478" s="340">
        <f>F478*18%</f>
        <v/>
      </c>
      <c r="K478" s="340">
        <f>(F478-J478)*1.65%</f>
        <v/>
      </c>
      <c r="L478" s="340">
        <f>(F478-J478)*7.6%</f>
        <v/>
      </c>
      <c r="M478" s="1097" t="n">
        <v>1.34</v>
      </c>
      <c r="N478" s="785">
        <f>(G478+I478)*(9.25%)</f>
        <v/>
      </c>
      <c r="O478" s="701" t="n">
        <v>5.34</v>
      </c>
      <c r="P478" s="1016">
        <f>(F478 - (G478+I478+O478+(J478+K478+L478))) - (H478-M478-N478)</f>
        <v/>
      </c>
      <c r="Q478" s="462">
        <f>P478/F478</f>
        <v/>
      </c>
      <c r="R478" s="1206" t="inlineStr">
        <is>
          <t>Ativo</t>
        </is>
      </c>
      <c r="S478" s="904" t="n"/>
      <c r="T478" s="569" t="n"/>
      <c r="U478" s="1030" t="n"/>
      <c r="V478" s="1030" t="n"/>
      <c r="W478" s="1030" t="n"/>
    </row>
    <row r="479" ht="15.75" customHeight="1" s="1349">
      <c r="A479" s="1292" t="inlineStr">
        <is>
          <t>6033059648</t>
        </is>
      </c>
      <c r="B479" s="884" t="n">
        <v>10034034168259</v>
      </c>
      <c r="C479" s="1292" t="inlineStr">
        <is>
          <t>Norton</t>
        </is>
      </c>
      <c r="D479" s="481" t="inlineStr">
        <is>
          <t>Disco Flap Standard 7 180 X 22 Grão 120 Desbaste Lixa 2un</t>
        </is>
      </c>
      <c r="E479" s="904" t="n"/>
      <c r="F479" s="856" t="n">
        <v>59.9</v>
      </c>
      <c r="G479" s="1016">
        <f>F479*16.5%</f>
        <v/>
      </c>
      <c r="H479" s="831" t="n"/>
      <c r="I479" s="904">
        <f>IFS(
  F479&lt;12.5, F479/2,
  F479&lt;29, 6.25,
  F479&lt;50, 6.5,
  F479&lt;=79, 6.75,
  TRUE, 25
)</f>
        <v/>
      </c>
      <c r="J479" s="340">
        <f>F479*18%</f>
        <v/>
      </c>
      <c r="K479" s="340">
        <f>(F479-J479)*1.65%</f>
        <v/>
      </c>
      <c r="L479" s="340">
        <f>(F479-J479)*7.6%</f>
        <v/>
      </c>
      <c r="M479" s="784">
        <f>3.89*2</f>
        <v/>
      </c>
      <c r="N479" s="785">
        <f>(G479+I479)*(9.25%)</f>
        <v/>
      </c>
      <c r="O479" s="786">
        <f>15.19*2</f>
        <v/>
      </c>
      <c r="P479" s="1016">
        <f>(F479 - (G479+I479+O479+(J479+K479+L479))) - (H479-M479-N479)</f>
        <v/>
      </c>
      <c r="Q479" s="462">
        <f>P479/F479</f>
        <v/>
      </c>
      <c r="R479" s="1206" t="inlineStr">
        <is>
          <t>Ativo</t>
        </is>
      </c>
      <c r="S479" s="904" t="inlineStr">
        <is>
          <t>2un</t>
        </is>
      </c>
      <c r="T479" s="569" t="n"/>
      <c r="U479" s="1030" t="n"/>
      <c r="V479" s="1030" t="n"/>
      <c r="W479" s="1030" t="n"/>
    </row>
    <row r="480" ht="15.75" customHeight="1" s="1349">
      <c r="A480" s="1292" t="inlineStr">
        <is>
          <t>4357707135</t>
        </is>
      </c>
      <c r="B480" s="884" t="n">
        <v>10034034168260</v>
      </c>
      <c r="C480" s="1292" t="inlineStr">
        <is>
          <t>Norton</t>
        </is>
      </c>
      <c r="D480" s="481" t="inlineStr">
        <is>
          <t>Kit 5 Disco Flap R244 Fibra Standard 7 G120 180m 7 Durável</t>
        </is>
      </c>
      <c r="E480" s="904" t="n"/>
      <c r="F480" s="856" t="n">
        <v>119</v>
      </c>
      <c r="G480" s="1016">
        <f>F480*17%</f>
        <v/>
      </c>
      <c r="H480" s="831" t="n"/>
      <c r="I480" s="904" t="n">
        <v>15.71</v>
      </c>
      <c r="J480" s="340">
        <f>F480*18%</f>
        <v/>
      </c>
      <c r="K480" s="340">
        <f>(F480-J480)*1.65%</f>
        <v/>
      </c>
      <c r="L480" s="340">
        <f>(F480-J480)*7.6%</f>
        <v/>
      </c>
      <c r="M480" s="784">
        <f>3.89*5</f>
        <v/>
      </c>
      <c r="N480" s="785">
        <f>(G480+I480)*(9.25%)</f>
        <v/>
      </c>
      <c r="O480" s="786">
        <f>15.19*5</f>
        <v/>
      </c>
      <c r="P480" s="1016">
        <f>(F480 - (G480+I480+O480+(J480+K480+L480))) - (H480-M480-N480)</f>
        <v/>
      </c>
      <c r="Q480" s="462">
        <f>P480/F480</f>
        <v/>
      </c>
      <c r="R480" s="1206" t="inlineStr">
        <is>
          <t>Ativo</t>
        </is>
      </c>
      <c r="S480" s="904" t="inlineStr">
        <is>
          <t>5un</t>
        </is>
      </c>
      <c r="T480" s="569" t="n"/>
      <c r="U480" s="1030" t="n"/>
      <c r="V480" s="1030" t="n"/>
      <c r="W480" s="1030" t="n"/>
    </row>
    <row r="481" ht="15.75" customHeight="1" s="1349">
      <c r="A481" s="1292" t="inlineStr">
        <is>
          <t>6032906628</t>
        </is>
      </c>
      <c r="B481" s="884" t="n">
        <v>10034034168261</v>
      </c>
      <c r="C481" s="1292" t="inlineStr">
        <is>
          <t>Norton</t>
        </is>
      </c>
      <c r="D481" s="481" t="inlineStr">
        <is>
          <t>Kit 10 Disco Flap Standard G120 180m X 22m Alta Perfomance</t>
        </is>
      </c>
      <c r="E481" s="904" t="n"/>
      <c r="F481" s="856" t="n">
        <v>261.03</v>
      </c>
      <c r="G481" s="1016">
        <f>F481*16.5%</f>
        <v/>
      </c>
      <c r="H481" s="831" t="n">
        <v>-7.96</v>
      </c>
      <c r="I481" s="904" t="n">
        <v>21.45</v>
      </c>
      <c r="J481" s="340">
        <f>F481*18%</f>
        <v/>
      </c>
      <c r="K481" s="340">
        <f>(F481-J481)*1.65%</f>
        <v/>
      </c>
      <c r="L481" s="340">
        <f>(F481-J481)*7.6%</f>
        <v/>
      </c>
      <c r="M481" s="784">
        <f>3.89*10</f>
        <v/>
      </c>
      <c r="N481" s="785">
        <f>(G481+I481)*(9.25%)</f>
        <v/>
      </c>
      <c r="O481" s="786">
        <f>15.19*10</f>
        <v/>
      </c>
      <c r="P481" s="1016">
        <f>(F481 - (G481+I481+O481+(J481+K481+L481))) - (H481-M481-N481)</f>
        <v/>
      </c>
      <c r="Q481" s="462">
        <f>P481/F481</f>
        <v/>
      </c>
      <c r="R481" s="1206" t="inlineStr">
        <is>
          <t>Ativo</t>
        </is>
      </c>
      <c r="S481" s="904" t="inlineStr">
        <is>
          <t>10un</t>
        </is>
      </c>
      <c r="T481" s="569" t="n"/>
      <c r="U481" s="1030" t="n"/>
      <c r="V481" s="1030" t="n"/>
      <c r="W481" s="1030" t="n"/>
    </row>
    <row r="482" ht="15.75" customHeight="1" s="1349">
      <c r="A482" s="1292" t="inlineStr">
        <is>
          <t>6038460672</t>
        </is>
      </c>
      <c r="B482" s="884" t="n">
        <v>10034034166481</v>
      </c>
      <c r="C482" s="1292" t="inlineStr">
        <is>
          <t>EPI</t>
        </is>
      </c>
      <c r="D482" s="765" t="inlineStr">
        <is>
          <t>Disco Diamantado Segmentado110mm X 20mm Abrasivo Sintético</t>
        </is>
      </c>
      <c r="E482" s="766" t="n"/>
      <c r="F482" s="856" t="n">
        <v>23.8</v>
      </c>
      <c r="G482" s="1016">
        <f>F482*17%</f>
        <v/>
      </c>
      <c r="H482" s="831" t="n"/>
      <c r="I482" s="904">
        <f>IFS(
  F482&lt;12.5, F482/2,
  F482&lt;29, 6.25,
  F482&lt;50, 6.5,
  F482&lt;=79, 6.75,
  TRUE, 25
)</f>
        <v/>
      </c>
      <c r="J482" s="340">
        <f>F482*18%</f>
        <v/>
      </c>
      <c r="K482" s="340">
        <f>(F482-J482)*1.65%</f>
        <v/>
      </c>
      <c r="L482" s="340">
        <f>(F482-J482)*7.6%</f>
        <v/>
      </c>
      <c r="M482" s="577" t="n"/>
      <c r="N482" s="543">
        <f>(G482+I482)*(9.25%)</f>
        <v/>
      </c>
      <c r="O482" s="904" t="n">
        <v>9.779999999999999</v>
      </c>
      <c r="P482" s="1016">
        <f>(F482 - (G482+I482+O482+(J482+K482+L482))) - (H482-M482-N482)</f>
        <v/>
      </c>
      <c r="Q482" s="462">
        <f>P482/F482</f>
        <v/>
      </c>
      <c r="R482" s="1206" t="inlineStr">
        <is>
          <t>sem estoque</t>
        </is>
      </c>
      <c r="S482" s="904" t="inlineStr">
        <is>
          <t>1un</t>
        </is>
      </c>
      <c r="T482" s="569" t="n"/>
      <c r="U482" s="1030" t="n"/>
      <c r="V482" s="1030" t="n"/>
      <c r="W482" s="1030" t="n"/>
    </row>
    <row r="483" ht="15.75" customHeight="1" s="1349">
      <c r="A483" s="1292" t="inlineStr">
        <is>
          <t>6038460670</t>
        </is>
      </c>
      <c r="B483" s="884" t="n">
        <v>10034034168034</v>
      </c>
      <c r="C483" s="1292" t="inlineStr">
        <is>
          <t>EPI</t>
        </is>
      </c>
      <c r="D483" s="481" t="inlineStr">
        <is>
          <t>Disco Diamantado Segmentado 110x20 Corte Alto Rendimento 2un</t>
        </is>
      </c>
      <c r="E483" s="904" t="n"/>
      <c r="F483" s="856" t="n">
        <v>39.2</v>
      </c>
      <c r="G483" s="1016">
        <f>F483*17%</f>
        <v/>
      </c>
      <c r="H483" s="831" t="n"/>
      <c r="I483" s="904">
        <f>IFS(
F483&lt;12.5, F483/2,
F483&lt;29, 6.25,
F483&lt;50, 6.5,
F483&lt;=79, 6.75,
TRUE, 
25)</f>
        <v/>
      </c>
      <c r="J483" s="340">
        <f>F483*18%</f>
        <v/>
      </c>
      <c r="K483" s="340">
        <f>(F483-J483)*1.65%</f>
        <v/>
      </c>
      <c r="L483" s="340">
        <f>(F483-J483)*7.6%</f>
        <v/>
      </c>
      <c r="M483" s="577" t="n"/>
      <c r="N483" s="543">
        <f>(G483+I483)*(9.25%)</f>
        <v/>
      </c>
      <c r="O483" s="904">
        <f>9.78*2</f>
        <v/>
      </c>
      <c r="P483" s="1016">
        <f>(F483 - (G483+I483+O483+(J483+K483+L483))) - (H483-M483-N483)</f>
        <v/>
      </c>
      <c r="Q483" s="462">
        <f>P483/F483</f>
        <v/>
      </c>
      <c r="R483" s="1206" t="inlineStr">
        <is>
          <t>sem estoque</t>
        </is>
      </c>
      <c r="S483" s="904" t="inlineStr">
        <is>
          <t>2un</t>
        </is>
      </c>
      <c r="T483" s="569" t="n"/>
      <c r="U483" s="1030" t="n"/>
      <c r="V483" s="1030" t="n"/>
      <c r="W483" s="1030" t="n"/>
    </row>
    <row r="484" ht="15.75" customHeight="1" s="1349">
      <c r="A484" s="1292" t="inlineStr">
        <is>
          <t>6038693040</t>
        </is>
      </c>
      <c r="B484" s="884" t="n">
        <v>10034034168035</v>
      </c>
      <c r="C484" s="1292" t="inlineStr">
        <is>
          <t>EPI</t>
        </is>
      </c>
      <c r="D484" s="481" t="inlineStr">
        <is>
          <t>Disco Diamantado Segmentado 110x20 Corte Preciso Concreto 5u</t>
        </is>
      </c>
      <c r="E484" s="904" t="n"/>
      <c r="F484" s="856" t="n">
        <v>96.39</v>
      </c>
      <c r="G484" s="1016">
        <f>F484*17%</f>
        <v/>
      </c>
      <c r="H484" s="831" t="n"/>
      <c r="I484" s="904" t="n">
        <v>15.71</v>
      </c>
      <c r="J484" s="340">
        <f>F484*18%</f>
        <v/>
      </c>
      <c r="K484" s="340">
        <f>(F484-J484)*1.65%</f>
        <v/>
      </c>
      <c r="L484" s="340">
        <f>(F484-J484)*7.6%</f>
        <v/>
      </c>
      <c r="M484" s="577" t="n"/>
      <c r="N484" s="543">
        <f>(G484+I484)*(9.25%)</f>
        <v/>
      </c>
      <c r="O484" s="904">
        <f>9.78*5</f>
        <v/>
      </c>
      <c r="P484" s="1016">
        <f>(F484 - (G484+I484+O484+(J484+K484+L484))) - (H484-M484-N484)</f>
        <v/>
      </c>
      <c r="Q484" s="462">
        <f>P484/F484</f>
        <v/>
      </c>
      <c r="R484" s="1206" t="inlineStr">
        <is>
          <t>sem estoque</t>
        </is>
      </c>
      <c r="S484" s="904" t="inlineStr">
        <is>
          <t>5un</t>
        </is>
      </c>
      <c r="T484" s="569" t="n"/>
      <c r="U484" s="1030" t="n"/>
      <c r="V484" s="1030" t="n"/>
      <c r="W484" s="1030" t="n"/>
    </row>
    <row r="485" ht="15.75" customHeight="1" s="1349">
      <c r="A485" s="1292" t="inlineStr">
        <is>
          <t>6038654540</t>
        </is>
      </c>
      <c r="B485" s="884" t="n">
        <v>10034034168036</v>
      </c>
      <c r="C485" s="1292" t="inlineStr">
        <is>
          <t>EPI</t>
        </is>
      </c>
      <c r="D485" s="481" t="inlineStr">
        <is>
          <t>Disco Corte Diamante Segmentado 110x20 Serra Marmore 10un</t>
        </is>
      </c>
      <c r="E485" s="904" t="n"/>
      <c r="F485" s="856" t="n">
        <v>179</v>
      </c>
      <c r="G485" s="1016">
        <f>F485*17%</f>
        <v/>
      </c>
      <c r="H485" s="831" t="n"/>
      <c r="I485" s="904" t="n">
        <v>21.1</v>
      </c>
      <c r="J485" s="340">
        <f>F485*18%</f>
        <v/>
      </c>
      <c r="K485" s="340">
        <f>(F485-J485)*1.65%</f>
        <v/>
      </c>
      <c r="L485" s="340">
        <f>(F485-J485)*7.6%</f>
        <v/>
      </c>
      <c r="M485" s="577" t="n"/>
      <c r="N485" s="543">
        <f>(G485+I485)*(9.25%)</f>
        <v/>
      </c>
      <c r="O485" s="904">
        <f>9.78*10</f>
        <v/>
      </c>
      <c r="P485" s="1016">
        <f>(F485 - (G485+I485+O485+(J485+K485+L485))) - (H485-M485-N485)</f>
        <v/>
      </c>
      <c r="Q485" s="462">
        <f>P485/F485</f>
        <v/>
      </c>
      <c r="R485" s="1206" t="inlineStr">
        <is>
          <t>sem estoque</t>
        </is>
      </c>
      <c r="S485" s="904" t="inlineStr">
        <is>
          <t>10un</t>
        </is>
      </c>
      <c r="T485" s="569" t="n"/>
      <c r="U485" s="1030" t="n"/>
      <c r="V485" s="1030" t="n"/>
      <c r="W485" s="1030" t="n"/>
    </row>
    <row r="486" ht="15.75" customHeight="1" s="1349">
      <c r="A486" s="1292" t="inlineStr">
        <is>
          <t>4366790197</t>
        </is>
      </c>
      <c r="B486" s="884" t="n">
        <v>10034034167074</v>
      </c>
      <c r="C486" s="1292" t="inlineStr">
        <is>
          <t>EPI</t>
        </is>
      </c>
      <c r="D486" s="481" t="inlineStr">
        <is>
          <t>Silicone Selante Acético Branco Vedação Uso Geral Construção</t>
        </is>
      </c>
      <c r="E486" s="904" t="n"/>
      <c r="F486" s="856" t="n">
        <v>25.9</v>
      </c>
      <c r="G486" s="1016">
        <f>F486*16.5%</f>
        <v/>
      </c>
      <c r="H486" s="831" t="n"/>
      <c r="I486" s="904">
        <f>IFS(
  F486&lt;12.5, F486/2,
  F486&lt;29, 6.25,
  F486&lt;50, 6.5,
  F486&lt;=79, 6.75,
  TRUE, 25
)</f>
        <v/>
      </c>
      <c r="J486" s="340">
        <f>F486*18%</f>
        <v/>
      </c>
      <c r="K486" s="340">
        <f>(F486-J486)*1.65%</f>
        <v/>
      </c>
      <c r="L486" s="340">
        <f>(F486-J486)*7.6%</f>
        <v/>
      </c>
      <c r="M486" s="1097" t="n">
        <v>2.82</v>
      </c>
      <c r="N486" s="785">
        <f>(G486+I486)*(9.25%)</f>
        <v/>
      </c>
      <c r="O486" s="701" t="n">
        <v>11.4</v>
      </c>
      <c r="P486" s="1016">
        <f>(F486 - (G486+I486+O486+(J486+K486+L486))) - (H486-M486-N486)</f>
        <v/>
      </c>
      <c r="Q486" s="462">
        <f>P486/F486</f>
        <v/>
      </c>
      <c r="R486" s="1206" t="inlineStr">
        <is>
          <t>Ativo</t>
        </is>
      </c>
      <c r="S486" s="904" t="inlineStr">
        <is>
          <t>1un</t>
        </is>
      </c>
      <c r="T486" s="569" t="n"/>
      <c r="U486" s="1030" t="n"/>
      <c r="V486" s="1030" t="n"/>
      <c r="W486" s="1030" t="n"/>
    </row>
    <row r="487" ht="15.75" customHeight="1" s="1349">
      <c r="A487" s="1292" t="inlineStr">
        <is>
          <t>4366738887</t>
        </is>
      </c>
      <c r="B487" s="884" t="n">
        <v>10034034168042</v>
      </c>
      <c r="C487" s="1292" t="inlineStr">
        <is>
          <t>EPI</t>
        </is>
      </c>
      <c r="D487" s="481" t="inlineStr">
        <is>
          <t>Silicone Acético Branco 256g Alta Aderência Vidros Box 3un</t>
        </is>
      </c>
      <c r="E487" s="904" t="n"/>
      <c r="F487" s="856" t="n">
        <v>61.1</v>
      </c>
      <c r="G487" s="1016">
        <f>F487*16.5%</f>
        <v/>
      </c>
      <c r="H487" s="831" t="n">
        <v>-1.89</v>
      </c>
      <c r="I487" s="904" t="n">
        <v>8.050000000000001</v>
      </c>
      <c r="J487" s="340">
        <f>F487*18%</f>
        <v/>
      </c>
      <c r="K487" s="340">
        <f>(F487-J487)*1.65%</f>
        <v/>
      </c>
      <c r="L487" s="340">
        <f>(F487-J487)*7.6%</f>
        <v/>
      </c>
      <c r="M487" s="1097">
        <f>2.82*3</f>
        <v/>
      </c>
      <c r="N487" s="785">
        <f>(G487+I487)*(9.25%)</f>
        <v/>
      </c>
      <c r="O487" s="701">
        <f>11.4*3</f>
        <v/>
      </c>
      <c r="P487" s="1016">
        <f>(F487 - (G487+I487+O487+(J487+K487+L487))) - (H487-M487-N487)</f>
        <v/>
      </c>
      <c r="Q487" s="462">
        <f>P487/F487</f>
        <v/>
      </c>
      <c r="R487" s="1206" t="inlineStr">
        <is>
          <t>Ativo</t>
        </is>
      </c>
      <c r="S487" s="904" t="inlineStr">
        <is>
          <t>3un</t>
        </is>
      </c>
      <c r="T487" s="569" t="n"/>
      <c r="U487" s="1030" t="n"/>
      <c r="V487" s="1030" t="n"/>
      <c r="W487" s="1030" t="n"/>
    </row>
    <row r="488" ht="15.75" customHeight="1" s="1349">
      <c r="A488" s="1292" t="inlineStr">
        <is>
          <t>6056500850</t>
        </is>
      </c>
      <c r="B488" s="884" t="n">
        <v>10034034168042</v>
      </c>
      <c r="C488" s="1292" t="inlineStr">
        <is>
          <t>EPI</t>
        </is>
      </c>
      <c r="D488" s="481" t="inlineStr">
        <is>
          <t>Silicone Selante Acético Branco Acabamento Limpo 256g 5un</t>
        </is>
      </c>
      <c r="E488" s="904" t="n"/>
      <c r="F488" s="856" t="n">
        <v>98.2</v>
      </c>
      <c r="G488" s="1016">
        <f>F488*12.5%</f>
        <v/>
      </c>
      <c r="H488" s="831" t="n"/>
      <c r="I488" s="904" t="n">
        <v>14.45</v>
      </c>
      <c r="J488" s="340">
        <f>F488*18%</f>
        <v/>
      </c>
      <c r="K488" s="340">
        <f>(F488-J488)*1.65%</f>
        <v/>
      </c>
      <c r="L488" s="340">
        <f>(F488-J488)*7.6%</f>
        <v/>
      </c>
      <c r="M488" s="1097">
        <f>2.82*5</f>
        <v/>
      </c>
      <c r="N488" s="785">
        <f>(G488+I488)*(9.25%)</f>
        <v/>
      </c>
      <c r="O488" s="701">
        <f>11.4*5</f>
        <v/>
      </c>
      <c r="P488" s="1016">
        <f>(F488 - (G488+I488+O488+(J488+K488+L488))) - (H488-M488-N488)</f>
        <v/>
      </c>
      <c r="Q488" s="462">
        <f>P488/F488</f>
        <v/>
      </c>
      <c r="R488" s="1206" t="inlineStr">
        <is>
          <t>Ativo</t>
        </is>
      </c>
      <c r="S488" s="904" t="inlineStr">
        <is>
          <t>5un</t>
        </is>
      </c>
      <c r="T488" s="569" t="n"/>
      <c r="U488" s="1030" t="n"/>
      <c r="V488" s="1030" t="n"/>
      <c r="W488" s="1030" t="n"/>
    </row>
    <row r="489" ht="15.75" customHeight="1" s="1349">
      <c r="A489" s="1292" t="inlineStr">
        <is>
          <t>6056563556</t>
        </is>
      </c>
      <c r="B489" s="884" t="n">
        <v>10034034168044</v>
      </c>
      <c r="C489" s="1292" t="inlineStr">
        <is>
          <t>EPI</t>
        </is>
      </c>
      <c r="D489" s="481" t="inlineStr">
        <is>
          <t>Kit Tubo Silicone Selante Acético 256g Branco Reforma 12un</t>
        </is>
      </c>
      <c r="E489" s="904" t="n"/>
      <c r="F489" s="856" t="n">
        <v>245.52</v>
      </c>
      <c r="G489" s="1016">
        <f>F489*16.5%</f>
        <v/>
      </c>
      <c r="H489" s="831" t="n"/>
      <c r="I489" s="904" t="n">
        <v>26.95</v>
      </c>
      <c r="J489" s="340">
        <f>F489*18%</f>
        <v/>
      </c>
      <c r="K489" s="340">
        <f>(F489-J489)*1.65%</f>
        <v/>
      </c>
      <c r="L489" s="340">
        <f>(F489-J489)*7.6%</f>
        <v/>
      </c>
      <c r="M489" s="1097">
        <f>2.82*12</f>
        <v/>
      </c>
      <c r="N489" s="785">
        <f>(G489+I489)*(9.25%)</f>
        <v/>
      </c>
      <c r="O489" s="701">
        <f>11.4*12</f>
        <v/>
      </c>
      <c r="P489" s="1016">
        <f>(F489 - (G489+I489+O489+(J489+K489+L489))) - (H489-M489-N489)</f>
        <v/>
      </c>
      <c r="Q489" s="462">
        <f>P489/F489</f>
        <v/>
      </c>
      <c r="R489" s="1206" t="inlineStr">
        <is>
          <t>sem estoque</t>
        </is>
      </c>
      <c r="S489" s="904" t="inlineStr">
        <is>
          <t>12un</t>
        </is>
      </c>
      <c r="T489" s="569" t="n"/>
      <c r="U489" s="1030" t="n"/>
      <c r="V489" s="1030" t="n"/>
      <c r="W489" s="1030" t="n"/>
    </row>
    <row r="490" ht="15.75" customHeight="1" s="1349">
      <c r="A490" s="1292" t="inlineStr">
        <is>
          <t>6068217692</t>
        </is>
      </c>
      <c r="B490" s="884" t="n">
        <v>10034034167095</v>
      </c>
      <c r="C490" s="1292" t="inlineStr">
        <is>
          <t>EPI</t>
        </is>
      </c>
      <c r="D490" s="481" t="inlineStr">
        <is>
          <t>Bisnaga Silicone Acético Construção 50g Transparente Vedação</t>
        </is>
      </c>
      <c r="E490" s="904" t="n"/>
      <c r="F490" s="856" t="n">
        <v>19</v>
      </c>
      <c r="G490" s="1016">
        <f>F490*16.5%</f>
        <v/>
      </c>
      <c r="H490" s="831" t="n"/>
      <c r="I490" s="904">
        <f>IFS(
  F490&lt;12.5, F490/2,
  F490&lt;29, 6.25,
  F490&lt;50, 6.5,
  F490&lt;=79, 6.75,
  TRUE, 25
)</f>
        <v/>
      </c>
      <c r="J490" s="340">
        <f>F490*18%</f>
        <v/>
      </c>
      <c r="K490" s="340">
        <f>(F490-J490)*1.65%</f>
        <v/>
      </c>
      <c r="L490" s="340">
        <f>(F490-J490)*7.6%</f>
        <v/>
      </c>
      <c r="M490" s="1097">
        <f>1.02*1</f>
        <v/>
      </c>
      <c r="N490" s="785">
        <f>(G490+I490)*(9.25%)</f>
        <v/>
      </c>
      <c r="O490" s="701">
        <f>3.97*1</f>
        <v/>
      </c>
      <c r="P490" s="1016">
        <f>(F490 - (G490+I490+O490+(J490+K490+L490))) - (H490-M490-N490)</f>
        <v/>
      </c>
      <c r="Q490" s="462">
        <f>P490/F490</f>
        <v/>
      </c>
      <c r="R490" s="1206" t="inlineStr">
        <is>
          <t>Ativo</t>
        </is>
      </c>
      <c r="S490" s="904" t="n"/>
      <c r="T490" s="569" t="n"/>
      <c r="U490" s="1030" t="n"/>
      <c r="V490" s="1030" t="n"/>
      <c r="W490" s="1030" t="n"/>
    </row>
    <row r="491" ht="15.75" customHeight="1" s="1349">
      <c r="A491" s="1292" t="inlineStr">
        <is>
          <t>4371209595</t>
        </is>
      </c>
      <c r="B491" s="884" t="n">
        <v>10034034168051</v>
      </c>
      <c r="C491" s="1292" t="inlineStr">
        <is>
          <t>TekBond</t>
        </is>
      </c>
      <c r="D491" s="481" t="inlineStr">
        <is>
          <t>Silicone Acético Transparente Construção Selante Blister 3un</t>
        </is>
      </c>
      <c r="E491" s="904" t="n"/>
      <c r="F491" s="856" t="n">
        <v>25.5</v>
      </c>
      <c r="G491" s="1016">
        <f>F491*11.5%</f>
        <v/>
      </c>
      <c r="H491" s="831" t="n"/>
      <c r="I491" s="904" t="n">
        <v>6.75</v>
      </c>
      <c r="J491" s="340">
        <f>F491*18%</f>
        <v/>
      </c>
      <c r="K491" s="340">
        <f>(F491-J491)*1.65%</f>
        <v/>
      </c>
      <c r="L491" s="340">
        <f>(F491-J491)*7.6%</f>
        <v/>
      </c>
      <c r="M491" s="1097">
        <f>1.02*3</f>
        <v/>
      </c>
      <c r="N491" s="785">
        <f>(G491+I491)*(9.25%)</f>
        <v/>
      </c>
      <c r="O491" s="701">
        <f>3.97*3</f>
        <v/>
      </c>
      <c r="P491" s="1016">
        <f>(F491 - (G491+I491+O491+(J491+K491+L491))) - (H491-M491-N491)</f>
        <v/>
      </c>
      <c r="Q491" s="462">
        <f>P491/F491</f>
        <v/>
      </c>
      <c r="R491" s="1206" t="inlineStr">
        <is>
          <t>Ativo</t>
        </is>
      </c>
      <c r="S491" s="904" t="n"/>
      <c r="T491" s="569" t="n"/>
      <c r="U491" s="1030" t="n"/>
      <c r="V491" s="1030" t="n"/>
      <c r="W491" s="1030" t="n"/>
    </row>
    <row r="492" ht="15.75" customHeight="1" s="1349">
      <c r="A492" s="1292" t="inlineStr">
        <is>
          <t>4372795909</t>
        </is>
      </c>
      <c r="B492" s="884" t="n">
        <v>10034034166460</v>
      </c>
      <c r="C492" s="1292" t="inlineStr">
        <is>
          <t>VOLK</t>
        </is>
      </c>
      <c r="D492" s="765" t="inlineStr">
        <is>
          <t>Luva Uso Geral Paisagismo Volk Orange Smart Ca46816 10 Pares</t>
        </is>
      </c>
      <c r="E492" s="904" t="n"/>
      <c r="F492" s="856" t="n">
        <v>19.9</v>
      </c>
      <c r="G492" s="1016">
        <f>F492*17%</f>
        <v/>
      </c>
      <c r="H492" s="831" t="n">
        <v>-0.5</v>
      </c>
      <c r="I492" s="904" t="n">
        <v>6.75</v>
      </c>
      <c r="J492" s="340">
        <f>F492*18%</f>
        <v/>
      </c>
      <c r="K492" s="340">
        <f>(F492-J492)*1.65%</f>
        <v/>
      </c>
      <c r="L492" s="340">
        <f>(F492-J492)*7.6%</f>
        <v/>
      </c>
      <c r="M492" s="1097" t="n">
        <v>0.62</v>
      </c>
      <c r="N492" s="785">
        <f>(G492+I492)*(9.25%)</f>
        <v/>
      </c>
      <c r="O492" s="701" t="n">
        <v>4.78</v>
      </c>
      <c r="P492" s="1016">
        <f>(F492 - (G492+I492+O492+(J492+K492+L492))) - (H492-M492-N492)</f>
        <v/>
      </c>
      <c r="Q492" s="462">
        <f>P492/F492</f>
        <v/>
      </c>
      <c r="R492" s="1206" t="inlineStr">
        <is>
          <t>Ativo</t>
        </is>
      </c>
      <c r="S492" s="904" t="n"/>
      <c r="T492" s="569" t="n"/>
      <c r="U492" s="1030" t="n"/>
      <c r="V492" s="1030" t="n"/>
      <c r="W492" s="1030" t="n"/>
    </row>
    <row r="493" ht="15.75" customHeight="1" s="1349">
      <c r="A493" s="1292" t="inlineStr">
        <is>
          <t>4373456443</t>
        </is>
      </c>
      <c r="B493" s="884" t="n">
        <v>10034034168054</v>
      </c>
      <c r="C493" s="1292" t="inlineStr">
        <is>
          <t>VOLK</t>
        </is>
      </c>
      <c r="D493" s="765" t="inlineStr">
        <is>
          <t>Luva Orange Smart Palma Vulcanizada Fibras Sintéticas 2 Prs</t>
        </is>
      </c>
      <c r="E493" s="904" t="n"/>
      <c r="F493" s="856" t="n">
        <v>26.9</v>
      </c>
      <c r="G493" s="1016">
        <f>F493*12%</f>
        <v/>
      </c>
      <c r="H493" s="831" t="n">
        <v>-1.61</v>
      </c>
      <c r="I493" s="904" t="n">
        <v>6.75</v>
      </c>
      <c r="J493" s="340">
        <f>F493*18%</f>
        <v/>
      </c>
      <c r="K493" s="340">
        <f>(F493-J493)*1.65%</f>
        <v/>
      </c>
      <c r="L493" s="340">
        <f>(F493-J493)*7.6%</f>
        <v/>
      </c>
      <c r="M493" s="1097">
        <f>0.62*2</f>
        <v/>
      </c>
      <c r="N493" s="785">
        <f>(G493+I493)*(9.25%)</f>
        <v/>
      </c>
      <c r="O493" s="701">
        <f>4.78*2</f>
        <v/>
      </c>
      <c r="P493" s="1016">
        <f>(F493 - (G493+I493+O493+(J493+K493+L493))) - (H493-M493-N493)</f>
        <v/>
      </c>
      <c r="Q493" s="462">
        <f>P493/F493</f>
        <v/>
      </c>
      <c r="R493" s="1206" t="inlineStr">
        <is>
          <t>Ativo</t>
        </is>
      </c>
      <c r="S493" s="904" t="n"/>
      <c r="T493" s="569" t="n"/>
      <c r="U493" s="1030" t="n"/>
      <c r="V493" s="1030" t="n"/>
      <c r="W493" s="1030" t="n"/>
    </row>
    <row r="494" ht="15.75" customHeight="1" s="1349">
      <c r="A494" s="1292" t="inlineStr">
        <is>
          <t>4393376547</t>
        </is>
      </c>
      <c r="B494" s="884" t="n">
        <v>10034034166480</v>
      </c>
      <c r="C494" s="904" t="inlineStr">
        <is>
          <t>Irwin</t>
        </is>
      </c>
      <c r="D494" s="481" t="inlineStr">
        <is>
          <t>Disco Diamantado Continuo Pro 110mm X20mm Alta Rentabilidade</t>
        </is>
      </c>
      <c r="E494" s="904" t="n"/>
      <c r="F494" s="856" t="n">
        <v>33.25</v>
      </c>
      <c r="G494" s="1016">
        <f>F494*17%</f>
        <v/>
      </c>
      <c r="H494" s="831" t="n"/>
      <c r="I494" s="904">
        <f>IFS(
  F494&lt;12.5, F494/2,
  F494&lt;29, 6.25,
  F494&lt;50, 6.5,
  F494&lt;=79, 6.75,
  TRUE, 25
)</f>
        <v/>
      </c>
      <c r="J494" s="340">
        <f>F494*18%</f>
        <v/>
      </c>
      <c r="K494" s="340">
        <f>(F494-J494)*1.65%</f>
        <v/>
      </c>
      <c r="L494" s="340">
        <f>(F494-J494)*7.6%</f>
        <v/>
      </c>
      <c r="M494" s="1097" t="n">
        <v>1.06</v>
      </c>
      <c r="N494" s="785">
        <f>(G494+I494)*(9.25%)</f>
        <v/>
      </c>
      <c r="O494" s="701" t="n">
        <v>12.81</v>
      </c>
      <c r="P494" s="1016">
        <f>(F494 - (G494+I494+O494+(J494+K494+L494))) - (H494-M494-N494)</f>
        <v/>
      </c>
      <c r="Q494" s="462">
        <f>P494/F494</f>
        <v/>
      </c>
      <c r="R494" s="1206" t="inlineStr">
        <is>
          <t>Ativo</t>
        </is>
      </c>
      <c r="S494" s="904" t="inlineStr">
        <is>
          <t>1un</t>
        </is>
      </c>
      <c r="T494" s="569" t="n"/>
      <c r="U494" s="1030" t="n"/>
      <c r="V494" s="1030" t="n"/>
      <c r="W494" s="1030" t="n"/>
    </row>
    <row r="495" ht="15.75" customHeight="1" s="1349">
      <c r="A495" s="1292" t="inlineStr">
        <is>
          <t>4393337341</t>
        </is>
      </c>
      <c r="B495" s="884" t="n">
        <v>10034034168063</v>
      </c>
      <c r="C495" s="904" t="inlineStr">
        <is>
          <t>Irwin</t>
        </is>
      </c>
      <c r="D495" s="481" t="inlineStr">
        <is>
          <t>Disco De Corte Diamantado Continuo 110x20 Rpm Rápido 2un</t>
        </is>
      </c>
      <c r="E495" s="904" t="n"/>
      <c r="F495" s="856" t="n">
        <v>54.37</v>
      </c>
      <c r="G495" s="1016">
        <f>F495*17%</f>
        <v/>
      </c>
      <c r="H495" s="831" t="n">
        <v>-0.47</v>
      </c>
      <c r="I495" s="904" t="n">
        <v>7.85</v>
      </c>
      <c r="J495" s="340">
        <f>F495*18%</f>
        <v/>
      </c>
      <c r="K495" s="340">
        <f>(F495-J495)*1.65%</f>
        <v/>
      </c>
      <c r="L495" s="340">
        <f>(F495-J495)*7.6%</f>
        <v/>
      </c>
      <c r="M495" s="1097">
        <f>1.06*2</f>
        <v/>
      </c>
      <c r="N495" s="785">
        <f>(G495+I495)*(9.25%)</f>
        <v/>
      </c>
      <c r="O495" s="701">
        <f>12.81*2</f>
        <v/>
      </c>
      <c r="P495" s="1016">
        <f>(F495 - (G495+I495+O495+(J495+K495+L495))) - (H495-M495-N495)</f>
        <v/>
      </c>
      <c r="Q495" s="462">
        <f>P495/F495</f>
        <v/>
      </c>
      <c r="R495" s="1206" t="inlineStr">
        <is>
          <t>Ativo</t>
        </is>
      </c>
      <c r="S495" s="904" t="inlineStr">
        <is>
          <t>2n</t>
        </is>
      </c>
      <c r="T495" s="569" t="n"/>
      <c r="U495" s="1030" t="n"/>
      <c r="V495" s="1030" t="n"/>
      <c r="W495" s="1030" t="n"/>
    </row>
    <row r="496" ht="15.75" customHeight="1" s="1349">
      <c r="A496" s="1292" t="inlineStr">
        <is>
          <t>4393246233</t>
        </is>
      </c>
      <c r="B496" s="884" t="n">
        <v>10034034168064</v>
      </c>
      <c r="C496" s="904" t="inlineStr">
        <is>
          <t>Irwin</t>
        </is>
      </c>
      <c r="D496" s="481" t="inlineStr">
        <is>
          <t>Kit Disco Corte Diamantando Continuo 110x20 Cerâmica Azulejo</t>
        </is>
      </c>
      <c r="E496" s="904" t="n">
        <v>199</v>
      </c>
      <c r="F496" s="856" t="n">
        <v>128.09</v>
      </c>
      <c r="G496" s="1016">
        <f>F496*17%</f>
        <v/>
      </c>
      <c r="H496" s="831" t="n">
        <v>-7.09</v>
      </c>
      <c r="I496" s="904" t="n">
        <v>18.45</v>
      </c>
      <c r="J496" s="340">
        <f>F496*18%</f>
        <v/>
      </c>
      <c r="K496" s="340">
        <f>(F496-J496)*1.65%</f>
        <v/>
      </c>
      <c r="L496" s="340">
        <f>(F496-J496)*7.6%</f>
        <v/>
      </c>
      <c r="M496" s="1097">
        <f>1.06*5</f>
        <v/>
      </c>
      <c r="N496" s="785">
        <f>(G496+I496)*(9.25%)</f>
        <v/>
      </c>
      <c r="O496" s="701">
        <f>12.81*5</f>
        <v/>
      </c>
      <c r="P496" s="1016">
        <f>(F496 - (G496+I496+O496+(J496+K496+L496))) - (H496-M496-N496)</f>
        <v/>
      </c>
      <c r="Q496" s="462">
        <f>P496/F496</f>
        <v/>
      </c>
      <c r="R496" s="1206" t="inlineStr">
        <is>
          <t>Ativo</t>
        </is>
      </c>
      <c r="S496" s="904" t="inlineStr">
        <is>
          <t>5un</t>
        </is>
      </c>
      <c r="T496" s="569" t="n"/>
      <c r="U496" s="1030" t="n"/>
      <c r="V496" s="1030" t="n"/>
      <c r="W496" s="1030" t="n"/>
    </row>
    <row r="497" ht="15.75" customHeight="1" s="1349">
      <c r="A497" s="1292" t="inlineStr">
        <is>
          <t>6111412132</t>
        </is>
      </c>
      <c r="B497" s="884" t="n">
        <v>10034034167452</v>
      </c>
      <c r="C497" s="904" t="inlineStr">
        <is>
          <t>Norton</t>
        </is>
      </c>
      <c r="D497" s="481" t="inlineStr">
        <is>
          <t>Disco Diamantado Continuo Pro 110mm X20mm Corte Preciso</t>
        </is>
      </c>
      <c r="E497" s="904" t="n"/>
      <c r="F497" s="856" t="n">
        <v>29.99</v>
      </c>
      <c r="G497" s="1016">
        <f>F497*17%</f>
        <v/>
      </c>
      <c r="H497" s="831" t="n"/>
      <c r="I497" s="904" t="n"/>
      <c r="J497" s="340">
        <f>F497*18%</f>
        <v/>
      </c>
      <c r="K497" s="340">
        <f>(F497-J497)*1.65%</f>
        <v/>
      </c>
      <c r="L497" s="340">
        <f>(F497-J497)*7.6%</f>
        <v/>
      </c>
      <c r="M497" s="1097" t="n">
        <v>3.74</v>
      </c>
      <c r="N497" s="785">
        <f>(G497+I497)*(9.25%)</f>
        <v/>
      </c>
      <c r="O497" s="718" t="n">
        <v>18.57</v>
      </c>
      <c r="P497" s="1016">
        <f>(F497 - (G497+I497+O497+(J497+K497+L497))) - (H497-M497-N497)</f>
        <v/>
      </c>
      <c r="Q497" s="462">
        <f>P497/F497</f>
        <v/>
      </c>
      <c r="R497" s="1206" t="inlineStr">
        <is>
          <t>TRAVADO</t>
        </is>
      </c>
      <c r="S497" s="904" t="inlineStr">
        <is>
          <t>1un</t>
        </is>
      </c>
      <c r="T497" s="569" t="n"/>
      <c r="U497" s="1030" t="n"/>
      <c r="V497" s="1030" t="n"/>
      <c r="W497" s="1030" t="n"/>
    </row>
    <row r="498" ht="15.75" customHeight="1" s="1349">
      <c r="A498" s="1292" t="inlineStr">
        <is>
          <t>6112148190</t>
        </is>
      </c>
      <c r="B498" s="884" t="n">
        <v>10034034168066</v>
      </c>
      <c r="C498" s="904" t="n"/>
      <c r="D498" s="481" t="inlineStr">
        <is>
          <t>Disco De Corte Diamantado Pro Continuo 110x20 Rpm Rápido 2un</t>
        </is>
      </c>
      <c r="E498" s="904" t="n"/>
      <c r="F498" s="856" t="n">
        <v>65.86</v>
      </c>
      <c r="G498" s="1016">
        <f>F498*17%</f>
        <v/>
      </c>
      <c r="H498" s="831" t="n">
        <v>-1.31</v>
      </c>
      <c r="I498" s="904">
        <f>IFS(
  F498&lt;12.5, F498/2,
  F498&lt;29, 6.25,
  F498&lt;50, 6.5,
  F498&lt;=79, 6.75,
  TRUE, 25
)</f>
        <v/>
      </c>
      <c r="J498" s="340">
        <f>F498*18%</f>
        <v/>
      </c>
      <c r="K498" s="340">
        <f>(F498-J498)*1.65%</f>
        <v/>
      </c>
      <c r="L498" s="340">
        <f>(F498-J498)*7.6%</f>
        <v/>
      </c>
      <c r="M498" s="577" t="n"/>
      <c r="N498" s="543">
        <f>(G498+I498)*(9.25%)</f>
        <v/>
      </c>
      <c r="O498" s="701">
        <f>15.36*2</f>
        <v/>
      </c>
      <c r="P498" s="1016">
        <f>(F498 - (G498+I498+O498+(J498+K498+L498))) - (H498-M498-N498)</f>
        <v/>
      </c>
      <c r="Q498" s="462">
        <f>P498/F498</f>
        <v/>
      </c>
      <c r="R498" s="1206" t="inlineStr">
        <is>
          <t>Ativo</t>
        </is>
      </c>
      <c r="S498" s="904" t="inlineStr">
        <is>
          <t>2un</t>
        </is>
      </c>
      <c r="T498" s="569" t="n"/>
      <c r="U498" s="1030" t="n"/>
      <c r="V498" s="1030" t="n"/>
      <c r="W498" s="1030" t="n"/>
    </row>
    <row r="499" ht="15.75" customHeight="1" s="1349">
      <c r="A499" s="1292" t="inlineStr">
        <is>
          <t>6111438098</t>
        </is>
      </c>
      <c r="B499" s="884" t="n">
        <v>10034034168067</v>
      </c>
      <c r="C499" s="904" t="n"/>
      <c r="D499" s="481" t="inlineStr">
        <is>
          <t>Kit Disco Corte Diamantado Pro Continuo 110x20 Serra Mármore</t>
        </is>
      </c>
      <c r="E499" s="904" t="n"/>
      <c r="F499" s="856" t="n">
        <v>147.42</v>
      </c>
      <c r="G499" s="1016">
        <f>F499*17%</f>
        <v/>
      </c>
      <c r="H499" s="831" t="n"/>
      <c r="I499" s="904" t="n">
        <v>20.2</v>
      </c>
      <c r="J499" s="340">
        <f>F499*18%</f>
        <v/>
      </c>
      <c r="K499" s="340">
        <f>(F499-J499)*1.65%</f>
        <v/>
      </c>
      <c r="L499" s="340">
        <f>(F499-J499)*7.6%</f>
        <v/>
      </c>
      <c r="M499" s="577" t="n"/>
      <c r="N499" s="543">
        <f>(G499+I499)*(9.25%)</f>
        <v/>
      </c>
      <c r="O499" s="701">
        <f>15.36*5</f>
        <v/>
      </c>
      <c r="P499" s="1016">
        <f>(F499 - (G499+I499+O499+(J499+K499+L499))) - (H499-M499-N499)</f>
        <v/>
      </c>
      <c r="Q499" s="462">
        <f>P499/F499</f>
        <v/>
      </c>
      <c r="R499" s="1206" t="inlineStr">
        <is>
          <t>sem estoque</t>
        </is>
      </c>
      <c r="S499" s="904" t="inlineStr">
        <is>
          <t>5un</t>
        </is>
      </c>
      <c r="T499" s="569" t="n"/>
      <c r="U499" s="1030" t="n"/>
      <c r="V499" s="1030" t="n"/>
      <c r="W499" s="1030" t="n"/>
    </row>
    <row r="500" ht="15.75" customHeight="1" s="1349">
      <c r="A500" s="1292" t="inlineStr">
        <is>
          <t>6111443022</t>
        </is>
      </c>
      <c r="B500" s="884" t="n">
        <v>10034034167610</v>
      </c>
      <c r="C500" s="904" t="n"/>
      <c r="D500" s="481" t="inlineStr">
        <is>
          <t>Luva Borracha Nitrílica Wave Reforçada Fibras Sintéticas Par</t>
        </is>
      </c>
      <c r="E500" s="904" t="n"/>
      <c r="F500" s="856" t="n">
        <v>19.9</v>
      </c>
      <c r="G500" s="1016">
        <f>F500*17%</f>
        <v/>
      </c>
      <c r="H500" s="831" t="n">
        <v>-0.51</v>
      </c>
      <c r="I500" s="904">
        <f>IFS(
  F500&lt;12.5, F500/2,
  F500&lt;29, 6.25,
  F500&lt;50, 6.5,
  F500&lt;=79, 6.75,
  TRUE, 25
)</f>
        <v/>
      </c>
      <c r="J500" s="340">
        <f>F500*18%</f>
        <v/>
      </c>
      <c r="K500" s="340">
        <f>(F500-J500)*1.65%</f>
        <v/>
      </c>
      <c r="L500" s="340">
        <f>(F500-J500)*7.6%</f>
        <v/>
      </c>
      <c r="M500" s="784">
        <f>0.57*1</f>
        <v/>
      </c>
      <c r="N500" s="785">
        <f>(G500+I500)*(9.25%)</f>
        <v/>
      </c>
      <c r="O500" s="786">
        <f>4.4*1</f>
        <v/>
      </c>
      <c r="P500" s="1016">
        <f>(F500 - (G500+I500+O500+(J500+K500+L500))) - (H500-M500-N500)</f>
        <v/>
      </c>
      <c r="Q500" s="462">
        <f>P500/F500</f>
        <v/>
      </c>
      <c r="R500" s="1206" t="inlineStr">
        <is>
          <t>Ativo</t>
        </is>
      </c>
      <c r="S500" s="904" t="inlineStr">
        <is>
          <t>1un</t>
        </is>
      </c>
      <c r="T500" s="569" t="n"/>
      <c r="U500" s="1030" t="n"/>
      <c r="V500" s="1030" t="n"/>
      <c r="W500" s="1030" t="n"/>
    </row>
    <row r="501" ht="15.75" customHeight="1" s="1349">
      <c r="A501" s="1292" t="inlineStr">
        <is>
          <t>6111365466</t>
        </is>
      </c>
      <c r="B501" s="884" t="n">
        <v>10034034168070</v>
      </c>
      <c r="C501" s="904" t="inlineStr">
        <is>
          <t>VOLK</t>
        </is>
      </c>
      <c r="D501" s="481" t="inlineStr">
        <is>
          <t>Luva Nitril Wave 13 Gauge Tátil Resistência Mecância 2 Prs</t>
        </is>
      </c>
      <c r="E501" s="904" t="n"/>
      <c r="F501" s="856" t="n">
        <v>25.12</v>
      </c>
      <c r="G501" s="1016">
        <f>F501*17%</f>
        <v/>
      </c>
      <c r="H501" s="831" t="n">
        <v>-0.78</v>
      </c>
      <c r="I501" s="904" t="n">
        <v>6.75</v>
      </c>
      <c r="J501" s="340">
        <f>F501*18%</f>
        <v/>
      </c>
      <c r="K501" s="340">
        <f>(F501-J501)*1.65%</f>
        <v/>
      </c>
      <c r="L501" s="340">
        <f>(F501-J501)*7.6%</f>
        <v/>
      </c>
      <c r="M501" s="784">
        <f>0.57*2</f>
        <v/>
      </c>
      <c r="N501" s="785">
        <f>(G501+I501)*(9.25%)</f>
        <v/>
      </c>
      <c r="O501" s="786">
        <f>4.4*2</f>
        <v/>
      </c>
      <c r="P501" s="1016">
        <f>(F501 - (G501+I501+O501+(J501+K501+L501))) - (H501-M501-N501)</f>
        <v/>
      </c>
      <c r="Q501" s="462">
        <f>P501/F501</f>
        <v/>
      </c>
      <c r="R501" s="1206" t="inlineStr">
        <is>
          <t>Ativo</t>
        </is>
      </c>
      <c r="S501" s="904" t="inlineStr">
        <is>
          <t>2un</t>
        </is>
      </c>
      <c r="T501" s="569" t="n"/>
      <c r="U501" s="1030" t="n"/>
      <c r="V501" s="1030" t="n"/>
      <c r="W501" s="1030" t="n"/>
    </row>
    <row r="502" ht="15.75" customHeight="1" s="1349">
      <c r="A502" s="1292" t="inlineStr">
        <is>
          <t>6111456666</t>
        </is>
      </c>
      <c r="B502" s="884" t="n">
        <v>10034034168073</v>
      </c>
      <c r="C502" s="904" t="inlineStr">
        <is>
          <t>VOLK</t>
        </is>
      </c>
      <c r="D502" s="481" t="inlineStr">
        <is>
          <t>Luva Proteção Nitril Wave Alta Sensibilidade Punho Curto 6pr</t>
        </is>
      </c>
      <c r="E502" s="904" t="n"/>
      <c r="F502" s="856" t="n">
        <v>53.9</v>
      </c>
      <c r="G502" s="1016">
        <f>F502*12%</f>
        <v/>
      </c>
      <c r="H502" s="831" t="n">
        <v>-1.51</v>
      </c>
      <c r="I502" s="904" t="n">
        <v>7.95</v>
      </c>
      <c r="J502" s="340">
        <f>F502*18%</f>
        <v/>
      </c>
      <c r="K502" s="340">
        <f>(F502-J502)*1.65%</f>
        <v/>
      </c>
      <c r="L502" s="340">
        <f>(F502-J502)*7.6%</f>
        <v/>
      </c>
      <c r="M502" s="784">
        <f>0.57*6</f>
        <v/>
      </c>
      <c r="N502" s="785">
        <f>(G502+I502)*(9.25%)</f>
        <v/>
      </c>
      <c r="O502" s="786">
        <f>4.4*6</f>
        <v/>
      </c>
      <c r="P502" s="1016">
        <f>(F502 - (G502+I502+O502+(J502+K502+L502))) - (H502-M502-N502)</f>
        <v/>
      </c>
      <c r="Q502" s="462">
        <f>P502/F502</f>
        <v/>
      </c>
      <c r="R502" s="1206" t="inlineStr">
        <is>
          <t>Ativo</t>
        </is>
      </c>
      <c r="S502" s="904" t="inlineStr">
        <is>
          <t>6un</t>
        </is>
      </c>
      <c r="T502" s="569" t="n"/>
      <c r="U502" s="1030" t="n"/>
      <c r="V502" s="1030" t="n"/>
      <c r="W502" s="1030" t="n"/>
    </row>
    <row r="503" ht="15.75" customHeight="1" s="1349">
      <c r="A503" s="1292" t="inlineStr">
        <is>
          <t>4411192395</t>
        </is>
      </c>
      <c r="B503" s="884" t="n">
        <v>10034034167500</v>
      </c>
      <c r="C503" s="904" t="inlineStr">
        <is>
          <t>VOLK</t>
        </is>
      </c>
      <c r="D503" s="481" t="inlineStr">
        <is>
          <t>Luva Duo Nitri Sem Forro Tamanho G Limpeza Alta Resistência</t>
        </is>
      </c>
      <c r="E503" s="904" t="n"/>
      <c r="F503" s="856" t="n">
        <v>20.27</v>
      </c>
      <c r="G503" s="1016">
        <f>F503*18%</f>
        <v/>
      </c>
      <c r="H503" s="831" t="n">
        <v>-0.47</v>
      </c>
      <c r="I503" s="904" t="n">
        <v>6.75</v>
      </c>
      <c r="J503" s="340">
        <f>F503*18%</f>
        <v/>
      </c>
      <c r="K503" s="340">
        <f>(F503-J503)*1.65%</f>
        <v/>
      </c>
      <c r="L503" s="340">
        <f>(F503-J503)*7.6%</f>
        <v/>
      </c>
      <c r="M503" s="1097" t="n">
        <v>0.6899999999999999</v>
      </c>
      <c r="N503" s="785">
        <f>(G503+I503)*(9.25%)</f>
        <v/>
      </c>
      <c r="O503" s="701" t="n">
        <v>5.35</v>
      </c>
      <c r="P503" s="1016">
        <f>(F503 - (G503+I503+O503+(J503+K503+L503))) - (H503-M503-N503)</f>
        <v/>
      </c>
      <c r="Q503" s="462">
        <f>P503/F503</f>
        <v/>
      </c>
      <c r="R503" s="1206" t="inlineStr">
        <is>
          <t>Ativo</t>
        </is>
      </c>
      <c r="S503" s="904" t="inlineStr">
        <is>
          <t>1un</t>
        </is>
      </c>
      <c r="T503" s="569" t="n"/>
      <c r="U503" s="1030" t="n"/>
      <c r="V503" s="1030" t="n"/>
      <c r="W503" s="1030" t="n"/>
    </row>
    <row r="504" ht="15.75" customHeight="1" s="1349">
      <c r="A504" s="1292" t="inlineStr">
        <is>
          <t>4411013185</t>
        </is>
      </c>
      <c r="B504" s="884" t="n">
        <v>10034034168081</v>
      </c>
      <c r="C504" s="904" t="inlineStr">
        <is>
          <t>VOLK</t>
        </is>
      </c>
      <c r="D504" s="481" t="inlineStr">
        <is>
          <t>Luva Duo Nitri S/ Forro Nitrílica Proteção Química 2 Pares</t>
        </is>
      </c>
      <c r="E504" s="904" t="n"/>
      <c r="F504" s="856" t="n">
        <v>29.01</v>
      </c>
      <c r="G504" s="1016">
        <f>F504*18%</f>
        <v/>
      </c>
      <c r="H504" s="831" t="n">
        <v>-0.99</v>
      </c>
      <c r="I504" s="904" t="n">
        <v>6.75</v>
      </c>
      <c r="J504" s="340">
        <f>F504*18%</f>
        <v/>
      </c>
      <c r="K504" s="340">
        <f>(F504-J504)*1.65%</f>
        <v/>
      </c>
      <c r="L504" s="340">
        <f>(F504-J504)*7.6%</f>
        <v/>
      </c>
      <c r="M504" s="1097">
        <f>0.69*2</f>
        <v/>
      </c>
      <c r="N504" s="785">
        <f>(G504+I504)*(9.25%)</f>
        <v/>
      </c>
      <c r="O504" s="701">
        <f>5.35*2</f>
        <v/>
      </c>
      <c r="P504" s="1016">
        <f>(F504 - (G504+I504+O504+(J504+K504+L504))) - (H504-M504-N504)</f>
        <v/>
      </c>
      <c r="Q504" s="462">
        <f>P504/F504</f>
        <v/>
      </c>
      <c r="R504" s="1206" t="inlineStr">
        <is>
          <t>Ativo</t>
        </is>
      </c>
      <c r="S504" s="904" t="inlineStr">
        <is>
          <t>2un</t>
        </is>
      </c>
      <c r="T504" s="569" t="n"/>
      <c r="U504" s="1030" t="n"/>
      <c r="V504" s="1030" t="n"/>
      <c r="W504" s="1030" t="n"/>
    </row>
    <row r="505" ht="15.75" customHeight="1" s="1349">
      <c r="A505" s="1292" t="inlineStr">
        <is>
          <t>4411179445</t>
        </is>
      </c>
      <c r="B505" s="884" t="n">
        <v>10034034168082</v>
      </c>
      <c r="C505" s="904" t="inlineStr">
        <is>
          <t>VOLK</t>
        </is>
      </c>
      <c r="D505" s="481" t="inlineStr">
        <is>
          <t>Kit Luva Duo Nitri Punho Médio Leve Flexivel Confortável 6pr</t>
        </is>
      </c>
      <c r="E505" s="904" t="n"/>
      <c r="F505" s="856" t="n">
        <v>71.94</v>
      </c>
      <c r="G505" s="1016">
        <f>F505*18%</f>
        <v/>
      </c>
      <c r="H505" s="831" t="n">
        <v>-2.22</v>
      </c>
      <c r="I505" s="904" t="n">
        <v>8.15</v>
      </c>
      <c r="J505" s="340">
        <f>F505*18%</f>
        <v/>
      </c>
      <c r="K505" s="340">
        <f>(F505-J505)*1.65%</f>
        <v/>
      </c>
      <c r="L505" s="340">
        <f>(F505-J505)*7.6%</f>
        <v/>
      </c>
      <c r="M505" s="1097">
        <f>0.69*6</f>
        <v/>
      </c>
      <c r="N505" s="785">
        <f>(G505+I505)*(9.25%)</f>
        <v/>
      </c>
      <c r="O505" s="701">
        <f>5.35*6</f>
        <v/>
      </c>
      <c r="P505" s="1016">
        <f>(F505 - (G505+I505+O505+(J505+K505+L505))) - (H505-M505-N505)</f>
        <v/>
      </c>
      <c r="Q505" s="462">
        <f>P505/F505</f>
        <v/>
      </c>
      <c r="R505" s="1206" t="inlineStr">
        <is>
          <t>Ativo</t>
        </is>
      </c>
      <c r="S505" s="904" t="inlineStr">
        <is>
          <t>6un</t>
        </is>
      </c>
      <c r="T505" s="569" t="n"/>
      <c r="U505" s="1030" t="n"/>
      <c r="V505" s="1030" t="n"/>
      <c r="W505" s="1030" t="n"/>
    </row>
    <row r="506" ht="15.75" customHeight="1" s="1349">
      <c r="A506" s="1292" t="inlineStr">
        <is>
          <t>6154859106</t>
        </is>
      </c>
      <c r="B506" s="884" t="n">
        <v>152</v>
      </c>
      <c r="C506" s="904" t="inlineStr">
        <is>
          <t>MARLUVAS</t>
        </is>
      </c>
      <c r="D506" s="765" t="inlineStr">
        <is>
          <t>Tenis Elástico Ocupacional Bidensidade Confortável Bico Pvc</t>
        </is>
      </c>
      <c r="E506" s="904" t="n"/>
      <c r="F506" s="856" t="n">
        <v>108.11</v>
      </c>
      <c r="G506" s="1016">
        <f>F506*17%</f>
        <v/>
      </c>
      <c r="H506" s="831" t="n">
        <v>-2.57</v>
      </c>
      <c r="I506" s="904" t="n">
        <v>16.45</v>
      </c>
      <c r="J506" s="340">
        <f>F506*18%</f>
        <v/>
      </c>
      <c r="K506" s="340">
        <f>(F506-J506)*1.65%</f>
        <v/>
      </c>
      <c r="L506" s="340">
        <f>(F506-J506)*7.6%</f>
        <v/>
      </c>
      <c r="M506" s="1097" t="n">
        <v>11.62</v>
      </c>
      <c r="N506" s="785">
        <f>(G506+I506)*(9.25%)</f>
        <v/>
      </c>
      <c r="O506" s="701" t="n">
        <v>57.7</v>
      </c>
      <c r="P506" s="1016">
        <f>(F506 - (G506+I506+O506+(J506+K506+L506))) - (H506-M506-N506)</f>
        <v/>
      </c>
      <c r="Q506" s="462">
        <f>P506/F506</f>
        <v/>
      </c>
      <c r="R506" s="1206" t="inlineStr">
        <is>
          <t>Ativo</t>
        </is>
      </c>
      <c r="S506" s="904" t="n"/>
      <c r="T506" s="569" t="n"/>
      <c r="U506" s="1030" t="n"/>
      <c r="V506" s="1030" t="n"/>
      <c r="W506" s="1030" t="n"/>
    </row>
    <row r="507" ht="15.75" customHeight="1" s="1349">
      <c r="A507" s="1292" t="inlineStr">
        <is>
          <t>6154902818</t>
        </is>
      </c>
      <c r="B507" s="884" t="n">
        <v>10034034166512</v>
      </c>
      <c r="C507" s="904" t="inlineStr">
        <is>
          <t>Atlas</t>
        </is>
      </c>
      <c r="D507" s="481" t="inlineStr">
        <is>
          <t>Garfo De Pintura Estilo Gaiola Sem Rosca 23cm Pintura Obra</t>
        </is>
      </c>
      <c r="E507" s="904" t="n"/>
      <c r="F507" s="856" t="n">
        <v>19.4</v>
      </c>
      <c r="G507" s="1016">
        <f>F507*16.5%</f>
        <v/>
      </c>
      <c r="H507" s="831" t="n">
        <v>-0.1</v>
      </c>
      <c r="I507" s="904" t="n">
        <v>6.65</v>
      </c>
      <c r="J507" s="340">
        <f>F507*18%</f>
        <v/>
      </c>
      <c r="K507" s="340">
        <f>(F507-J507)*1.65%</f>
        <v/>
      </c>
      <c r="L507" s="340">
        <f>(F507-J507)*7.6%</f>
        <v/>
      </c>
      <c r="M507" s="1097">
        <f>1.43*1</f>
        <v/>
      </c>
      <c r="N507" s="785">
        <f>(G507+I507)*(9.25%)</f>
        <v/>
      </c>
      <c r="O507" s="701">
        <f>5.88*1</f>
        <v/>
      </c>
      <c r="P507" s="1016">
        <f>(F507 - (G507+I507+O507+(J507+K507+L507))) - (H507-M507-N507)</f>
        <v/>
      </c>
      <c r="Q507" s="462">
        <f>P507/F507</f>
        <v/>
      </c>
      <c r="R507" s="1206" t="inlineStr">
        <is>
          <t>Ativo</t>
        </is>
      </c>
      <c r="S507" s="904" t="inlineStr">
        <is>
          <t>1X</t>
        </is>
      </c>
      <c r="T507" s="569" t="n"/>
      <c r="U507" s="1030" t="n"/>
      <c r="V507" s="1030" t="n"/>
      <c r="W507" s="1030" t="n"/>
    </row>
    <row r="508" ht="15.75" customHeight="1" s="1349">
      <c r="A508" s="1292" t="inlineStr">
        <is>
          <t>6154889986</t>
        </is>
      </c>
      <c r="B508" s="884" t="n">
        <v>10034034168083</v>
      </c>
      <c r="C508" s="904" t="inlineStr">
        <is>
          <t>Atlas</t>
        </is>
      </c>
      <c r="D508" s="765" t="inlineStr">
        <is>
          <t>Kit 2 Garfo De Pintura Gaiola Sem Rosca Cano Curto Pintura</t>
        </is>
      </c>
      <c r="E508" s="904" t="n"/>
      <c r="F508" s="856" t="n">
        <v>25.99</v>
      </c>
      <c r="G508" s="1016">
        <f>F508*16.5%</f>
        <v/>
      </c>
      <c r="H508" s="831" t="n">
        <v>-1.3</v>
      </c>
      <c r="I508" s="904">
        <f>IFS(
  F508&lt;12.5, F508/2,
  F508&lt;29, 6.25,
  F508&lt;50, 6.5,
  F508&lt;=79, 6.75,
  TRUE, 25
)</f>
        <v/>
      </c>
      <c r="J508" s="340">
        <f>F508*18%</f>
        <v/>
      </c>
      <c r="K508" s="340">
        <f>(F508-J508)*1.65%</f>
        <v/>
      </c>
      <c r="L508" s="340">
        <f>(F508-J508)*7.6%</f>
        <v/>
      </c>
      <c r="M508" s="1097">
        <f>1.43*2</f>
        <v/>
      </c>
      <c r="N508" s="785">
        <f>(G508+I508)*(9.25%)</f>
        <v/>
      </c>
      <c r="O508" s="701">
        <f>5.88*2</f>
        <v/>
      </c>
      <c r="P508" s="1016">
        <f>(F508 - (G508+I508+O508+(J508+K508+L508))) - (H508-M508-N508)</f>
        <v/>
      </c>
      <c r="Q508" s="462">
        <f>P508/F508</f>
        <v/>
      </c>
      <c r="R508" s="1206" t="inlineStr">
        <is>
          <t>Ativo</t>
        </is>
      </c>
      <c r="S508" s="904" t="inlineStr">
        <is>
          <t>2X</t>
        </is>
      </c>
      <c r="T508" s="569" t="n"/>
      <c r="U508" s="1030" t="n"/>
      <c r="V508" s="1030" t="n"/>
      <c r="W508" s="1030" t="n"/>
    </row>
    <row r="509" ht="15.75" customHeight="1" s="1349">
      <c r="A509" s="1292" t="inlineStr">
        <is>
          <t>6154864038</t>
        </is>
      </c>
      <c r="B509" s="884" t="n">
        <v>10034034168084</v>
      </c>
      <c r="C509" s="904" t="inlineStr">
        <is>
          <t>Atlas</t>
        </is>
      </c>
      <c r="D509" s="481" t="inlineStr">
        <is>
          <t>Kit 4 Suporte Garfo De Pintura Gaiola Sem Rosca P/ Rolo Aço</t>
        </is>
      </c>
      <c r="E509" s="904" t="n"/>
      <c r="F509" s="856" t="n">
        <v>53.82</v>
      </c>
      <c r="G509" s="1016">
        <f>F509*16.5%</f>
        <v/>
      </c>
      <c r="H509" s="831" t="n">
        <v>-1.66</v>
      </c>
      <c r="I509" s="904">
        <f>IFS(
F509&lt;12.5, F509/2,
F509&lt;29, 6.25,
F509&lt;50, 6.5,
F509&lt;=79, 6.75,
TRUE, 
25)</f>
        <v/>
      </c>
      <c r="J509" s="340">
        <f>F509*18%</f>
        <v/>
      </c>
      <c r="K509" s="340">
        <f>(F509-J509)*1.65%</f>
        <v/>
      </c>
      <c r="L509" s="340">
        <f>(F509-J509)*7.6%</f>
        <v/>
      </c>
      <c r="M509" s="577" t="n"/>
      <c r="N509" s="543">
        <f>(G509+I509)*(9.25%)</f>
        <v/>
      </c>
      <c r="O509" s="648">
        <f>5.88*4</f>
        <v/>
      </c>
      <c r="P509" s="1016">
        <f>(F509 - (G509+I509+O509+(J509+K509+L509))) - (H509-M509-N509)</f>
        <v/>
      </c>
      <c r="Q509" s="462">
        <f>P509/F509</f>
        <v/>
      </c>
      <c r="R509" s="1206" t="inlineStr">
        <is>
          <t>Ativo</t>
        </is>
      </c>
      <c r="S509" s="904" t="inlineStr">
        <is>
          <t>4X</t>
        </is>
      </c>
      <c r="T509" s="569" t="n"/>
      <c r="U509" s="1030" t="n"/>
      <c r="V509" s="1030" t="n"/>
      <c r="W509" s="1030" t="n"/>
    </row>
    <row r="510" ht="15.75" customHeight="1" s="1349">
      <c r="A510" s="1292" t="inlineStr">
        <is>
          <t>6159789948</t>
        </is>
      </c>
      <c r="B510" s="884" t="n">
        <v>10034034167374</v>
      </c>
      <c r="C510" s="904" t="inlineStr">
        <is>
          <t>ÂNCORA</t>
        </is>
      </c>
      <c r="D510" s="765" t="inlineStr">
        <is>
          <t>Kit 20 Tela Amarração Alvenaria Aço Obra Tel120 12cm X 50cm</t>
        </is>
      </c>
      <c r="E510" s="904" t="n"/>
      <c r="F510" s="856" t="n">
        <v>55.19</v>
      </c>
      <c r="G510" s="1016">
        <f>F510*16.5%</f>
        <v/>
      </c>
      <c r="H510" s="831" t="n">
        <v>-2.38</v>
      </c>
      <c r="I510" s="904" t="n">
        <v>7.95</v>
      </c>
      <c r="J510" s="340">
        <f>F510*18%</f>
        <v/>
      </c>
      <c r="K510" s="340">
        <f>(F510-J510)*1.65%</f>
        <v/>
      </c>
      <c r="L510" s="340">
        <f>(F510-J510)*7.6%</f>
        <v/>
      </c>
      <c r="M510" s="1097">
        <f>11.59/5</f>
        <v/>
      </c>
      <c r="N510" s="785">
        <f>(G510+I510)*(9.25%)</f>
        <v/>
      </c>
      <c r="O510" s="708">
        <f>89.96/5</f>
        <v/>
      </c>
      <c r="P510" s="1016">
        <f>(F510 - (G510+I510+O510+(J510+K510+L510))) - (H510-M510-N510)</f>
        <v/>
      </c>
      <c r="Q510" s="462">
        <f>P510/F510</f>
        <v/>
      </c>
      <c r="R510" s="1206" t="inlineStr">
        <is>
          <t>Ativo</t>
        </is>
      </c>
      <c r="S510" s="904" t="inlineStr">
        <is>
          <t>20un</t>
        </is>
      </c>
      <c r="T510" s="569" t="n"/>
      <c r="U510" s="1030" t="n"/>
      <c r="V510" s="1030" t="n"/>
      <c r="W510" s="1030" t="n"/>
    </row>
    <row r="511" ht="15.75" customHeight="1" s="1349">
      <c r="A511" s="1292" t="n"/>
      <c r="B511" s="811" t="e">
        <v>#N/A</v>
      </c>
      <c r="C511" s="904" t="inlineStr">
        <is>
          <t>ÂNCORA</t>
        </is>
      </c>
      <c r="D511" s="904" t="inlineStr">
        <is>
          <t>bucha 10 oca</t>
        </is>
      </c>
      <c r="E511" s="904" t="n"/>
      <c r="F511" s="856" t="n">
        <v>19</v>
      </c>
      <c r="G511" s="1016">
        <f>F511*16.5%</f>
        <v/>
      </c>
      <c r="H511" s="831" t="n"/>
      <c r="I511" s="904">
        <f>IFS(
  F511&lt;12.5, F511/2,
  F511&lt;29, 6.25,
  F511&lt;50, 6.5,
  F511&lt;=79, 6.75,
  TRUE, 25
)</f>
        <v/>
      </c>
      <c r="J511" s="340">
        <f>F511*18%</f>
        <v/>
      </c>
      <c r="K511" s="340">
        <f>(F511-J511)*1.65%</f>
        <v/>
      </c>
      <c r="L511" s="340">
        <f>(F511-J511)*7.6%</f>
        <v/>
      </c>
      <c r="M511" s="577" t="n"/>
      <c r="N511" s="543">
        <f>(G511+I511)*(9.25%)</f>
        <v/>
      </c>
      <c r="O511" s="730">
        <f>19.15/10</f>
        <v/>
      </c>
      <c r="P511" s="1016">
        <f>(F511 - (G511+I511+O511+(J511+K511+L511))) - (H511-M511-N511)</f>
        <v/>
      </c>
      <c r="Q511" s="462">
        <f>P511/F511</f>
        <v/>
      </c>
      <c r="R511" s="1206" t="n"/>
      <c r="S511" s="904" t="inlineStr">
        <is>
          <t>10un</t>
        </is>
      </c>
      <c r="T511" s="569" t="n"/>
      <c r="U511" s="1030" t="n"/>
      <c r="V511" s="1030" t="n"/>
      <c r="W511" s="1030" t="n"/>
    </row>
    <row r="512" ht="15.75" customHeight="1" s="1349">
      <c r="A512" s="1292" t="n"/>
      <c r="B512" s="811" t="e">
        <v>#N/A</v>
      </c>
      <c r="C512" s="904" t="inlineStr">
        <is>
          <t>ÂNCORA</t>
        </is>
      </c>
      <c r="D512" s="904" t="inlineStr">
        <is>
          <t>bucha 10 oca</t>
        </is>
      </c>
      <c r="E512" s="904" t="n"/>
      <c r="F512" s="856" t="n">
        <v>22.5</v>
      </c>
      <c r="G512" s="1016">
        <f>F512*16.5%</f>
        <v/>
      </c>
      <c r="H512" s="831" t="n"/>
      <c r="I512" s="904">
        <f>IFS(
F512&lt;12.5, F512/2,
F512&lt;29, 6.25,
F512&lt;50, 6.5,
F512&lt;=79, 6.75,
TRUE, 
25)</f>
        <v/>
      </c>
      <c r="J512" s="340">
        <f>F512*18%</f>
        <v/>
      </c>
      <c r="K512" s="340">
        <f>(F512-J512)*1.65%</f>
        <v/>
      </c>
      <c r="L512" s="340">
        <f>(F512-J512)*7.6%</f>
        <v/>
      </c>
      <c r="M512" s="577" t="n"/>
      <c r="N512" s="543">
        <f>(G512+I512)*(9.25%)</f>
        <v/>
      </c>
      <c r="O512" s="730">
        <f>19.15/2</f>
        <v/>
      </c>
      <c r="P512" s="1016">
        <f>(F512 - (G512+I512+O512+(J512+K512+L512))) - (H512-M512-N512)</f>
        <v/>
      </c>
      <c r="Q512" s="462">
        <f>P512/F512</f>
        <v/>
      </c>
      <c r="R512" s="1206" t="n"/>
      <c r="S512" s="904" t="inlineStr">
        <is>
          <t>50un</t>
        </is>
      </c>
      <c r="T512" s="569" t="n"/>
      <c r="U512" s="1030" t="n"/>
      <c r="V512" s="1030" t="n"/>
      <c r="W512" s="1030" t="n"/>
    </row>
    <row r="513" ht="15.75" customHeight="1" s="1349">
      <c r="A513" s="1292" t="n"/>
      <c r="B513" s="811" t="e">
        <v>#N/A</v>
      </c>
      <c r="C513" s="904" t="inlineStr">
        <is>
          <t>ÂNCORA</t>
        </is>
      </c>
      <c r="D513" s="904" t="inlineStr">
        <is>
          <t>bucha 10 oca</t>
        </is>
      </c>
      <c r="E513" s="904" t="n"/>
      <c r="F513" s="856" t="n">
        <v>36.9</v>
      </c>
      <c r="G513" s="1016">
        <f>F513*16.5%</f>
        <v/>
      </c>
      <c r="H513" s="831" t="n"/>
      <c r="I513" s="904">
        <f>IFS(
F513&lt;12.5, F513/2,
F513&lt;29, 6.25,
F513&lt;50, 6.5,
F513&lt;=79, 6.75,
TRUE, 
25)</f>
        <v/>
      </c>
      <c r="J513" s="340">
        <f>F513*18%</f>
        <v/>
      </c>
      <c r="K513" s="340">
        <f>(F513-J513)*1.65%</f>
        <v/>
      </c>
      <c r="L513" s="340">
        <f>(F513-J513)*7.6%</f>
        <v/>
      </c>
      <c r="M513" s="577" t="n"/>
      <c r="N513" s="543">
        <f>(G513+I513)*(9.25%)</f>
        <v/>
      </c>
      <c r="O513" s="730" t="n">
        <v>19.15</v>
      </c>
      <c r="P513" s="1016">
        <f>(F513 - (G513+I513+O513+(J513+K513+L513))) - (H513-M513-N513)</f>
        <v/>
      </c>
      <c r="Q513" s="462">
        <f>P513/F513</f>
        <v/>
      </c>
      <c r="R513" s="1206" t="n"/>
      <c r="S513" s="904" t="inlineStr">
        <is>
          <t>100un</t>
        </is>
      </c>
      <c r="T513" s="569" t="n"/>
      <c r="U513" s="1030" t="n"/>
      <c r="V513" s="1030" t="n"/>
      <c r="W513" s="1030" t="n"/>
    </row>
    <row r="514" ht="15.75" customHeight="1" s="1349">
      <c r="A514" s="1292" t="inlineStr">
        <is>
          <t>6169979664</t>
        </is>
      </c>
      <c r="B514" s="884" t="n">
        <v>10034034168096</v>
      </c>
      <c r="C514" s="904" t="inlineStr">
        <is>
          <t>ÂNCORA</t>
        </is>
      </c>
      <c r="D514" s="481" t="inlineStr">
        <is>
          <t>10 Bucha Nylon 6 Fixação Parede Oca Placa Drywall Com Anel</t>
        </is>
      </c>
      <c r="E514" s="904" t="n"/>
      <c r="F514" s="794" t="n">
        <v>9</v>
      </c>
      <c r="G514" s="1016">
        <f>F514*16.5%</f>
        <v/>
      </c>
      <c r="H514" s="831" t="n"/>
      <c r="I514" s="904">
        <f>IFS(
F514&lt;12.5, F514/2,
F514&lt;29, 6.25,
F514&lt;50, 6.5,
F514&lt;=79, 6.75,
TRUE, 
25)</f>
        <v/>
      </c>
      <c r="J514" s="340">
        <f>F514*18%</f>
        <v/>
      </c>
      <c r="K514" s="340">
        <f>(F514-J514)*1.65%</f>
        <v/>
      </c>
      <c r="L514" s="340">
        <f>(F514-J514)*7.6%</f>
        <v/>
      </c>
      <c r="M514" s="577" t="n"/>
      <c r="N514" s="543">
        <f>(G514+I514)*(9.25%)</f>
        <v/>
      </c>
      <c r="O514" s="730">
        <f>5.0485/10</f>
        <v/>
      </c>
      <c r="P514" s="1016">
        <f>(F514 - (G514+I514+O514+(J514+K514+L514))) - (H514-M514-N514)</f>
        <v/>
      </c>
      <c r="Q514" s="462">
        <f>P514/F514</f>
        <v/>
      </c>
      <c r="R514" s="1206" t="inlineStr">
        <is>
          <t>sem estoque</t>
        </is>
      </c>
      <c r="S514" s="904" t="inlineStr">
        <is>
          <t>10un OCA</t>
        </is>
      </c>
      <c r="T514" s="569" t="n"/>
      <c r="U514" s="1030" t="n"/>
      <c r="V514" s="1030" t="n"/>
      <c r="W514" s="1030" t="n"/>
    </row>
    <row r="515" ht="15.75" customHeight="1" s="1349">
      <c r="A515" s="1292" t="inlineStr">
        <is>
          <t>6169928220</t>
        </is>
      </c>
      <c r="B515" s="884" t="n">
        <v>10034034168097</v>
      </c>
      <c r="C515" s="904" t="inlineStr">
        <is>
          <t>ÂNCORA</t>
        </is>
      </c>
      <c r="D515" s="481" t="inlineStr">
        <is>
          <t>50 Bucha Fixação Nyon 6mm X 36mm Multi Uso Parede Oca Maçica</t>
        </is>
      </c>
      <c r="E515" s="904" t="n"/>
      <c r="F515" s="856" t="n">
        <v>19</v>
      </c>
      <c r="G515" s="1016">
        <f>F515*16.5%</f>
        <v/>
      </c>
      <c r="H515" s="831" t="n"/>
      <c r="I515" s="904">
        <f>IFS(
F515&lt;12.5, F515/2,
F515&lt;29, 6.25,
F515&lt;50, 6.5,
F515&lt;=79, 6.75,
TRUE, 
25)</f>
        <v/>
      </c>
      <c r="J515" s="340">
        <f>F515*18%</f>
        <v/>
      </c>
      <c r="K515" s="340">
        <f>(F515-J515)*1.65%</f>
        <v/>
      </c>
      <c r="L515" s="340">
        <f>(F515-J515)*7.6%</f>
        <v/>
      </c>
      <c r="M515" s="577" t="n"/>
      <c r="N515" s="543">
        <f>(G515+I515)*(9.25%)</f>
        <v/>
      </c>
      <c r="O515" s="730">
        <f>5.0485/2</f>
        <v/>
      </c>
      <c r="P515" s="1016">
        <f>(F515 - (G515+I515+O515+(J515+K515+L515))) - (H515-M515-N515)</f>
        <v/>
      </c>
      <c r="Q515" s="462">
        <f>P515/F515</f>
        <v/>
      </c>
      <c r="R515" s="1206" t="inlineStr">
        <is>
          <t>sem estoque</t>
        </is>
      </c>
      <c r="S515" s="904" t="inlineStr">
        <is>
          <t>50un OCA</t>
        </is>
      </c>
      <c r="T515" s="569" t="n"/>
      <c r="U515" s="1030" t="n"/>
      <c r="V515" s="1030" t="n"/>
      <c r="W515" s="1030" t="n"/>
    </row>
    <row r="516" ht="15.75" customHeight="1" s="1349">
      <c r="A516" s="1292" t="inlineStr">
        <is>
          <t>6170096716</t>
        </is>
      </c>
      <c r="B516" s="884" t="n">
        <v>10034034168098</v>
      </c>
      <c r="C516" s="904" t="inlineStr">
        <is>
          <t>ÂNCORA</t>
        </is>
      </c>
      <c r="D516" s="481" t="inlineStr">
        <is>
          <t>Kit 100 Bucha Nylon 6mm Fixação Bloco Estrutural Parede Oca</t>
        </is>
      </c>
      <c r="E516" s="904" t="n"/>
      <c r="F516" s="856" t="n">
        <v>22.9</v>
      </c>
      <c r="G516" s="1016">
        <f>F516*16.5%</f>
        <v/>
      </c>
      <c r="H516" s="831" t="n"/>
      <c r="I516" s="904">
        <f>IFS(
F516&lt;12.5, F516/2,
F516&lt;29, 6.25,
F516&lt;50, 6.5,
F516&lt;=79, 6.75,
TRUE, 
25)</f>
        <v/>
      </c>
      <c r="J516" s="340">
        <f>F516*18%</f>
        <v/>
      </c>
      <c r="K516" s="340">
        <f>(F516-J516)*1.65%</f>
        <v/>
      </c>
      <c r="L516" s="340">
        <f>(F516-J516)*7.6%</f>
        <v/>
      </c>
      <c r="M516" s="577" t="n"/>
      <c r="N516" s="543">
        <f>(G516+I516)*(9.25%)</f>
        <v/>
      </c>
      <c r="O516" s="730">
        <f>5.0485</f>
        <v/>
      </c>
      <c r="P516" s="1016">
        <f>(F516 - (G516+I516+O516+(J516+K516+L516))) - (H516-M516-N516)</f>
        <v/>
      </c>
      <c r="Q516" s="462">
        <f>P516/F516</f>
        <v/>
      </c>
      <c r="R516" s="1206" t="inlineStr">
        <is>
          <t>sem estoque</t>
        </is>
      </c>
      <c r="S516" s="904" t="inlineStr">
        <is>
          <t>100un OCA</t>
        </is>
      </c>
      <c r="T516" s="569" t="n"/>
      <c r="U516" s="1030" t="n"/>
      <c r="V516" s="1030" t="n"/>
      <c r="W516" s="1030" t="n"/>
    </row>
    <row r="517" ht="15.75" customHeight="1" s="1349">
      <c r="A517" s="1292" t="inlineStr">
        <is>
          <t>6169901426</t>
        </is>
      </c>
      <c r="B517" s="884" t="n">
        <v>10034034168099</v>
      </c>
      <c r="C517" s="904" t="inlineStr">
        <is>
          <t>ÂNCORA</t>
        </is>
      </c>
      <c r="D517" s="481" t="inlineStr">
        <is>
          <t>Kit 10 Bucha Nylon 8 Fixação Parede Oca Concreto Drywall</t>
        </is>
      </c>
      <c r="E517" s="904" t="n"/>
      <c r="F517" s="794" t="n">
        <v>10</v>
      </c>
      <c r="G517" s="1016">
        <f>F517*16.5%</f>
        <v/>
      </c>
      <c r="H517" s="831" t="n"/>
      <c r="I517" s="904">
        <f>IFS(
F517&lt;12.5, F517/2,
F517&lt;29, 6.25,
F517&lt;50, 6.5,
F517&lt;=79, 6.75,
TRUE, 
25)</f>
        <v/>
      </c>
      <c r="J517" s="340">
        <f>F517*18%</f>
        <v/>
      </c>
      <c r="K517" s="340">
        <f>(F517-J517)*1.65%</f>
        <v/>
      </c>
      <c r="L517" s="340">
        <f>(F517-J517)*7.6%</f>
        <v/>
      </c>
      <c r="M517" s="577" t="n"/>
      <c r="N517" s="543">
        <f>(G517+I517)*(9.25%)</f>
        <v/>
      </c>
      <c r="O517" s="730">
        <f>10.78/10</f>
        <v/>
      </c>
      <c r="P517" s="1016">
        <f>(F517 - (G517+I517+O517+(J517+K517+L517))) - (H517-M517-N517)</f>
        <v/>
      </c>
      <c r="Q517" s="462">
        <f>P517/F517</f>
        <v/>
      </c>
      <c r="R517" s="1206" t="inlineStr">
        <is>
          <t>sem estoque</t>
        </is>
      </c>
      <c r="S517" s="904" t="inlineStr">
        <is>
          <t>10un OCA</t>
        </is>
      </c>
      <c r="T517" s="569" t="n"/>
      <c r="U517" s="1030" t="n"/>
      <c r="V517" s="1030" t="n"/>
      <c r="W517" s="1030" t="n"/>
    </row>
    <row r="518" ht="15.75" customHeight="1" s="1349">
      <c r="A518" s="1292" t="inlineStr">
        <is>
          <t>4421155151</t>
        </is>
      </c>
      <c r="B518" s="884" t="n">
        <v>10034034168100</v>
      </c>
      <c r="C518" s="904" t="inlineStr">
        <is>
          <t>ÂNCORA</t>
        </is>
      </c>
      <c r="D518" s="481" t="inlineStr">
        <is>
          <t>Kit 50 Bucha Nylon 8 Fixação 50mm Base Oca Maciça Multi Uso</t>
        </is>
      </c>
      <c r="E518" s="904" t="n"/>
      <c r="F518" s="856" t="n">
        <v>19</v>
      </c>
      <c r="G518" s="1016">
        <f>F518*16.5%</f>
        <v/>
      </c>
      <c r="H518" s="831" t="n"/>
      <c r="I518" s="904">
        <f>IFS(
F518&lt;12.5, F518/2,
F518&lt;29, 6.25,
F518&lt;50, 6.5,
F518&lt;=79, 6.75,
TRUE, 
25)</f>
        <v/>
      </c>
      <c r="J518" s="340">
        <f>F518*18%</f>
        <v/>
      </c>
      <c r="K518" s="340">
        <f>(F518-J518)*1.65%</f>
        <v/>
      </c>
      <c r="L518" s="340">
        <f>(F518-J518)*7.6%</f>
        <v/>
      </c>
      <c r="M518" s="577" t="n"/>
      <c r="N518" s="543">
        <f>(G518+I518)*(9.25%)</f>
        <v/>
      </c>
      <c r="O518" s="730">
        <f>10.78/2</f>
        <v/>
      </c>
      <c r="P518" s="1016">
        <f>(F518 - (G518+I518+O518+(J518+K518+L518))) - (H518-M518-N518)</f>
        <v/>
      </c>
      <c r="Q518" s="462">
        <f>P518/F518</f>
        <v/>
      </c>
      <c r="R518" s="1206" t="inlineStr">
        <is>
          <t>sem estoque</t>
        </is>
      </c>
      <c r="S518" s="904" t="inlineStr">
        <is>
          <t>50un OCA</t>
        </is>
      </c>
      <c r="T518" s="569" t="n"/>
      <c r="U518" s="1030" t="n"/>
      <c r="V518" s="1030" t="n"/>
      <c r="W518" s="1030" t="n"/>
    </row>
    <row r="519" ht="15.75" customHeight="1" s="1349">
      <c r="A519" s="1292" t="inlineStr">
        <is>
          <t>6169953816</t>
        </is>
      </c>
      <c r="B519" s="884" t="n">
        <v>10034034168101</v>
      </c>
      <c r="C519" s="904" t="inlineStr">
        <is>
          <t>ÂNCORA</t>
        </is>
      </c>
      <c r="D519" s="481" t="inlineStr">
        <is>
          <t>Kit 100 Bucha Nylon 8 Fixação Aba Anel Parede Oca Drywall</t>
        </is>
      </c>
      <c r="E519" s="904" t="n"/>
      <c r="F519" s="856" t="n">
        <v>25.9</v>
      </c>
      <c r="G519" s="1016">
        <f>F519*16.5%</f>
        <v/>
      </c>
      <c r="H519" s="831" t="n"/>
      <c r="I519" s="904">
        <f>IFS(
F519&lt;12.5, F519/2,
F519&lt;29, 6.25,
F519&lt;50, 6.5,
F519&lt;=79, 6.75,
TRUE, 
25)</f>
        <v/>
      </c>
      <c r="J519" s="340">
        <f>F519*18%</f>
        <v/>
      </c>
      <c r="K519" s="340">
        <f>(F519-J519)*1.65%</f>
        <v/>
      </c>
      <c r="L519" s="340">
        <f>(F519-J519)*7.6%</f>
        <v/>
      </c>
      <c r="M519" s="577" t="n"/>
      <c r="N519" s="543">
        <f>(G519+I519)*(9.25%)</f>
        <v/>
      </c>
      <c r="O519" s="730">
        <f>10.78</f>
        <v/>
      </c>
      <c r="P519" s="1016">
        <f>(F519 - (G519+I519+O519+(J519+K519+L519))) - (H519-M519-N519)</f>
        <v/>
      </c>
      <c r="Q519" s="462">
        <f>P519/F519</f>
        <v/>
      </c>
      <c r="R519" s="1206" t="inlineStr">
        <is>
          <t>sem estoque</t>
        </is>
      </c>
      <c r="S519" s="904" t="inlineStr">
        <is>
          <t>100un OCA</t>
        </is>
      </c>
      <c r="T519" s="569" t="n"/>
      <c r="U519" s="1030" t="n"/>
      <c r="V519" s="1030" t="n"/>
      <c r="W519" s="1030" t="n"/>
    </row>
    <row r="520" ht="15.75" customHeight="1" s="1349">
      <c r="A520" s="1292" t="inlineStr">
        <is>
          <t>6174699160</t>
        </is>
      </c>
      <c r="B520" s="884" t="n">
        <v>10034034168110</v>
      </c>
      <c r="C520" s="904" t="inlineStr">
        <is>
          <t>ÂNCORA</t>
        </is>
      </c>
      <c r="D520" s="481" t="inlineStr">
        <is>
          <t>Kit 10 Bucha 12 Convencional A12 Fixação Uso Geral Sem Aba</t>
        </is>
      </c>
      <c r="E520" s="904" t="n"/>
      <c r="F520" s="856" t="n">
        <v>19.95</v>
      </c>
      <c r="G520" s="1016">
        <f>F520*16.5%</f>
        <v/>
      </c>
      <c r="H520" s="831" t="n"/>
      <c r="I520" s="904">
        <f>IFS(
F520&lt;12.5, F520/2,
F520&lt;29, 6.25,
F520&lt;50, 6.5,
F520&lt;=79, 6.75,
TRUE, 
25)</f>
        <v/>
      </c>
      <c r="J520" s="340">
        <f>F520*18%</f>
        <v/>
      </c>
      <c r="K520" s="340">
        <f>(F520-J520)*1.65%</f>
        <v/>
      </c>
      <c r="L520" s="340">
        <f>(F520-J520)*7.6%</f>
        <v/>
      </c>
      <c r="M520" s="577" t="n"/>
      <c r="N520" s="543">
        <f>(G520+I520)*(9.25%)</f>
        <v/>
      </c>
      <c r="O520" s="730">
        <f>21.79/10</f>
        <v/>
      </c>
      <c r="P520" s="1016">
        <f>(F520 - (G520+I520+O520+(J520+K520+L520))) - (H520-M520-N520)</f>
        <v/>
      </c>
      <c r="Q520" s="462">
        <f>P520/F520</f>
        <v/>
      </c>
      <c r="R520" s="1206" t="inlineStr">
        <is>
          <t>sem estoque</t>
        </is>
      </c>
      <c r="S520" s="904" t="inlineStr">
        <is>
          <t>10un</t>
        </is>
      </c>
      <c r="T520" s="569" t="n"/>
      <c r="U520" s="1030" t="n"/>
      <c r="V520" s="1030" t="n"/>
      <c r="W520" s="1030" t="n"/>
    </row>
    <row r="521" ht="15.75" customHeight="1" s="1349">
      <c r="A521" s="1292" t="inlineStr">
        <is>
          <t>6174868476</t>
        </is>
      </c>
      <c r="B521" s="884" t="n">
        <v>10034034168111</v>
      </c>
      <c r="C521" s="904" t="inlineStr">
        <is>
          <t>ÂNCORA</t>
        </is>
      </c>
      <c r="D521" s="481" t="inlineStr">
        <is>
          <t>Kit 50 Bucha 12mm Convencional A12 Cargas Leves Uso Geral</t>
        </is>
      </c>
      <c r="E521" s="904" t="n"/>
      <c r="F521" s="856" t="n">
        <v>19</v>
      </c>
      <c r="G521" s="1016">
        <f>F521*16.5%</f>
        <v/>
      </c>
      <c r="H521" s="831" t="n"/>
      <c r="I521" s="904">
        <f>IFS(
F521&lt;12.5, F521/2,
F521&lt;29, 6.25,
F521&lt;50, 6.5,
F521&lt;=79, 6.75,
TRUE, 
25)</f>
        <v/>
      </c>
      <c r="J521" s="340">
        <f>F521*18%</f>
        <v/>
      </c>
      <c r="K521" s="340">
        <f>(F521-J521)*1.65%</f>
        <v/>
      </c>
      <c r="L521" s="340">
        <f>(F521-J521)*7.6%</f>
        <v/>
      </c>
      <c r="M521" s="577" t="n"/>
      <c r="N521" s="543">
        <f>(G521+I521)*(9.25%)</f>
        <v/>
      </c>
      <c r="O521" s="730">
        <f>5.0485/2</f>
        <v/>
      </c>
      <c r="P521" s="1016">
        <f>(F521 - (G521+I521+O521+(J521+K521+L521))) - (H521-M521-N521)</f>
        <v/>
      </c>
      <c r="Q521" s="462">
        <f>P521/F521</f>
        <v/>
      </c>
      <c r="R521" s="1206" t="inlineStr">
        <is>
          <t>sem estoque</t>
        </is>
      </c>
      <c r="S521" s="904" t="inlineStr">
        <is>
          <t>50un</t>
        </is>
      </c>
      <c r="T521" s="569" t="n"/>
      <c r="U521" s="1030" t="n"/>
      <c r="V521" s="1030" t="n"/>
      <c r="W521" s="1030" t="n"/>
    </row>
    <row r="522" ht="15.75" customHeight="1" s="1349">
      <c r="A522" s="1292" t="inlineStr">
        <is>
          <t>6174765626</t>
        </is>
      </c>
      <c r="B522" s="884" t="n">
        <v>10034034168112</v>
      </c>
      <c r="C522" s="904" t="inlineStr">
        <is>
          <t>ÂNCORA</t>
        </is>
      </c>
      <c r="D522" s="481" t="inlineStr">
        <is>
          <t>Pacote 100 Bucha A12 Nylon 12mm Fixação Concreto Alvenaria</t>
        </is>
      </c>
      <c r="E522" s="904" t="n"/>
      <c r="F522" s="856" t="n">
        <v>41.61</v>
      </c>
      <c r="G522" s="1016">
        <f>F522*16.5%</f>
        <v/>
      </c>
      <c r="H522" s="831" t="n">
        <v>-1.33</v>
      </c>
      <c r="I522" s="904">
        <f>IFS(
F522&lt;12.5, F522/2,
F522&lt;29, 6.25,
F522&lt;50, 6.5,
F522&lt;=79, 6.75,
TRUE, 
25)</f>
        <v/>
      </c>
      <c r="J522" s="340">
        <f>F522*18%</f>
        <v/>
      </c>
      <c r="K522" s="340">
        <f>(F522-J522)*1.65%</f>
        <v/>
      </c>
      <c r="L522" s="340">
        <f>(F522-J522)*7.6%</f>
        <v/>
      </c>
      <c r="M522" s="577" t="n"/>
      <c r="N522" s="543">
        <f>(G522+I522)*(9.25%)</f>
        <v/>
      </c>
      <c r="O522" s="730">
        <f>21.79</f>
        <v/>
      </c>
      <c r="P522" s="1016">
        <f>(F522 - (G522+I522+O522+(J522+K522+L522))) - (H522-M522-N522)</f>
        <v/>
      </c>
      <c r="Q522" s="462">
        <f>P522/F522</f>
        <v/>
      </c>
      <c r="R522" s="1206" t="inlineStr">
        <is>
          <t>sem estoque</t>
        </is>
      </c>
      <c r="S522" s="904" t="inlineStr">
        <is>
          <t>100un</t>
        </is>
      </c>
      <c r="T522" s="569" t="n"/>
      <c r="U522" s="1030" t="n"/>
      <c r="V522" s="1030" t="n"/>
      <c r="W522" s="1030" t="n"/>
    </row>
    <row r="523" ht="15.75" customHeight="1" s="1349">
      <c r="A523" s="1292" t="inlineStr">
        <is>
          <t>6174767402</t>
        </is>
      </c>
      <c r="B523" s="884" t="n">
        <v>10034034168107</v>
      </c>
      <c r="C523" s="904" t="inlineStr">
        <is>
          <t>ÂNCORA</t>
        </is>
      </c>
      <c r="D523" s="481" t="inlineStr">
        <is>
          <t>Kit 10 Bucha Poliamida 10mm Universal A10 Sem Aba Fixação</t>
        </is>
      </c>
      <c r="E523" s="904" t="n"/>
      <c r="F523" s="794" t="n">
        <v>17.51</v>
      </c>
      <c r="G523" s="1016">
        <f>F523*16.5%</f>
        <v/>
      </c>
      <c r="H523" s="831" t="n"/>
      <c r="I523" s="904" t="n">
        <v>6.75</v>
      </c>
      <c r="J523" s="340">
        <f>F523*18%</f>
        <v/>
      </c>
      <c r="K523" s="340">
        <f>(F523-J523)*1.65%</f>
        <v/>
      </c>
      <c r="L523" s="340">
        <f>(F523-J523)*7.6%</f>
        <v/>
      </c>
      <c r="M523" s="1097">
        <f>1.47/10</f>
        <v/>
      </c>
      <c r="N523" s="785">
        <f>(G523+I523)*(9.25%)</f>
        <v/>
      </c>
      <c r="O523" s="708">
        <f>12.51/10</f>
        <v/>
      </c>
      <c r="P523" s="1016">
        <f>(F523 - (G523+I523+O523+(J523+K523+L523))) - (H523-M523-N523)</f>
        <v/>
      </c>
      <c r="Q523" s="462">
        <f>P523/F523</f>
        <v/>
      </c>
      <c r="R523" s="1206" t="inlineStr">
        <is>
          <t>Ativo</t>
        </is>
      </c>
      <c r="S523" s="904" t="inlineStr">
        <is>
          <t>10un</t>
        </is>
      </c>
      <c r="T523" s="569" t="n"/>
      <c r="U523" s="1030" t="n"/>
      <c r="V523" s="1030" t="n"/>
      <c r="W523" s="1030" t="n"/>
    </row>
    <row r="524" ht="15.75" customHeight="1" s="1349">
      <c r="A524" s="1292" t="inlineStr">
        <is>
          <t>4424331707</t>
        </is>
      </c>
      <c r="B524" s="884" t="n">
        <v>10034034168108</v>
      </c>
      <c r="C524" s="904" t="inlineStr">
        <is>
          <t>ÂNCORA</t>
        </is>
      </c>
      <c r="D524" s="481" t="inlineStr">
        <is>
          <t>Kit 50 Bucha Nylon 10mm Universal A10 Fixação Alvenaria Obra</t>
        </is>
      </c>
      <c r="E524" s="904" t="n"/>
      <c r="F524" s="856" t="n">
        <v>19.4</v>
      </c>
      <c r="G524" s="1016">
        <f>F524*11.5%</f>
        <v/>
      </c>
      <c r="H524" s="831" t="n">
        <v>-0.6</v>
      </c>
      <c r="I524" s="904" t="n">
        <v>6.75</v>
      </c>
      <c r="J524" s="340">
        <f>F524*18%</f>
        <v/>
      </c>
      <c r="K524" s="340">
        <f>(F524-J524)*1.65%</f>
        <v/>
      </c>
      <c r="L524" s="340">
        <f>(F524-J524)*7.6%</f>
        <v/>
      </c>
      <c r="M524" s="577">
        <f>1.47/2</f>
        <v/>
      </c>
      <c r="N524" s="543">
        <f>(G524+I524)*(9.25%)</f>
        <v/>
      </c>
      <c r="O524" s="708">
        <f>12.51/2</f>
        <v/>
      </c>
      <c r="P524" s="1016">
        <f>(F524 - (G524+I524+O524+(J524+K524+L524))) - (H524-M524-N524)</f>
        <v/>
      </c>
      <c r="Q524" s="462">
        <f>P524/F524</f>
        <v/>
      </c>
      <c r="R524" s="1206" t="inlineStr">
        <is>
          <t>Ativo</t>
        </is>
      </c>
      <c r="S524" s="904" t="inlineStr">
        <is>
          <t>50un</t>
        </is>
      </c>
      <c r="T524" s="569" t="n"/>
      <c r="U524" s="1030" t="n"/>
      <c r="V524" s="1030" t="n"/>
      <c r="W524" s="1030" t="n"/>
    </row>
    <row r="525" ht="15.75" customHeight="1" s="1349">
      <c r="A525" s="1292" t="inlineStr">
        <is>
          <t>4424487639</t>
        </is>
      </c>
      <c r="B525" s="884" t="n">
        <v>10034034168109</v>
      </c>
      <c r="C525" s="904" t="inlineStr">
        <is>
          <t>ÂNCORA</t>
        </is>
      </c>
      <c r="D525" s="481" t="inlineStr">
        <is>
          <t>Kit 100 Bucha Nylon 10mm Universal A10 Fixação Sem Parafuso</t>
        </is>
      </c>
      <c r="E525" s="904" t="n"/>
      <c r="F525" s="856" t="n">
        <v>35.49</v>
      </c>
      <c r="G525" s="1016">
        <f>F525*16.5%</f>
        <v/>
      </c>
      <c r="H525" s="831" t="n"/>
      <c r="I525" s="904">
        <f>IFS(
  F525&lt;12.5, F525/2,
  F525&lt;29, 6.25,
  F525&lt;50, 6.5,
  F525&lt;=79, 6.75,
  TRUE, 25
)</f>
        <v/>
      </c>
      <c r="J525" s="340">
        <f>F525*18%</f>
        <v/>
      </c>
      <c r="K525" s="340">
        <f>(F525-J525)*1.65%</f>
        <v/>
      </c>
      <c r="L525" s="340">
        <f>(F525-J525)*7.6%</f>
        <v/>
      </c>
      <c r="M525" s="577" t="n"/>
      <c r="N525" s="543">
        <f>(G525+I525)*(9.25%)</f>
        <v/>
      </c>
      <c r="O525" s="730">
        <f>12.51</f>
        <v/>
      </c>
      <c r="P525" s="1016">
        <f>(F525 - (G525+I525+O525+(J525+K525+L525))) - (H525-M525-N525)</f>
        <v/>
      </c>
      <c r="Q525" s="462">
        <f>P525/F525</f>
        <v/>
      </c>
      <c r="R525" s="1206" t="inlineStr">
        <is>
          <t>Ativo</t>
        </is>
      </c>
      <c r="S525" s="904" t="inlineStr">
        <is>
          <t>100un</t>
        </is>
      </c>
      <c r="T525" s="569" t="n"/>
      <c r="U525" s="1030" t="n"/>
      <c r="V525" s="1030" t="n"/>
      <c r="W525" s="1030" t="n"/>
    </row>
    <row r="526" ht="15.75" customHeight="1" s="1349">
      <c r="A526" s="1292" t="inlineStr">
        <is>
          <t>4424367879</t>
        </is>
      </c>
      <c r="B526" s="884" t="n">
        <v>10034034168113</v>
      </c>
      <c r="C526" s="904" t="inlineStr">
        <is>
          <t>ÂNCORA</t>
        </is>
      </c>
      <c r="D526" s="481" t="inlineStr">
        <is>
          <t>Kit 10 Bucha Nylon 8 Universal A8 Reforçada Sem Anel Fixação</t>
        </is>
      </c>
      <c r="E526" s="904" t="n"/>
      <c r="F526" s="794" t="n">
        <v>9.1</v>
      </c>
      <c r="G526" s="1016">
        <f>F526*16.5%</f>
        <v/>
      </c>
      <c r="H526" s="831" t="n"/>
      <c r="I526" s="904">
        <f>IFS(
F526&lt;12.5, F526/2,
F526&lt;29, 6.25,
F526&lt;50, 6.5,
F526&lt;=79, 6.75,
TRUE, 
25)</f>
        <v/>
      </c>
      <c r="J526" s="340">
        <f>F526*18%</f>
        <v/>
      </c>
      <c r="K526" s="340">
        <f>(F526-J526)*1.65%</f>
        <v/>
      </c>
      <c r="L526" s="340">
        <f>(F526-J526)*7.6%</f>
        <v/>
      </c>
      <c r="M526" s="577" t="n"/>
      <c r="N526" s="543">
        <f>(G526+I526)*(9.25%)</f>
        <v/>
      </c>
      <c r="O526" s="730">
        <f>6.91425/10</f>
        <v/>
      </c>
      <c r="P526" s="1016">
        <f>(F526 - (G526+I526+O526+(J526+K526+L526))) - (H526-M526-N526)</f>
        <v/>
      </c>
      <c r="Q526" s="462">
        <f>P526/F526</f>
        <v/>
      </c>
      <c r="R526" s="1206" t="inlineStr">
        <is>
          <t>sem estoque</t>
        </is>
      </c>
      <c r="S526" s="904" t="inlineStr">
        <is>
          <t>10un</t>
        </is>
      </c>
      <c r="T526" s="569" t="n"/>
      <c r="U526" s="1030" t="n"/>
      <c r="V526" s="1030" t="n"/>
      <c r="W526" s="1030" t="n"/>
    </row>
    <row r="527" ht="15.75" customHeight="1" s="1349">
      <c r="A527" s="1292" t="inlineStr">
        <is>
          <t>4424304023</t>
        </is>
      </c>
      <c r="B527" s="884" t="n">
        <v>10034034168114</v>
      </c>
      <c r="C527" s="904" t="inlineStr">
        <is>
          <t>ÂNCORA</t>
        </is>
      </c>
      <c r="D527" s="481" t="inlineStr">
        <is>
          <t>50 Unidades Bucha Nylon 8 Universal A8 Poliamida Sem Anel</t>
        </is>
      </c>
      <c r="E527" s="904" t="n"/>
      <c r="F527" s="856" t="n">
        <v>19.95</v>
      </c>
      <c r="G527" s="1016">
        <f>F527*16.5%</f>
        <v/>
      </c>
      <c r="H527" s="831" t="n"/>
      <c r="I527" s="904">
        <f>IFS(
F527&lt;12.5, F527/2,
F527&lt;29, 6.25,
F527&lt;50, 6.5,
F527&lt;=79, 6.75,
TRUE, 
25)</f>
        <v/>
      </c>
      <c r="J527" s="340">
        <f>F527*18%</f>
        <v/>
      </c>
      <c r="K527" s="340">
        <f>(F527-J527)*1.65%</f>
        <v/>
      </c>
      <c r="L527" s="340">
        <f>(F527-J527)*7.6%</f>
        <v/>
      </c>
      <c r="M527" s="577" t="n"/>
      <c r="N527" s="543">
        <f>(G527+I527)*(9.25%)</f>
        <v/>
      </c>
      <c r="O527" s="730">
        <f>6.91425/2</f>
        <v/>
      </c>
      <c r="P527" s="1016">
        <f>(F527 - (G527+I527+O527+(J527+K527+L527))) - (H527-M527-N527)</f>
        <v/>
      </c>
      <c r="Q527" s="462">
        <f>P527/F527</f>
        <v/>
      </c>
      <c r="R527" s="1206" t="inlineStr">
        <is>
          <t>sem estoque</t>
        </is>
      </c>
      <c r="S527" s="904" t="inlineStr">
        <is>
          <t>50un</t>
        </is>
      </c>
      <c r="T527" s="569" t="n"/>
      <c r="U527" s="1030" t="n"/>
      <c r="V527" s="1030" t="n"/>
      <c r="W527" s="1030" t="n"/>
    </row>
    <row r="528" ht="15.75" customHeight="1" s="1349">
      <c r="A528" s="1292" t="inlineStr">
        <is>
          <t>4424343927</t>
        </is>
      </c>
      <c r="B528" s="884" t="n">
        <v>10034034168115</v>
      </c>
      <c r="C528" s="904" t="inlineStr">
        <is>
          <t>ÂNCORA</t>
        </is>
      </c>
      <c r="D528" s="481" t="inlineStr">
        <is>
          <t>100 Bucha Nylon 8 Universal A8 Nylon Profissional Sem Anel</t>
        </is>
      </c>
      <c r="E528" s="904" t="n"/>
      <c r="F528" s="856" t="n">
        <v>21</v>
      </c>
      <c r="G528" s="1016">
        <f>F528*16.5%</f>
        <v/>
      </c>
      <c r="H528" s="831" t="n"/>
      <c r="I528" s="904">
        <f>IFS(
F528&lt;12.5, F528/2,
F528&lt;29, 6.25,
F528&lt;50, 6.5,
F528&lt;=79, 6.75,
TRUE, 
25)</f>
        <v/>
      </c>
      <c r="J528" s="340">
        <f>F528*18%</f>
        <v/>
      </c>
      <c r="K528" s="340">
        <f>(F528-J528)*1.65%</f>
        <v/>
      </c>
      <c r="L528" s="340">
        <f>(F528-J528)*7.6%</f>
        <v/>
      </c>
      <c r="M528" s="577" t="n"/>
      <c r="N528" s="543">
        <f>(G528+I528)*(9.25%)</f>
        <v/>
      </c>
      <c r="O528" s="730">
        <f>6.91425</f>
        <v/>
      </c>
      <c r="P528" s="1016">
        <f>(F528 - (G528+I528+O528+(J528+K528+L528))) - (H528-M528-N528)</f>
        <v/>
      </c>
      <c r="Q528" s="462">
        <f>P528/F528</f>
        <v/>
      </c>
      <c r="R528" s="1206" t="inlineStr">
        <is>
          <t>sem estoque</t>
        </is>
      </c>
      <c r="S528" s="904" t="inlineStr">
        <is>
          <t>100un</t>
        </is>
      </c>
      <c r="T528" s="569" t="n"/>
      <c r="U528" s="1030" t="n"/>
      <c r="V528" s="1030" t="n"/>
      <c r="W528" s="1030" t="n"/>
    </row>
    <row r="529" ht="15.75" customHeight="1" s="1349">
      <c r="A529" s="1292" t="n"/>
      <c r="B529" s="811" t="e">
        <v>#N/A</v>
      </c>
      <c r="C529" s="904" t="inlineStr">
        <is>
          <t>ÂNCORA</t>
        </is>
      </c>
      <c r="D529" s="904" t="inlineStr">
        <is>
          <t>bucha a6</t>
        </is>
      </c>
      <c r="E529" s="904" t="n"/>
      <c r="F529" s="856" t="n">
        <v>21</v>
      </c>
      <c r="G529" s="1016">
        <f>F529*16.5%</f>
        <v/>
      </c>
      <c r="H529" s="831" t="n"/>
      <c r="I529" s="904">
        <f>IFS(
F529&lt;12.5, F529/2,
F529&lt;29, 6.25,
F529&lt;50, 6.5,
F529&lt;=79, 6.75,
TRUE, 
25)</f>
        <v/>
      </c>
      <c r="J529" s="340">
        <f>F529*18%</f>
        <v/>
      </c>
      <c r="K529" s="340">
        <f>(F529-J529)*1.65%</f>
        <v/>
      </c>
      <c r="L529" s="340">
        <f>(F529-J529)*7.6%</f>
        <v/>
      </c>
      <c r="M529" s="577" t="n"/>
      <c r="N529" s="543">
        <f>(G529+I529)*(9.25%)</f>
        <v/>
      </c>
      <c r="O529" s="730">
        <f>3.62175/10</f>
        <v/>
      </c>
      <c r="P529" s="1016">
        <f>(F529 - (G529+I529+O529+(J529+K529+L529))) - (H529-M529-N529)</f>
        <v/>
      </c>
      <c r="Q529" s="462">
        <f>P529/F529</f>
        <v/>
      </c>
      <c r="R529" s="1206" t="n"/>
      <c r="S529" s="904" t="inlineStr">
        <is>
          <t>10un</t>
        </is>
      </c>
      <c r="T529" s="569" t="n"/>
      <c r="U529" s="1030" t="n"/>
      <c r="V529" s="1030" t="n"/>
      <c r="W529" s="1030" t="n"/>
    </row>
    <row r="530" ht="15.75" customHeight="1" s="1349">
      <c r="A530" s="1292" t="n"/>
      <c r="B530" s="811" t="e">
        <v>#N/A</v>
      </c>
      <c r="C530" s="904" t="inlineStr">
        <is>
          <t>ÂNCORA</t>
        </is>
      </c>
      <c r="D530" s="904" t="inlineStr">
        <is>
          <t>bucha a6</t>
        </is>
      </c>
      <c r="E530" s="904" t="n"/>
      <c r="F530" s="856" t="n">
        <v>21</v>
      </c>
      <c r="G530" s="1016">
        <f>F530*16.5%</f>
        <v/>
      </c>
      <c r="H530" s="831" t="n"/>
      <c r="I530" s="904">
        <f>IFS(
F530&lt;12.5, F530/2,
F530&lt;29, 6.25,
F530&lt;50, 6.5,
F530&lt;=79, 6.75,
TRUE, 
25)</f>
        <v/>
      </c>
      <c r="J530" s="340">
        <f>F530*18%</f>
        <v/>
      </c>
      <c r="K530" s="340">
        <f>(F530-J530)*1.65%</f>
        <v/>
      </c>
      <c r="L530" s="340">
        <f>(F530-J530)*7.6%</f>
        <v/>
      </c>
      <c r="M530" s="577" t="n"/>
      <c r="N530" s="543">
        <f>(G530+I530)*(9.25%)</f>
        <v/>
      </c>
      <c r="O530" s="730">
        <f>3.62175/2</f>
        <v/>
      </c>
      <c r="P530" s="1016">
        <f>(F530 - (G530+I530+O530+(J530+K530+L530))) - (H530-M530-N530)</f>
        <v/>
      </c>
      <c r="Q530" s="462">
        <f>P530/F530</f>
        <v/>
      </c>
      <c r="R530" s="1206" t="n"/>
      <c r="S530" s="904" t="inlineStr">
        <is>
          <t>50un</t>
        </is>
      </c>
      <c r="T530" s="569" t="n"/>
      <c r="U530" s="1030" t="n"/>
      <c r="V530" s="1030" t="n"/>
      <c r="W530" s="1030" t="n"/>
    </row>
    <row r="531" ht="15.75" customHeight="1" s="1349">
      <c r="A531" s="1292" t="n"/>
      <c r="B531" s="811" t="e">
        <v>#N/A</v>
      </c>
      <c r="C531" s="904" t="inlineStr">
        <is>
          <t>ÂNCORA</t>
        </is>
      </c>
      <c r="D531" s="904" t="inlineStr">
        <is>
          <t>bucha a6</t>
        </is>
      </c>
      <c r="E531" s="904" t="n"/>
      <c r="F531" s="856" t="n">
        <v>21</v>
      </c>
      <c r="G531" s="1016">
        <f>F531*16.5%</f>
        <v/>
      </c>
      <c r="H531" s="831" t="n"/>
      <c r="I531" s="904">
        <f>IFS(
F531&lt;12.5, F531/2,
F531&lt;29, 6.25,
F531&lt;50, 6.5,
F531&lt;=79, 6.75,
TRUE, 
25)</f>
        <v/>
      </c>
      <c r="J531" s="340">
        <f>F531*18%</f>
        <v/>
      </c>
      <c r="K531" s="340">
        <f>(F531-J531)*1.65%</f>
        <v/>
      </c>
      <c r="L531" s="340">
        <f>(F531-J531)*7.6%</f>
        <v/>
      </c>
      <c r="M531" s="577" t="n"/>
      <c r="N531" s="543">
        <f>(G531+I531)*(9.25%)</f>
        <v/>
      </c>
      <c r="O531" s="730">
        <f>3.62175</f>
        <v/>
      </c>
      <c r="P531" s="1016">
        <f>(F531 - (G531+I531+O531+(J531+K531+L531))) - (H531-M531-N531)</f>
        <v/>
      </c>
      <c r="Q531" s="462">
        <f>P531/F531</f>
        <v/>
      </c>
      <c r="R531" s="1206" t="n"/>
      <c r="S531" s="904" t="inlineStr">
        <is>
          <t>100un</t>
        </is>
      </c>
      <c r="T531" s="569" t="n"/>
      <c r="U531" s="1030" t="n"/>
      <c r="V531" s="1030" t="n"/>
      <c r="W531" s="1030" t="n"/>
    </row>
    <row r="532" ht="15.75" customHeight="1" s="1349">
      <c r="A532" s="1292" t="n"/>
      <c r="B532" s="811" t="e">
        <v>#N/A</v>
      </c>
      <c r="C532" s="904" t="inlineStr">
        <is>
          <t>ÂNCORA</t>
        </is>
      </c>
      <c r="D532" s="904" t="inlineStr">
        <is>
          <t>bucha a5</t>
        </is>
      </c>
      <c r="E532" s="904" t="n"/>
      <c r="F532" s="856" t="n">
        <v>21</v>
      </c>
      <c r="G532" s="1016">
        <f>F532*16.5%</f>
        <v/>
      </c>
      <c r="H532" s="831" t="n"/>
      <c r="I532" s="904">
        <f>IFS(
F532&lt;12.5, F532/2,
F532&lt;29, 6.25,
F532&lt;50, 6.5,
F532&lt;=79, 6.75,
TRUE, 
25)</f>
        <v/>
      </c>
      <c r="J532" s="340">
        <f>F532*18%</f>
        <v/>
      </c>
      <c r="K532" s="340">
        <f>(F532-J532)*1.65%</f>
        <v/>
      </c>
      <c r="L532" s="340">
        <f>(F532-J532)*7.6%</f>
        <v/>
      </c>
      <c r="M532" s="577" t="n"/>
      <c r="N532" s="543">
        <f>(G532+I532)*(9.25%)</f>
        <v/>
      </c>
      <c r="O532" s="730">
        <f>2.469375/10</f>
        <v/>
      </c>
      <c r="P532" s="1016">
        <f>(F532 - (G532+I532+O532+(J532+K532+L532))) - (H532-M532-N532)</f>
        <v/>
      </c>
      <c r="Q532" s="462">
        <f>P532/F532</f>
        <v/>
      </c>
      <c r="R532" s="1206" t="n"/>
      <c r="S532" s="904" t="inlineStr">
        <is>
          <t>10un</t>
        </is>
      </c>
      <c r="T532" s="569" t="n"/>
      <c r="U532" s="1030" t="n"/>
      <c r="V532" s="1030" t="n"/>
      <c r="W532" s="1030" t="n"/>
    </row>
    <row r="533" ht="15.75" customHeight="1" s="1349">
      <c r="A533" s="1292" t="n"/>
      <c r="B533" s="811" t="e">
        <v>#N/A</v>
      </c>
      <c r="C533" s="904" t="inlineStr">
        <is>
          <t>ÂNCORA</t>
        </is>
      </c>
      <c r="D533" s="904" t="inlineStr">
        <is>
          <t>bucha a5</t>
        </is>
      </c>
      <c r="E533" s="904" t="n"/>
      <c r="F533" s="856" t="n">
        <v>21</v>
      </c>
      <c r="G533" s="1016">
        <f>F533*16.5%</f>
        <v/>
      </c>
      <c r="H533" s="831" t="n"/>
      <c r="I533" s="904">
        <f>IFS(
F533&lt;12.5, F533/2,
F533&lt;29, 6.25,
F533&lt;50, 6.5,
F533&lt;=79, 6.75,
TRUE, 
25)</f>
        <v/>
      </c>
      <c r="J533" s="340">
        <f>F533*18%</f>
        <v/>
      </c>
      <c r="K533" s="340">
        <f>(F533-J533)*1.65%</f>
        <v/>
      </c>
      <c r="L533" s="340">
        <f>(F533-J533)*7.6%</f>
        <v/>
      </c>
      <c r="M533" s="577" t="n"/>
      <c r="N533" s="543">
        <f>(G533+I533)*(9.25%)</f>
        <v/>
      </c>
      <c r="O533" s="730">
        <f>2.469375/2</f>
        <v/>
      </c>
      <c r="P533" s="1016">
        <f>(F533 - (G533+I533+O533+(J533+K533+L533))) - (H533-M533-N533)</f>
        <v/>
      </c>
      <c r="Q533" s="462">
        <f>P533/F533</f>
        <v/>
      </c>
      <c r="R533" s="1206" t="n"/>
      <c r="S533" s="904" t="inlineStr">
        <is>
          <t>50un</t>
        </is>
      </c>
      <c r="T533" s="569" t="n"/>
      <c r="U533" s="1030" t="n"/>
      <c r="V533" s="1030" t="n"/>
      <c r="W533" s="1030" t="n"/>
    </row>
    <row r="534" ht="15.75" customHeight="1" s="1349">
      <c r="A534" s="1292" t="n"/>
      <c r="B534" s="811" t="e">
        <v>#N/A</v>
      </c>
      <c r="C534" s="904" t="inlineStr">
        <is>
          <t>ÂNCORA</t>
        </is>
      </c>
      <c r="D534" s="904" t="inlineStr">
        <is>
          <t>bucha a5</t>
        </is>
      </c>
      <c r="E534" s="904" t="n"/>
      <c r="F534" s="856" t="n">
        <v>21</v>
      </c>
      <c r="G534" s="1016">
        <f>F534*16.5%</f>
        <v/>
      </c>
      <c r="H534" s="831" t="n"/>
      <c r="I534" s="904">
        <f>IFS(
F534&lt;12.5, F534/2,
F534&lt;29, 6.25,
F534&lt;50, 6.5,
F534&lt;=79, 6.75,
TRUE, 
25)</f>
        <v/>
      </c>
      <c r="J534" s="340">
        <f>F534*18%</f>
        <v/>
      </c>
      <c r="K534" s="340">
        <f>(F534-J534)*1.65%</f>
        <v/>
      </c>
      <c r="L534" s="340">
        <f>(F534-J534)*7.6%</f>
        <v/>
      </c>
      <c r="M534" s="577" t="n"/>
      <c r="N534" s="543">
        <f>(G534+I534)*(9.25%)</f>
        <v/>
      </c>
      <c r="O534" s="730" t="n">
        <v>2.469375</v>
      </c>
      <c r="P534" s="1016">
        <f>(F534 - (G534+I534+O534+(J534+K534+L534))) - (H534-M534-N534)</f>
        <v/>
      </c>
      <c r="Q534" s="462">
        <f>P534/F534</f>
        <v/>
      </c>
      <c r="R534" s="1206" t="n"/>
      <c r="S534" s="904" t="inlineStr">
        <is>
          <t>100un</t>
        </is>
      </c>
      <c r="T534" s="569" t="n"/>
      <c r="U534" s="1030" t="n"/>
      <c r="V534" s="1030" t="n"/>
      <c r="W534" s="1030" t="n"/>
    </row>
    <row r="535" ht="15.75" customHeight="1" s="1349">
      <c r="A535" s="1292" t="n"/>
      <c r="B535" s="811" t="e">
        <v>#N/A</v>
      </c>
      <c r="C535" s="904" t="inlineStr">
        <is>
          <t>Kalipso</t>
        </is>
      </c>
      <c r="D535" s="904" t="inlineStr">
        <is>
          <t>kalipso jaguar cinza incolor verde</t>
        </is>
      </c>
      <c r="E535" s="904" t="n"/>
      <c r="F535" s="856" t="n">
        <v>19</v>
      </c>
      <c r="G535" s="1016">
        <f>F535*16.5%</f>
        <v/>
      </c>
      <c r="H535" s="831" t="n"/>
      <c r="I535" s="904">
        <f>IFS(
F535&lt;12.5, F535/2,
F535&lt;29, 6.25,
F535&lt;50, 6.5,
F535&lt;=79, 6.75,
TRUE, 
25)</f>
        <v/>
      </c>
      <c r="J535" s="340">
        <f>F535*18%</f>
        <v/>
      </c>
      <c r="K535" s="340">
        <f>(F535-J535)*1.65%</f>
        <v/>
      </c>
      <c r="L535" s="340">
        <f>(F535-J535)*7.6%</f>
        <v/>
      </c>
      <c r="M535" s="577" t="n"/>
      <c r="N535" s="543">
        <f>(G535+I535)*(9.25%)</f>
        <v/>
      </c>
      <c r="O535" s="730" t="n">
        <v>3.73</v>
      </c>
      <c r="P535" s="1016">
        <f>(F535 - (G535+I535+O535+(J535+K535+L535))) - (H535-M535-N535)</f>
        <v/>
      </c>
      <c r="Q535" s="462">
        <f>P535/F535</f>
        <v/>
      </c>
      <c r="R535" s="1206" t="n"/>
      <c r="S535" s="904" t="inlineStr">
        <is>
          <t>calculo de preço</t>
        </is>
      </c>
      <c r="T535" s="569" t="n"/>
      <c r="U535" s="1030" t="n"/>
      <c r="V535" s="1030" t="n"/>
      <c r="W535" s="1030" t="n"/>
    </row>
    <row r="536" ht="15.75" customHeight="1" s="1349">
      <c r="A536" s="1292" t="inlineStr">
        <is>
          <t>4430347215</t>
        </is>
      </c>
      <c r="B536" s="884" t="n">
        <v>10034034166264</v>
      </c>
      <c r="C536" s="904" t="inlineStr">
        <is>
          <t>ÂNCORA</t>
        </is>
      </c>
      <c r="D536" s="765" t="inlineStr">
        <is>
          <t>Kit 1000 Parafuso Trombeta Drywall Dta 3,5 X 57 Ponta Agulha</t>
        </is>
      </c>
      <c r="E536" s="904" t="n"/>
      <c r="F536" s="856" t="n">
        <v>97.97</v>
      </c>
      <c r="G536" s="1016">
        <f>F536*16.5%</f>
        <v/>
      </c>
      <c r="H536" s="831" t="n">
        <v>-2.1</v>
      </c>
      <c r="I536" s="904" t="n">
        <v>16.85</v>
      </c>
      <c r="J536" s="340">
        <f>F536*18%</f>
        <v/>
      </c>
      <c r="K536" s="340">
        <f>(F536-J536)*1.65%</f>
        <v/>
      </c>
      <c r="L536" s="340">
        <f>(F536-J536)*7.6%</f>
        <v/>
      </c>
      <c r="M536" s="1097" t="n">
        <v>5.23</v>
      </c>
      <c r="N536" s="785">
        <f>(G536+I536)*(9.25%)</f>
        <v/>
      </c>
      <c r="O536" s="708" t="n">
        <v>43.23</v>
      </c>
      <c r="P536" s="1016">
        <f>(F536 - (G536+I536+O536+(J536+K536+L536))) - (H536-M536-N536)</f>
        <v/>
      </c>
      <c r="Q536" s="462">
        <f>P536/F536</f>
        <v/>
      </c>
      <c r="R536" s="1206" t="inlineStr">
        <is>
          <t>Ativo</t>
        </is>
      </c>
      <c r="S536" s="904" t="inlineStr">
        <is>
          <t>DTA</t>
        </is>
      </c>
      <c r="T536" s="569" t="n"/>
      <c r="U536" s="1030" t="n"/>
      <c r="V536" s="1030" t="n"/>
      <c r="W536" s="1030" t="n"/>
    </row>
    <row r="537" ht="15.75" customHeight="1" s="1349">
      <c r="A537" s="1292" t="inlineStr">
        <is>
          <t>4432407831</t>
        </is>
      </c>
      <c r="B537" s="884" t="n">
        <v>10034034166794</v>
      </c>
      <c r="C537" s="904" t="inlineStr">
        <is>
          <t>ÂNCORA</t>
        </is>
      </c>
      <c r="D537" s="481" t="inlineStr">
        <is>
          <t>1000un Parafuso Dla13 Achatado Flangeada Zincado 4,2 X 13mm</t>
        </is>
      </c>
      <c r="E537" s="904" t="n"/>
      <c r="F537" s="856" t="n">
        <v>63.58</v>
      </c>
      <c r="G537" s="1016">
        <f>F537*17%</f>
        <v/>
      </c>
      <c r="H537" s="831" t="n">
        <v>-1.96</v>
      </c>
      <c r="I537" s="904">
        <f>IFS(
  F537&lt;12.5, F537/2,
  F537&lt;29, 6.25,
  F537&lt;50, 6.5,
  F537&lt;=79, 6.75,
  TRUE, 25
)</f>
        <v/>
      </c>
      <c r="J537" s="340">
        <f>F537*18%</f>
        <v/>
      </c>
      <c r="K537" s="340">
        <f>(F537-J537)*1.65%</f>
        <v/>
      </c>
      <c r="L537" s="340">
        <f>(F537-J537)*7.6%</f>
        <v/>
      </c>
      <c r="M537" s="1097" t="n">
        <v>6.15</v>
      </c>
      <c r="N537" s="785">
        <f>(G537+I537)*(9.25%)</f>
        <v/>
      </c>
      <c r="O537" s="730" t="n">
        <v>30.56</v>
      </c>
      <c r="P537" s="1016">
        <f>(F537 - (G537+I537+O537+(J537+K537+L537))) - (H537-M537-N537)</f>
        <v/>
      </c>
      <c r="Q537" s="462">
        <f>P537/F537</f>
        <v/>
      </c>
      <c r="R537" s="1206" t="inlineStr">
        <is>
          <t>sem estoque</t>
        </is>
      </c>
      <c r="S537" s="904" t="inlineStr">
        <is>
          <t>DLA13</t>
        </is>
      </c>
      <c r="T537" s="569" t="n"/>
      <c r="U537" s="1030" t="n"/>
      <c r="V537" s="1030" t="n"/>
      <c r="W537" s="1030" t="n"/>
    </row>
    <row r="538" ht="15.75" customHeight="1" s="1349">
      <c r="A538" s="1292" t="inlineStr">
        <is>
          <t>6185013874</t>
        </is>
      </c>
      <c r="B538" s="884" t="n">
        <v>10034034166795</v>
      </c>
      <c r="C538" s="904" t="inlineStr">
        <is>
          <t>ÂNCORA</t>
        </is>
      </c>
      <c r="D538" s="481" t="inlineStr">
        <is>
          <t>1000 Parafuso Drywall Dla19 Zincado Autoperfurante 4,2 X 19</t>
        </is>
      </c>
      <c r="E538" s="904" t="n"/>
      <c r="F538" s="856" t="n">
        <v>72.79000000000001</v>
      </c>
      <c r="G538" s="1016">
        <f>F538*17%</f>
        <v/>
      </c>
      <c r="H538" s="831" t="n">
        <v>-1.84</v>
      </c>
      <c r="I538" s="904">
        <f>IFS(
F538&lt;12.5, F538/2,
F538&lt;29, 6.25,
F538&lt;50, 6.5,
F538&lt;=79, 6.75,
TRUE, 
25)</f>
        <v/>
      </c>
      <c r="J538" s="340">
        <f>F538*18%</f>
        <v/>
      </c>
      <c r="K538" s="340">
        <f>(F538-J538)*1.65%</f>
        <v/>
      </c>
      <c r="L538" s="340">
        <f>(F538-J538)*7.6%</f>
        <v/>
      </c>
      <c r="M538" s="1097" t="n">
        <v>4.49</v>
      </c>
      <c r="N538" s="785">
        <f>(G538+I538)*(9.25%)</f>
        <v/>
      </c>
      <c r="O538" s="708" t="n">
        <v>37.16</v>
      </c>
      <c r="P538" s="1016">
        <f>(F538 - (G538+I538+O538+(J538+K538+L538))) - (H538-M538-N538)</f>
        <v/>
      </c>
      <c r="Q538" s="462">
        <f>P538/F538</f>
        <v/>
      </c>
      <c r="R538" s="1206" t="inlineStr">
        <is>
          <t>Ativo</t>
        </is>
      </c>
      <c r="S538" s="904" t="inlineStr">
        <is>
          <t>DLA19</t>
        </is>
      </c>
      <c r="T538" s="569" t="n"/>
      <c r="U538" s="1030" t="n"/>
      <c r="V538" s="1030" t="n"/>
      <c r="W538" s="1030" t="n"/>
    </row>
    <row r="539" ht="15.75" customHeight="1" s="1349">
      <c r="A539" s="1292" t="inlineStr">
        <is>
          <t>6185166948</t>
        </is>
      </c>
      <c r="B539" s="884" t="n">
        <v>10034034167766</v>
      </c>
      <c r="C539" s="904" t="inlineStr">
        <is>
          <t>ÂNCORA</t>
        </is>
      </c>
      <c r="D539" s="481" t="inlineStr">
        <is>
          <t>1000 Parafuso Drywall Dlb13 Zincado Auto Brocante 4,2 X 13</t>
        </is>
      </c>
      <c r="E539" s="904" t="n"/>
      <c r="F539" s="856" t="n">
        <v>70.59999999999999</v>
      </c>
      <c r="G539" s="1016">
        <f>F539*17%</f>
        <v/>
      </c>
      <c r="H539" s="831" t="n">
        <v>-2.18</v>
      </c>
      <c r="I539" s="904" t="n">
        <v>8.050000000000001</v>
      </c>
      <c r="J539" s="340">
        <f>F539*18%</f>
        <v/>
      </c>
      <c r="K539" s="340">
        <f>(F539-J539)*1.65%</f>
        <v/>
      </c>
      <c r="L539" s="340">
        <f>(F539-J539)*7.6%</f>
        <v/>
      </c>
      <c r="M539" s="1097" t="n">
        <v>4.64</v>
      </c>
      <c r="N539" s="785">
        <f>(G539+I539)*(9.25%)</f>
        <v/>
      </c>
      <c r="O539" s="814" t="n">
        <v>36</v>
      </c>
      <c r="P539" s="1016">
        <f>(F539 - (G539+I539+O539+(J539+K539+L539))) - (H539-M539-N539)</f>
        <v/>
      </c>
      <c r="Q539" s="462">
        <f>P539/F539</f>
        <v/>
      </c>
      <c r="R539" s="1206" t="inlineStr">
        <is>
          <t>Ativo</t>
        </is>
      </c>
      <c r="S539" s="904" t="inlineStr">
        <is>
          <t>DLB13</t>
        </is>
      </c>
      <c r="T539" s="569" t="n"/>
      <c r="U539" s="1030" t="n"/>
      <c r="V539" s="1030" t="n"/>
      <c r="W539" s="1030" t="n"/>
    </row>
    <row r="540" ht="15.75" customHeight="1" s="1349">
      <c r="A540" s="1292" t="inlineStr">
        <is>
          <t>4433093605</t>
        </is>
      </c>
      <c r="B540" s="884" t="n">
        <v>10034034166796</v>
      </c>
      <c r="C540" s="904" t="inlineStr">
        <is>
          <t>ÂNCORA</t>
        </is>
      </c>
      <c r="D540" s="481" t="inlineStr">
        <is>
          <t>1000 Parafuso Drywall Dlb19 Auto Brocante Philips 4,2 X 19</t>
        </is>
      </c>
      <c r="E540" s="904" t="n"/>
      <c r="F540" s="856" t="n">
        <v>109.66</v>
      </c>
      <c r="G540" s="1016">
        <f>F540*17%</f>
        <v/>
      </c>
      <c r="H540" s="831" t="n">
        <v>-2.87</v>
      </c>
      <c r="I540" s="904" t="n">
        <v>17.46</v>
      </c>
      <c r="J540" s="340">
        <f>F540*18%</f>
        <v/>
      </c>
      <c r="K540" s="340">
        <f>(F540-J540)*1.65%</f>
        <v/>
      </c>
      <c r="L540" s="340">
        <f>(F540-J540)*7.6%</f>
        <v/>
      </c>
      <c r="M540" s="1097" t="n">
        <v>5.52</v>
      </c>
      <c r="N540" s="785">
        <f>(G540+I540)*(9.25%)</f>
        <v/>
      </c>
      <c r="O540" s="708" t="n">
        <v>45.67</v>
      </c>
      <c r="P540" s="1016">
        <f>(F540 - (G540+I540+O540+(J540+K540+L540))) - (H540-M540-N540)</f>
        <v/>
      </c>
      <c r="Q540" s="462">
        <f>P540/F540</f>
        <v/>
      </c>
      <c r="R540" s="1206" t="inlineStr">
        <is>
          <t>Ativo</t>
        </is>
      </c>
      <c r="S540" s="904" t="inlineStr">
        <is>
          <t>DLB19</t>
        </is>
      </c>
      <c r="T540" s="569" t="n"/>
      <c r="U540" s="1030" t="n"/>
      <c r="V540" s="1030" t="n"/>
      <c r="W540" s="1030" t="n"/>
    </row>
    <row r="541" ht="15.75" customHeight="1" s="1349">
      <c r="A541" s="1292" t="inlineStr">
        <is>
          <t>6190981118</t>
        </is>
      </c>
      <c r="B541" s="815" t="inlineStr">
        <is>
          <t>N/A</t>
        </is>
      </c>
      <c r="C541" s="904" t="inlineStr">
        <is>
          <t>Bosch</t>
        </is>
      </c>
      <c r="D541" s="481" t="inlineStr">
        <is>
          <t>Esmerilhadeira Angular 2500w Potencia M14 Disco 7 Pol 180mm</t>
        </is>
      </c>
      <c r="E541" s="904" t="n"/>
      <c r="F541" s="856" t="n">
        <v>1802.24</v>
      </c>
      <c r="G541" s="1016">
        <f>F541*17%</f>
        <v/>
      </c>
      <c r="H541" s="831" t="n">
        <v>-19.69</v>
      </c>
      <c r="I541" s="904" t="n">
        <v>24.95</v>
      </c>
      <c r="J541" s="340">
        <f>F541*18%</f>
        <v/>
      </c>
      <c r="K541" s="340">
        <f>(F541-J541)*1.65%</f>
        <v/>
      </c>
      <c r="L541" s="340">
        <f>(F541-J541)*7.6%</f>
        <v/>
      </c>
      <c r="M541" s="1097" t="n">
        <v>96.11</v>
      </c>
      <c r="N541" s="785">
        <f>(G541+I541)*(9.25%)</f>
        <v/>
      </c>
      <c r="O541" s="701" t="n">
        <v>1038.98</v>
      </c>
      <c r="P541" s="1016">
        <f>(F541 - (G541+I541+O541+(J541+K541+L541))) - (H541-M541-N541)</f>
        <v/>
      </c>
      <c r="Q541" s="462">
        <f>P541/F541</f>
        <v/>
      </c>
      <c r="R541" s="1206" t="inlineStr">
        <is>
          <t>Ativo</t>
        </is>
      </c>
      <c r="S541" s="904" t="n"/>
      <c r="T541" s="569" t="n"/>
      <c r="U541" s="1030" t="n"/>
      <c r="V541" s="1030" t="n"/>
      <c r="W541" s="1030" t="n"/>
    </row>
    <row r="542" ht="15.75" customHeight="1" s="1349">
      <c r="A542" s="1292" t="inlineStr">
        <is>
          <t>4435404455</t>
        </is>
      </c>
      <c r="B542" s="884" t="n">
        <v>10034034167437</v>
      </c>
      <c r="C542" s="904" t="inlineStr">
        <is>
          <t>Jomarca</t>
        </is>
      </c>
      <c r="D542" s="481" t="inlineStr">
        <is>
          <t>Kit 500 Parafuso Chipboard Bicromatizado 3,5 X 22 Madeira</t>
        </is>
      </c>
      <c r="E542" s="904" t="n"/>
      <c r="F542" s="856" t="n">
        <v>33.9</v>
      </c>
      <c r="G542" s="1016">
        <f>F542*17%</f>
        <v/>
      </c>
      <c r="H542" s="831" t="n"/>
      <c r="I542" s="904" t="n">
        <v>6.65</v>
      </c>
      <c r="J542" s="340">
        <f>F542*18%</f>
        <v/>
      </c>
      <c r="K542" s="340">
        <f>(F542-J542)*1.65%</f>
        <v/>
      </c>
      <c r="L542" s="340">
        <f>(F542-J542)*7.6%</f>
        <v/>
      </c>
      <c r="M542" s="1097">
        <f>0.66*5</f>
        <v/>
      </c>
      <c r="N542" s="785">
        <f>(G542+I542)*(9.25%)</f>
        <v/>
      </c>
      <c r="O542" s="708">
        <f>2.76*5</f>
        <v/>
      </c>
      <c r="P542" s="1016">
        <f>(F542 - (G542+I542+O542+(J542+K542+L542))) - (H542-M542-N542)</f>
        <v/>
      </c>
      <c r="Q542" s="462">
        <f>P542/F542</f>
        <v/>
      </c>
      <c r="R542" s="1206" t="inlineStr">
        <is>
          <t>Ativo</t>
        </is>
      </c>
      <c r="S542" s="904" t="n"/>
      <c r="T542" s="569" t="n"/>
      <c r="U542" s="1030" t="n"/>
      <c r="V542" s="1030" t="n"/>
      <c r="W542" s="1030" t="n"/>
    </row>
    <row r="543" ht="15.75" customHeight="1" s="1349">
      <c r="A543" s="1265" t="inlineStr">
        <is>
          <t>6194358920</t>
        </is>
      </c>
      <c r="B543" s="1263" t="n">
        <v>10034034167438</v>
      </c>
      <c r="C543" s="1292" t="inlineStr">
        <is>
          <t>Jomarca</t>
        </is>
      </c>
      <c r="D543" s="481" t="inlineStr">
        <is>
          <t>Kit 1000 Parafuso Chipboard Philips 3,0 X 20mm Bicromatizado</t>
        </is>
      </c>
      <c r="E543" s="904" t="n"/>
      <c r="F543" s="856" t="n">
        <v>39.76</v>
      </c>
      <c r="G543" s="1016">
        <f>F543*17%</f>
        <v/>
      </c>
      <c r="H543" s="831" t="n">
        <v>-1.23</v>
      </c>
      <c r="I543" s="904">
        <f>IFS(
  F543&lt;12.5, F543/2,
  F543&lt;29, 6.25,
  F543&lt;50, 6.5,
  F543&lt;=79, 6.75,
  TRUE, 25
)</f>
        <v/>
      </c>
      <c r="J543" s="340">
        <f>F543*18%</f>
        <v/>
      </c>
      <c r="K543" s="340">
        <f>(F543-J543)*1.65%</f>
        <v/>
      </c>
      <c r="L543" s="340">
        <f>(F543-J543)*7.6%</f>
        <v/>
      </c>
      <c r="M543" s="1097" t="n">
        <v>4.11</v>
      </c>
      <c r="N543" s="785">
        <f>(G543+I543)*(9.25%)</f>
        <v/>
      </c>
      <c r="O543" s="708">
        <f>1.714*10</f>
        <v/>
      </c>
      <c r="P543" s="1016">
        <f>(F543 - (G543+I543+O543+(J543+K543+L543))) - (H543-M543-N543)</f>
        <v/>
      </c>
      <c r="Q543" s="462">
        <f>P543/F543</f>
        <v/>
      </c>
      <c r="R543" s="1206" t="inlineStr">
        <is>
          <t>Ativo</t>
        </is>
      </c>
      <c r="S543" s="904" t="n"/>
      <c r="T543" s="569" t="n"/>
      <c r="U543" s="1030" t="n"/>
      <c r="V543" s="1030" t="n"/>
      <c r="W543" s="1030" t="n"/>
    </row>
    <row r="544" ht="15.75" customHeight="1" s="1349">
      <c r="A544" s="1292" t="inlineStr">
        <is>
          <t>4440169431</t>
        </is>
      </c>
      <c r="B544" s="884" t="n">
        <v>10034034167439</v>
      </c>
      <c r="C544" s="1292" t="inlineStr">
        <is>
          <t>Jomarca</t>
        </is>
      </c>
      <c r="D544" s="481" t="inlineStr">
        <is>
          <t>500 Parafuso Chipboard Madeira 3 X 25mm Aço Bicromatizado</t>
        </is>
      </c>
      <c r="E544" s="904" t="n"/>
      <c r="F544" s="856" t="n">
        <v>29</v>
      </c>
      <c r="G544" s="1016">
        <f>F544*12%</f>
        <v/>
      </c>
      <c r="H544" s="831" t="n">
        <v>-1.49</v>
      </c>
      <c r="I544" s="904" t="n">
        <v>6.65</v>
      </c>
      <c r="J544" s="340">
        <f>F544*18%</f>
        <v/>
      </c>
      <c r="K544" s="340">
        <f>(F544-J544)*1.65%</f>
        <v/>
      </c>
      <c r="L544" s="340">
        <f>(F544-J544)*7.6%</f>
        <v/>
      </c>
      <c r="M544" s="1097">
        <f>5.18/2</f>
        <v/>
      </c>
      <c r="N544" s="785">
        <f>(G544+I544)*(9.25%)</f>
        <v/>
      </c>
      <c r="O544" s="708">
        <f>21.55/2</f>
        <v/>
      </c>
      <c r="P544" s="1016">
        <f>(F544 - (G544+I544+O544+(J544+K544+L544))) - (H544-M544-N544)</f>
        <v/>
      </c>
      <c r="Q544" s="462">
        <f>P544/F544</f>
        <v/>
      </c>
      <c r="R544" s="1206" t="inlineStr">
        <is>
          <t>Ativo</t>
        </is>
      </c>
      <c r="S544" s="904" t="n"/>
      <c r="T544" s="569" t="n"/>
      <c r="U544" s="1030" t="n"/>
      <c r="V544" s="1030" t="n"/>
      <c r="W544" s="1030" t="n"/>
    </row>
    <row r="545" ht="15.75" customHeight="1" s="1349">
      <c r="A545" s="1292" t="inlineStr">
        <is>
          <t>6194476260</t>
        </is>
      </c>
      <c r="B545" s="884" t="n">
        <v>10034034167440</v>
      </c>
      <c r="C545" s="1292" t="inlineStr">
        <is>
          <t>Jomarca</t>
        </is>
      </c>
      <c r="D545" s="481" t="inlineStr">
        <is>
          <t>Kit 200 Parafuso Phs 4,5 X 45 Mm Aço Bicromatizado Madeira</t>
        </is>
      </c>
      <c r="E545" s="904" t="n"/>
      <c r="F545" s="856" t="n">
        <v>27.5</v>
      </c>
      <c r="G545" s="1016">
        <f>F545*17%</f>
        <v/>
      </c>
      <c r="H545" s="831" t="n"/>
      <c r="I545" s="904" t="n">
        <v>6.75</v>
      </c>
      <c r="J545" s="340">
        <f>F545*18%</f>
        <v/>
      </c>
      <c r="K545" s="340">
        <f>(F545-J545)*1.65%</f>
        <v/>
      </c>
      <c r="L545" s="340">
        <f>(F545-J545)*7.6%</f>
        <v/>
      </c>
      <c r="M545" s="1097" t="n">
        <v>2.92</v>
      </c>
      <c r="N545" s="785">
        <f>(G545+I545)*(9.25%)</f>
        <v/>
      </c>
      <c r="O545" s="708">
        <f>6.08*2</f>
        <v/>
      </c>
      <c r="P545" s="1016">
        <f>(F545 - (G545+I545+O545+(J545+K545+L545))) - (H545-M545-N545)</f>
        <v/>
      </c>
      <c r="Q545" s="462">
        <f>P545/F545</f>
        <v/>
      </c>
      <c r="R545" s="1206" t="inlineStr">
        <is>
          <t>Ativo</t>
        </is>
      </c>
      <c r="S545" s="904" t="n"/>
      <c r="T545" s="569" t="n"/>
      <c r="U545" s="1030" t="n"/>
      <c r="V545" s="1030" t="n"/>
      <c r="W545" s="1030" t="n"/>
    </row>
    <row r="546" ht="15.75" customHeight="1" s="1349">
      <c r="A546" s="1292" t="inlineStr">
        <is>
          <t>6194778552</t>
        </is>
      </c>
      <c r="B546" s="884" t="n">
        <v>10034034167441</v>
      </c>
      <c r="C546" s="1292" t="inlineStr">
        <is>
          <t>Jomarca</t>
        </is>
      </c>
      <c r="D546" s="481" t="inlineStr">
        <is>
          <t>200 Parafuso Chipboard Marcenaria 4,5 X 60 Aço Bicromatizado</t>
        </is>
      </c>
      <c r="E546" s="904" t="n"/>
      <c r="F546" s="856" t="n">
        <v>35.11</v>
      </c>
      <c r="G546" s="1016">
        <f>F546*12%</f>
        <v/>
      </c>
      <c r="H546" s="831" t="n">
        <v>-1.09</v>
      </c>
      <c r="I546" s="904" t="n">
        <v>7.65</v>
      </c>
      <c r="J546" s="340">
        <f>F546*18%</f>
        <v/>
      </c>
      <c r="K546" s="340">
        <f>(F546-J546)*1.65%</f>
        <v/>
      </c>
      <c r="L546" s="340">
        <f>(F546-J546)*7.6%</f>
        <v/>
      </c>
      <c r="M546" s="1097" t="n">
        <v>1.91</v>
      </c>
      <c r="N546" s="785">
        <f>(G546+I546)*(9.25%)</f>
        <v/>
      </c>
      <c r="O546" s="701">
        <f>7.96*2</f>
        <v/>
      </c>
      <c r="P546" s="1016">
        <f>(F546 - (G546+I546+O546+(J546+K546+L546))) - (H546-M546-N546)</f>
        <v/>
      </c>
      <c r="Q546" s="462">
        <f>P546/F546</f>
        <v/>
      </c>
      <c r="R546" s="1206" t="inlineStr">
        <is>
          <t>Ativo</t>
        </is>
      </c>
      <c r="S546" s="904" t="n"/>
      <c r="T546" s="569" t="n"/>
      <c r="U546" s="1030" t="n"/>
      <c r="V546" s="1030" t="n"/>
      <c r="W546" s="1030" t="n"/>
    </row>
    <row r="547" ht="15.75" customHeight="1" s="1349">
      <c r="A547" s="1292" t="inlineStr">
        <is>
          <t>6207190786</t>
        </is>
      </c>
      <c r="B547" s="884" t="n">
        <v>10034034166789</v>
      </c>
      <c r="C547" s="904" t="inlineStr">
        <is>
          <t>ÂNCORA</t>
        </is>
      </c>
      <c r="D547" s="481" t="inlineStr">
        <is>
          <t>Broca Soquete Magnético 5/16 X 65mm Ponteira Parafusadeira</t>
        </is>
      </c>
      <c r="E547" s="904" t="n"/>
      <c r="F547" s="794" t="n">
        <v>18.43</v>
      </c>
      <c r="G547" s="1016">
        <f>F547*12%</f>
        <v/>
      </c>
      <c r="H547" s="831" t="n">
        <v>-0.65</v>
      </c>
      <c r="I547" s="904">
        <f>IFS(
  F547&lt;12.5, F547/2,
  F547&lt;29, 6.25,
  F547&lt;50, 6.5,
  F547&lt;=79, 6.75,
  TRUE, 25
)</f>
        <v/>
      </c>
      <c r="J547" s="340">
        <f>F547*18%</f>
        <v/>
      </c>
      <c r="K547" s="340">
        <f>(F547-J547)*1.65%</f>
        <v/>
      </c>
      <c r="L547" s="340">
        <f>(F547-J547)*7.6%</f>
        <v/>
      </c>
      <c r="M547" s="1097" t="n">
        <v>0.88</v>
      </c>
      <c r="N547" s="785">
        <f>(G547+I547)*(9.25%)</f>
        <v/>
      </c>
      <c r="O547" s="701" t="n">
        <v>7.19</v>
      </c>
      <c r="P547" s="1016">
        <f>(F547 - (G547+I547+O547+(J547+K547+L547))) - (H547-M547-N547)</f>
        <v/>
      </c>
      <c r="Q547" s="462">
        <f>P547/F547</f>
        <v/>
      </c>
      <c r="R547" s="1206" t="inlineStr">
        <is>
          <t>Ativo</t>
        </is>
      </c>
      <c r="S547" s="904" t="n"/>
      <c r="T547" s="569" t="n"/>
      <c r="U547" s="1030" t="n"/>
      <c r="V547" s="1030" t="n"/>
      <c r="W547" s="1030" t="n"/>
    </row>
    <row r="548" ht="15.75" customHeight="1" s="1349">
      <c r="A548" s="1292" t="inlineStr">
        <is>
          <t>6207217500</t>
        </is>
      </c>
      <c r="B548" s="884" t="n">
        <v>10034034168129</v>
      </c>
      <c r="C548" s="904" t="inlineStr">
        <is>
          <t>ÂNCORA</t>
        </is>
      </c>
      <c r="D548" s="481" t="inlineStr">
        <is>
          <t>Kit 2 Ponteira Soquete Magnético 5/16 Bit Canhão Sextavado</t>
        </is>
      </c>
      <c r="E548" s="904" t="n">
        <v>39</v>
      </c>
      <c r="F548" s="856" t="n">
        <v>34.6</v>
      </c>
      <c r="G548" s="1016">
        <f>F548*17%</f>
        <v/>
      </c>
      <c r="H548" s="831" t="n"/>
      <c r="I548" s="904" t="n">
        <v>6.65</v>
      </c>
      <c r="J548" s="340">
        <f>F548*18%</f>
        <v/>
      </c>
      <c r="K548" s="340">
        <f>(F548-J548)*1.65%</f>
        <v/>
      </c>
      <c r="L548" s="340">
        <f>(F548-J548)*7.6%</f>
        <v/>
      </c>
      <c r="M548" s="1097">
        <f>0.88*2</f>
        <v/>
      </c>
      <c r="N548" s="785">
        <f>(G548+I548)*(9.25%)</f>
        <v/>
      </c>
      <c r="O548" s="701">
        <f>7.19*2</f>
        <v/>
      </c>
      <c r="P548" s="1016">
        <f>(F548 - (G548+I548+O548+(J548+K548+L548))) - (H548-M548-N548)</f>
        <v/>
      </c>
      <c r="Q548" s="462">
        <f>P548/F548</f>
        <v/>
      </c>
      <c r="R548" s="1206" t="inlineStr">
        <is>
          <t>Ativo</t>
        </is>
      </c>
      <c r="S548" s="904" t="inlineStr">
        <is>
          <t>2un</t>
        </is>
      </c>
      <c r="T548" s="569" t="n"/>
      <c r="U548" s="1030" t="n"/>
      <c r="V548" s="1030" t="n"/>
      <c r="W548" s="1030" t="n"/>
    </row>
    <row r="549" ht="15.75" customHeight="1" s="1349">
      <c r="A549" s="1292" t="inlineStr">
        <is>
          <t>6207056664</t>
        </is>
      </c>
      <c r="B549" s="884" t="n">
        <v>10034034166788</v>
      </c>
      <c r="C549" s="904" t="inlineStr">
        <is>
          <t>ÂNCORA</t>
        </is>
      </c>
      <c r="D549" s="481" t="inlineStr">
        <is>
          <t>Soquete Magnético 3/8 Aço Para Parafusadeira Ponteira Bits</t>
        </is>
      </c>
      <c r="E549" s="904" t="n"/>
      <c r="F549" s="856" t="n">
        <v>25</v>
      </c>
      <c r="G549" s="1016">
        <f>F549*12%</f>
        <v/>
      </c>
      <c r="H549" s="831" t="n"/>
      <c r="I549" s="904">
        <f>IFS(
  F549&lt;12.5, F549/2,
  F549&lt;29, 6.25,
  F549&lt;50, 6.5,
  F549&lt;=79, 6.75,
  TRUE, 25
)</f>
        <v/>
      </c>
      <c r="J549" s="340">
        <f>F549*18%</f>
        <v/>
      </c>
      <c r="K549" s="340">
        <f>(F549-J549)*1.65%</f>
        <v/>
      </c>
      <c r="L549" s="340">
        <f>(F549-J549)*7.6%</f>
        <v/>
      </c>
      <c r="M549" s="577" t="n"/>
      <c r="N549" s="543">
        <f>(G549+I549)*(9.25%)</f>
        <v/>
      </c>
      <c r="O549" s="648" t="n">
        <v>7.68</v>
      </c>
      <c r="P549" s="1016">
        <f>(F549 - (G549+I549+O549+(J549+K549+L549))) - (H549-M549-N549)</f>
        <v/>
      </c>
      <c r="Q549" s="462">
        <f>P549/F549</f>
        <v/>
      </c>
      <c r="R549" s="1206" t="inlineStr">
        <is>
          <t>sem estoque</t>
        </is>
      </c>
      <c r="S549" s="904" t="n"/>
      <c r="T549" s="569" t="n"/>
      <c r="U549" s="1030" t="n"/>
      <c r="V549" s="1030" t="n"/>
      <c r="W549" s="1030" t="n"/>
    </row>
    <row r="550" ht="15.75" customHeight="1" s="1349">
      <c r="A550" s="1292" t="inlineStr">
        <is>
          <t>6206863496</t>
        </is>
      </c>
      <c r="B550" s="884" t="n">
        <v>10034034168130</v>
      </c>
      <c r="C550" s="904" t="inlineStr">
        <is>
          <t>ÂNCORA</t>
        </is>
      </c>
      <c r="D550" s="481" t="inlineStr">
        <is>
          <t>2 Bits Soquete Magnético 3/8 Aço Parafusadeira Sextavado Pro</t>
        </is>
      </c>
      <c r="E550" s="904" t="n"/>
      <c r="F550" s="856" t="n">
        <v>36.9</v>
      </c>
      <c r="G550" s="1016">
        <f>F550*17%</f>
        <v/>
      </c>
      <c r="H550" s="831" t="n"/>
      <c r="I550" s="904">
        <f>IFS(
F550&lt;12.5, F550/2,
F550&lt;29, 6.25,
F550&lt;50, 6.5,
F550&lt;=79, 6.75,
TRUE, 
25)</f>
        <v/>
      </c>
      <c r="J550" s="340">
        <f>F550*18%</f>
        <v/>
      </c>
      <c r="K550" s="340">
        <f>(F550-J550)*1.65%</f>
        <v/>
      </c>
      <c r="L550" s="340">
        <f>(F550-J550)*7.6%</f>
        <v/>
      </c>
      <c r="M550" s="577" t="n"/>
      <c r="N550" s="543">
        <f>(G550+I550)*(9.25%)</f>
        <v/>
      </c>
      <c r="O550" s="648">
        <f>7.68*2</f>
        <v/>
      </c>
      <c r="P550" s="1016">
        <f>(F550 - (G550+I550+O550+(J550+K550+L550))) - (H550-M550-N550)</f>
        <v/>
      </c>
      <c r="Q550" s="462">
        <f>P550/F550</f>
        <v/>
      </c>
      <c r="R550" s="1206" t="inlineStr">
        <is>
          <t>sem estoque</t>
        </is>
      </c>
      <c r="S550" s="904" t="inlineStr">
        <is>
          <t>2un</t>
        </is>
      </c>
      <c r="T550" s="569" t="n"/>
      <c r="U550" s="1030" t="n"/>
      <c r="V550" s="1030" t="n"/>
      <c r="W550" s="1030" t="n"/>
    </row>
    <row r="551" ht="15.75" customHeight="1" s="1349">
      <c r="A551" s="1292" t="inlineStr">
        <is>
          <t>4451511933</t>
        </is>
      </c>
      <c r="B551" s="884" t="n">
        <v>10034034168133</v>
      </c>
      <c r="C551" s="904" t="inlineStr">
        <is>
          <t>Toralf</t>
        </is>
      </c>
      <c r="D551" s="481" t="inlineStr">
        <is>
          <t>Kit 4 Parafuso Sanitário Aço Bicromatizado Fixação B10 95mm</t>
        </is>
      </c>
      <c r="E551" s="904" t="n"/>
      <c r="F551" s="856" t="n">
        <v>24.83</v>
      </c>
      <c r="G551" s="1016">
        <f>F551*17%</f>
        <v/>
      </c>
      <c r="H551" s="831" t="n">
        <v>-0.41</v>
      </c>
      <c r="I551" s="904">
        <f>IFS(
F551&lt;12.5, F551/2,
F551&lt;29, 6.25,
F551&lt;50, 6.5,
F551&lt;=79, 6.75,
TRUE, 
25)</f>
        <v/>
      </c>
      <c r="J551" s="340">
        <f>F551*18%</f>
        <v/>
      </c>
      <c r="K551" s="340">
        <f>(F551-J551)*1.65%</f>
        <v/>
      </c>
      <c r="L551" s="340">
        <f>(F551-J551)*7.6%</f>
        <v/>
      </c>
      <c r="M551" s="1097">
        <f>0.22*4</f>
        <v/>
      </c>
      <c r="N551" s="785">
        <f>(G551+I551)*(9.25%)</f>
        <v/>
      </c>
      <c r="O551" s="701">
        <f>1.85*4</f>
        <v/>
      </c>
      <c r="P551" s="1016">
        <f>(F551 - (G551+I551+O551+(J551+K551+L551))) - (H551-M551-N551)</f>
        <v/>
      </c>
      <c r="Q551" s="462">
        <f>P551/F551</f>
        <v/>
      </c>
      <c r="R551" s="1206" t="inlineStr">
        <is>
          <t>Ativo</t>
        </is>
      </c>
      <c r="S551" s="904" t="inlineStr">
        <is>
          <t>4un</t>
        </is>
      </c>
      <c r="T551" s="569" t="n"/>
      <c r="U551" s="1030" t="n"/>
      <c r="V551" s="1030" t="n"/>
      <c r="W551" s="1030" t="n"/>
    </row>
    <row r="552" ht="15.75" customHeight="1" s="1349">
      <c r="A552" s="1292" t="inlineStr">
        <is>
          <t>4451449133</t>
        </is>
      </c>
      <c r="B552" s="884" t="n">
        <v>10034034168132</v>
      </c>
      <c r="C552" s="904" t="inlineStr">
        <is>
          <t>Toralf</t>
        </is>
      </c>
      <c r="D552" s="481" t="inlineStr">
        <is>
          <t>8 Parafuso Sanitário Latonado Bicromatizado 10mm Fixação Pro</t>
        </is>
      </c>
      <c r="E552" s="904" t="n"/>
      <c r="F552" s="856" t="n">
        <v>39</v>
      </c>
      <c r="G552" s="1016">
        <f>F552*17%</f>
        <v/>
      </c>
      <c r="H552" s="831" t="n">
        <v>-0.6</v>
      </c>
      <c r="I552" s="904" t="n">
        <v>6.55</v>
      </c>
      <c r="J552" s="340">
        <f>F552*18%</f>
        <v/>
      </c>
      <c r="K552" s="340">
        <f>(F552-J552)*1.65%</f>
        <v/>
      </c>
      <c r="L552" s="340">
        <f>(F552-J552)*7.6%</f>
        <v/>
      </c>
      <c r="M552" s="1097" t="n">
        <v>0.17</v>
      </c>
      <c r="N552" s="785">
        <f>(G552+I552)*(9.25%)</f>
        <v/>
      </c>
      <c r="O552" s="718">
        <f>1.85*8</f>
        <v/>
      </c>
      <c r="P552" s="1016">
        <f>(F552 - (G552+I552+O552+(J552+K552+L552))) - (H552-M552-N552)</f>
        <v/>
      </c>
      <c r="Q552" s="462">
        <f>P552/F552</f>
        <v/>
      </c>
      <c r="R552" s="1206" t="inlineStr">
        <is>
          <t>Ativo</t>
        </is>
      </c>
      <c r="S552" s="904" t="inlineStr">
        <is>
          <t>8un</t>
        </is>
      </c>
      <c r="T552" s="569" t="n"/>
      <c r="U552" s="1030" t="n"/>
      <c r="V552" s="1030" t="n"/>
      <c r="W552" s="1030" t="n"/>
    </row>
    <row r="553" ht="15.75" customHeight="1" s="1349">
      <c r="B553" s="906" t="e">
        <v>#N/A</v>
      </c>
      <c r="C553" s="904" t="inlineStr">
        <is>
          <t>Toralf</t>
        </is>
      </c>
      <c r="D553" s="1096" t="inlineStr">
        <is>
          <t>b10 70mm 1608 [CARLINHOS PRECISA CADASTRAR]</t>
        </is>
      </c>
      <c r="E553" s="1096" t="n"/>
      <c r="F553" s="856" t="n">
        <v>19</v>
      </c>
      <c r="G553" s="1016">
        <f>F553*17%</f>
        <v/>
      </c>
      <c r="H553" s="831" t="n"/>
      <c r="I553" s="904">
        <f>IFS(
  F553&lt;12.5, F553/2,
  F553&lt;29, 6.25,
  F553&lt;50, 6.5,
  F553&lt;=79, 6.75,
  TRUE, 25
)</f>
        <v/>
      </c>
      <c r="J553" s="340">
        <f>F553*18%</f>
        <v/>
      </c>
      <c r="K553" s="340">
        <f>(F553-J553)*1.65%</f>
        <v/>
      </c>
      <c r="L553" s="340">
        <f>(F553-J553)*7.6%</f>
        <v/>
      </c>
      <c r="M553" s="577" t="n"/>
      <c r="N553" s="543">
        <f>(G553+I553)*(9.25%)</f>
        <v/>
      </c>
      <c r="O553" s="648" t="n">
        <v>2.36</v>
      </c>
      <c r="P553" s="1016">
        <f>(F553 - (G553+I553+O553+(J553+K553+L553))) - (H553-M553-N553)</f>
        <v/>
      </c>
      <c r="Q553" s="462">
        <f>P553/F553</f>
        <v/>
      </c>
      <c r="R553" s="1206" t="n"/>
      <c r="S553" s="904" t="inlineStr">
        <is>
          <t>2un</t>
        </is>
      </c>
      <c r="T553" s="569" t="n"/>
      <c r="U553" s="1030" t="n"/>
      <c r="V553" s="1030" t="n"/>
      <c r="W553" s="1030" t="n"/>
    </row>
    <row r="554" ht="15.75" customHeight="1" s="1349">
      <c r="A554" s="1292" t="inlineStr">
        <is>
          <t>6210448708</t>
        </is>
      </c>
      <c r="B554" s="884" t="n">
        <v>10034034168134</v>
      </c>
      <c r="C554" s="904" t="inlineStr">
        <is>
          <t>Toralf</t>
        </is>
      </c>
      <c r="D554" s="481" t="inlineStr">
        <is>
          <t>4 Parafuso Sanitário Latonado Bicromatizado 125mm Bucha 12</t>
        </is>
      </c>
      <c r="E554" s="904" t="n"/>
      <c r="F554" s="856" t="n">
        <v>29.2</v>
      </c>
      <c r="G554" s="1016">
        <f>F554*12%</f>
        <v/>
      </c>
      <c r="H554" s="831" t="n"/>
      <c r="I554" s="904" t="n">
        <v>6.65</v>
      </c>
      <c r="J554" s="340">
        <f>F554*18%</f>
        <v/>
      </c>
      <c r="K554" s="340">
        <f>(F554-J554)*1.65%</f>
        <v/>
      </c>
      <c r="L554" s="340">
        <f>(F554-J554)*7.6%</f>
        <v/>
      </c>
      <c r="M554" s="1097">
        <f>0.35*4</f>
        <v/>
      </c>
      <c r="N554" s="785">
        <f>(G554+I554)*(9.25%)</f>
        <v/>
      </c>
      <c r="O554" s="701">
        <f>2.93*4</f>
        <v/>
      </c>
      <c r="P554" s="1016">
        <f>(F554 - (G554+I554+O554+(J554+K554+L554))) - (H554-M554-N554)</f>
        <v/>
      </c>
      <c r="Q554" s="462">
        <f>P554/F554</f>
        <v/>
      </c>
      <c r="R554" s="1206" t="inlineStr">
        <is>
          <t>Ativo</t>
        </is>
      </c>
      <c r="S554" s="904" t="inlineStr">
        <is>
          <t>4un</t>
        </is>
      </c>
      <c r="T554" s="569" t="n"/>
      <c r="U554" s="1030" t="n"/>
      <c r="V554" s="1030" t="n"/>
      <c r="W554" s="1030" t="n"/>
    </row>
    <row r="555" ht="15.75" customHeight="1" s="1349">
      <c r="A555" s="1292" t="inlineStr">
        <is>
          <t>4452178997</t>
        </is>
      </c>
      <c r="B555" s="884" t="n">
        <v>10034034168135</v>
      </c>
      <c r="C555" s="904" t="inlineStr">
        <is>
          <t>Toralf</t>
        </is>
      </c>
      <c r="D555" s="481" t="inlineStr">
        <is>
          <t>8 Parafuso Sanitário Bicromatizado 120mm Fixação Universal</t>
        </is>
      </c>
      <c r="E555" s="904" t="n"/>
      <c r="F555" s="856" t="n">
        <v>53.25</v>
      </c>
      <c r="G555" s="1016">
        <f>F555*17%</f>
        <v/>
      </c>
      <c r="H555" s="831" t="n">
        <v>-1.36</v>
      </c>
      <c r="I555" s="904">
        <f>IFS(
  F555&lt;12.5, F555/2,
  F555&lt;29, 6.25,
  F555&lt;50, 6.5,
  F555&lt;=79, 6.75,
  TRUE, 25
)</f>
        <v/>
      </c>
      <c r="J555" s="340">
        <f>F555*18%</f>
        <v/>
      </c>
      <c r="K555" s="340">
        <f>(F555-J555)*1.65%</f>
        <v/>
      </c>
      <c r="L555" s="340">
        <f>(F555-J555)*7.6%</f>
        <v/>
      </c>
      <c r="M555" s="1097">
        <f>0.35*8</f>
        <v/>
      </c>
      <c r="N555" s="785">
        <f>(G555+I555)*(9.25%)</f>
        <v/>
      </c>
      <c r="O555" s="701">
        <f>2.93*8</f>
        <v/>
      </c>
      <c r="P555" s="1016">
        <f>(F555 - (G555+I555+O555+(J555+K555+L555))) - (H555-M555-N555)</f>
        <v/>
      </c>
      <c r="Q555" s="462">
        <f>P555/F555</f>
        <v/>
      </c>
      <c r="R555" s="1206" t="inlineStr">
        <is>
          <t>Ativo</t>
        </is>
      </c>
      <c r="S555" s="904" t="inlineStr">
        <is>
          <t>8un</t>
        </is>
      </c>
      <c r="T555" s="569" t="n"/>
      <c r="U555" s="1030" t="n"/>
      <c r="V555" s="1030" t="n"/>
      <c r="W555" s="1030" t="n"/>
    </row>
    <row r="556" ht="15.75" customHeight="1" s="1349">
      <c r="A556" s="1292" t="inlineStr">
        <is>
          <t>4452094635</t>
        </is>
      </c>
      <c r="B556" s="884" t="n">
        <v>10034034168136</v>
      </c>
      <c r="C556" s="904" t="inlineStr">
        <is>
          <t>Toralf</t>
        </is>
      </c>
      <c r="D556" s="481" t="inlineStr">
        <is>
          <t>4 Parafuso Sanitário Latonado Resistente 90mm Com Arruela</t>
        </is>
      </c>
      <c r="E556" s="904" t="n"/>
      <c r="F556" s="856" t="n">
        <v>27.9</v>
      </c>
      <c r="G556" s="1016">
        <f>F556*17%</f>
        <v/>
      </c>
      <c r="H556" s="831" t="n"/>
      <c r="I556" s="904">
        <f>IFS(
F556&lt;12.5, F556/2,
F556&lt;29, 6.25,
F556&lt;50, 6.5,
F556&lt;=79, 6.75,
TRUE, 
25)</f>
        <v/>
      </c>
      <c r="J556" s="340">
        <f>F556*18%</f>
        <v/>
      </c>
      <c r="K556" s="340">
        <f>(F556-J556)*1.65%</f>
        <v/>
      </c>
      <c r="L556" s="340">
        <f>(F556-J556)*7.6%</f>
        <v/>
      </c>
      <c r="M556" s="1097">
        <f>0.28*4</f>
        <v/>
      </c>
      <c r="N556" s="785">
        <f>(G556+I556)*(9.25%)</f>
        <v/>
      </c>
      <c r="O556" s="701">
        <f>2.36*4</f>
        <v/>
      </c>
      <c r="P556" s="1016">
        <f>(F556 - (G556+I556+O556+(J556+K556+L556))) - (H556-M556-N556)</f>
        <v/>
      </c>
      <c r="Q556" s="462">
        <f>P556/F556</f>
        <v/>
      </c>
      <c r="R556" s="1206" t="inlineStr">
        <is>
          <t>Ativo</t>
        </is>
      </c>
      <c r="S556" s="904" t="inlineStr">
        <is>
          <t>4un</t>
        </is>
      </c>
      <c r="T556" s="569" t="n"/>
      <c r="U556" s="1030" t="n"/>
      <c r="V556" s="1030" t="n"/>
      <c r="W556" s="1030" t="n"/>
    </row>
    <row r="557" ht="15.75" customHeight="1" s="1349">
      <c r="A557" s="1292" t="inlineStr">
        <is>
          <t>4452095535</t>
        </is>
      </c>
      <c r="B557" s="884" t="n">
        <v>10034034168137</v>
      </c>
      <c r="C557" s="904" t="inlineStr">
        <is>
          <t>Toralf</t>
        </is>
      </c>
      <c r="D557" s="481" t="inlineStr">
        <is>
          <t>Kit 8 Parafuso Sanitário 90mm Bucha 12 Fixação Instalação</t>
        </is>
      </c>
      <c r="E557" s="904" t="n"/>
      <c r="F557" s="856" t="n">
        <v>41.61</v>
      </c>
      <c r="G557" s="1016">
        <f>F557*17%</f>
        <v/>
      </c>
      <c r="H557" s="831" t="n">
        <v>-1.27</v>
      </c>
      <c r="I557" s="904" t="n">
        <v>7.95</v>
      </c>
      <c r="J557" s="340">
        <f>F557*18%</f>
        <v/>
      </c>
      <c r="K557" s="340">
        <f>(F557-J557)*1.65%</f>
        <v/>
      </c>
      <c r="L557" s="340">
        <f>(F557-J557)*7.6%</f>
        <v/>
      </c>
      <c r="M557" s="1097">
        <f>0.28*8</f>
        <v/>
      </c>
      <c r="N557" s="785">
        <f>(G557+I557)*(9.25%)</f>
        <v/>
      </c>
      <c r="O557" s="701">
        <f>2.36*8</f>
        <v/>
      </c>
      <c r="P557" s="1016">
        <f>(F557 - (G557+I557+O557+(J557+K557+L557))) - (H557-M557-N557)</f>
        <v/>
      </c>
      <c r="Q557" s="462">
        <f>P557/F557</f>
        <v/>
      </c>
      <c r="R557" s="1206" t="inlineStr">
        <is>
          <t>Ativo</t>
        </is>
      </c>
      <c r="S557" s="904" t="inlineStr">
        <is>
          <t>8un</t>
        </is>
      </c>
      <c r="T557" s="569" t="n"/>
      <c r="U557" s="1030" t="n"/>
      <c r="V557" s="1030" t="n"/>
      <c r="W557" s="1030" t="n"/>
    </row>
    <row r="558" ht="15.75" customHeight="1" s="1349">
      <c r="A558" s="1292" t="inlineStr">
        <is>
          <t>6222375740</t>
        </is>
      </c>
      <c r="B558" s="884" t="n">
        <v>10034034166501</v>
      </c>
      <c r="C558" s="904" t="inlineStr">
        <is>
          <t>Irwin</t>
        </is>
      </c>
      <c r="D558" s="481" t="inlineStr">
        <is>
          <t>Lápis Carpinteiro Marcação Madeira Grafite Preto Marcenaria</t>
        </is>
      </c>
      <c r="E558" s="904" t="n"/>
      <c r="F558" s="794" t="n">
        <v>12.12</v>
      </c>
      <c r="G558" s="1016">
        <f>F558*17%</f>
        <v/>
      </c>
      <c r="H558" s="831" t="n">
        <v>-0.72</v>
      </c>
      <c r="I558" s="904">
        <f>IFS(
  F558&lt;12.5, F558/2,
  F558&lt;29, 6.25,
  F558&lt;50, 6.5,
  F558&lt;=79, 6.75,
  TRUE, 25
)</f>
        <v/>
      </c>
      <c r="J558" s="340">
        <f>F558*18%</f>
        <v/>
      </c>
      <c r="K558" s="340">
        <f>(F558-J558)*1.65%</f>
        <v/>
      </c>
      <c r="L558" s="340">
        <f>(F558-J558)*7.6%</f>
        <v/>
      </c>
      <c r="M558" s="1097" t="n">
        <v>0.35</v>
      </c>
      <c r="N558" s="785">
        <f>(G558+I558)*(9.25%)</f>
        <v/>
      </c>
      <c r="O558" s="701" t="n">
        <v>1.37</v>
      </c>
      <c r="P558" s="1016">
        <f>(F558 - (G558+I558+O558+(J558+K558+L558))) - (H558-M558-N558)</f>
        <v/>
      </c>
      <c r="Q558" s="462">
        <f>P558/F558</f>
        <v/>
      </c>
      <c r="R558" s="1206" t="inlineStr">
        <is>
          <t>Ativo</t>
        </is>
      </c>
      <c r="S558" s="904" t="inlineStr">
        <is>
          <t>1un</t>
        </is>
      </c>
      <c r="T558" s="569" t="n"/>
      <c r="U558" s="1030" t="n"/>
      <c r="V558" s="1030" t="n"/>
      <c r="W558" s="1030" t="n"/>
    </row>
    <row r="559" ht="15.75" customHeight="1" s="1349">
      <c r="A559" s="1292" t="inlineStr">
        <is>
          <t>6210915110</t>
        </is>
      </c>
      <c r="B559" s="884" t="n">
        <v>10034034168140</v>
      </c>
      <c r="C559" s="904" t="inlineStr">
        <is>
          <t>Irwin</t>
        </is>
      </c>
      <c r="D559" s="481" t="inlineStr">
        <is>
          <t>Kit 6 Lápis De Carpinteiro Marcação Profissional Marceneiro</t>
        </is>
      </c>
      <c r="E559" s="904" t="n"/>
      <c r="F559" s="856" t="n">
        <v>22.21</v>
      </c>
      <c r="G559" s="1016">
        <f>F559*12%</f>
        <v/>
      </c>
      <c r="H559" s="831" t="n">
        <v>-0.6899999999999999</v>
      </c>
      <c r="I559" s="904" t="n">
        <v>6.65</v>
      </c>
      <c r="J559" s="340">
        <f>F559*18%</f>
        <v/>
      </c>
      <c r="K559" s="340">
        <f>(F559-J559)*1.65%</f>
        <v/>
      </c>
      <c r="L559" s="340">
        <f>(F559-J559)*7.6%</f>
        <v/>
      </c>
      <c r="M559" s="1097">
        <f>0.35*6</f>
        <v/>
      </c>
      <c r="N559" s="785">
        <f>(G559+I559)*(9.25%)</f>
        <v/>
      </c>
      <c r="O559" s="701">
        <f>1.37*6</f>
        <v/>
      </c>
      <c r="P559" s="1016">
        <f>(F559 - (G559+I559+O559+(J559+K559+L559))) - (H559-M559-N559)</f>
        <v/>
      </c>
      <c r="Q559" s="462">
        <f>P559/F559</f>
        <v/>
      </c>
      <c r="R559" s="1206" t="inlineStr">
        <is>
          <t>Ativo</t>
        </is>
      </c>
      <c r="S559" s="904" t="inlineStr">
        <is>
          <t>6un</t>
        </is>
      </c>
      <c r="T559" s="569" t="n"/>
      <c r="U559" s="1030" t="n"/>
      <c r="V559" s="1030" t="n"/>
      <c r="W559" s="1030" t="n"/>
    </row>
    <row r="560" ht="15.75" customHeight="1" s="1349">
      <c r="A560" s="1292" t="inlineStr">
        <is>
          <t>6210901126</t>
        </is>
      </c>
      <c r="B560" s="884" t="n">
        <v>10034034168138</v>
      </c>
      <c r="C560" s="904" t="inlineStr">
        <is>
          <t>Irwin</t>
        </is>
      </c>
      <c r="D560" s="481" t="inlineStr">
        <is>
          <t>10 Lápis Carpinteiro Marcação Madeira Marcenaria Pedreiro</t>
        </is>
      </c>
      <c r="E560" s="904" t="n"/>
      <c r="F560" s="856" t="n">
        <v>28.39</v>
      </c>
      <c r="G560" s="1016">
        <f>F560*12%</f>
        <v/>
      </c>
      <c r="H560" s="831" t="n">
        <v>-1.7</v>
      </c>
      <c r="I560" s="904" t="n">
        <v>6.65</v>
      </c>
      <c r="J560" s="340">
        <f>F560*18%</f>
        <v/>
      </c>
      <c r="K560" s="340">
        <f>(F560-J560)*1.65%</f>
        <v/>
      </c>
      <c r="L560" s="340">
        <f>(F560-J560)*7.6%</f>
        <v/>
      </c>
      <c r="M560" s="1097">
        <f>0.35*10</f>
        <v/>
      </c>
      <c r="N560" s="785">
        <f>(G560+I560)*(9.25%)</f>
        <v/>
      </c>
      <c r="O560" s="701">
        <f>1.37*10</f>
        <v/>
      </c>
      <c r="P560" s="1016">
        <f>(F560 - (G560+I560+O560+(J560+K560+L560))) - (H560-M560-N560)</f>
        <v/>
      </c>
      <c r="Q560" s="462">
        <f>P560/F560</f>
        <v/>
      </c>
      <c r="R560" s="1206" t="inlineStr">
        <is>
          <t>Ativo</t>
        </is>
      </c>
      <c r="S560" s="904" t="inlineStr">
        <is>
          <t>10un</t>
        </is>
      </c>
      <c r="T560" s="569" t="n"/>
      <c r="U560" s="1030" t="n"/>
      <c r="V560" s="1030" t="n"/>
      <c r="W560" s="1030" t="n"/>
    </row>
    <row r="561" ht="15.75" customHeight="1" s="1349">
      <c r="A561" s="1292" t="inlineStr">
        <is>
          <t>4453868537</t>
        </is>
      </c>
      <c r="B561" s="884" t="n">
        <v>10034034168139</v>
      </c>
      <c r="C561" s="904" t="inlineStr">
        <is>
          <t>Irwin</t>
        </is>
      </c>
      <c r="D561" s="481" t="inlineStr">
        <is>
          <t>Kit 72 Lápis Carpinteiro Marceneiro Obra Madeira Resistente</t>
        </is>
      </c>
      <c r="E561" s="904" t="n"/>
      <c r="F561" s="856" t="n">
        <v>159.01</v>
      </c>
      <c r="G561" s="1016">
        <f>F561*17%</f>
        <v/>
      </c>
      <c r="H561" s="831" t="n">
        <v>-5.07</v>
      </c>
      <c r="I561" s="904" t="n">
        <v>20.75</v>
      </c>
      <c r="J561" s="340">
        <f>F561*18%</f>
        <v/>
      </c>
      <c r="K561" s="340">
        <f>(F561-J561)*1.65%</f>
        <v/>
      </c>
      <c r="L561" s="340">
        <f>(F561-J561)*7.6%</f>
        <v/>
      </c>
      <c r="M561" s="1097">
        <f>0.35*72</f>
        <v/>
      </c>
      <c r="N561" s="785">
        <f>(G561+I561)*(9.25%)</f>
        <v/>
      </c>
      <c r="O561" s="701">
        <f>1.37*72</f>
        <v/>
      </c>
      <c r="P561" s="1016">
        <f>(F561 - (G561+I561+O561+(J561+K561+L561))) - (H561-M561-N561)</f>
        <v/>
      </c>
      <c r="Q561" s="462">
        <f>P561/F561</f>
        <v/>
      </c>
      <c r="R561" s="1206" t="inlineStr">
        <is>
          <t>Ativo</t>
        </is>
      </c>
      <c r="S561" s="904" t="inlineStr">
        <is>
          <t>72un</t>
        </is>
      </c>
      <c r="T561" s="569" t="n"/>
      <c r="U561" s="1030" t="n"/>
      <c r="V561" s="1030" t="n"/>
      <c r="W561" s="1030" t="n"/>
    </row>
    <row r="562" ht="15.75" customHeight="1" s="1349">
      <c r="A562" s="1292" t="inlineStr">
        <is>
          <t>4095774975</t>
        </is>
      </c>
      <c r="B562" s="884" t="inlineStr">
        <is>
          <t>1014-R-T9</t>
        </is>
      </c>
      <c r="C562" s="904" t="inlineStr">
        <is>
          <t>Super Safety</t>
        </is>
      </c>
      <c r="D562" s="481" t="inlineStr">
        <is>
          <t>Luva Nitrílica Ss1014 Ca 38.646 Super Safety Antiderrapante</t>
        </is>
      </c>
      <c r="E562" s="904" t="n"/>
      <c r="F562" s="856" t="n">
        <v>46.89</v>
      </c>
      <c r="G562" s="1016">
        <f>F562*12%</f>
        <v/>
      </c>
      <c r="H562" s="833" t="n"/>
      <c r="I562" s="904" t="n">
        <v>7.75</v>
      </c>
      <c r="J562" s="340">
        <f>F562*18%</f>
        <v/>
      </c>
      <c r="K562" s="340">
        <f>(F562-J562)*1.65%</f>
        <v/>
      </c>
      <c r="L562" s="340">
        <f>(F562-J562)*7.6%</f>
        <v/>
      </c>
      <c r="M562" s="1097" t="n">
        <v>2.95</v>
      </c>
      <c r="N562" s="785">
        <f>(G562+I562)*(9.25%)</f>
        <v/>
      </c>
      <c r="O562" s="701" t="n">
        <v>22.9</v>
      </c>
      <c r="P562" s="1016">
        <f>(F562 - (G562+I562+O562+(J562+K562+L562))) - (H562-M562-N562)</f>
        <v/>
      </c>
      <c r="Q562" s="462">
        <f>P562/F562</f>
        <v/>
      </c>
      <c r="R562" s="1206" t="inlineStr">
        <is>
          <t>Ativo</t>
        </is>
      </c>
      <c r="S562" s="904" t="n"/>
      <c r="T562" s="569" t="n"/>
      <c r="U562" s="1030" t="n"/>
      <c r="V562" s="1030" t="n"/>
      <c r="W562" s="1030" t="n"/>
    </row>
    <row r="563" ht="15.75" customHeight="1" s="1349">
      <c r="A563" s="1292" t="inlineStr">
        <is>
          <t>4477548703</t>
        </is>
      </c>
      <c r="B563" s="819" t="e">
        <v>#N/A</v>
      </c>
      <c r="C563" s="904" t="inlineStr">
        <is>
          <t>Bosch</t>
        </is>
      </c>
      <c r="D563" s="481" t="inlineStr">
        <is>
          <t>Esmerilhadeira Lixadeira Angular Profissional 850w Gws 850 Azul 220v</t>
        </is>
      </c>
      <c r="E563" s="904" t="n"/>
      <c r="F563" s="856" t="n">
        <v>872.13</v>
      </c>
      <c r="G563" s="1016">
        <f>F563*17%</f>
        <v/>
      </c>
      <c r="H563" s="833" t="n">
        <v>-12.68</v>
      </c>
      <c r="I563" s="904" t="n">
        <v>24.95</v>
      </c>
      <c r="J563" s="340">
        <f>F563*18%</f>
        <v/>
      </c>
      <c r="K563" s="340">
        <f>(F563-J563)*1.65%</f>
        <v/>
      </c>
      <c r="L563" s="340">
        <f>(F563-J563)*7.6%</f>
        <v/>
      </c>
      <c r="M563" s="1097" t="n">
        <v>37.3</v>
      </c>
      <c r="N563" s="785">
        <f>(G563+I563)*(9.25%)</f>
        <v/>
      </c>
      <c r="O563" s="701" t="n">
        <v>417.19</v>
      </c>
      <c r="P563" s="1016">
        <f>(F563 - (G563+I563+O563+(J563+K563+L563))) - (H563-M563-N563)</f>
        <v/>
      </c>
      <c r="Q563" s="462">
        <f>P563/F563</f>
        <v/>
      </c>
      <c r="R563" s="1206" t="inlineStr">
        <is>
          <t>Ativo</t>
        </is>
      </c>
      <c r="S563" s="904" t="n"/>
      <c r="T563" s="569" t="n"/>
      <c r="U563" s="1030" t="n"/>
      <c r="V563" s="1030" t="n"/>
      <c r="W563" s="1030" t="n"/>
    </row>
    <row r="564" ht="15.75" customHeight="1" s="1349">
      <c r="A564" s="1292" t="inlineStr">
        <is>
          <t>5086287215133521</t>
        </is>
      </c>
      <c r="B564" s="884" t="inlineStr">
        <is>
          <t>WELD515PAR</t>
        </is>
      </c>
      <c r="C564" s="904" t="inlineStr">
        <is>
          <t>VOLK</t>
        </is>
      </c>
      <c r="D564" s="481" t="inlineStr">
        <is>
          <t>Luva Soldador Weld Smart Alta Temperatura Até 100ºc 41cm</t>
        </is>
      </c>
      <c r="E564" s="904" t="n"/>
      <c r="F564" s="856" t="n">
        <v>76.62</v>
      </c>
      <c r="G564" s="1016">
        <f>F564*12%</f>
        <v/>
      </c>
      <c r="H564" s="833" t="n">
        <v>-4.23</v>
      </c>
      <c r="I564" s="904" t="n">
        <v>14.15</v>
      </c>
      <c r="J564" s="340">
        <f>F564*18%</f>
        <v/>
      </c>
      <c r="K564" s="340">
        <f>(F564-J564)*1.65%</f>
        <v/>
      </c>
      <c r="L564" s="340">
        <f>(F564-J564)*7.6%</f>
        <v/>
      </c>
      <c r="M564" s="1097" t="n">
        <v>5.017</v>
      </c>
      <c r="N564" s="785">
        <f>(G564+I564)*(9.25%)</f>
        <v/>
      </c>
      <c r="O564" s="701" t="n">
        <v>38.95</v>
      </c>
      <c r="P564" s="1016">
        <f>(F564 - (G564+I564+O564+(J564+K564+L564))) - (H564-M564-N564)</f>
        <v/>
      </c>
      <c r="Q564" s="462">
        <f>P564/F564</f>
        <v/>
      </c>
      <c r="R564" s="1206" t="inlineStr">
        <is>
          <t>Ativo</t>
        </is>
      </c>
      <c r="S564" s="904" t="n"/>
      <c r="T564" s="569" t="n"/>
      <c r="U564" s="1030" t="n"/>
      <c r="V564" s="1030" t="n"/>
      <c r="W564" s="1030" t="n"/>
    </row>
    <row r="565" ht="15.75" customHeight="1" s="1349">
      <c r="A565" s="1292" t="inlineStr">
        <is>
          <t>6257140300 6257359828</t>
        </is>
      </c>
      <c r="B565" s="884" t="e">
        <v>#N/A</v>
      </c>
      <c r="C565" s="904" t="inlineStr">
        <is>
          <t>VOLK</t>
        </is>
      </c>
      <c r="D565" s="1043" t="inlineStr">
        <is>
          <t>esquerda / direita</t>
        </is>
      </c>
      <c r="E565" s="1043" t="n"/>
      <c r="F565" s="856" t="n">
        <v>42.9</v>
      </c>
      <c r="G565" s="1016">
        <f>F565*12%</f>
        <v/>
      </c>
      <c r="H565" s="833" t="n"/>
      <c r="I565" s="904" t="n">
        <v>7.95</v>
      </c>
      <c r="J565" s="340">
        <f>F565*18%</f>
        <v/>
      </c>
      <c r="K565" s="340">
        <f>(F565-J565)*1.65%</f>
        <v/>
      </c>
      <c r="L565" s="340">
        <f>(F565-J565)*7.6%</f>
        <v/>
      </c>
      <c r="M565" s="1097">
        <f>5.017/2</f>
        <v/>
      </c>
      <c r="N565" s="785">
        <f>(G565+I565)*(9.25%)</f>
        <v/>
      </c>
      <c r="O565" s="701">
        <f>38.95/2</f>
        <v/>
      </c>
      <c r="P565" s="1016">
        <f>(F565 - (G565+I565+O565+(J565+K565+L565))) - (H565-M565-N565)</f>
        <v/>
      </c>
      <c r="Q565" s="462">
        <f>P565/F565</f>
        <v/>
      </c>
      <c r="R565" s="1206" t="inlineStr">
        <is>
          <t>Ativo</t>
        </is>
      </c>
      <c r="S565" s="904" t="n"/>
      <c r="T565" s="569" t="n"/>
      <c r="U565" s="1030" t="n"/>
      <c r="V565" s="1030" t="n"/>
      <c r="W565" s="1030" t="n"/>
    </row>
    <row r="566" ht="15.75" customHeight="1" s="1349">
      <c r="A566" s="1292" t="inlineStr">
        <is>
          <t>4491158923</t>
        </is>
      </c>
      <c r="B566" s="884" t="n">
        <v>10034034168185</v>
      </c>
      <c r="C566" s="904" t="inlineStr">
        <is>
          <t>Vinilseg</t>
        </is>
      </c>
      <c r="D566" s="481" t="inlineStr">
        <is>
          <t>Macacão Impermeável Kp500 Saneamento Com Bota Luva Acoplada</t>
        </is>
      </c>
      <c r="E566" s="904" t="n"/>
      <c r="F566" s="856" t="n">
        <v>279.99</v>
      </c>
      <c r="G566" s="1016">
        <f>F566*17%</f>
        <v/>
      </c>
      <c r="H566" s="833" t="n"/>
      <c r="I566" s="904" t="n">
        <v>28.45</v>
      </c>
      <c r="J566" s="340">
        <f>F566*18%</f>
        <v/>
      </c>
      <c r="K566" s="340">
        <f>(F566-J566)*1.65%</f>
        <v/>
      </c>
      <c r="L566" s="340">
        <f>(F566-J566)*7.6%</f>
        <v/>
      </c>
      <c r="M566" s="1097" t="n">
        <v>33.23</v>
      </c>
      <c r="N566" s="785">
        <f>(G566+I566)*(9.25%)</f>
        <v/>
      </c>
      <c r="O566" s="701" t="n">
        <v>165</v>
      </c>
      <c r="P566" s="1016">
        <f>(F566 - (G566+I566+O566+(J566+K566+L566))) - (H566-M566-N566)</f>
        <v/>
      </c>
      <c r="Q566" s="462">
        <f>P566/F566</f>
        <v/>
      </c>
      <c r="R566" s="1206" t="inlineStr">
        <is>
          <t>sem estoque</t>
        </is>
      </c>
      <c r="S566" s="904" t="n"/>
      <c r="T566" s="569" t="n"/>
      <c r="U566" s="1030" t="n"/>
      <c r="V566" s="1030" t="n"/>
      <c r="W566" s="1030" t="n"/>
    </row>
    <row r="567" ht="15.75" customHeight="1" s="1349">
      <c r="A567" s="1292" t="inlineStr">
        <is>
          <t>5607742423416345</t>
        </is>
      </c>
      <c r="B567" s="884" t="n">
        <v>10034034168182</v>
      </c>
      <c r="C567" s="904" t="inlineStr">
        <is>
          <t>Vinilseg</t>
        </is>
      </c>
      <c r="D567" s="765" t="inlineStr">
        <is>
          <t>Macacão Jardineira Impermeável Kp500 Saneamento Com Bota Ca</t>
        </is>
      </c>
      <c r="E567" s="766" t="n"/>
      <c r="F567" s="856" t="n">
        <v>193.03</v>
      </c>
      <c r="G567" s="1016">
        <f>F567*19%</f>
        <v/>
      </c>
      <c r="H567" s="833" t="n">
        <v>-5.97</v>
      </c>
      <c r="I567" s="904" t="n">
        <v>30.75</v>
      </c>
      <c r="J567" s="340">
        <f>F567*18%</f>
        <v/>
      </c>
      <c r="K567" s="340">
        <f>(F567-J567)*1.65%</f>
        <v/>
      </c>
      <c r="L567" s="340">
        <f>(F567-J567)*7.6%</f>
        <v/>
      </c>
      <c r="M567" s="1097" t="n">
        <v>17.32</v>
      </c>
      <c r="N567" s="785">
        <f>(G567+I567)*(9.25%)</f>
        <v/>
      </c>
      <c r="O567" s="701" t="n">
        <v>91.93000000000001</v>
      </c>
      <c r="P567" s="1016">
        <f>(F567 - (G567+I567+O567+(J567+K567+L567))) - (H567-M567-N567)</f>
        <v/>
      </c>
      <c r="Q567" s="462">
        <f>P567/F567</f>
        <v/>
      </c>
      <c r="R567" s="1206" t="inlineStr">
        <is>
          <t>Ativo</t>
        </is>
      </c>
      <c r="S567" s="904" t="n"/>
      <c r="T567" s="569" t="n"/>
      <c r="U567" s="1030" t="n"/>
      <c r="V567" s="1030" t="n"/>
      <c r="W567" s="1030" t="n"/>
    </row>
    <row r="568" ht="15.75" customHeight="1" s="1349">
      <c r="A568" s="1292" t="inlineStr">
        <is>
          <t>6397231054348647</t>
        </is>
      </c>
      <c r="B568" s="884" t="n">
        <v>10034034166262</v>
      </c>
      <c r="C568" s="904" t="inlineStr">
        <is>
          <t>Athenas</t>
        </is>
      </c>
      <c r="D568" s="481" t="inlineStr">
        <is>
          <t>Kit Cinto Paraquedista Altura At 70715 Athos 3 Pontos Aço</t>
        </is>
      </c>
      <c r="E568" s="904" t="n"/>
      <c r="F568" s="856" t="n">
        <v>163</v>
      </c>
      <c r="G568" s="1016">
        <f>F568*17%</f>
        <v/>
      </c>
      <c r="H568" s="833" t="n">
        <v>-8.6</v>
      </c>
      <c r="I568" s="904" t="n">
        <v>24.65</v>
      </c>
      <c r="J568" s="340">
        <f>F568*18%</f>
        <v/>
      </c>
      <c r="K568" s="340">
        <f>(F568-J568)*1.65%</f>
        <v/>
      </c>
      <c r="L568" s="340">
        <f>(F568-J568)*7.6%</f>
        <v/>
      </c>
      <c r="M568" s="1097" t="n">
        <v>17.09</v>
      </c>
      <c r="N568" s="785">
        <f>(G568+I568)*(9.25%)</f>
        <v/>
      </c>
      <c r="O568" s="701" t="n">
        <v>84.86</v>
      </c>
      <c r="P568" s="1016">
        <f>(F568 - (G568+I568+O568+(J568+K568+L568))) - (H568-M568-N568)</f>
        <v/>
      </c>
      <c r="Q568" s="462">
        <f>P568/F568</f>
        <v/>
      </c>
      <c r="R568" s="1206" t="inlineStr">
        <is>
          <t>Ativo</t>
        </is>
      </c>
      <c r="S568" s="904" t="inlineStr">
        <is>
          <t>SÓ CINTO</t>
        </is>
      </c>
      <c r="T568" s="569" t="n"/>
      <c r="U568" s="1030" t="n"/>
      <c r="V568" s="1030" t="n"/>
      <c r="W568" s="1030" t="n"/>
    </row>
    <row r="569" ht="15.75" customHeight="1" s="1349">
      <c r="A569" s="820" t="n"/>
      <c r="B569" s="821" t="e">
        <v>#N/A</v>
      </c>
      <c r="C569" s="827" t="inlineStr">
        <is>
          <t>Athenas</t>
        </is>
      </c>
      <c r="D569" s="824" t="inlineStr">
        <is>
          <t>talabarte</t>
        </is>
      </c>
      <c r="E569" s="824" t="n"/>
      <c r="F569" s="747" t="n">
        <v>221.31</v>
      </c>
      <c r="G569" s="34">
        <f>F569*17%</f>
        <v/>
      </c>
      <c r="H569" s="661" t="n">
        <v>-5.76</v>
      </c>
      <c r="I569" s="761" t="n">
        <v>26.25</v>
      </c>
      <c r="J569" s="663">
        <f>F569*18%</f>
        <v/>
      </c>
      <c r="K569" s="663">
        <f>(F569-J569)*1.65%</f>
        <v/>
      </c>
      <c r="L569" s="663">
        <f>(F569-J569)*7.6%</f>
        <v/>
      </c>
      <c r="M569" s="784" t="n">
        <v>18.16</v>
      </c>
      <c r="N569" s="785">
        <f>(G569+I569)*(9.25%)</f>
        <v/>
      </c>
      <c r="O569" s="786" t="n">
        <v>119.4</v>
      </c>
      <c r="P569" s="1016">
        <f>(F569 - (G569+I569+O569+(J569+K569+L569))) - (H569-M569-N569)</f>
        <v/>
      </c>
      <c r="Q569" s="694">
        <f>P569/F569</f>
        <v/>
      </c>
      <c r="R569" s="1206" t="inlineStr">
        <is>
          <t>Ativo</t>
        </is>
      </c>
      <c r="S569" s="904" t="inlineStr">
        <is>
          <t>SÓ TALABARTE</t>
        </is>
      </c>
      <c r="T569" s="569" t="n"/>
      <c r="U569" s="1030" t="n"/>
      <c r="V569" s="1030" t="n"/>
      <c r="W569" s="1030" t="n"/>
    </row>
    <row r="570" ht="15.75" customHeight="1" s="1349">
      <c r="A570" s="825" t="inlineStr">
        <is>
          <t>6324478106</t>
        </is>
      </c>
      <c r="B570" s="826" t="e">
        <v>#N/A</v>
      </c>
      <c r="C570" s="827" t="inlineStr">
        <is>
          <t>Athenas</t>
        </is>
      </c>
      <c r="D570" s="828" t="inlineStr">
        <is>
          <t>Kit Altura: Cinto Paraquedista 3 Pontos Aço Carbono Athos Lll + Talabarte 2 Pontos 1,35m Aço Amarelo</t>
        </is>
      </c>
      <c r="E570" s="829" t="n"/>
      <c r="F570" s="747" t="n">
        <v>328</v>
      </c>
      <c r="G570" s="34">
        <f>F570*12%</f>
        <v/>
      </c>
      <c r="H570" s="830" t="n"/>
      <c r="I570" s="761" t="n">
        <v>28.35</v>
      </c>
      <c r="J570" s="663">
        <f>F570*18%</f>
        <v/>
      </c>
      <c r="K570" s="663">
        <f>(F570-J570)*1.65%</f>
        <v/>
      </c>
      <c r="L570" s="663">
        <f>(F570-J570)*7.6%</f>
        <v/>
      </c>
      <c r="M570" s="1097" t="n">
        <v>35.25</v>
      </c>
      <c r="N570" s="785">
        <f>(G570+I570)*(9.25%)</f>
        <v/>
      </c>
      <c r="O570" s="701" t="n">
        <v>204.26</v>
      </c>
      <c r="P570" s="1016">
        <f>(F570 - (G570+I570+O570+(J570+K570+L570))) - (H570-M570-N570)</f>
        <v/>
      </c>
      <c r="Q570" s="694">
        <f>P570/F570</f>
        <v/>
      </c>
      <c r="R570" s="1206" t="inlineStr">
        <is>
          <t>Ativo</t>
        </is>
      </c>
      <c r="S570" s="904" t="n"/>
      <c r="T570" s="569" t="n"/>
      <c r="U570" s="1030" t="n"/>
      <c r="V570" s="1030" t="n"/>
      <c r="W570" s="1030" t="n"/>
    </row>
    <row r="571" ht="15.75" customHeight="1" s="1349">
      <c r="A571" s="1292" t="inlineStr">
        <is>
          <t>6323694580</t>
        </is>
      </c>
      <c r="B571" s="884" t="n">
        <v>139</v>
      </c>
      <c r="C571" s="904" t="inlineStr">
        <is>
          <t>Athenas</t>
        </is>
      </c>
      <c r="D571" s="481" t="inlineStr">
        <is>
          <t>Talabarte At Yft Abs 707 Altura 2 Pontos 1,35m Aço P/ Cinto</t>
        </is>
      </c>
      <c r="E571" s="904" t="n"/>
      <c r="F571" s="747" t="n">
        <v>210</v>
      </c>
      <c r="G571" s="1016">
        <f>F571*17%</f>
        <v/>
      </c>
      <c r="H571" s="831" t="n">
        <v>-6.9</v>
      </c>
      <c r="I571" s="832" t="n">
        <v>23.45</v>
      </c>
      <c r="J571" s="1311">
        <f>F571*18%</f>
        <v/>
      </c>
      <c r="K571" s="1311">
        <f>(F571-J571)*1.65%</f>
        <v/>
      </c>
      <c r="L571" s="1311">
        <f>(F571-J571)*7.6%</f>
        <v/>
      </c>
      <c r="M571" s="784" t="n">
        <v>18.16</v>
      </c>
      <c r="N571" s="785">
        <f>(G571+I571)*(9.25%)</f>
        <v/>
      </c>
      <c r="O571" s="786" t="n">
        <v>119.4</v>
      </c>
      <c r="P571" s="1016">
        <f>(F571 - (G571+I571+O571+(J571+K571+L571))) - (H571-M571-N571)</f>
        <v/>
      </c>
      <c r="Q571" s="462">
        <f>P571/F571</f>
        <v/>
      </c>
      <c r="R571" s="1206" t="inlineStr">
        <is>
          <t>Ativo</t>
        </is>
      </c>
      <c r="S571" s="904" t="n"/>
      <c r="T571" s="569" t="n"/>
      <c r="U571" s="1030" t="n"/>
      <c r="V571" s="1030" t="n"/>
      <c r="W571" s="1030" t="n"/>
    </row>
    <row r="572" ht="15.75" customHeight="1" s="1349">
      <c r="A572" s="1292" t="inlineStr">
        <is>
          <t>4508839983</t>
        </is>
      </c>
      <c r="B572" s="884" t="e">
        <v>#N/A</v>
      </c>
      <c r="C572" s="904" t="inlineStr">
        <is>
          <t>Outros</t>
        </is>
      </c>
      <c r="D572" s="481" t="inlineStr">
        <is>
          <t>Detector De Gás Smart Sensor St8904 Medidor 4 Em 1 Portátil Azul-celeste Bateria 3.7v</t>
        </is>
      </c>
      <c r="E572" s="904" t="n"/>
      <c r="F572" s="856" t="n">
        <v>1629.21</v>
      </c>
      <c r="G572" s="1016">
        <f>F572*17%</f>
        <v/>
      </c>
      <c r="H572" s="833" t="n">
        <v>-42.47</v>
      </c>
      <c r="I572" s="904" t="n">
        <v>20.95</v>
      </c>
      <c r="J572" s="340">
        <f>F572*18%</f>
        <v/>
      </c>
      <c r="K572" s="340">
        <f>(F572-J572)*1.65%</f>
        <v/>
      </c>
      <c r="L572" s="340">
        <f>(F572-J572)*7.6%</f>
        <v/>
      </c>
      <c r="M572" s="577" t="n"/>
      <c r="N572" s="543">
        <f>(G572+I572)*(9.25%)</f>
        <v/>
      </c>
      <c r="O572" s="701" t="n">
        <v>652.27</v>
      </c>
      <c r="P572" s="1016">
        <f>(F572 - (G572+I572+O572+(J572+K572+L572))) - (H572-M572-N572)</f>
        <v/>
      </c>
      <c r="Q572" s="462">
        <f>P572/F572</f>
        <v/>
      </c>
      <c r="R572" s="1206" t="inlineStr">
        <is>
          <t>Ativo</t>
        </is>
      </c>
      <c r="S572" s="904" t="n"/>
      <c r="T572" s="569" t="n"/>
      <c r="U572" s="1030" t="n"/>
      <c r="V572" s="1030" t="n"/>
      <c r="W572" s="1030" t="n"/>
    </row>
    <row r="573" ht="15.75" customHeight="1" s="1349">
      <c r="A573" s="1292" t="inlineStr">
        <is>
          <t>4510327191</t>
        </is>
      </c>
      <c r="B573" s="884" t="n">
        <v>10034034168190</v>
      </c>
      <c r="C573" s="904" t="inlineStr">
        <is>
          <t>ÂNCORA</t>
        </is>
      </c>
      <c r="D573" s="481" t="inlineStr">
        <is>
          <t>Ferramenta Fixação A Bateria Agille Alvenaria Concreto Aço</t>
        </is>
      </c>
      <c r="E573" s="904" t="n">
        <v>15000</v>
      </c>
      <c r="F573" s="747" t="n">
        <v>11473.63</v>
      </c>
      <c r="G573" s="1016">
        <f>F573*17%</f>
        <v/>
      </c>
      <c r="H573" s="831" t="n">
        <v>-354.86</v>
      </c>
      <c r="I573" s="832" t="n">
        <v>39.75</v>
      </c>
      <c r="J573" s="1311">
        <f>F573*18%</f>
        <v/>
      </c>
      <c r="K573" s="1311">
        <f>(F573-J573)*1.65%</f>
        <v/>
      </c>
      <c r="L573" s="1311">
        <f>(F573-J573)*7.6%</f>
        <v/>
      </c>
      <c r="M573" s="784" t="n">
        <v>1085.87</v>
      </c>
      <c r="N573" s="785">
        <f>(G573+I573)*(9.25%)</f>
        <v/>
      </c>
      <c r="O573" s="786" t="n">
        <v>6948.05</v>
      </c>
      <c r="P573" s="1016">
        <f>(F573 - (G573+I573+O573+(J573+K573+L573))) - (H573-M573-N573)</f>
        <v/>
      </c>
      <c r="Q573" s="462">
        <f>P573/F573</f>
        <v/>
      </c>
      <c r="R573" s="1206" t="inlineStr">
        <is>
          <t>Ativo</t>
        </is>
      </c>
      <c r="S573" s="904" t="n"/>
      <c r="T573" s="569" t="n"/>
      <c r="U573" s="1030" t="n"/>
      <c r="V573" s="1030" t="n"/>
      <c r="W573" s="1030" t="n"/>
    </row>
    <row r="574" ht="15.75" customHeight="1" s="1349">
      <c r="A574" s="1292" t="inlineStr">
        <is>
          <t>4510327191</t>
        </is>
      </c>
      <c r="B574" s="884" t="n">
        <v>10034034168190</v>
      </c>
      <c r="C574" s="904" t="inlineStr">
        <is>
          <t>ÂNCORA</t>
        </is>
      </c>
      <c r="D574" s="481" t="inlineStr">
        <is>
          <t>Ferramenta Fixação A Bateria Agille Alvenaria Concreto Aço</t>
        </is>
      </c>
      <c r="E574" s="904" t="n">
        <v>14000</v>
      </c>
      <c r="F574" s="747" t="n">
        <v>10184.03</v>
      </c>
      <c r="G574" s="1016">
        <f>F574*12%</f>
        <v/>
      </c>
      <c r="H574" s="831" t="n">
        <v>-377</v>
      </c>
      <c r="I574" s="832" t="n">
        <v>39.75</v>
      </c>
      <c r="J574" s="1311">
        <f>F574*18%</f>
        <v/>
      </c>
      <c r="K574" s="1311">
        <f>(F574-J574)*1.65%</f>
        <v/>
      </c>
      <c r="L574" s="1311">
        <f>(F574-J574)*7.6%</f>
        <v/>
      </c>
      <c r="M574" s="784" t="n">
        <v>1085.87</v>
      </c>
      <c r="N574" s="785">
        <f>(G574+I574)*(9.25%)</f>
        <v/>
      </c>
      <c r="O574" s="786" t="n">
        <v>6948.05</v>
      </c>
      <c r="P574" s="1016">
        <f>(F574 - (G574+I574+O574+(J574+K574+L574))) - (H574-M574-N574)</f>
        <v/>
      </c>
      <c r="Q574" s="462">
        <f>P574/F574</f>
        <v/>
      </c>
      <c r="R574" s="1206" t="inlineStr">
        <is>
          <t>Ativo</t>
        </is>
      </c>
      <c r="S574" s="904" t="n"/>
      <c r="T574" s="569" t="n"/>
      <c r="U574" s="1030" t="n"/>
      <c r="V574" s="1030" t="n"/>
      <c r="W574" s="1030" t="n"/>
    </row>
    <row r="575" ht="15.75" customHeight="1" s="1349">
      <c r="A575" s="1292" t="inlineStr">
        <is>
          <t>1193242778919970</t>
        </is>
      </c>
      <c r="B575" s="884" t="n">
        <v>10034034168201</v>
      </c>
      <c r="C575" s="904" t="inlineStr">
        <is>
          <t>Crival</t>
        </is>
      </c>
      <c r="D575" s="481" t="inlineStr">
        <is>
          <t>Bota Botina Taloneira Segurança Conforto Biqueira Pvc Epi Ca</t>
        </is>
      </c>
      <c r="E575" s="904" t="n"/>
      <c r="F575" s="747" t="n">
        <v>68.95999999999999</v>
      </c>
      <c r="G575" s="1016">
        <f>F575*17%</f>
        <v/>
      </c>
      <c r="H575" s="831" t="n">
        <v>-2.13</v>
      </c>
      <c r="I575" s="832" t="n">
        <v>8.15</v>
      </c>
      <c r="J575" s="1311">
        <f>F575*18%</f>
        <v/>
      </c>
      <c r="K575" s="1311">
        <f>(F575-J575)*1.65%</f>
        <v/>
      </c>
      <c r="L575" s="1311">
        <f>(F575-J575)*7.6%</f>
        <v/>
      </c>
      <c r="M575" s="784" t="n">
        <v>7.8</v>
      </c>
      <c r="N575" s="785">
        <f>(G575+I575)*(9.25%)</f>
        <v/>
      </c>
      <c r="O575" s="786" t="n">
        <v>38.74</v>
      </c>
      <c r="P575" s="1016">
        <f>(F575 - (G575+I575+O575+(J575+K575+L575))) - (H575-M575-N575)</f>
        <v/>
      </c>
      <c r="Q575" s="462">
        <f>P575/F575</f>
        <v/>
      </c>
      <c r="R575" s="1206" t="inlineStr">
        <is>
          <t>Ativo</t>
        </is>
      </c>
      <c r="S575" s="904" t="n"/>
      <c r="T575" s="569" t="n"/>
      <c r="U575" s="1030" t="n"/>
      <c r="V575" s="1030" t="n"/>
      <c r="W575" s="1030" t="n"/>
    </row>
    <row r="576" ht="15.75" customHeight="1" s="1349">
      <c r="A576" s="1292" t="inlineStr">
        <is>
          <t>6444382886 4524962013</t>
        </is>
      </c>
      <c r="B576" s="884" t="e">
        <v>#N/A</v>
      </c>
      <c r="C576" s="904" t="inlineStr">
        <is>
          <t>Plastcor</t>
        </is>
      </c>
      <c r="D576" s="904" t="inlineStr">
        <is>
          <t>zebrada 200m laranja 1un</t>
        </is>
      </c>
      <c r="E576" s="904" t="n"/>
      <c r="F576" s="747" t="n">
        <v>27.8</v>
      </c>
      <c r="G576" s="1016">
        <f>F576*17%</f>
        <v/>
      </c>
      <c r="H576" s="748" t="n"/>
      <c r="I576" s="832" t="n">
        <v>6.65</v>
      </c>
      <c r="J576" s="1311">
        <f>F576*18%</f>
        <v/>
      </c>
      <c r="K576" s="1311">
        <f>(F576-J576)*1.65%</f>
        <v/>
      </c>
      <c r="L576" s="1311">
        <f>(F576-J576)*7.6%</f>
        <v/>
      </c>
      <c r="M576" s="784" t="n">
        <v>2.34</v>
      </c>
      <c r="N576" s="785">
        <f>(G576+I576)*(9.25%)</f>
        <v/>
      </c>
      <c r="O576" s="786" t="n">
        <v>9.44</v>
      </c>
      <c r="P576" s="1016">
        <f>(F576 - (G576+I576+O576+(J576+K576+L576))) - (H576-M576-N576)</f>
        <v/>
      </c>
      <c r="Q576" s="462">
        <f>P576/F576</f>
        <v/>
      </c>
      <c r="R576" s="1206" t="inlineStr">
        <is>
          <t>Ativo</t>
        </is>
      </c>
      <c r="S576" s="904" t="n"/>
      <c r="T576" s="569" t="n"/>
      <c r="U576" s="1030" t="n"/>
      <c r="V576" s="1030" t="n"/>
      <c r="W576" s="1030" t="n"/>
    </row>
    <row r="577" ht="15.75" customHeight="1" s="1349">
      <c r="A577" s="1292" t="inlineStr">
        <is>
          <t>6444382886 4524927255</t>
        </is>
      </c>
      <c r="B577" s="884" t="e">
        <v>#N/A</v>
      </c>
      <c r="C577" s="904" t="inlineStr">
        <is>
          <t>Plastcor</t>
        </is>
      </c>
      <c r="D577" s="904" t="inlineStr">
        <is>
          <t>zebrada 200m laranja 2un</t>
        </is>
      </c>
      <c r="E577" s="904" t="n"/>
      <c r="F577" s="747" t="n">
        <v>38.9</v>
      </c>
      <c r="G577" s="1016">
        <f>F577*17%</f>
        <v/>
      </c>
      <c r="H577" s="748" t="n"/>
      <c r="I577" s="832" t="n">
        <v>6.65</v>
      </c>
      <c r="J577" s="1311">
        <f>F577*18%</f>
        <v/>
      </c>
      <c r="K577" s="1311">
        <f>(F577-J577)*1.65%</f>
        <v/>
      </c>
      <c r="L577" s="1311">
        <f>(F577-J577)*7.6%</f>
        <v/>
      </c>
      <c r="M577" s="784">
        <f>2.34*2</f>
        <v/>
      </c>
      <c r="N577" s="785">
        <f>(G577+I577)*(9.25%)</f>
        <v/>
      </c>
      <c r="O577" s="786">
        <f>9.44*2</f>
        <v/>
      </c>
      <c r="P577" s="1016">
        <f>(F577 - (G577+I577+O577+(J577+K577+L577))) - (H577-M577-N577)</f>
        <v/>
      </c>
      <c r="Q577" s="462">
        <f>P577/F577</f>
        <v/>
      </c>
      <c r="R577" s="1206" t="inlineStr">
        <is>
          <t>Ativo</t>
        </is>
      </c>
      <c r="S577" s="904" t="n"/>
      <c r="T577" s="569" t="n"/>
      <c r="U577" s="1030" t="n"/>
      <c r="V577" s="1030" t="n"/>
      <c r="W577" s="1030" t="n"/>
      <c r="X577" s="579" t="n"/>
      <c r="Y577" s="579" t="n"/>
      <c r="Z577" s="579" t="n"/>
      <c r="AA577" s="579" t="n"/>
      <c r="AB577" s="579" t="n"/>
      <c r="AC577" s="579" t="n"/>
      <c r="AD577" s="579" t="n"/>
      <c r="AE577" s="579" t="n"/>
      <c r="AF577" s="579" t="n"/>
    </row>
    <row r="578" ht="15.75" customHeight="1" s="1349">
      <c r="A578" s="1292" t="inlineStr">
        <is>
          <t>6444382886</t>
        </is>
      </c>
      <c r="B578" s="884" t="e">
        <v>#N/A</v>
      </c>
      <c r="C578" s="904" t="inlineStr">
        <is>
          <t>Plastcor</t>
        </is>
      </c>
      <c r="D578" s="904" t="inlineStr">
        <is>
          <t>zebrada 200m laranja 5un</t>
        </is>
      </c>
      <c r="E578" s="904" t="n"/>
      <c r="F578" s="747" t="n">
        <v>76.62</v>
      </c>
      <c r="G578" s="1016">
        <f>F578*17%</f>
        <v/>
      </c>
      <c r="H578" s="831" t="n">
        <v>-4.23</v>
      </c>
      <c r="I578" s="832" t="n">
        <v>14.45</v>
      </c>
      <c r="J578" s="1311">
        <f>F578*18%</f>
        <v/>
      </c>
      <c r="K578" s="1311">
        <f>(F578-J578)*1.65%</f>
        <v/>
      </c>
      <c r="L578" s="1311">
        <f>(F578-J578)*7.6%</f>
        <v/>
      </c>
      <c r="M578" s="784">
        <f>2.34*5</f>
        <v/>
      </c>
      <c r="N578" s="785">
        <f>(G578+I578)*(9.25%)</f>
        <v/>
      </c>
      <c r="O578" s="786">
        <f>9.44*5</f>
        <v/>
      </c>
      <c r="P578" s="1016">
        <f>(F578 - (G578+I578+O578+(J578+K578+L578))) - (H578-M578-N578)</f>
        <v/>
      </c>
      <c r="Q578" s="462">
        <f>P578/F578</f>
        <v/>
      </c>
      <c r="R578" s="1206" t="inlineStr">
        <is>
          <t>Ativo</t>
        </is>
      </c>
      <c r="S578" s="904" t="n"/>
      <c r="T578" s="569" t="n"/>
      <c r="U578" s="1030" t="n"/>
      <c r="V578" s="1030" t="n"/>
      <c r="W578" s="1030" t="n"/>
    </row>
    <row r="579" ht="15.75" customHeight="1" s="1349">
      <c r="A579" s="1292" t="inlineStr">
        <is>
          <t>6444382886</t>
        </is>
      </c>
      <c r="B579" s="884" t="e">
        <v>#N/A</v>
      </c>
      <c r="C579" s="904" t="inlineStr">
        <is>
          <t>Plastcor</t>
        </is>
      </c>
      <c r="D579" s="904" t="inlineStr">
        <is>
          <t>zebrada 100m laranja 1un</t>
        </is>
      </c>
      <c r="E579" s="904" t="n"/>
      <c r="F579" s="747" t="n">
        <v>20.99</v>
      </c>
      <c r="G579" s="1016">
        <f>F579*17%</f>
        <v/>
      </c>
      <c r="H579" s="748" t="n"/>
      <c r="I579" s="832" t="n">
        <v>6.75</v>
      </c>
      <c r="J579" s="1311">
        <f>F579*18%</f>
        <v/>
      </c>
      <c r="K579" s="1311">
        <f>(F579-J579)*1.65%</f>
        <v/>
      </c>
      <c r="L579" s="1311">
        <f>(F579-J579)*7.6%</f>
        <v/>
      </c>
      <c r="M579" s="784" t="n">
        <v>1.72</v>
      </c>
      <c r="N579" s="785">
        <f>(G579+I579)*(9.25%)</f>
        <v/>
      </c>
      <c r="O579" s="786" t="n">
        <v>6.93</v>
      </c>
      <c r="P579" s="1016">
        <f>(F579 - (G579+I579+O579+(J579+K579+L579))) - (H579-M579-N579)</f>
        <v/>
      </c>
      <c r="Q579" s="462">
        <f>P579/F579</f>
        <v/>
      </c>
      <c r="R579" s="1206" t="inlineStr">
        <is>
          <t>sem estoque</t>
        </is>
      </c>
      <c r="S579" s="904" t="n"/>
      <c r="T579" s="569" t="n"/>
      <c r="U579" s="1030" t="n"/>
      <c r="V579" s="1030" t="n"/>
      <c r="W579" s="1030" t="n"/>
    </row>
    <row r="580" ht="15.75" customHeight="1" s="1349">
      <c r="A580" s="1292" t="inlineStr">
        <is>
          <t>6444382886</t>
        </is>
      </c>
      <c r="B580" s="884" t="e">
        <v>#N/A</v>
      </c>
      <c r="C580" s="904" t="inlineStr">
        <is>
          <t>Plastcor</t>
        </is>
      </c>
      <c r="D580" s="904" t="inlineStr">
        <is>
          <t>zebrada 100m laranja 2un</t>
        </is>
      </c>
      <c r="E580" s="904" t="n"/>
      <c r="F580" s="747" t="n">
        <v>29.99</v>
      </c>
      <c r="G580" s="1016">
        <f>F580*17%</f>
        <v/>
      </c>
      <c r="H580" s="748" t="n"/>
      <c r="I580" s="832" t="n">
        <v>6.55</v>
      </c>
      <c r="J580" s="1311">
        <f>F580*18%</f>
        <v/>
      </c>
      <c r="K580" s="1311">
        <f>(F580-J580)*1.65%</f>
        <v/>
      </c>
      <c r="L580" s="1311">
        <f>(F580-J580)*7.6%</f>
        <v/>
      </c>
      <c r="M580" s="784">
        <f>1.72*2</f>
        <v/>
      </c>
      <c r="N580" s="785">
        <f>(G580+I580)*(9.25%)</f>
        <v/>
      </c>
      <c r="O580" s="786">
        <f>6.93*2</f>
        <v/>
      </c>
      <c r="P580" s="1016">
        <f>(F580 - (G580+I580+O580+(J580+K580+L580))) - (H580-M580-N580)</f>
        <v/>
      </c>
      <c r="Q580" s="462">
        <f>P580/F580</f>
        <v/>
      </c>
      <c r="R580" s="1206" t="inlineStr">
        <is>
          <t>sem estoque</t>
        </is>
      </c>
      <c r="S580" s="904" t="n"/>
      <c r="T580" s="569" t="n"/>
      <c r="U580" s="1030" t="n"/>
      <c r="V580" s="1030" t="n"/>
      <c r="W580" s="1030" t="n"/>
    </row>
    <row r="581" ht="15.75" customHeight="1" s="1349">
      <c r="A581" s="1292" t="inlineStr">
        <is>
          <t>6444382886</t>
        </is>
      </c>
      <c r="B581" s="884" t="e">
        <v>#N/A</v>
      </c>
      <c r="C581" s="904" t="inlineStr">
        <is>
          <t>Plastcor</t>
        </is>
      </c>
      <c r="D581" s="904" t="inlineStr">
        <is>
          <t>zebrada 100m laranja 5un</t>
        </is>
      </c>
      <c r="E581" s="904" t="n"/>
      <c r="F581" s="747" t="n">
        <v>72</v>
      </c>
      <c r="G581" s="1016">
        <f>F581*17%</f>
        <v/>
      </c>
      <c r="H581" s="748" t="n"/>
      <c r="I581" s="832" t="n">
        <v>14.15</v>
      </c>
      <c r="J581" s="1311">
        <f>F581*18%</f>
        <v/>
      </c>
      <c r="K581" s="1311">
        <f>(F581-J581)*1.65%</f>
        <v/>
      </c>
      <c r="L581" s="1311">
        <f>(F581-J581)*7.6%</f>
        <v/>
      </c>
      <c r="M581" s="784">
        <f>1.72*5</f>
        <v/>
      </c>
      <c r="N581" s="785">
        <f>(G581+I581)*(9.25%)</f>
        <v/>
      </c>
      <c r="O581" s="786">
        <f>6.93*5</f>
        <v/>
      </c>
      <c r="P581" s="1016">
        <f>(F581 - (G581+I581+O581+(J581+K581+L581))) - (H581-M581-N581)</f>
        <v/>
      </c>
      <c r="Q581" s="462">
        <f>P581/F581</f>
        <v/>
      </c>
      <c r="R581" s="1206" t="inlineStr">
        <is>
          <t>sem estoque</t>
        </is>
      </c>
      <c r="S581" s="904" t="n"/>
      <c r="T581" s="569" t="n"/>
      <c r="U581" s="1030" t="n"/>
      <c r="V581" s="1030" t="n"/>
      <c r="W581" s="1030" t="n"/>
    </row>
    <row r="582" ht="15.75" customHeight="1" s="1349">
      <c r="A582" s="1292" t="inlineStr">
        <is>
          <t>4757247869720204</t>
        </is>
      </c>
      <c r="B582" s="884" t="n">
        <v>10034034168255</v>
      </c>
      <c r="C582" s="904" t="inlineStr">
        <is>
          <t>Handex</t>
        </is>
      </c>
      <c r="D582" s="481" t="inlineStr">
        <is>
          <t>Luva Segurança Cut Oil Anti Impacto Antiderrapante Revestida</t>
        </is>
      </c>
      <c r="E582" s="904" t="n"/>
      <c r="F582" s="747" t="n">
        <v>48.49</v>
      </c>
      <c r="G582" s="1016">
        <f>F582*17%</f>
        <v/>
      </c>
      <c r="H582" s="831" t="n">
        <v>-2.9</v>
      </c>
      <c r="I582" s="832" t="n">
        <v>7.85</v>
      </c>
      <c r="J582" s="1311">
        <f>F582*18%</f>
        <v/>
      </c>
      <c r="K582" s="1311">
        <f>(F582-J582)*1.65%</f>
        <v/>
      </c>
      <c r="L582" s="1311">
        <f>(F582-J582)*7.6%</f>
        <v/>
      </c>
      <c r="M582" s="784" t="n">
        <v>3.01</v>
      </c>
      <c r="N582" s="785">
        <f>(G582+I582)*(9.25%)</f>
        <v/>
      </c>
      <c r="O582" s="786" t="n">
        <v>23.39</v>
      </c>
      <c r="P582" s="1016">
        <f>(F582 - (G582+I582+O582+(J582+K582+L582))) - (H582-M582-N582)</f>
        <v/>
      </c>
      <c r="Q582" s="462">
        <f>P582/F582</f>
        <v/>
      </c>
      <c r="R582" s="1206" t="inlineStr">
        <is>
          <t>Ativo</t>
        </is>
      </c>
      <c r="S582" s="904" t="n"/>
      <c r="T582" s="569" t="n"/>
      <c r="U582" s="1030" t="n"/>
      <c r="V582" s="1030" t="n"/>
      <c r="W582" s="1030" t="n"/>
    </row>
    <row r="583" ht="15.75" customHeight="1" s="1349">
      <c r="A583" s="1292" t="inlineStr">
        <is>
          <t>7983996207199116</t>
        </is>
      </c>
      <c r="B583" s="884" t="e">
        <v>#N/A</v>
      </c>
      <c r="C583" s="904" t="inlineStr">
        <is>
          <t>Handex</t>
        </is>
      </c>
      <c r="D583" s="481" t="inlineStr">
        <is>
          <t>Kit 2 Luva Cut Oil Antiderrapante Anti Impacto Trabalho Obra G</t>
        </is>
      </c>
      <c r="E583" s="904" t="n"/>
      <c r="F583" s="747" t="n">
        <v>92.05</v>
      </c>
      <c r="G583" s="1016">
        <f>F583*17%</f>
        <v/>
      </c>
      <c r="H583" s="831" t="n">
        <v>-2.69</v>
      </c>
      <c r="I583" s="832" t="n">
        <v>13.85</v>
      </c>
      <c r="J583" s="1311">
        <f>F583*18%</f>
        <v/>
      </c>
      <c r="K583" s="1311">
        <f>(F583-J583)*1.65%</f>
        <v/>
      </c>
      <c r="L583" s="1311">
        <f>(F583-J583)*7.6%</f>
        <v/>
      </c>
      <c r="M583" s="784">
        <f>3.01*2</f>
        <v/>
      </c>
      <c r="N583" s="785">
        <f>(G583+I583)*(9.25%)</f>
        <v/>
      </c>
      <c r="O583" s="786">
        <f>23.39*2</f>
        <v/>
      </c>
      <c r="P583" s="1016">
        <f>(F583 - (G583+I583+O583+(J583+K583+L583))) - (H583-M583-N583)</f>
        <v/>
      </c>
      <c r="Q583" s="462">
        <f>P583/F583</f>
        <v/>
      </c>
      <c r="R583" s="1206" t="inlineStr">
        <is>
          <t>Ativo</t>
        </is>
      </c>
      <c r="S583" s="904" t="n"/>
      <c r="T583" s="569" t="n"/>
      <c r="U583" s="1030" t="n"/>
      <c r="V583" s="1030" t="n"/>
      <c r="W583" s="1030" t="n"/>
    </row>
    <row r="584" ht="15.75" customHeight="1" s="1349">
      <c r="A584" s="1292" t="inlineStr">
        <is>
          <t>4542475283 6476441666</t>
        </is>
      </c>
      <c r="B584" s="884" t="e">
        <v>#N/A</v>
      </c>
      <c r="C584" s="904" t="inlineStr">
        <is>
          <t>Tramontina</t>
        </is>
      </c>
      <c r="D584" s="904" t="inlineStr">
        <is>
          <t>módulo tramontina a10</t>
        </is>
      </c>
      <c r="E584" s="904" t="n"/>
      <c r="F584" s="856" t="n">
        <v>19</v>
      </c>
      <c r="G584" s="1016">
        <f>F584*12%</f>
        <v/>
      </c>
      <c r="H584" s="833" t="n"/>
      <c r="I584" s="904" t="n">
        <v>5.65</v>
      </c>
      <c r="J584" s="340">
        <f>F584*18%</f>
        <v/>
      </c>
      <c r="K584" s="340">
        <f>(F584-J584)*1.65%</f>
        <v/>
      </c>
      <c r="L584" s="340">
        <f>(F584-J584)*7.6%</f>
        <v/>
      </c>
      <c r="M584" s="1097" t="n">
        <v>0.34</v>
      </c>
      <c r="N584" s="785">
        <f>(G584+I584)*(9.25%)</f>
        <v/>
      </c>
      <c r="O584" s="701" t="n">
        <v>4.09</v>
      </c>
      <c r="P584" s="1016">
        <f>(F584 - (G584+I584+O584+(J584+K584+L584))) - (H584-M584-N584)</f>
        <v/>
      </c>
      <c r="Q584" s="462">
        <f>P584/F584</f>
        <v/>
      </c>
      <c r="R584" s="1206" t="inlineStr">
        <is>
          <t>Ativo</t>
        </is>
      </c>
      <c r="S584" s="904" t="inlineStr">
        <is>
          <t>1un</t>
        </is>
      </c>
      <c r="T584" s="569" t="n"/>
      <c r="U584" s="1030" t="n"/>
      <c r="V584" s="1030" t="n"/>
      <c r="W584" s="1030" t="n"/>
    </row>
    <row r="585" ht="15.75" customHeight="1" s="1349">
      <c r="A585" s="1292" t="inlineStr">
        <is>
          <t>3844607617 4539380531</t>
        </is>
      </c>
      <c r="B585" s="884" t="e">
        <v>#N/A</v>
      </c>
      <c r="C585" s="904" t="inlineStr">
        <is>
          <t>Tramontina</t>
        </is>
      </c>
      <c r="D585" s="904" t="inlineStr">
        <is>
          <t>módulo tramontina a10 - kit 2</t>
        </is>
      </c>
      <c r="E585" s="904" t="n"/>
      <c r="F585" s="856" t="n">
        <v>26.5</v>
      </c>
      <c r="G585" s="1016">
        <f>F585*17%</f>
        <v/>
      </c>
      <c r="H585" s="833" t="n"/>
      <c r="I585" s="904" t="n">
        <v>7.75</v>
      </c>
      <c r="J585" s="340">
        <f>F585*18%</f>
        <v/>
      </c>
      <c r="K585" s="340">
        <f>(F585-J585)*1.65%</f>
        <v/>
      </c>
      <c r="L585" s="340">
        <f>(F585-J585)*7.6%</f>
        <v/>
      </c>
      <c r="M585" s="1097">
        <f>0.34*2</f>
        <v/>
      </c>
      <c r="N585" s="785">
        <f>(G585+I585)*(9.25%)</f>
        <v/>
      </c>
      <c r="O585" s="701">
        <f>4.09*2</f>
        <v/>
      </c>
      <c r="P585" s="1016">
        <f>(F585 - (G585+I585+O585+(J585+K585+L585))) - (H585-M585-N585)</f>
        <v/>
      </c>
      <c r="Q585" s="462">
        <f>P585/F585</f>
        <v/>
      </c>
      <c r="R585" s="1206" t="inlineStr">
        <is>
          <t>Ativo</t>
        </is>
      </c>
      <c r="S585" s="904" t="inlineStr">
        <is>
          <t>2un</t>
        </is>
      </c>
      <c r="T585" s="569" t="n"/>
      <c r="U585" s="1030" t="n"/>
      <c r="V585" s="1030" t="n"/>
      <c r="W585" s="1030" t="n"/>
    </row>
    <row r="586" ht="15.75" customHeight="1" s="1349">
      <c r="A586" s="1292" t="inlineStr">
        <is>
          <t>3844607617 4539380531</t>
        </is>
      </c>
      <c r="B586" s="884" t="e">
        <v>#N/A</v>
      </c>
      <c r="C586" s="904" t="inlineStr">
        <is>
          <t>Tramontina</t>
        </is>
      </c>
      <c r="D586" s="904" t="inlineStr">
        <is>
          <t>módulo tramontina a10 - kit 5</t>
        </is>
      </c>
      <c r="E586" s="904" t="n"/>
      <c r="F586" s="856" t="n">
        <v>45.9</v>
      </c>
      <c r="G586" s="1016">
        <f>F586*17%</f>
        <v/>
      </c>
      <c r="H586" s="833" t="n"/>
      <c r="I586" s="904" t="n">
        <v>7.75</v>
      </c>
      <c r="J586" s="340">
        <f>F586*18%</f>
        <v/>
      </c>
      <c r="K586" s="340">
        <f>(F586-J586)*1.65%</f>
        <v/>
      </c>
      <c r="L586" s="340">
        <f>(F586-J586)*7.6%</f>
        <v/>
      </c>
      <c r="M586" s="1097">
        <f>0.34*5</f>
        <v/>
      </c>
      <c r="N586" s="785">
        <f>(G586+I586)*(9.25%)</f>
        <v/>
      </c>
      <c r="O586" s="701">
        <f>4.09*5</f>
        <v/>
      </c>
      <c r="P586" s="1016">
        <f>(F586 - (G586+I586+O586+(J586+K586+L586))) - (H586-M586-N586)</f>
        <v/>
      </c>
      <c r="Q586" s="462">
        <f>P586/F586</f>
        <v/>
      </c>
      <c r="R586" s="1206" t="inlineStr">
        <is>
          <t>Ativo</t>
        </is>
      </c>
      <c r="S586" s="904" t="inlineStr">
        <is>
          <t>5un</t>
        </is>
      </c>
      <c r="T586" s="569" t="n"/>
      <c r="U586" s="1030" t="n"/>
      <c r="V586" s="1030" t="n"/>
      <c r="W586" s="1030" t="n"/>
    </row>
    <row r="587" ht="15.75" customHeight="1" s="1349">
      <c r="A587" s="758" t="inlineStr">
        <is>
          <t>3844607617 4539380531</t>
        </is>
      </c>
      <c r="B587" s="834" t="e">
        <v>#N/A</v>
      </c>
      <c r="C587" s="904" t="inlineStr">
        <is>
          <t>Tramontina</t>
        </is>
      </c>
      <c r="D587" s="835" t="inlineStr">
        <is>
          <t>módulo tramontina a10 - kit 10</t>
        </is>
      </c>
      <c r="E587" s="835" t="n"/>
      <c r="F587" s="803" t="n">
        <v>88.90000000000001</v>
      </c>
      <c r="G587" s="782">
        <f>F587*17%</f>
        <v/>
      </c>
      <c r="H587" s="757" t="n"/>
      <c r="I587" s="887" t="n">
        <v>14.35</v>
      </c>
      <c r="J587" s="61">
        <f>F587*18%</f>
        <v/>
      </c>
      <c r="K587" s="61">
        <f>(F587-J587)*1.65%</f>
        <v/>
      </c>
      <c r="L587" s="61">
        <f>(F587-J587)*7.6%</f>
        <v/>
      </c>
      <c r="M587" s="784">
        <f>0.34*10</f>
        <v/>
      </c>
      <c r="N587" s="785">
        <f>(G587+I587)*(9.25%)</f>
        <v/>
      </c>
      <c r="O587" s="786">
        <f>4.09*10</f>
        <v/>
      </c>
      <c r="P587" s="1016">
        <f>(F587 - (G587+I587+O587+(J587+K587+L587))) - (H587-M587-N587)</f>
        <v/>
      </c>
      <c r="Q587" s="675">
        <f>P587/F587</f>
        <v/>
      </c>
      <c r="R587" s="1206" t="inlineStr">
        <is>
          <t>Ativo</t>
        </is>
      </c>
      <c r="S587" s="762" t="inlineStr">
        <is>
          <t>10un</t>
        </is>
      </c>
      <c r="T587" s="806" t="n"/>
      <c r="U587" s="595" t="n"/>
      <c r="V587" s="595" t="n"/>
      <c r="W587" s="595" t="n"/>
    </row>
    <row r="588" ht="15.75" customHeight="1" s="1349">
      <c r="A588" s="1292" t="n"/>
      <c r="B588" s="884" t="e">
        <v>#N/A</v>
      </c>
      <c r="C588" s="904" t="n"/>
      <c r="D588" s="904" t="inlineStr">
        <is>
          <t>kit 50 inter pro</t>
        </is>
      </c>
      <c r="E588" s="904" t="n"/>
      <c r="F588" s="747" t="n">
        <v>1999</v>
      </c>
      <c r="G588" s="1016">
        <f>F588*12%</f>
        <v/>
      </c>
      <c r="H588" s="748" t="n"/>
      <c r="I588" s="832" t="n">
        <v>118.15</v>
      </c>
      <c r="J588" s="1311">
        <f>F588*18%</f>
        <v/>
      </c>
      <c r="K588" s="1311">
        <f>(F588-J588)*1.65%</f>
        <v/>
      </c>
      <c r="L588" s="1311">
        <f>(F588-J588)*7.6%</f>
        <v/>
      </c>
      <c r="M588" s="1097">
        <f>4.47*50</f>
        <v/>
      </c>
      <c r="N588" s="785">
        <f>(G588+I588)*(9.25%)</f>
        <v/>
      </c>
      <c r="O588" s="701">
        <f>24.36*50</f>
        <v/>
      </c>
      <c r="P588" s="1016">
        <f>(F588 - (G588+I588+O588+(J588+K588+L588))) - (H588-M588-N588)</f>
        <v/>
      </c>
      <c r="Q588" s="462">
        <f>P588/F588</f>
        <v/>
      </c>
      <c r="R588" s="1206" t="inlineStr">
        <is>
          <t>Temporário</t>
        </is>
      </c>
      <c r="S588" s="904" t="n"/>
      <c r="T588" s="569" t="n"/>
      <c r="U588" s="1030" t="n"/>
      <c r="V588" s="1030" t="n"/>
      <c r="W588" s="1030" t="n"/>
    </row>
    <row r="589" ht="15.75" customHeight="1" s="1349">
      <c r="A589" s="1292" t="inlineStr">
        <is>
          <t>2475889070844093</t>
        </is>
      </c>
      <c r="B589" s="884" t="e">
        <v>#N/A</v>
      </c>
      <c r="C589" s="904" t="inlineStr">
        <is>
          <t>VOLK</t>
        </is>
      </c>
      <c r="D589" s="904" t="inlineStr">
        <is>
          <t>kit 50 orange</t>
        </is>
      </c>
      <c r="E589" s="904" t="n"/>
      <c r="F589" s="856" t="n">
        <v>529</v>
      </c>
      <c r="G589" s="1016">
        <f>F589*12%</f>
        <v/>
      </c>
      <c r="H589" s="833" t="n"/>
      <c r="I589" s="904" t="n">
        <v>70.25</v>
      </c>
      <c r="J589" s="340">
        <f>F589*18%</f>
        <v/>
      </c>
      <c r="K589" s="340">
        <f>(F589-J589)*1.65%</f>
        <v/>
      </c>
      <c r="L589" s="340">
        <f>(F589-J589)*7.6%</f>
        <v/>
      </c>
      <c r="M589" s="1097">
        <f>0.62*50</f>
        <v/>
      </c>
      <c r="N589" s="785">
        <f>(G589+I589)*(9.25%)</f>
        <v/>
      </c>
      <c r="O589" s="701">
        <f>4.78*50</f>
        <v/>
      </c>
      <c r="P589" s="1016">
        <f>(F589 - (G589+I589+O589+(J589+K589+L589))) - (H589-M589-N589)</f>
        <v/>
      </c>
      <c r="Q589" s="462">
        <f>P589/F589</f>
        <v/>
      </c>
      <c r="R589" s="1206" t="inlineStr">
        <is>
          <t>Ativo</t>
        </is>
      </c>
      <c r="S589" s="904" t="n"/>
      <c r="T589" s="569" t="n"/>
      <c r="U589" s="1030" t="n"/>
      <c r="V589" s="1030" t="n"/>
      <c r="W589" s="1030" t="n"/>
    </row>
    <row r="590" ht="15.75" customHeight="1" s="1349">
      <c r="A590" s="1292" t="inlineStr">
        <is>
          <t>3848173895</t>
        </is>
      </c>
      <c r="B590" s="884" t="n">
        <v>10034034167210</v>
      </c>
      <c r="C590" s="904" t="inlineStr">
        <is>
          <t>ÂNCORA</t>
        </is>
      </c>
      <c r="D590" s="481" t="inlineStr">
        <is>
          <t>Limpador De Furos Manual Portátil Soprador Ancoragem Química</t>
        </is>
      </c>
      <c r="E590" s="904" t="n"/>
      <c r="F590" s="856" t="n">
        <v>109.9</v>
      </c>
      <c r="G590" s="1016">
        <f>F590*12%</f>
        <v/>
      </c>
      <c r="H590" s="833" t="n"/>
      <c r="I590" s="904" t="n">
        <v>16.15</v>
      </c>
      <c r="J590" s="340">
        <f>F590*18%</f>
        <v/>
      </c>
      <c r="K590" s="340">
        <f>(F590-J590)*1.65%</f>
        <v/>
      </c>
      <c r="L590" s="340">
        <f>(F590-J590)*7.6%</f>
        <v/>
      </c>
      <c r="M590" s="1097" t="n">
        <v>5.96</v>
      </c>
      <c r="N590" s="785">
        <f>(G590+I590)*(9.25%)</f>
        <v/>
      </c>
      <c r="O590" s="701" t="n">
        <v>47.8</v>
      </c>
      <c r="P590" s="1016">
        <f>(F590 - (G590+I590+O590+(J590+K590+L590))) - (H590-M590-N590)</f>
        <v/>
      </c>
      <c r="Q590" s="462">
        <f>P590/F590</f>
        <v/>
      </c>
      <c r="R590" s="1206" t="inlineStr">
        <is>
          <t>Ativo</t>
        </is>
      </c>
      <c r="S590" s="904" t="n"/>
      <c r="T590" s="569" t="n"/>
      <c r="U590" s="1030" t="n"/>
      <c r="V590" s="1030" t="n"/>
      <c r="W590" s="1030" t="n"/>
    </row>
    <row r="591" ht="15.75" customHeight="1" s="1349">
      <c r="A591" s="1292" t="inlineStr">
        <is>
          <t>MLB6512377242</t>
        </is>
      </c>
      <c r="B591" s="884" t="n">
        <v>10034034168305</v>
      </c>
      <c r="C591" s="904" t="inlineStr">
        <is>
          <t>Bracol</t>
        </is>
      </c>
      <c r="D591" s="765" t="inlineStr">
        <is>
          <t>Botina Dubai Amarrar Couro Bico Composite Eletricista Marrom</t>
        </is>
      </c>
      <c r="E591" s="904" t="n"/>
      <c r="F591" s="856" t="n">
        <v>169.65</v>
      </c>
      <c r="G591" s="1016">
        <f>F591*12%</f>
        <v/>
      </c>
      <c r="H591" s="833" t="n">
        <v>-8.029999999999999</v>
      </c>
      <c r="I591" s="904" t="n">
        <v>24.65</v>
      </c>
      <c r="J591" s="340">
        <f>F591*18%</f>
        <v/>
      </c>
      <c r="K591" s="340">
        <f>(F591-J591)*1.65%</f>
        <v/>
      </c>
      <c r="L591" s="340">
        <f>(F591-J591)*7.6%</f>
        <v/>
      </c>
      <c r="M591" s="1097" t="n">
        <v>18.76</v>
      </c>
      <c r="N591" s="785">
        <f>(G591+I591)*(9.25%)</f>
        <v/>
      </c>
      <c r="O591" s="701" t="n">
        <v>93.16</v>
      </c>
      <c r="P591" s="1016">
        <f>(F591 - (G591+I591+O591+(J591+K591+L591))) - (H591-M591-N591)</f>
        <v/>
      </c>
      <c r="Q591" s="462">
        <f>P591/F591</f>
        <v/>
      </c>
      <c r="R591" s="1206" t="inlineStr">
        <is>
          <t>Ativo</t>
        </is>
      </c>
      <c r="S591" s="904" t="n"/>
      <c r="T591" s="569" t="n"/>
      <c r="U591" s="1030" t="n"/>
      <c r="V591" s="1030" t="n"/>
      <c r="W591" s="1030" t="n"/>
    </row>
    <row r="592" ht="15.75" customHeight="1" s="1349">
      <c r="A592" s="1292" t="inlineStr">
        <is>
          <t>MLB4561920717</t>
        </is>
      </c>
      <c r="B592" s="884" t="e">
        <v>#N/A</v>
      </c>
      <c r="C592" s="904" t="inlineStr">
        <is>
          <t>Valcan</t>
        </is>
      </c>
      <c r="D592" s="481" t="inlineStr">
        <is>
          <t>Luva Vaqueta Natural Petroleira VALCAN  Mista/Raspa/Total Punho curto</t>
        </is>
      </c>
      <c r="E592" s="904" t="n"/>
      <c r="F592" s="856" t="n">
        <v>24.5</v>
      </c>
      <c r="G592" s="1016">
        <f>F592*17%</f>
        <v/>
      </c>
      <c r="H592" s="833" t="n"/>
      <c r="I592" s="904" t="n">
        <v>6.65</v>
      </c>
      <c r="J592" s="340">
        <f>F592*18%</f>
        <v/>
      </c>
      <c r="K592" s="340">
        <f>(F592-J592)*1.65%</f>
        <v/>
      </c>
      <c r="L592" s="340">
        <f>(F592-J592)*7.6%</f>
        <v/>
      </c>
      <c r="M592" s="1097" t="n">
        <v>1.95</v>
      </c>
      <c r="N592" s="785">
        <f>(G592+I592)*(9.25%)</f>
        <v/>
      </c>
      <c r="O592" s="701" t="n">
        <v>9.69</v>
      </c>
      <c r="P592" s="1016">
        <f>(F592 - (G592+I592+O592+(J592+K592+L592))) - (H592-M592-N592)</f>
        <v/>
      </c>
      <c r="Q592" s="462">
        <f>P592/F592</f>
        <v/>
      </c>
      <c r="R592" s="1206" t="inlineStr">
        <is>
          <t>Ativo</t>
        </is>
      </c>
      <c r="S592" s="904" t="n"/>
      <c r="T592" s="569" t="n"/>
      <c r="U592" s="1030" t="n"/>
      <c r="V592" s="1030" t="n"/>
      <c r="W592" s="1030" t="n"/>
    </row>
    <row r="593" ht="15.75" customHeight="1" s="1349">
      <c r="A593" s="1292" t="inlineStr">
        <is>
          <t>MLB4561920717</t>
        </is>
      </c>
      <c r="B593" s="884" t="e">
        <v>#N/A</v>
      </c>
      <c r="C593" s="904" t="inlineStr">
        <is>
          <t>Valcan</t>
        </is>
      </c>
      <c r="D593" s="904" t="inlineStr">
        <is>
          <t>punho longo</t>
        </is>
      </c>
      <c r="E593" s="904" t="n"/>
      <c r="F593" s="856" t="n">
        <v>37</v>
      </c>
      <c r="G593" s="1016">
        <f>F593*17%</f>
        <v/>
      </c>
      <c r="H593" s="833" t="n"/>
      <c r="I593" s="904" t="n">
        <v>8.15</v>
      </c>
      <c r="J593" s="340">
        <f>F593*18%</f>
        <v/>
      </c>
      <c r="K593" s="340">
        <f>(F593-J593)*1.65%</f>
        <v/>
      </c>
      <c r="L593" s="340">
        <f>(F593-J593)*7.6%</f>
        <v/>
      </c>
      <c r="M593" s="1097" t="n">
        <v>3.32</v>
      </c>
      <c r="N593" s="785">
        <f>(G593+I593)*(9.25%)</f>
        <v/>
      </c>
      <c r="O593" s="701" t="n">
        <v>16.5</v>
      </c>
      <c r="P593" s="1016">
        <f>(F593 - (G593+I593+O593+(J593+K593+L593))) - (H593-M593-N593)</f>
        <v/>
      </c>
      <c r="Q593" s="462">
        <f>P593/F593</f>
        <v/>
      </c>
      <c r="R593" s="1206" t="inlineStr">
        <is>
          <t>Ativo</t>
        </is>
      </c>
      <c r="S593" s="904" t="n"/>
      <c r="T593" s="569" t="n"/>
      <c r="U593" s="1030" t="n"/>
      <c r="V593" s="1030" t="n"/>
      <c r="W593" s="1030" t="n"/>
    </row>
    <row r="594" ht="15.75" customHeight="1" s="1349">
      <c r="A594" s="1292" t="inlineStr">
        <is>
          <t>MLB6526561756</t>
        </is>
      </c>
      <c r="B594" s="884" t="n">
        <v>10034034166657</v>
      </c>
      <c r="C594" s="904" t="inlineStr">
        <is>
          <t>Irwin</t>
        </is>
      </c>
      <c r="D594" s="481" t="inlineStr">
        <is>
          <t>Kit Jogo Conjunto Broca Aço Rápido Hss 7pcs 2 A 6mm Premium</t>
        </is>
      </c>
      <c r="E594" s="904" t="n">
        <v>99</v>
      </c>
      <c r="F594" s="856" t="n">
        <v>76.89</v>
      </c>
      <c r="G594" s="1016">
        <f>F594*17%</f>
        <v/>
      </c>
      <c r="H594" s="833" t="n"/>
      <c r="I594" s="904" t="n">
        <v>7.75</v>
      </c>
      <c r="J594" s="450" t="n">
        <v>0</v>
      </c>
      <c r="K594" s="340">
        <f>(F594-J594)*1.65%</f>
        <v/>
      </c>
      <c r="L594" s="340">
        <f>(F594-J594)*7.6%</f>
        <v/>
      </c>
      <c r="M594" s="1097" t="n">
        <v>4.33</v>
      </c>
      <c r="N594" s="785">
        <f>(G594+I594)*(9.25%)</f>
        <v/>
      </c>
      <c r="O594" s="701" t="n">
        <v>51.81</v>
      </c>
      <c r="P594" s="1016">
        <f>(F594 - (G594+I594+O594+(J594+K594+L594))) - (H594-M594-N594)</f>
        <v/>
      </c>
      <c r="Q594" s="462">
        <f>P594/F594</f>
        <v/>
      </c>
      <c r="R594" s="1206" t="inlineStr">
        <is>
          <t>Ativo</t>
        </is>
      </c>
      <c r="S594" s="904" t="n"/>
      <c r="T594" s="569" t="n"/>
      <c r="U594" s="1030" t="n"/>
      <c r="V594" s="1030" t="n"/>
      <c r="W594" s="1030" t="n"/>
    </row>
    <row r="595" ht="15.75" customHeight="1" s="1349">
      <c r="A595" s="1292" t="inlineStr">
        <is>
          <t>6556395866</t>
        </is>
      </c>
      <c r="B595" s="884" t="e">
        <v>#N/A</v>
      </c>
      <c r="C595" s="904" t="inlineStr">
        <is>
          <t>Thecom</t>
        </is>
      </c>
      <c r="D595" s="481" t="inlineStr">
        <is>
          <t>Avental Raspa Metalurgia Solda Sem Emenda Valcan 120x60cm</t>
        </is>
      </c>
      <c r="E595" s="904" t="n">
        <v>78.98999999999999</v>
      </c>
      <c r="F595" s="856" t="n">
        <v>47.53</v>
      </c>
      <c r="G595" s="1016">
        <f>F595*17%</f>
        <v/>
      </c>
      <c r="H595" s="833" t="n">
        <v>-2.37</v>
      </c>
      <c r="I595" s="904" t="n">
        <v>7.95</v>
      </c>
      <c r="J595" s="340">
        <f>F595*18%</f>
        <v/>
      </c>
      <c r="K595" s="340">
        <f>(F595-J595)*1.65%</f>
        <v/>
      </c>
      <c r="L595" s="340">
        <f>(F595-J595)*7.6%</f>
        <v/>
      </c>
      <c r="M595" s="1097" t="n">
        <v>5.04</v>
      </c>
      <c r="N595" s="785">
        <f>(G595+I595)*(9.25%)</f>
        <v/>
      </c>
      <c r="O595" s="701" t="n">
        <v>25</v>
      </c>
      <c r="P595" s="1016">
        <f>(F595 - (G595+I595+O595+(J595+K595+L595))) - (H595-M595-N595)</f>
        <v/>
      </c>
      <c r="Q595" s="462">
        <f>P595/F595</f>
        <v/>
      </c>
      <c r="R595" s="1206" t="inlineStr">
        <is>
          <t>Ativo</t>
        </is>
      </c>
      <c r="S595" s="904" t="n"/>
      <c r="T595" s="569" t="n"/>
      <c r="U595" s="1030" t="n"/>
      <c r="V595" s="1030" t="n"/>
      <c r="W595" s="1030" t="n"/>
    </row>
    <row r="596" ht="15.75" customHeight="1" s="1349">
      <c r="A596" s="1265" t="inlineStr">
        <is>
          <t>6530155644</t>
        </is>
      </c>
      <c r="B596" s="1263" t="n">
        <v>10034034166208</v>
      </c>
      <c r="C596" s="1292" t="inlineStr">
        <is>
          <t>Nutriex</t>
        </is>
      </c>
      <c r="D596" s="491" t="inlineStr">
        <is>
          <t>Protetor Solar Profissional Fps 30 Sol Praia Resistente Agua</t>
        </is>
      </c>
      <c r="E596" s="492" t="n"/>
      <c r="F596" s="607" t="n">
        <v>107.43</v>
      </c>
      <c r="G596" s="447">
        <f>F596*12%</f>
        <v/>
      </c>
      <c r="H596" s="831" t="n"/>
      <c r="I596" s="492" t="n">
        <v>16.15</v>
      </c>
      <c r="J596" s="340">
        <f>F596*18%</f>
        <v/>
      </c>
      <c r="K596" s="450" t="n">
        <v>0</v>
      </c>
      <c r="L596" s="450" t="n">
        <v>0</v>
      </c>
      <c r="M596" s="1097" t="n">
        <v>7.8</v>
      </c>
      <c r="N596" s="785">
        <f>(G596+I596)*(9.25%)</f>
        <v/>
      </c>
      <c r="O596" s="708" t="n">
        <v>64.98999999999999</v>
      </c>
      <c r="P596" s="1016">
        <f>(F596 - (G596+I596+O596+(J596+K596+L596))) - (H596-M596-N596)</f>
        <v/>
      </c>
      <c r="Q596" s="328">
        <f>P596/F596</f>
        <v/>
      </c>
      <c r="R596" s="904" t="inlineStr">
        <is>
          <t>revitalizado</t>
        </is>
      </c>
      <c r="S596" s="904" t="inlineStr">
        <is>
          <t>(catalogo)</t>
        </is>
      </c>
      <c r="T596" s="569" t="n"/>
      <c r="U596" s="1030" t="n"/>
      <c r="V596" s="1030" t="n"/>
      <c r="W596" s="1030" t="n"/>
    </row>
    <row r="597" ht="15.75" customHeight="1" s="1349">
      <c r="A597" s="1292" t="inlineStr">
        <is>
          <t>6544515224</t>
        </is>
      </c>
      <c r="B597" s="884" t="e">
        <v>#N/A</v>
      </c>
      <c r="C597" s="904" t="n"/>
      <c r="D597" s="904" t="inlineStr">
        <is>
          <t>Wd-40 Spray 300ml Óleo Lubrificante Desen Antiferrugem Azul</t>
        </is>
      </c>
      <c r="E597" s="904" t="n">
        <v>78.98999999999999</v>
      </c>
      <c r="F597" s="856" t="n">
        <v>52.04</v>
      </c>
      <c r="G597" s="1016">
        <f>F597*17%</f>
        <v/>
      </c>
      <c r="H597" s="833" t="n">
        <v>-2.08</v>
      </c>
      <c r="I597" s="904" t="n">
        <v>7.75</v>
      </c>
      <c r="J597" s="450" t="n">
        <v>0</v>
      </c>
      <c r="K597" s="340">
        <f>(F597-J597)*1.65%</f>
        <v/>
      </c>
      <c r="L597" s="340">
        <f>(F597-J597)*7.6%</f>
        <v/>
      </c>
      <c r="M597" s="1097" t="n">
        <v>3.13</v>
      </c>
      <c r="N597" s="785">
        <f>(G597+I597)*(9.25%)</f>
        <v/>
      </c>
      <c r="O597" s="836" t="n">
        <v>33.8</v>
      </c>
      <c r="P597" s="1016">
        <f>(F597 - (G597+I597+O597+(J597+K597+L597))) - (H597-M597-N597)</f>
        <v/>
      </c>
      <c r="Q597" s="462">
        <f>P597/F597</f>
        <v/>
      </c>
      <c r="R597" s="1206" t="inlineStr">
        <is>
          <t>Ativo</t>
        </is>
      </c>
      <c r="S597" s="904" t="n"/>
      <c r="T597" s="569" t="n"/>
      <c r="U597" s="1030" t="n"/>
      <c r="V597" s="1030" t="n"/>
      <c r="W597" s="1030" t="n"/>
    </row>
    <row r="598" ht="15.75" customHeight="1" s="1349">
      <c r="A598" s="1292" t="n"/>
      <c r="B598" s="884" t="n">
        <v>10034034168349</v>
      </c>
      <c r="C598" s="904" t="n"/>
      <c r="D598" s="904" t="inlineStr">
        <is>
          <t>Kit 2 Wd-40 Spray 300ml Óleo Lubrificante Desen Antiferrugem Azul</t>
        </is>
      </c>
      <c r="E598" s="904" t="n"/>
      <c r="F598" s="856" t="n">
        <v>148.5</v>
      </c>
      <c r="G598" s="1016">
        <f>F598*17%</f>
        <v/>
      </c>
      <c r="H598" s="833" t="n"/>
      <c r="I598" s="904" t="n">
        <v>17.9</v>
      </c>
      <c r="J598" s="340">
        <f>F598*18%</f>
        <v/>
      </c>
      <c r="K598" s="340">
        <f>(F598-J598)*1.65%</f>
        <v/>
      </c>
      <c r="L598" s="340">
        <f>(F598-J598)*7.6%</f>
        <v/>
      </c>
      <c r="M598" s="1097" t="n">
        <v>6.26</v>
      </c>
      <c r="N598" s="785">
        <f>(G598+I598)*(9.25%)</f>
        <v/>
      </c>
      <c r="O598" s="701" t="n">
        <v>67.59999999999999</v>
      </c>
      <c r="P598" s="1016">
        <f>(F598 - (G598+I598+O598+(J598+K598+L598))) - (H598-M598-N598)</f>
        <v/>
      </c>
      <c r="Q598" s="462">
        <f>P598/F598</f>
        <v/>
      </c>
      <c r="R598" s="1206" t="inlineStr">
        <is>
          <t>Ativo</t>
        </is>
      </c>
      <c r="S598" s="904" t="n"/>
      <c r="T598" s="569" t="n"/>
      <c r="U598" s="1030" t="n"/>
      <c r="V598" s="1030" t="n"/>
      <c r="W598" s="1030" t="n"/>
    </row>
    <row r="599" ht="15.75" customHeight="1" s="1349">
      <c r="A599" s="1292" t="inlineStr">
        <is>
          <t>6549367038</t>
        </is>
      </c>
      <c r="B599" s="904" t="inlineStr">
        <is>
          <t>MANGUITO-DELTA</t>
        </is>
      </c>
      <c r="C599" s="904" t="inlineStr">
        <is>
          <t>Delta plus</t>
        </is>
      </c>
      <c r="D599" s="904" t="inlineStr">
        <is>
          <t>Manguito Anticorte Nível D CA 41403 EPI Profissional</t>
        </is>
      </c>
      <c r="E599" s="904" t="n">
        <v>149.9</v>
      </c>
      <c r="F599" s="856" t="n">
        <v>129</v>
      </c>
      <c r="G599" s="1016">
        <f>F599*12%</f>
        <v/>
      </c>
      <c r="H599" s="833" t="n">
        <v>-1.6</v>
      </c>
      <c r="I599" s="904" t="n">
        <v>16.45</v>
      </c>
      <c r="J599" s="340">
        <f>F599*18%</f>
        <v/>
      </c>
      <c r="K599" s="340">
        <f>(F599-J599)*1.65%</f>
        <v/>
      </c>
      <c r="L599" s="340">
        <f>(F599-J599)*7.6%</f>
        <v/>
      </c>
      <c r="M599" s="1097" t="n">
        <v>18.21</v>
      </c>
      <c r="N599" s="785">
        <f>(G599+I599)*(9.25%)</f>
        <v/>
      </c>
      <c r="O599" s="701" t="n">
        <v>71.19</v>
      </c>
      <c r="P599" s="1016">
        <f>(F599 - (G599+I599+O599+(J599+K599+L599))) - (H599-M599-N599)</f>
        <v/>
      </c>
      <c r="Q599" s="462">
        <f>P599/F599</f>
        <v/>
      </c>
      <c r="R599" s="1206" t="inlineStr">
        <is>
          <t>Ativo</t>
        </is>
      </c>
      <c r="S599" s="904" t="n"/>
      <c r="T599" s="569" t="n"/>
      <c r="U599" s="1030" t="n"/>
      <c r="V599" s="1030" t="n"/>
      <c r="W599" s="1030" t="n"/>
    </row>
    <row r="600" ht="15.75" customHeight="1" s="1349">
      <c r="A600" s="1292" t="inlineStr">
        <is>
          <t>4576846505</t>
        </is>
      </c>
      <c r="B600" s="904" t="inlineStr">
        <is>
          <t>MANGUITO-DELTA2</t>
        </is>
      </c>
      <c r="C600" s="904" t="inlineStr">
        <is>
          <t>Delta plus</t>
        </is>
      </c>
      <c r="D600" s="904" t="inlineStr">
        <is>
          <t>Manguito Anticorte Para Braço Ajustável Proteção EPI</t>
        </is>
      </c>
      <c r="E600" s="904" t="n">
        <v>149.9</v>
      </c>
      <c r="F600" s="856" t="n">
        <v>134.93</v>
      </c>
      <c r="G600" s="1016">
        <f>F600*17%</f>
        <v/>
      </c>
      <c r="H600" s="833" t="n">
        <v>-1.35</v>
      </c>
      <c r="I600" s="904" t="n">
        <v>22.65</v>
      </c>
      <c r="J600" s="340">
        <f>F600*18%</f>
        <v/>
      </c>
      <c r="K600" s="340">
        <f>(F600-J600)*1.65%</f>
        <v/>
      </c>
      <c r="L600" s="340">
        <f>(F600-J600)*7.6%</f>
        <v/>
      </c>
      <c r="M600" s="1097" t="n">
        <v>18.21</v>
      </c>
      <c r="N600" s="785">
        <f>(G600+I600)*(9.25%)</f>
        <v/>
      </c>
      <c r="O600" s="701" t="n">
        <v>71.19</v>
      </c>
      <c r="P600" s="1016">
        <f>(F600 - (G600+I600+O600+(J600+K600+L600))) - (H600-M600-N600)</f>
        <v/>
      </c>
      <c r="Q600" s="462">
        <f>P600/F600</f>
        <v/>
      </c>
      <c r="R600" s="1206" t="inlineStr">
        <is>
          <t>Ativo</t>
        </is>
      </c>
      <c r="S600" s="904" t="n"/>
      <c r="T600" s="569" t="n"/>
      <c r="U600" s="1030" t="n"/>
      <c r="V600" s="1030" t="n"/>
      <c r="W600" s="1030" t="n"/>
    </row>
    <row r="601" ht="15.75" customHeight="1" s="1349">
      <c r="A601" s="1292" t="inlineStr">
        <is>
          <t>7287318595899279</t>
        </is>
      </c>
      <c r="B601" s="904" t="n">
        <v>10034034168236</v>
      </c>
      <c r="C601" s="904" t="inlineStr">
        <is>
          <t>Bracol</t>
        </is>
      </c>
      <c r="D601" s="481" t="inlineStr">
        <is>
          <t>Botina Belf Preta Eletricista Biqueira Composite Trabalho</t>
        </is>
      </c>
      <c r="E601" s="904" t="n">
        <v>149.9</v>
      </c>
      <c r="F601" s="856" t="n">
        <v>115.43</v>
      </c>
      <c r="G601" s="1016">
        <f>F601*12%</f>
        <v/>
      </c>
      <c r="H601" s="833" t="n">
        <v>-6.35</v>
      </c>
      <c r="I601" s="904" t="n">
        <v>21.65</v>
      </c>
      <c r="J601" s="340">
        <f>F601*18%</f>
        <v/>
      </c>
      <c r="K601" s="340">
        <f>(F601-J601)*1.65%</f>
        <v/>
      </c>
      <c r="L601" s="340">
        <f>(F601-J601)*7.6%</f>
        <v/>
      </c>
      <c r="M601" s="1097" t="n">
        <v>12.2</v>
      </c>
      <c r="N601" s="785">
        <f>(G601+I601)*(9.25%)</f>
        <v/>
      </c>
      <c r="O601" s="701" t="n">
        <v>60.57</v>
      </c>
      <c r="P601" s="1016">
        <f>(F601 - (G601+I601+O601+(J601+K601+L601))) - (H601-M601-N601)</f>
        <v/>
      </c>
      <c r="Q601" s="462">
        <f>P601/F601</f>
        <v/>
      </c>
      <c r="R601" s="1206" t="inlineStr">
        <is>
          <t>Ativo</t>
        </is>
      </c>
      <c r="S601" s="904" t="n"/>
      <c r="T601" s="569" t="n"/>
      <c r="U601" s="1030" t="n"/>
      <c r="V601" s="1030" t="n"/>
      <c r="W601" s="1030" t="n"/>
    </row>
    <row r="602" ht="15.75" customHeight="1" s="1349">
      <c r="A602" s="1292" t="inlineStr">
        <is>
          <t>MLB4577179711</t>
        </is>
      </c>
      <c r="B602" s="904" t="inlineStr">
        <is>
          <t>ALICATE8ELETRICISTA3EM1</t>
        </is>
      </c>
      <c r="C602" s="904" t="inlineStr">
        <is>
          <t>Irwin</t>
        </is>
      </c>
      <c r="D602" s="481" t="inlineStr">
        <is>
          <t>Alicate Desencapador Corte Eletricista 8 Multifuncional</t>
        </is>
      </c>
      <c r="E602" s="904" t="n">
        <v>300</v>
      </c>
      <c r="F602" s="856" t="n">
        <v>220.17</v>
      </c>
      <c r="G602" s="1016">
        <f>F602*17%</f>
        <v/>
      </c>
      <c r="H602" s="833" t="n">
        <v>-9.279999999999999</v>
      </c>
      <c r="I602" s="904" t="n">
        <v>24.65</v>
      </c>
      <c r="J602" s="450" t="n">
        <v>0</v>
      </c>
      <c r="K602" s="340">
        <f>(F602-J602)*1.65%</f>
        <v/>
      </c>
      <c r="L602" s="340">
        <f>(F602-J602)*7.6%</f>
        <v/>
      </c>
      <c r="M602" s="1097" t="n">
        <v>13.45</v>
      </c>
      <c r="N602" s="785">
        <f>(G602+I602)*(9.25%)</f>
        <v/>
      </c>
      <c r="O602" s="701" t="n">
        <v>163.21</v>
      </c>
      <c r="P602" s="1016">
        <f>(F602 - (G602+I602+O602+(J602+K602+L602))) - (H602-M602-N602)</f>
        <v/>
      </c>
      <c r="Q602" s="462">
        <f>P602/F602</f>
        <v/>
      </c>
      <c r="R602" s="1206" t="inlineStr">
        <is>
          <t>Ativo</t>
        </is>
      </c>
      <c r="S602" s="904" t="n"/>
      <c r="T602" s="569" t="n"/>
      <c r="U602" s="1030" t="n"/>
      <c r="V602" s="1030" t="n"/>
      <c r="W602" s="1030" t="n"/>
    </row>
    <row r="603" ht="15.75" customHeight="1" s="1349">
      <c r="A603" s="1292" t="n"/>
      <c r="B603" s="928" t="inlineStr">
        <is>
          <t>CONE110CM</t>
        </is>
      </c>
      <c r="C603" s="904" t="inlineStr">
        <is>
          <t>Plastcor</t>
        </is>
      </c>
      <c r="D603" s="904" t="inlineStr">
        <is>
          <t>Base Cone 110cm PL4061 Plastcor Profissional Tráfego</t>
        </is>
      </c>
      <c r="E603" s="904" t="n">
        <v>60.99</v>
      </c>
      <c r="F603" s="856" t="n">
        <v>43.89</v>
      </c>
      <c r="G603" s="1016">
        <f>F603*17%</f>
        <v/>
      </c>
      <c r="H603" s="833" t="n"/>
      <c r="I603" s="904" t="n">
        <v>6.85</v>
      </c>
      <c r="J603" s="340">
        <f>F603*18%</f>
        <v/>
      </c>
      <c r="K603" s="340">
        <f>(F603-J603)*1.65%</f>
        <v/>
      </c>
      <c r="L603" s="340">
        <f>(F603-J603)*7.6%</f>
        <v/>
      </c>
      <c r="M603" s="1097" t="n">
        <v>6</v>
      </c>
      <c r="N603" s="785">
        <f>(G603+I603)*(9.25%)</f>
        <v/>
      </c>
      <c r="O603" s="701" t="n">
        <v>23.45</v>
      </c>
      <c r="P603" s="1016">
        <f>(F603 - (G603+I603+O603+(J603+K603+L603))) - (H603-M603-N603)</f>
        <v/>
      </c>
      <c r="Q603" s="462">
        <f>P603/F603</f>
        <v/>
      </c>
      <c r="R603" s="1206" t="inlineStr">
        <is>
          <t>Ativo</t>
        </is>
      </c>
      <c r="S603" s="904" t="n"/>
      <c r="T603" s="569" t="n"/>
      <c r="U603" s="1030" t="n"/>
      <c r="V603" s="1030" t="n"/>
      <c r="W603" s="1030" t="n"/>
    </row>
    <row r="604" ht="15.75" customHeight="1" s="1349">
      <c r="A604" s="1292" t="n"/>
      <c r="B604" s="928" t="inlineStr">
        <is>
          <t>CONE110CM2</t>
        </is>
      </c>
      <c r="C604" s="904" t="inlineStr">
        <is>
          <t>Plastcor</t>
        </is>
      </c>
      <c r="D604" s="904" t="inlineStr">
        <is>
          <t>Base para Cone 110cm Plastcor Reforçada Profissional</t>
        </is>
      </c>
      <c r="E604" s="904" t="n">
        <v>70.2</v>
      </c>
      <c r="F604" s="856" t="n">
        <v>42.99</v>
      </c>
      <c r="G604" s="1016">
        <f>F604*17%</f>
        <v/>
      </c>
      <c r="H604" s="833" t="n"/>
      <c r="I604" s="904" t="n">
        <v>6.85</v>
      </c>
      <c r="J604" s="340">
        <f>F604*18%</f>
        <v/>
      </c>
      <c r="K604" s="340">
        <f>(F604-J604)*1.65%</f>
        <v/>
      </c>
      <c r="L604" s="340">
        <f>(F604-J604)*7.6%</f>
        <v/>
      </c>
      <c r="M604" s="1097" t="n">
        <v>6</v>
      </c>
      <c r="N604" s="785">
        <f>(G604+I604)*(9.25%)</f>
        <v/>
      </c>
      <c r="O604" s="701" t="n">
        <v>23.45</v>
      </c>
      <c r="P604" s="1016">
        <f>(F604 - (G604+I604+O604+(J604+K604+L604))) - (H604-M604-N604)</f>
        <v/>
      </c>
      <c r="Q604" s="462">
        <f>P604/F604</f>
        <v/>
      </c>
      <c r="R604" s="1206" t="inlineStr">
        <is>
          <t>Ativo</t>
        </is>
      </c>
      <c r="S604" s="904" t="n"/>
      <c r="T604" s="569" t="n"/>
      <c r="U604" s="1030" t="n"/>
      <c r="V604" s="1030" t="n"/>
      <c r="W604" s="1030" t="n"/>
    </row>
    <row r="605" ht="15.75" customHeight="1" s="1349">
      <c r="A605" s="1292" t="inlineStr">
        <is>
          <t>3259972282078479</t>
        </is>
      </c>
      <c r="B605" s="904" t="n">
        <v>10034034166430</v>
      </c>
      <c r="C605" s="904" t="inlineStr">
        <is>
          <t>VOLK</t>
        </is>
      </c>
      <c r="D605" s="481" t="inlineStr">
        <is>
          <t>Luva Microfoam Poliamida Multi Uso Proteção Profissional Epi</t>
        </is>
      </c>
      <c r="E605" s="904" t="n">
        <v>49</v>
      </c>
      <c r="F605" s="856" t="n">
        <v>36.99</v>
      </c>
      <c r="G605" s="1016">
        <f>F605*17%</f>
        <v/>
      </c>
      <c r="H605" s="833" t="n"/>
      <c r="I605" s="904" t="n">
        <v>7.75</v>
      </c>
      <c r="J605" s="340">
        <f>F605*18%</f>
        <v/>
      </c>
      <c r="K605" s="340">
        <f>(F605-J605)*1.65%</f>
        <v/>
      </c>
      <c r="L605" s="340">
        <f>(F605-J605)*7.6%</f>
        <v/>
      </c>
      <c r="M605" s="1097" t="n">
        <v>2.09</v>
      </c>
      <c r="N605" s="785">
        <f>(G605+I605)*(9.25%)</f>
        <v/>
      </c>
      <c r="O605" s="701" t="n">
        <v>16.25</v>
      </c>
      <c r="P605" s="1016">
        <f>(F605 - (G605+I605+O605+(J605+K605+L605))) - (H605-M605-N605)</f>
        <v/>
      </c>
      <c r="Q605" s="462">
        <f>P605/F605</f>
        <v/>
      </c>
      <c r="R605" s="1206" t="inlineStr">
        <is>
          <t>Ativo</t>
        </is>
      </c>
      <c r="S605" s="904" t="inlineStr">
        <is>
          <t>1PAR</t>
        </is>
      </c>
      <c r="T605" s="569" t="n"/>
      <c r="U605" s="1030" t="n"/>
      <c r="V605" s="1030" t="n"/>
      <c r="W605" s="1030" t="n"/>
    </row>
    <row r="606" ht="15.75" customHeight="1" s="1349">
      <c r="A606" s="1292" t="inlineStr">
        <is>
          <t>3210148731990801</t>
        </is>
      </c>
      <c r="B606" s="904" t="n">
        <v>10034034168352</v>
      </c>
      <c r="C606" s="904" t="inlineStr">
        <is>
          <t>VOLK</t>
        </is>
      </c>
      <c r="D606" s="481" t="inlineStr">
        <is>
          <t>Kit Luva Microfoam Fibra Sintética Confortável Trabalho 2pr</t>
        </is>
      </c>
      <c r="E606" s="904" t="n">
        <v>78.98999999999999</v>
      </c>
      <c r="F606" s="856" t="n">
        <v>60.14</v>
      </c>
      <c r="G606" s="1016">
        <f>F606*12%</f>
        <v/>
      </c>
      <c r="H606" s="833" t="n">
        <v>-1.78</v>
      </c>
      <c r="I606" s="904" t="n">
        <v>7.85</v>
      </c>
      <c r="J606" s="340">
        <f>F606*18%</f>
        <v/>
      </c>
      <c r="K606" s="340">
        <f>(F606-J606)*1.65%</f>
        <v/>
      </c>
      <c r="L606" s="340">
        <f>(F606-J606)*7.6%</f>
        <v/>
      </c>
      <c r="M606" s="1097">
        <f>2.09*2</f>
        <v/>
      </c>
      <c r="N606" s="785">
        <f>(G606+I606)*(9.25%)</f>
        <v/>
      </c>
      <c r="O606" s="701">
        <f>16.25*2</f>
        <v/>
      </c>
      <c r="P606" s="1016">
        <f>(F606 - (G606+I606+O606+(J606+K606+L606))) - (H606-M606-N606)</f>
        <v/>
      </c>
      <c r="Q606" s="462">
        <f>P606/F606</f>
        <v/>
      </c>
      <c r="R606" s="1206" t="inlineStr">
        <is>
          <t>Ativo</t>
        </is>
      </c>
      <c r="S606" s="904" t="inlineStr">
        <is>
          <t>2PAR</t>
        </is>
      </c>
      <c r="T606" s="569" t="n"/>
      <c r="U606" s="1030" t="n"/>
      <c r="V606" s="1030" t="n"/>
      <c r="W606" s="1030" t="n"/>
    </row>
    <row r="607" ht="15.75" customHeight="1" s="1349">
      <c r="A607" s="1292" t="inlineStr">
        <is>
          <t>3668954032015760</t>
        </is>
      </c>
      <c r="B607" s="904" t="n">
        <v>10034034168358</v>
      </c>
      <c r="C607" s="904" t="inlineStr">
        <is>
          <t>VOLK</t>
        </is>
      </c>
      <c r="D607" s="481" t="inlineStr">
        <is>
          <t>Kit Luva Microfoam Tátil Proteção Segurança Confortável 6pr</t>
        </is>
      </c>
      <c r="E607" s="904" t="n">
        <v>299</v>
      </c>
      <c r="F607" s="856" t="n">
        <v>212.43</v>
      </c>
      <c r="G607" s="1016">
        <f>F607*17%</f>
        <v/>
      </c>
      <c r="H607" s="833" t="n">
        <v>-8.65</v>
      </c>
      <c r="I607" s="904" t="n">
        <v>28.35</v>
      </c>
      <c r="J607" s="340">
        <f>F607*18%</f>
        <v/>
      </c>
      <c r="K607" s="340">
        <f>(F607-J607)*1.65%</f>
        <v/>
      </c>
      <c r="L607" s="340">
        <f>(F607-J607)*7.6%</f>
        <v/>
      </c>
      <c r="M607" s="1097">
        <f>2.09*6</f>
        <v/>
      </c>
      <c r="N607" s="785">
        <f>(G607+I607)*(9.25%)</f>
        <v/>
      </c>
      <c r="O607" s="701">
        <f>16.25*6</f>
        <v/>
      </c>
      <c r="P607" s="1016">
        <f>(F607 - (G607+I607+O607+(J607+K607+L607))) - (H607-M607-N607)</f>
        <v/>
      </c>
      <c r="Q607" s="462">
        <f>P607/F607</f>
        <v/>
      </c>
      <c r="R607" s="1206" t="inlineStr">
        <is>
          <t>Ativo</t>
        </is>
      </c>
      <c r="S607" s="904" t="inlineStr">
        <is>
          <t>6PAR</t>
        </is>
      </c>
      <c r="T607" s="569" t="n"/>
      <c r="U607" s="1030" t="n"/>
      <c r="V607" s="1030" t="n"/>
      <c r="W607" s="1030" t="n"/>
    </row>
    <row r="608" ht="15.75" customHeight="1" s="1349">
      <c r="A608" s="1292" t="n"/>
      <c r="B608" s="904" t="inlineStr">
        <is>
          <t>DESEMPE60CM</t>
        </is>
      </c>
      <c r="C608" s="904" t="inlineStr">
        <is>
          <t>Atlas</t>
        </is>
      </c>
      <c r="D608" s="904" t="inlineStr">
        <is>
          <t>Desempenadeira Aço 60cm Nivelopro Alta Precisão</t>
        </is>
      </c>
      <c r="E608" s="904" t="n">
        <v>640</v>
      </c>
      <c r="F608" s="856" t="n">
        <v>473.89</v>
      </c>
      <c r="G608" s="1016">
        <f>F608*17%</f>
        <v/>
      </c>
      <c r="H608" s="833" t="n"/>
      <c r="I608" s="904" t="n">
        <v>24.65</v>
      </c>
      <c r="J608" s="340">
        <f>F608*18%</f>
        <v/>
      </c>
      <c r="K608" s="340">
        <f>(F608-J608)*1.65%</f>
        <v/>
      </c>
      <c r="L608" s="340">
        <f>(F608-J608)*7.6%</f>
        <v/>
      </c>
      <c r="M608" s="1097" t="n">
        <v>33.88</v>
      </c>
      <c r="N608" s="785">
        <f>(G608+I608)*(9.25%)</f>
        <v/>
      </c>
      <c r="O608" s="838" t="n">
        <v>263.08</v>
      </c>
      <c r="P608" s="1016">
        <f>(F608 - (G608+I608+O608+(J608+K608+L608))) - (H608-M608-N608)</f>
        <v/>
      </c>
      <c r="Q608" s="462">
        <f>P608/F608</f>
        <v/>
      </c>
      <c r="R608" s="1206" t="inlineStr">
        <is>
          <t>Ativo</t>
        </is>
      </c>
      <c r="S608" s="904" t="n"/>
      <c r="T608" s="569" t="n"/>
      <c r="U608" s="1030" t="n"/>
      <c r="V608" s="1030" t="n"/>
      <c r="W608" s="1030" t="n"/>
    </row>
    <row r="609" ht="15.75" customHeight="1" s="1349">
      <c r="A609" s="1292" t="n"/>
      <c r="B609" s="904" t="n">
        <v>10034034167107</v>
      </c>
      <c r="C609" s="904" t="inlineStr">
        <is>
          <t>EPI</t>
        </is>
      </c>
      <c r="D609" s="904" t="inlineStr">
        <is>
          <t>Perneira Bidim 3 Talas CA 39624 Fechamento Velcro</t>
        </is>
      </c>
      <c r="E609" s="904" t="n">
        <v>74.95</v>
      </c>
      <c r="F609" s="856" t="n">
        <v>41.2</v>
      </c>
      <c r="G609" s="1016">
        <f>F609*17%</f>
        <v/>
      </c>
      <c r="H609" s="833" t="n"/>
      <c r="I609" s="904" t="n">
        <v>6.75</v>
      </c>
      <c r="J609" s="340">
        <f>F609*18%</f>
        <v/>
      </c>
      <c r="K609" s="340">
        <f>(F609-J609)*1.65%</f>
        <v/>
      </c>
      <c r="L609" s="340">
        <f>(F609-J609)*7.6%</f>
        <v/>
      </c>
      <c r="M609" s="1097" t="n">
        <v>3.89</v>
      </c>
      <c r="N609" s="785">
        <f>(G609+I609)*(9.25%)</f>
        <v/>
      </c>
      <c r="O609" s="701" t="n">
        <v>19.3</v>
      </c>
      <c r="P609" s="1016">
        <f>(F609 - (G609+I609+O609+(J609+K609+L609))) - (H609-M609-N609)</f>
        <v/>
      </c>
      <c r="Q609" s="462">
        <f>P609/F609</f>
        <v/>
      </c>
      <c r="R609" s="1206" t="inlineStr">
        <is>
          <t>Ativo</t>
        </is>
      </c>
      <c r="S609" s="904" t="n"/>
      <c r="T609" s="569" t="n"/>
      <c r="U609" s="1030" t="n"/>
      <c r="V609" s="1030" t="n"/>
      <c r="W609" s="1030" t="n"/>
    </row>
    <row r="610" ht="15.75" customHeight="1" s="1349">
      <c r="A610" s="1292" t="inlineStr">
        <is>
          <t>6566958230</t>
        </is>
      </c>
      <c r="B610" s="904" t="n">
        <v>10034034167107</v>
      </c>
      <c r="C610" s="904" t="inlineStr">
        <is>
          <t>EPI</t>
        </is>
      </c>
      <c r="D610" s="904" t="inlineStr">
        <is>
          <t>Perneira Proteção Cobra 3 Talas com Velcro</t>
        </is>
      </c>
      <c r="E610" s="904" t="n">
        <v>78.98999999999999</v>
      </c>
      <c r="F610" s="856" t="n">
        <v>38.02</v>
      </c>
      <c r="G610" s="1016">
        <f>F610*17%</f>
        <v/>
      </c>
      <c r="H610" s="833" t="n">
        <v>-2.28</v>
      </c>
      <c r="I610" s="904" t="n">
        <v>6.75</v>
      </c>
      <c r="J610" s="340">
        <f>F610*18%</f>
        <v/>
      </c>
      <c r="K610" s="340">
        <f>(F610-J610)*1.65%</f>
        <v/>
      </c>
      <c r="L610" s="340">
        <f>(F610-J610)*7.6%</f>
        <v/>
      </c>
      <c r="M610" s="1097" t="n">
        <v>3.89</v>
      </c>
      <c r="N610" s="785">
        <f>(G610+I610)*(9.25%)</f>
        <v/>
      </c>
      <c r="O610" s="701" t="n">
        <v>19.3</v>
      </c>
      <c r="P610" s="1016">
        <f>(F610 - (G610+I610+O610+(J610+K610+L610))) - (H610-M610-N610)</f>
        <v/>
      </c>
      <c r="Q610" s="462">
        <f>P610/F610</f>
        <v/>
      </c>
      <c r="R610" s="1206" t="inlineStr">
        <is>
          <t>Ativo</t>
        </is>
      </c>
      <c r="S610" s="904" t="n"/>
      <c r="T610" s="569" t="n"/>
      <c r="U610" s="1030" t="n"/>
      <c r="V610" s="1030" t="n"/>
      <c r="W610" s="1030" t="n"/>
    </row>
    <row r="611" ht="15.75" customHeight="1" s="1349">
      <c r="A611" s="1292" t="n"/>
      <c r="B611" s="904" t="n">
        <v>10034034167364</v>
      </c>
      <c r="C611" s="904" t="inlineStr">
        <is>
          <t>EPI</t>
        </is>
      </c>
      <c r="D611" s="904" t="inlineStr">
        <is>
          <t>Perneira Raspa Valcan CA 25388 com Velcro EPI</t>
        </is>
      </c>
      <c r="E611" s="904" t="n">
        <v>78.98999999999999</v>
      </c>
      <c r="F611" s="856" t="n">
        <v>42.99</v>
      </c>
      <c r="G611" s="1016">
        <f>F611*17%</f>
        <v/>
      </c>
      <c r="H611" s="833" t="n"/>
      <c r="I611" s="904" t="n">
        <v>7.95</v>
      </c>
      <c r="J611" s="340">
        <f>F611*18%</f>
        <v/>
      </c>
      <c r="K611" s="340">
        <f>(F611-J611)*1.65%</f>
        <v/>
      </c>
      <c r="L611" s="340">
        <f>(F611-J611)*7.6%</f>
        <v/>
      </c>
      <c r="M611" s="1097" t="n">
        <v>4.03</v>
      </c>
      <c r="N611" s="785">
        <f>(G611+I611)*(9.25%)</f>
        <v/>
      </c>
      <c r="O611" s="701" t="n">
        <v>20</v>
      </c>
      <c r="P611" s="1016">
        <f>(F611 - (G611+I611+O611+(J611+K611+L611))) - (H611-M611-N611)</f>
        <v/>
      </c>
      <c r="Q611" s="462">
        <f>P611/F611</f>
        <v/>
      </c>
      <c r="R611" s="1206" t="inlineStr">
        <is>
          <t>Ativo</t>
        </is>
      </c>
      <c r="S611" s="904" t="n"/>
      <c r="T611" s="569" t="n"/>
      <c r="U611" s="1030" t="n"/>
      <c r="V611" s="1030" t="n"/>
      <c r="W611" s="1030" t="n"/>
    </row>
    <row r="612" ht="15.75" customHeight="1" s="1349">
      <c r="A612" s="1292" t="n"/>
      <c r="B612" s="904" t="n">
        <v>10034034167364</v>
      </c>
      <c r="C612" s="904" t="inlineStr">
        <is>
          <t>EPI</t>
        </is>
      </c>
      <c r="D612" s="904" t="inlineStr">
        <is>
          <t>Proteção de Perna Couro Solda com Velcro Resistente</t>
        </is>
      </c>
      <c r="E612" s="904" t="n">
        <v>78.98999999999999</v>
      </c>
      <c r="F612" s="856" t="n">
        <v>43.6</v>
      </c>
      <c r="G612" s="1016">
        <f>F612*12%</f>
        <v/>
      </c>
      <c r="H612" s="833" t="n"/>
      <c r="I612" s="904" t="n">
        <v>7.95</v>
      </c>
      <c r="J612" s="340">
        <f>F612*18%</f>
        <v/>
      </c>
      <c r="K612" s="340">
        <f>(F612-J612)*1.65%</f>
        <v/>
      </c>
      <c r="L612" s="340">
        <f>(F612-J612)*7.6%</f>
        <v/>
      </c>
      <c r="M612" s="1097" t="n">
        <v>4.03</v>
      </c>
      <c r="N612" s="785">
        <f>(G612+I612)*(9.25%)</f>
        <v/>
      </c>
      <c r="O612" s="701" t="n">
        <v>20</v>
      </c>
      <c r="P612" s="1016">
        <f>(F612 - (G612+I612+O612+(J612+K612+L612))) - (H612-M612-N612)</f>
        <v/>
      </c>
      <c r="Q612" s="462">
        <f>P612/F612</f>
        <v/>
      </c>
      <c r="R612" s="1206" t="inlineStr">
        <is>
          <t>Ativo</t>
        </is>
      </c>
      <c r="S612" s="904" t="n"/>
      <c r="T612" s="569" t="n"/>
      <c r="U612" s="1030" t="n"/>
      <c r="V612" s="1030" t="n"/>
      <c r="W612" s="1030" t="n"/>
    </row>
    <row r="613" ht="15.75" customHeight="1" s="1349">
      <c r="A613" s="1292" t="inlineStr">
        <is>
          <t>6567284124</t>
        </is>
      </c>
      <c r="B613" s="904" t="inlineStr">
        <is>
          <t>TALABARTE_CAMPER_Y2101</t>
        </is>
      </c>
      <c r="C613" s="904" t="inlineStr">
        <is>
          <t>Camper</t>
        </is>
      </c>
      <c r="D613" s="481" t="inlineStr">
        <is>
          <t>Talabarte Em Fita Y 2 Ponto 1,35m 2101 Aço P/ Cinto Altura</t>
        </is>
      </c>
      <c r="E613" s="904" t="n">
        <v>250</v>
      </c>
      <c r="F613" s="856" t="n">
        <v>187.24</v>
      </c>
      <c r="G613" s="1016">
        <f>F613*17%</f>
        <v/>
      </c>
      <c r="H613" s="833" t="n">
        <v>-5.67</v>
      </c>
      <c r="I613" s="904" t="n">
        <v>24.65</v>
      </c>
      <c r="J613" s="340">
        <f>F613*18%</f>
        <v/>
      </c>
      <c r="K613" s="340">
        <f>(F613-J613)*1.65%</f>
        <v/>
      </c>
      <c r="L613" s="340">
        <f>(F613-J613)*7.6%</f>
        <v/>
      </c>
      <c r="M613" s="1097" t="n">
        <v>22.25</v>
      </c>
      <c r="N613" s="785">
        <f>(G613+I613)*(9.25%)</f>
        <v/>
      </c>
      <c r="O613" s="701" t="n">
        <v>111.98</v>
      </c>
      <c r="P613" s="1016">
        <f>(F613 - (G613+I613+O613+(J613+K613+L613))) - (H613-M613-N613)</f>
        <v/>
      </c>
      <c r="Q613" s="462">
        <f>P613/F613</f>
        <v/>
      </c>
      <c r="R613" s="1206" t="inlineStr">
        <is>
          <t>Ativo</t>
        </is>
      </c>
      <c r="S613" s="904" t="n"/>
      <c r="T613" s="569" t="n"/>
      <c r="U613" s="1030" t="n"/>
      <c r="V613" s="1030" t="n"/>
      <c r="W613" s="1030" t="n"/>
    </row>
    <row r="614" ht="15.75" customHeight="1" s="1349">
      <c r="A614" s="1292" t="inlineStr">
        <is>
          <t> </t>
        </is>
      </c>
      <c r="B614" s="904" t="n"/>
      <c r="C614" s="904" t="n"/>
      <c r="D614" s="904" t="inlineStr">
        <is>
          <t>Kit C/40 capa de chuva EXG</t>
        </is>
      </c>
      <c r="E614" s="904" t="n"/>
      <c r="F614" s="856" t="n">
        <v>780</v>
      </c>
      <c r="G614" s="1016">
        <f>F614*17%</f>
        <v/>
      </c>
      <c r="H614" s="833" t="n"/>
      <c r="I614" s="904" t="n"/>
      <c r="J614" s="340">
        <f>F614*18%</f>
        <v/>
      </c>
      <c r="K614" s="340">
        <f>(F614-J614)*1.65%</f>
        <v/>
      </c>
      <c r="L614" s="340">
        <f>(F614-J614)*7.6%</f>
        <v/>
      </c>
      <c r="M614" s="1097" t="n">
        <v>120.64</v>
      </c>
      <c r="N614" s="785">
        <f>(G614+I614)*(9.25%)</f>
        <v/>
      </c>
      <c r="O614" s="904" t="n">
        <v>472</v>
      </c>
      <c r="P614" s="1016">
        <f>(F614 - (G614+I614+O614+(J614+K614+L614))) - (H614-M614-N614)</f>
        <v/>
      </c>
      <c r="Q614" s="462">
        <f>P614/F614</f>
        <v/>
      </c>
      <c r="R614" s="1206" t="n"/>
      <c r="S614" s="904" t="n"/>
      <c r="T614" s="569" t="n"/>
      <c r="U614" s="1030" t="n"/>
      <c r="V614" s="1030" t="n"/>
      <c r="W614" s="1030" t="n"/>
    </row>
    <row r="615" ht="15.75" customHeight="1" s="1349">
      <c r="A615" s="1292" t="inlineStr">
        <is>
          <t>4594804697</t>
        </is>
      </c>
      <c r="B615" s="904" t="n">
        <v>10034034168374</v>
      </c>
      <c r="C615" s="904" t="inlineStr">
        <is>
          <t>ÂNCORA</t>
        </is>
      </c>
      <c r="D615" s="842" t="inlineStr">
        <is>
          <t>KIT 5 CHUMBADOR PARABOLT CBA 1/4X2 AÇO FIXAÇÃO</t>
        </is>
      </c>
      <c r="E615" s="904" t="n">
        <v>39.8</v>
      </c>
      <c r="F615" s="794" t="n">
        <v>16.38</v>
      </c>
      <c r="G615" s="1016">
        <f>F615*12%</f>
        <v/>
      </c>
      <c r="H615" s="833" t="n">
        <v>-0.98</v>
      </c>
      <c r="I615" s="904" t="n">
        <v>8.15</v>
      </c>
      <c r="J615" s="340">
        <f>F615*18%</f>
        <v/>
      </c>
      <c r="K615" s="340">
        <f>(F615-J615)*1.65%</f>
        <v/>
      </c>
      <c r="L615" s="340">
        <f>(F615-J615)*7.6%</f>
        <v/>
      </c>
      <c r="M615" s="1097" t="n">
        <v>0.35</v>
      </c>
      <c r="N615" s="785">
        <f>(G615+I615)*(9.25%)</f>
        <v/>
      </c>
      <c r="O615" s="904" t="n">
        <v>3.1</v>
      </c>
      <c r="P615" s="1016">
        <f>(F615 - (G615+I615+O615+(J615+K615+L615))) - (H615-M615-N615)</f>
        <v/>
      </c>
      <c r="Q615" s="462">
        <f>P615/F615</f>
        <v/>
      </c>
      <c r="R615" s="1206" t="inlineStr">
        <is>
          <t>Ativo</t>
        </is>
      </c>
      <c r="S615" s="904" t="n"/>
      <c r="T615" s="569" t="n"/>
      <c r="U615" s="1030" t="n"/>
      <c r="V615" s="1030" t="n"/>
      <c r="W615" s="1030" t="n"/>
    </row>
    <row r="616" ht="15.75" customHeight="1" s="1349">
      <c r="A616" s="1292" t="n"/>
      <c r="B616" s="904" t="n">
        <v>10034034168373</v>
      </c>
      <c r="C616" s="904" t="inlineStr">
        <is>
          <t>ÂNCORA</t>
        </is>
      </c>
      <c r="D616" s="842" t="inlineStr">
        <is>
          <t>KIT 10 CHUMBADOR PARABOLT CBA 1/4X2 AÇO FIXAÇÃO</t>
        </is>
      </c>
      <c r="E616" s="904" t="n">
        <v>46.99</v>
      </c>
      <c r="F616" s="856" t="n">
        <v>21.99</v>
      </c>
      <c r="G616" s="1016">
        <f>F616*17%</f>
        <v/>
      </c>
      <c r="H616" s="833" t="n"/>
      <c r="I616" s="904" t="n">
        <v>7</v>
      </c>
      <c r="J616" s="340">
        <f>F616*18%</f>
        <v/>
      </c>
      <c r="K616" s="340">
        <f>(F616-J616)*1.65%</f>
        <v/>
      </c>
      <c r="L616" s="340">
        <f>(F616-J616)*7.6%</f>
        <v/>
      </c>
      <c r="M616" s="1097" t="n">
        <v>0.7</v>
      </c>
      <c r="N616" s="785">
        <f>(G616+I616)*(9.25%)</f>
        <v/>
      </c>
      <c r="O616" s="904" t="n">
        <v>6.2</v>
      </c>
      <c r="P616" s="1016">
        <f>(F616 - (G616+I616+O616+(J616+K616+L616))) - (H616-M616-N616)</f>
        <v/>
      </c>
      <c r="Q616" s="462">
        <f>P616/F616</f>
        <v/>
      </c>
      <c r="R616" s="1206" t="inlineStr">
        <is>
          <t>Ativo</t>
        </is>
      </c>
      <c r="S616" s="904" t="n"/>
      <c r="T616" s="569" t="n"/>
      <c r="U616" s="1030" t="n"/>
      <c r="V616" s="1030" t="n"/>
      <c r="W616" s="1030" t="n"/>
    </row>
    <row r="617" ht="15.75" customHeight="1" s="1349">
      <c r="A617" s="1292" t="n"/>
      <c r="B617" s="904" t="n">
        <v>10034034168375</v>
      </c>
      <c r="C617" s="904" t="inlineStr">
        <is>
          <t>ÂNCORA</t>
        </is>
      </c>
      <c r="D617" s="842" t="inlineStr">
        <is>
          <t>KIT 50 CHUMBADOR PARABOLT CBA 1/4X2 AÇO FIXAÇÃO</t>
        </is>
      </c>
      <c r="E617" s="904" t="n">
        <v>90.89</v>
      </c>
      <c r="F617" s="856" t="n">
        <v>63.1</v>
      </c>
      <c r="G617" s="1016">
        <f>F617*17%</f>
        <v/>
      </c>
      <c r="H617" s="833" t="n"/>
      <c r="I617" s="904" t="n">
        <v>7</v>
      </c>
      <c r="J617" s="340">
        <f>F617*18%</f>
        <v/>
      </c>
      <c r="K617" s="340">
        <f>(F617-J617)*1.65%</f>
        <v/>
      </c>
      <c r="L617" s="340">
        <f>(F617-J617)*7.6%</f>
        <v/>
      </c>
      <c r="M617" s="1097" t="n">
        <v>3.5</v>
      </c>
      <c r="N617" s="785">
        <f>(G617+I617)*(9.25%)</f>
        <v/>
      </c>
      <c r="O617" s="904" t="n">
        <v>31</v>
      </c>
      <c r="P617" s="1016">
        <f>(F617 - (G617+I617+O617+(J617+K617+L617))) - (H617-M617-N617)</f>
        <v/>
      </c>
      <c r="Q617" s="462">
        <f>P617/F617</f>
        <v/>
      </c>
      <c r="R617" s="1206" t="inlineStr">
        <is>
          <t>Ativo</t>
        </is>
      </c>
      <c r="S617" s="904" t="n"/>
      <c r="T617" s="569" t="n"/>
      <c r="U617" s="1030" t="n"/>
      <c r="V617" s="1030" t="n"/>
      <c r="W617" s="1030" t="n"/>
    </row>
    <row r="618" ht="15.75" customHeight="1" s="1349">
      <c r="A618" s="1292" t="n"/>
      <c r="B618" s="904" t="n">
        <v>4594955887</v>
      </c>
      <c r="C618" s="904" t="inlineStr">
        <is>
          <t>ÂNCORA</t>
        </is>
      </c>
      <c r="D618" s="842" t="inlineStr">
        <is>
          <t>KIT 5 CHUMBADOR PARABOLT CBA 1/4X3 AÇO FIXAÇÃO</t>
        </is>
      </c>
      <c r="E618" s="904" t="n">
        <v>30.89</v>
      </c>
      <c r="F618" s="856" t="n">
        <v>23.5</v>
      </c>
      <c r="G618" s="1016">
        <f>F618*17%</f>
        <v/>
      </c>
      <c r="H618" s="833" t="n"/>
      <c r="I618" s="904" t="n">
        <v>8.35</v>
      </c>
      <c r="J618" s="340">
        <f>F618*18%</f>
        <v/>
      </c>
      <c r="K618" s="340">
        <f>(F618-J618)*1.65%</f>
        <v/>
      </c>
      <c r="L618" s="340">
        <f>(F618-J618)*7.6%</f>
        <v/>
      </c>
      <c r="M618" s="1097" t="n">
        <v>0.5</v>
      </c>
      <c r="N618" s="785">
        <f>(G618+I618)*(9.25%)</f>
        <v/>
      </c>
      <c r="O618" s="904">
        <f>0.87*5</f>
        <v/>
      </c>
      <c r="P618" s="1016">
        <f>(F618 - (G618+I618+O618+(J618+K618+L618))) - (H618-M618-N618)</f>
        <v/>
      </c>
      <c r="Q618" s="462">
        <f>P618/F618</f>
        <v/>
      </c>
      <c r="R618" s="1206" t="inlineStr">
        <is>
          <t>Ativo</t>
        </is>
      </c>
      <c r="S618" s="904" t="n"/>
      <c r="T618" s="569" t="n"/>
      <c r="U618" s="1030" t="n"/>
      <c r="V618" s="1030" t="n"/>
      <c r="W618" s="1030" t="n"/>
    </row>
    <row r="619" ht="15.75" customHeight="1" s="1349">
      <c r="A619" s="1292" t="n"/>
      <c r="B619" s="904" t="n">
        <v>6600277696</v>
      </c>
      <c r="C619" s="904" t="inlineStr">
        <is>
          <t>ÂNCORA</t>
        </is>
      </c>
      <c r="D619" s="842" t="inlineStr">
        <is>
          <t>KIT 10 CHUMBADOR PARABOLT CBA 1/4X3 AÇO FIXAÇÃO</t>
        </is>
      </c>
      <c r="E619" s="904" t="n">
        <v>50.9</v>
      </c>
      <c r="F619" s="856" t="n">
        <v>24.99</v>
      </c>
      <c r="G619" s="1016">
        <f>F619*17%</f>
        <v/>
      </c>
      <c r="H619" s="833" t="n">
        <v>-1.45</v>
      </c>
      <c r="I619" s="904" t="n">
        <v>8.35</v>
      </c>
      <c r="J619" s="340">
        <f>F619*18%</f>
        <v/>
      </c>
      <c r="K619" s="340">
        <f>(F619-J619)*1.65%</f>
        <v/>
      </c>
      <c r="L619" s="340">
        <f>(F619-J619)*7.6%</f>
        <v/>
      </c>
      <c r="M619" s="1097" t="n">
        <v>1</v>
      </c>
      <c r="N619" s="785">
        <f>(G619+I619)*(9.25%)</f>
        <v/>
      </c>
      <c r="O619" s="904">
        <f>0.87*10</f>
        <v/>
      </c>
      <c r="P619" s="1016">
        <f>(F619 - (G619+I619+O619+(J619+K619+L619))) - (H619-M619-N619)</f>
        <v/>
      </c>
      <c r="Q619" s="462">
        <f>P619/F619</f>
        <v/>
      </c>
      <c r="R619" s="1206" t="inlineStr">
        <is>
          <t>Ativo</t>
        </is>
      </c>
      <c r="S619" s="904" t="n"/>
      <c r="T619" s="569" t="n"/>
      <c r="U619" s="1030" t="n"/>
      <c r="V619" s="1030" t="n"/>
      <c r="W619" s="1030" t="n"/>
    </row>
    <row r="620" ht="15.75" customHeight="1" s="1349">
      <c r="A620" s="1292" t="n"/>
      <c r="B620" s="904" t="n">
        <v>6600548396</v>
      </c>
      <c r="C620" s="904" t="inlineStr">
        <is>
          <t>ÂNCORA</t>
        </is>
      </c>
      <c r="D620" s="842" t="inlineStr">
        <is>
          <t>KIT 50 CHUMBADOR PARABOLT CBA 1/4X3 AÇO FIXAÇÃO</t>
        </is>
      </c>
      <c r="E620" s="904" t="n">
        <v>120</v>
      </c>
      <c r="F620" s="856" t="n">
        <v>99.89</v>
      </c>
      <c r="G620" s="1016">
        <f>F620*17%</f>
        <v/>
      </c>
      <c r="H620" s="833" t="n"/>
      <c r="I620" s="904" t="n">
        <v>13.85</v>
      </c>
      <c r="J620" s="340">
        <f>F620*18%</f>
        <v/>
      </c>
      <c r="K620" s="340">
        <f>(F620-J620)*1.65%</f>
        <v/>
      </c>
      <c r="L620" s="340">
        <f>(F620-J620)*7.6%</f>
        <v/>
      </c>
      <c r="M620" s="1097" t="n">
        <v>5</v>
      </c>
      <c r="N620" s="785">
        <f>(G620+I620)*(9.25%)</f>
        <v/>
      </c>
      <c r="O620" s="904">
        <f>0.87*50</f>
        <v/>
      </c>
      <c r="P620" s="1016">
        <f>(F620 - (G620+I620+O620+(J620+K620+L620))) - (H620-M620-N620)</f>
        <v/>
      </c>
      <c r="Q620" s="462">
        <f>P620/F620</f>
        <v/>
      </c>
      <c r="R620" s="1206" t="inlineStr">
        <is>
          <t>Ativo</t>
        </is>
      </c>
      <c r="S620" s="904" t="n"/>
      <c r="T620" s="569" t="n"/>
      <c r="U620" s="1030" t="n"/>
      <c r="V620" s="1030" t="n"/>
      <c r="W620" s="1030" t="n"/>
    </row>
    <row r="621" ht="15.75" customHeight="1" s="1349">
      <c r="A621" s="1292" t="n"/>
      <c r="B621" s="904" t="n"/>
      <c r="C621" s="904" t="n"/>
      <c r="D621" s="1190" t="inlineStr">
        <is>
          <t>KIT 5 CHUMBADOR PARABOLT CBA 5/16 X 2.1/4 AÇO FIXAÇÃO</t>
        </is>
      </c>
      <c r="E621" s="904" t="n">
        <v>30.89</v>
      </c>
      <c r="F621" s="856" t="n">
        <v>19.1</v>
      </c>
      <c r="G621" s="1016">
        <f>F621*17%</f>
        <v/>
      </c>
      <c r="H621" s="833" t="n"/>
      <c r="I621" s="904" t="n">
        <v>7</v>
      </c>
      <c r="J621" s="340">
        <f>F621*18%</f>
        <v/>
      </c>
      <c r="K621" s="340">
        <f>(F621-J621)*1.65%</f>
        <v/>
      </c>
      <c r="L621" s="340">
        <f>(F621-J621)*7.6%</f>
        <v/>
      </c>
      <c r="M621" s="1097" t="n">
        <v>0.55</v>
      </c>
      <c r="N621" s="785">
        <f>(G621+I621)*(9.25%)</f>
        <v/>
      </c>
      <c r="O621" s="904" t="n">
        <v>4.65</v>
      </c>
      <c r="P621" s="1016">
        <f>(F621 - (G621+I621+O621+(J621+K621+L621))) - (H621-M621-N621)</f>
        <v/>
      </c>
      <c r="Q621" s="462">
        <f>P621/F621</f>
        <v/>
      </c>
      <c r="R621" s="1206" t="n"/>
      <c r="S621" s="904" t="n"/>
      <c r="T621" s="569" t="n"/>
      <c r="U621" s="1030" t="n"/>
      <c r="V621" s="1030" t="n"/>
      <c r="W621" s="1030" t="n"/>
    </row>
    <row r="622" ht="15.75" customHeight="1" s="1349">
      <c r="A622" s="1292" t="n"/>
      <c r="B622" s="904" t="n"/>
      <c r="C622" s="904" t="n"/>
      <c r="D622" s="1190" t="inlineStr">
        <is>
          <t>KIT 10 CHUMBADOR PARABOLT CBA 5/16 X 2.1/4 AÇO FIXAÇÃO</t>
        </is>
      </c>
      <c r="E622" s="904" t="n">
        <v>45.3</v>
      </c>
      <c r="F622" s="856" t="n">
        <v>25.9</v>
      </c>
      <c r="G622" s="1016">
        <f>F622*17%</f>
        <v/>
      </c>
      <c r="H622" s="833" t="n"/>
      <c r="I622" s="904" t="n">
        <v>7</v>
      </c>
      <c r="J622" s="340">
        <f>F622*18%</f>
        <v/>
      </c>
      <c r="K622" s="340">
        <f>(F622-J622)*1.65%</f>
        <v/>
      </c>
      <c r="L622" s="340">
        <f>(F622-J622)*7.6%</f>
        <v/>
      </c>
      <c r="M622" s="1097" t="n">
        <v>1.1</v>
      </c>
      <c r="N622" s="785">
        <f>(G622+I622)*(9.25%)</f>
        <v/>
      </c>
      <c r="O622" s="904" t="n">
        <v>9.300000000000001</v>
      </c>
      <c r="P622" s="1016">
        <f>(F622 - (G622+I622+O622+(J622+K622+L622))) - (H622-M622-N622)</f>
        <v/>
      </c>
      <c r="Q622" s="462">
        <f>P622/F622</f>
        <v/>
      </c>
      <c r="R622" s="1206" t="n"/>
      <c r="S622" s="904" t="n"/>
      <c r="T622" s="569" t="n"/>
      <c r="U622" s="1030" t="n"/>
      <c r="V622" s="1030" t="n"/>
      <c r="W622" s="1030" t="n"/>
    </row>
    <row r="623" ht="15.75" customHeight="1" s="1349">
      <c r="A623" s="1292" t="n"/>
      <c r="B623" s="904" t="n"/>
      <c r="C623" s="904" t="n"/>
      <c r="D623" s="1190" t="inlineStr">
        <is>
          <t>KIT 50 CHUMBADOR PARABOLT CBA 5/16 X 2.1/4 AÇO FIXAÇÃO</t>
        </is>
      </c>
      <c r="E623" s="904" t="n">
        <v>120.89</v>
      </c>
      <c r="F623" s="856" t="n">
        <v>89.8</v>
      </c>
      <c r="G623" s="1016">
        <f>F623*17%</f>
        <v/>
      </c>
      <c r="H623" s="833" t="n"/>
      <c r="I623" s="904" t="n">
        <v>7</v>
      </c>
      <c r="J623" s="340">
        <f>F623*18%</f>
        <v/>
      </c>
      <c r="K623" s="340">
        <f>(F623-J623)*1.65%</f>
        <v/>
      </c>
      <c r="L623" s="340">
        <f>(F623-J623)*7.6%</f>
        <v/>
      </c>
      <c r="M623" s="1097" t="n">
        <v>5.5</v>
      </c>
      <c r="N623" s="785">
        <f>(G623+I623)*(9.25%)</f>
        <v/>
      </c>
      <c r="O623" s="904" t="n">
        <v>46.5</v>
      </c>
      <c r="P623" s="1016">
        <f>(F623 - (G623+I623+O623+(J623+K623+L623))) - (H623-M623-N623)</f>
        <v/>
      </c>
      <c r="Q623" s="462">
        <f>P623/F623</f>
        <v/>
      </c>
      <c r="R623" s="1206" t="n"/>
      <c r="S623" s="904" t="n"/>
      <c r="T623" s="569" t="n"/>
      <c r="U623" s="1030" t="n"/>
      <c r="V623" s="1030" t="n"/>
      <c r="W623" s="1030" t="n"/>
    </row>
    <row r="624" ht="15.75" customHeight="1" s="1349">
      <c r="A624" s="1292" t="n"/>
      <c r="B624" s="904" t="n"/>
      <c r="C624" s="904" t="n"/>
      <c r="D624" s="1190" t="inlineStr">
        <is>
          <t>KIT 5 CHUMBADOR PARABOLT CBA 5/16 X 3.1/4 AÇO FIXAÇÃO</t>
        </is>
      </c>
      <c r="E624" s="904" t="n">
        <v>45.6</v>
      </c>
      <c r="F624" s="856" t="n">
        <v>23.89</v>
      </c>
      <c r="G624" s="1016">
        <f>F624*17%</f>
        <v/>
      </c>
      <c r="H624" s="833" t="n"/>
      <c r="I624" s="904" t="n">
        <v>7</v>
      </c>
      <c r="J624" s="340">
        <f>F624*18%</f>
        <v/>
      </c>
      <c r="K624" s="340">
        <f>(F624-J624)*1.65%</f>
        <v/>
      </c>
      <c r="L624" s="340">
        <f>(F624-J624)*7.6%</f>
        <v/>
      </c>
      <c r="M624" s="1097" t="n">
        <v>0.8</v>
      </c>
      <c r="N624" s="785">
        <f>(G624+I624)*(9.25%)</f>
        <v/>
      </c>
      <c r="O624" s="904" t="n">
        <v>6.8</v>
      </c>
      <c r="P624" s="1016">
        <f>(F624 - (G624+I624+O624+(J624+K624+L624))) - (H624-M624-N624)</f>
        <v/>
      </c>
      <c r="Q624" s="462">
        <f>P624/F624</f>
        <v/>
      </c>
      <c r="R624" s="1206" t="n"/>
      <c r="S624" s="904" t="n"/>
      <c r="T624" s="569" t="n"/>
      <c r="U624" s="1030" t="n"/>
      <c r="V624" s="1030" t="n"/>
      <c r="W624" s="1030" t="n"/>
    </row>
    <row r="625" ht="15.75" customHeight="1" s="1349">
      <c r="A625" s="1292" t="n"/>
      <c r="B625" s="904" t="n"/>
      <c r="C625" s="904" t="n"/>
      <c r="D625" s="1190" t="inlineStr">
        <is>
          <t>KIT 10 CHUMBADOR PARABOLT CBA 5/16 X 3.1/4 AÇO FIXAÇÃO</t>
        </is>
      </c>
      <c r="E625" s="904" t="n">
        <v>78.90000000000001</v>
      </c>
      <c r="F625" s="856" t="n">
        <v>36.89</v>
      </c>
      <c r="G625" s="1016">
        <f>F625*17%</f>
        <v/>
      </c>
      <c r="H625" s="833" t="n"/>
      <c r="I625" s="904" t="n">
        <v>7</v>
      </c>
      <c r="J625" s="340">
        <f>F625*18%</f>
        <v/>
      </c>
      <c r="K625" s="340">
        <f>(F625-J625)*1.65%</f>
        <v/>
      </c>
      <c r="L625" s="340">
        <f>(F625-J625)*7.6%</f>
        <v/>
      </c>
      <c r="M625" s="1097" t="n">
        <v>1.6</v>
      </c>
      <c r="N625" s="785">
        <f>(G625+I625)*(9.25%)</f>
        <v/>
      </c>
      <c r="O625" s="904" t="n">
        <v>13.6</v>
      </c>
      <c r="P625" s="1016">
        <f>(F625 - (G625+I625+O625+(J625+K625+L625))) - (H625-M625-N625)</f>
        <v/>
      </c>
      <c r="Q625" s="462">
        <f>P625/F625</f>
        <v/>
      </c>
      <c r="R625" s="1206" t="n"/>
      <c r="S625" s="904" t="n"/>
      <c r="T625" s="569" t="n"/>
      <c r="U625" s="1030" t="n"/>
      <c r="V625" s="1030" t="n"/>
      <c r="W625" s="1030" t="n"/>
    </row>
    <row r="626" ht="15.75" customHeight="1" s="1349">
      <c r="A626" s="1292" t="n"/>
      <c r="B626" s="904" t="n"/>
      <c r="C626" s="904" t="n"/>
      <c r="D626" s="1190" t="inlineStr">
        <is>
          <t>KIT 50 CHUMBADOR PARABOLT CBA 5/16 X 3.1/4 AÇO FIXAÇÃO</t>
        </is>
      </c>
      <c r="E626" s="904" t="n">
        <v>280</v>
      </c>
      <c r="F626" s="856" t="n">
        <v>135.89</v>
      </c>
      <c r="G626" s="1016">
        <f>F626*17%</f>
        <v/>
      </c>
      <c r="H626" s="833" t="n"/>
      <c r="I626" s="904" t="n">
        <v>7</v>
      </c>
      <c r="J626" s="340">
        <f>F626*18%</f>
        <v/>
      </c>
      <c r="K626" s="340">
        <f>(F626-J626)*1.65%</f>
        <v/>
      </c>
      <c r="L626" s="340">
        <f>(F626-J626)*7.6%</f>
        <v/>
      </c>
      <c r="M626" s="1097" t="n">
        <v>8</v>
      </c>
      <c r="N626" s="785">
        <f>(G626+I626)*(9.25%)</f>
        <v/>
      </c>
      <c r="O626" s="904" t="n">
        <v>68</v>
      </c>
      <c r="P626" s="1016">
        <f>(F626 - (G626+I626+O626+(J626+K626+L626))) - (H626-M626-N626)</f>
        <v/>
      </c>
      <c r="Q626" s="462">
        <f>P626/F626</f>
        <v/>
      </c>
      <c r="R626" s="1206" t="n"/>
      <c r="S626" s="904" t="n"/>
      <c r="T626" s="569" t="n"/>
      <c r="U626" s="1030" t="n"/>
      <c r="V626" s="1030" t="n"/>
      <c r="W626" s="1030" t="n"/>
    </row>
    <row r="627" ht="15.75" customHeight="1" s="1349">
      <c r="A627" s="1292" t="n"/>
      <c r="B627" s="904" t="n">
        <v>4598224673</v>
      </c>
      <c r="C627" s="904" t="inlineStr">
        <is>
          <t>ÂNCORA</t>
        </is>
      </c>
      <c r="D627" s="842" t="inlineStr">
        <is>
          <t>KIT 5 CHUMBADOR PARABOLT CBA 3/8 X 2.1/2 AÇO FIXAÇÃO</t>
        </is>
      </c>
      <c r="E627" s="904" t="n">
        <v>60.3</v>
      </c>
      <c r="F627" s="856" t="n">
        <v>22.2</v>
      </c>
      <c r="G627" s="1016">
        <f>F627*17%</f>
        <v/>
      </c>
      <c r="H627" s="833" t="n"/>
      <c r="I627" s="904" t="n">
        <v>7</v>
      </c>
      <c r="J627" s="340">
        <f>F627*18%</f>
        <v/>
      </c>
      <c r="K627" s="340">
        <f>(F627-J627)*1.65%</f>
        <v/>
      </c>
      <c r="L627" s="340">
        <f>(F627-J627)*7.6%</f>
        <v/>
      </c>
      <c r="M627" s="1097" t="n">
        <v>0.75</v>
      </c>
      <c r="N627" s="785">
        <f>(G627+I627)*(9.25%)</f>
        <v/>
      </c>
      <c r="O627" s="904" t="n">
        <v>6.05</v>
      </c>
      <c r="P627" s="1016">
        <f>(F627 - (G627+I627+O627+(J627+K627+L627))) - (H627-M627-N627)</f>
        <v/>
      </c>
      <c r="Q627" s="462">
        <f>P627/F627</f>
        <v/>
      </c>
      <c r="R627" s="1206" t="n"/>
      <c r="S627" s="904" t="n"/>
      <c r="T627" s="569" t="n"/>
      <c r="U627" s="1030" t="n"/>
      <c r="V627" s="1030" t="n"/>
      <c r="W627" s="1030" t="n"/>
    </row>
    <row r="628" ht="15.75" customHeight="1" s="1349">
      <c r="A628" s="1292" t="n"/>
      <c r="B628" s="904" t="n"/>
      <c r="C628" s="904" t="n"/>
      <c r="D628" s="1096" t="n"/>
      <c r="E628" s="904" t="n"/>
      <c r="F628" s="856" t="n"/>
      <c r="G628" s="1016">
        <f>F628*17%</f>
        <v/>
      </c>
      <c r="H628" s="833" t="n"/>
      <c r="I628" s="904" t="n"/>
      <c r="J628" s="340">
        <f>F628*18%</f>
        <v/>
      </c>
      <c r="K628" s="340">
        <f>(F628-J628)*1.65%</f>
        <v/>
      </c>
      <c r="L628" s="340">
        <f>(F628-J628)*7.6%</f>
        <v/>
      </c>
      <c r="M628" s="1097" t="n"/>
      <c r="N628" s="785">
        <f>(G628+I628)*(9.25%)</f>
        <v/>
      </c>
      <c r="O628" s="904" t="n">
        <v>11.25</v>
      </c>
      <c r="P628" s="1016">
        <f>(F628 - (G628+I628+O628+(J628+K628+L628))) - (H628-M628-N628)</f>
        <v/>
      </c>
      <c r="Q628" s="462">
        <f>P628/F628</f>
        <v/>
      </c>
      <c r="R628" s="1206" t="n"/>
      <c r="S628" s="904" t="n"/>
      <c r="T628" s="569" t="n"/>
      <c r="U628" s="1030" t="n"/>
      <c r="V628" s="1030" t="n"/>
      <c r="W628" s="1030" t="n"/>
    </row>
    <row r="629" ht="15.75" customHeight="1" s="1349">
      <c r="A629" s="1292" t="n"/>
      <c r="B629" s="904" t="n">
        <v>10034034168398</v>
      </c>
      <c r="C629" s="904" t="inlineStr">
        <is>
          <t>ÂNCORA</t>
        </is>
      </c>
      <c r="D629" s="842" t="inlineStr">
        <is>
          <t xml:space="preserve">KIT 5 CHUMBADOR PARABOLT CBA 3/8 X 3.1/2 AÇO FIXAÇÃO </t>
        </is>
      </c>
      <c r="E629" s="904" t="n">
        <v>42</v>
      </c>
      <c r="F629" s="856" t="n">
        <v>27.1</v>
      </c>
      <c r="G629" s="1016">
        <f>F629*17%</f>
        <v/>
      </c>
      <c r="H629" s="833" t="n"/>
      <c r="I629" s="904" t="n">
        <v>7</v>
      </c>
      <c r="J629" s="340">
        <f>F629*18%</f>
        <v/>
      </c>
      <c r="K629" s="340">
        <f>(F629-J629)*1.65%</f>
        <v/>
      </c>
      <c r="L629" s="340">
        <f>(F629-J629)*7.6%</f>
        <v/>
      </c>
      <c r="M629" s="1097" t="n">
        <v>1.05</v>
      </c>
      <c r="N629" s="785">
        <f>(G629+I629)*(9.25%)</f>
        <v/>
      </c>
      <c r="O629" s="904" t="n">
        <v>8.800000000000001</v>
      </c>
      <c r="P629" s="1016">
        <f>(F629 - (G629+I629+O629+(J629+K629+L629))) - (H629-M629-N629)</f>
        <v/>
      </c>
      <c r="Q629" s="462">
        <f>P629/F629</f>
        <v/>
      </c>
      <c r="R629" s="1206" t="n"/>
      <c r="S629" s="904" t="n"/>
      <c r="T629" s="569" t="n"/>
      <c r="U629" s="1030" t="n"/>
      <c r="V629" s="1030" t="n"/>
      <c r="W629" s="1030" t="n"/>
    </row>
    <row r="630" ht="15.75" customHeight="1" s="1349">
      <c r="A630" s="1292" t="inlineStr">
        <is>
          <t>6624124132</t>
        </is>
      </c>
      <c r="B630" s="904" t="n">
        <v>10034034168401</v>
      </c>
      <c r="C630" s="904" t="inlineStr">
        <is>
          <t>ÂNCORA</t>
        </is>
      </c>
      <c r="D630" s="636" t="inlineStr">
        <is>
          <t>Kit 10 Chumbador Parabolt 3/8 X 3.1/2 Aço Zincado</t>
        </is>
      </c>
      <c r="E630" s="904" t="n">
        <v>78.98999999999999</v>
      </c>
      <c r="F630" s="856" t="n">
        <v>43.9</v>
      </c>
      <c r="G630" s="1016">
        <f>F630*17%</f>
        <v/>
      </c>
      <c r="H630" s="833" t="n"/>
      <c r="I630" s="904" t="n">
        <v>7.95</v>
      </c>
      <c r="J630" s="340">
        <f>F630*18%</f>
        <v/>
      </c>
      <c r="K630" s="340">
        <f>(F630-J630)*1.65%</f>
        <v/>
      </c>
      <c r="L630" s="340">
        <f>(F630-J630)*7.6%</f>
        <v/>
      </c>
      <c r="M630" s="1097" t="n">
        <v>2.1</v>
      </c>
      <c r="N630" s="785">
        <f>(G630+I630)*(9.25%)</f>
        <v/>
      </c>
      <c r="O630" s="904" t="n">
        <v>17.6</v>
      </c>
      <c r="P630" s="1016">
        <f>(F630 - (G630+I630+O630+(J630+K630+L630))) - (H630-M630-N630)</f>
        <v/>
      </c>
      <c r="Q630" s="462">
        <f>P630/F630</f>
        <v/>
      </c>
      <c r="R630" s="1206" t="inlineStr">
        <is>
          <t>Ativo</t>
        </is>
      </c>
      <c r="S630" s="904" t="n"/>
      <c r="T630" s="569" t="n"/>
      <c r="U630" s="1030" t="n"/>
      <c r="V630" s="1030" t="n"/>
      <c r="W630" s="1030" t="n"/>
    </row>
    <row r="631" ht="15.75" customHeight="1" s="1349">
      <c r="A631" s="1292" t="n"/>
      <c r="B631" s="904" t="n"/>
      <c r="C631" s="904" t="n"/>
      <c r="D631" s="1300" t="inlineStr">
        <is>
          <t xml:space="preserve">KIT 5 CHUMBADOR PARABOLT CBA 1/2 X 3 AÇO FIXAÇÃO </t>
        </is>
      </c>
      <c r="E631" s="904" t="n">
        <v>50.3</v>
      </c>
      <c r="F631" s="856" t="n">
        <v>39.2</v>
      </c>
      <c r="G631" s="1016">
        <f>F631*17%</f>
        <v/>
      </c>
      <c r="H631" s="833" t="n"/>
      <c r="I631" s="904" t="n">
        <v>7</v>
      </c>
      <c r="J631" s="340">
        <f>F631*18%</f>
        <v/>
      </c>
      <c r="K631" s="340">
        <f>(F631-J631)*1.65%</f>
        <v/>
      </c>
      <c r="L631" s="340">
        <f>(F631-J631)*7.6%</f>
        <v/>
      </c>
      <c r="M631" s="1097" t="n">
        <v>1.85</v>
      </c>
      <c r="N631" s="785">
        <f>(G631+I631)*(9.25%)</f>
        <v/>
      </c>
      <c r="O631" s="904" t="n">
        <v>15.15</v>
      </c>
      <c r="P631" s="1016">
        <f>(F631 - (G631+I631+O631+(J631+K631+L631))) - (H631-M631-N631)</f>
        <v/>
      </c>
      <c r="Q631" s="462">
        <f>P631/F631</f>
        <v/>
      </c>
      <c r="R631" s="1206" t="n"/>
      <c r="S631" s="904" t="n"/>
      <c r="T631" s="569" t="n"/>
      <c r="U631" s="1030" t="n"/>
      <c r="V631" s="1030" t="n"/>
      <c r="W631" s="1030" t="n"/>
    </row>
    <row r="632" ht="15.75" customHeight="1" s="1349">
      <c r="A632" s="1292" t="n"/>
      <c r="B632" s="904" t="n"/>
      <c r="C632" s="904" t="n"/>
      <c r="D632" s="1300" t="inlineStr">
        <is>
          <t xml:space="preserve">KIT 10 CHUMBADOR PARABOLT CBA 1/2 X 3 AÇO FIXAÇÃO </t>
        </is>
      </c>
      <c r="E632" s="904" t="n">
        <v>90</v>
      </c>
      <c r="F632" s="856" t="n">
        <v>62.3</v>
      </c>
      <c r="G632" s="1016">
        <f>F632*17%</f>
        <v/>
      </c>
      <c r="H632" s="833" t="n"/>
      <c r="I632" s="904" t="n">
        <v>7</v>
      </c>
      <c r="J632" s="340">
        <f>F632*18%</f>
        <v/>
      </c>
      <c r="K632" s="340">
        <f>(F632-J632)*1.65%</f>
        <v/>
      </c>
      <c r="L632" s="340">
        <f>(F632-J632)*7.6%</f>
        <v/>
      </c>
      <c r="M632" s="1097" t="n">
        <v>3.7</v>
      </c>
      <c r="N632" s="785">
        <f>(G632+I632)*(9.25%)</f>
        <v/>
      </c>
      <c r="O632" s="904" t="n">
        <v>30.3</v>
      </c>
      <c r="P632" s="1016">
        <f>(F632 - (G632+I632+O632+(J632+K632+L632))) - (H632-M632-N632)</f>
        <v/>
      </c>
      <c r="Q632" s="462">
        <f>P632/F632</f>
        <v/>
      </c>
      <c r="R632" s="1206" t="n"/>
      <c r="S632" s="904" t="n"/>
      <c r="T632" s="569" t="n"/>
      <c r="U632" s="1030" t="n"/>
      <c r="V632" s="1030" t="n"/>
      <c r="W632" s="1030" t="n"/>
    </row>
    <row r="633" ht="15.75" customHeight="1" s="1349">
      <c r="A633" s="1292" t="n"/>
      <c r="B633" s="904" t="n"/>
      <c r="C633" s="904" t="n"/>
      <c r="D633" s="1300" t="inlineStr">
        <is>
          <t xml:space="preserve">KIT 50 CHUMBADOR PARABOLT CBA 1/2 X 3 AÇO FIXAÇÃO </t>
        </is>
      </c>
      <c r="E633" s="904" t="n">
        <v>320</v>
      </c>
      <c r="F633" s="856" t="n">
        <v>259</v>
      </c>
      <c r="G633" s="1016">
        <f>F633*17%</f>
        <v/>
      </c>
      <c r="H633" s="833" t="n"/>
      <c r="I633" s="904" t="n">
        <v>7</v>
      </c>
      <c r="J633" s="340">
        <f>F633*18%</f>
        <v/>
      </c>
      <c r="K633" s="340">
        <f>(F633-J633)*1.65%</f>
        <v/>
      </c>
      <c r="L633" s="340">
        <f>(F633-J633)*7.6%</f>
        <v/>
      </c>
      <c r="M633" s="1097" t="n">
        <v>18.5</v>
      </c>
      <c r="N633" s="785">
        <f>(G633+I633)*(9.25%)</f>
        <v/>
      </c>
      <c r="O633" s="904" t="n">
        <v>151.5</v>
      </c>
      <c r="P633" s="1016">
        <f>(F633 - (G633+I633+O633+(J633+K633+L633))) - (H633-M633-N633)</f>
        <v/>
      </c>
      <c r="Q633" s="462">
        <f>P633/F633</f>
        <v/>
      </c>
      <c r="R633" s="1206" t="n"/>
      <c r="S633" s="904" t="n"/>
      <c r="T633" s="569" t="n"/>
      <c r="U633" s="1030" t="n"/>
      <c r="V633" s="1030" t="n"/>
      <c r="W633" s="1030" t="n"/>
    </row>
    <row r="634" ht="15.75" customHeight="1" s="1349">
      <c r="A634" s="1292" t="n"/>
      <c r="B634" s="904" t="n"/>
      <c r="C634" s="904" t="n"/>
      <c r="D634" s="1096" t="inlineStr">
        <is>
          <t xml:space="preserve">KIT 5 CHUMBADOR PARABOLT CBA 1/2 X 4.1/2 AÇO FIXAÇÃO </t>
        </is>
      </c>
      <c r="E634" s="904" t="n">
        <v>78.98999999999999</v>
      </c>
      <c r="F634" s="856" t="n">
        <v>53.2</v>
      </c>
      <c r="G634" s="1016">
        <f>F634*17%</f>
        <v/>
      </c>
      <c r="H634" s="833" t="n"/>
      <c r="I634" s="904" t="n">
        <v>7</v>
      </c>
      <c r="J634" s="340">
        <f>F634*18%</f>
        <v/>
      </c>
      <c r="K634" s="340">
        <f>(F634-J634)*1.65%</f>
        <v/>
      </c>
      <c r="L634" s="340">
        <f>(F634-J634)*7.6%</f>
        <v/>
      </c>
      <c r="M634" s="1097" t="n">
        <v>2.75</v>
      </c>
      <c r="N634" s="785">
        <f>(G634+I634)*(9.25%)</f>
        <v/>
      </c>
      <c r="O634" s="904" t="n">
        <v>22.95</v>
      </c>
      <c r="P634" s="1016">
        <f>(F634 - (G634+I634+O634+(J634+K634+L634))) - (H634-M634-N634)</f>
        <v/>
      </c>
      <c r="Q634" s="462">
        <f>P634/F634</f>
        <v/>
      </c>
      <c r="R634" s="1206" t="n"/>
      <c r="S634" s="904" t="n"/>
      <c r="T634" s="569" t="n"/>
      <c r="U634" s="1030" t="n"/>
      <c r="V634" s="1030" t="n"/>
      <c r="W634" s="1030" t="n"/>
    </row>
    <row r="635" ht="15.75" customHeight="1" s="1349">
      <c r="A635" s="1292" t="n"/>
      <c r="B635" s="904" t="n"/>
      <c r="C635" s="904" t="n"/>
      <c r="D635" s="1096" t="inlineStr">
        <is>
          <t xml:space="preserve">KIT 10 CHUMBADOR PARABOLT CBA 1/2 X 4.1/2 AÇO FIXAÇÃO </t>
        </is>
      </c>
      <c r="E635" s="904" t="n">
        <v>120</v>
      </c>
      <c r="F635" s="856" t="n">
        <v>84.2</v>
      </c>
      <c r="G635" s="1016">
        <f>F635*17%</f>
        <v/>
      </c>
      <c r="H635" s="833" t="n"/>
      <c r="I635" s="904" t="n">
        <v>7</v>
      </c>
      <c r="J635" s="340">
        <f>F635*18%</f>
        <v/>
      </c>
      <c r="K635" s="340">
        <f>(F635-J635)*1.65%</f>
        <v/>
      </c>
      <c r="L635" s="340">
        <f>(F635-J635)*7.6%</f>
        <v/>
      </c>
      <c r="M635" s="1097" t="n">
        <v>5.5</v>
      </c>
      <c r="N635" s="785">
        <f>(G635+I635)*(9.25%)</f>
        <v/>
      </c>
      <c r="O635" s="904" t="n">
        <v>45.9</v>
      </c>
      <c r="P635" s="1016">
        <f>(F635 - (G635+I635+O635+(J635+K635+L635))) - (H635-M635-N635)</f>
        <v/>
      </c>
      <c r="Q635" s="462">
        <f>P635/F635</f>
        <v/>
      </c>
      <c r="R635" s="1206" t="n"/>
      <c r="S635" s="904" t="n"/>
      <c r="T635" s="569" t="n"/>
      <c r="U635" s="1030" t="n"/>
      <c r="V635" s="1030" t="n"/>
      <c r="W635" s="1030" t="n"/>
    </row>
    <row r="636" ht="15.75" customHeight="1" s="1349">
      <c r="A636" s="1292" t="n"/>
      <c r="B636" s="904" t="n"/>
      <c r="C636" s="904" t="n"/>
      <c r="D636" s="1096" t="inlineStr">
        <is>
          <t xml:space="preserve">KIT 50 CHUMBADOR PARABOLT CBA 1/2 X 4.1/2 AÇO FIXAÇÃO </t>
        </is>
      </c>
      <c r="E636" s="904" t="n">
        <v>460</v>
      </c>
      <c r="F636" s="856" t="n">
        <v>389.9</v>
      </c>
      <c r="G636" s="1016">
        <f>F636*17%</f>
        <v/>
      </c>
      <c r="H636" s="833" t="n"/>
      <c r="I636" s="904" t="n">
        <v>7</v>
      </c>
      <c r="J636" s="340">
        <f>F636*18%</f>
        <v/>
      </c>
      <c r="K636" s="340">
        <f>(F636-J636)*1.65%</f>
        <v/>
      </c>
      <c r="L636" s="340">
        <f>(F636-J636)*7.6%</f>
        <v/>
      </c>
      <c r="M636" s="1097" t="n">
        <v>27.5</v>
      </c>
      <c r="N636" s="785">
        <f>(G636+I636)*(9.25%)</f>
        <v/>
      </c>
      <c r="O636" s="904" t="n">
        <v>229.5</v>
      </c>
      <c r="P636" s="1016">
        <f>(F636 - (G636+I636+O636+(J636+K636+L636))) - (H636-M636-N636)</f>
        <v/>
      </c>
      <c r="Q636" s="462">
        <f>P636/F636</f>
        <v/>
      </c>
      <c r="R636" s="1206" t="n"/>
      <c r="S636" s="904" t="n"/>
      <c r="T636" s="569" t="n"/>
      <c r="U636" s="1030" t="n"/>
      <c r="V636" s="1030" t="n"/>
      <c r="W636" s="1030" t="n"/>
    </row>
    <row r="637" ht="15.75" customHeight="1" s="1349">
      <c r="A637" s="1292" t="n"/>
      <c r="B637" s="904" t="n"/>
      <c r="C637" s="904" t="n"/>
      <c r="D637" s="1300" t="inlineStr">
        <is>
          <t xml:space="preserve">KIT 5 CHUMBADOR PARABOLT CBA 1/4 X 65 AÇO FIXAÇÃO </t>
        </is>
      </c>
      <c r="E637" s="904" t="n">
        <v>46</v>
      </c>
      <c r="F637" s="856" t="n">
        <v>19</v>
      </c>
      <c r="G637" s="1016">
        <f>F637*17%</f>
        <v/>
      </c>
      <c r="H637" s="833" t="n"/>
      <c r="I637" s="904" t="n">
        <v>7</v>
      </c>
      <c r="J637" s="340">
        <f>F637*18%</f>
        <v/>
      </c>
      <c r="K637" s="340">
        <f>(F637-J637)*1.65%</f>
        <v/>
      </c>
      <c r="L637" s="340">
        <f>(F637-J637)*7.6%</f>
        <v/>
      </c>
      <c r="M637" s="1097" t="n">
        <v>0.45</v>
      </c>
      <c r="N637" s="785">
        <f>(G637+I637)*(9.25%)</f>
        <v/>
      </c>
      <c r="O637" s="904" t="n">
        <v>3.6</v>
      </c>
      <c r="P637" s="1016">
        <f>(F637 - (G637+I637+O637+(J637+K637+L637))) - (H637-M637-N637)</f>
        <v/>
      </c>
      <c r="Q637" s="462">
        <f>P637/F637</f>
        <v/>
      </c>
      <c r="R637" s="1206" t="n"/>
      <c r="S637" s="904" t="n"/>
      <c r="T637" s="569" t="n"/>
      <c r="U637" s="1030" t="n"/>
      <c r="V637" s="1030" t="n"/>
      <c r="W637" s="1030" t="n"/>
    </row>
    <row r="638" ht="15.75" customHeight="1" s="1349">
      <c r="A638" s="1292" t="n"/>
      <c r="B638" s="904" t="n"/>
      <c r="C638" s="904" t="n"/>
      <c r="D638" s="1300" t="inlineStr">
        <is>
          <t xml:space="preserve">KIT 10 CHUMBADOR PARABOLT CBA 1/4 X 65 AÇO FIXAÇÃO </t>
        </is>
      </c>
      <c r="E638" s="904" t="n">
        <v>50</v>
      </c>
      <c r="F638" s="856" t="n">
        <v>24.89</v>
      </c>
      <c r="G638" s="1016">
        <f>F638*17%</f>
        <v/>
      </c>
      <c r="H638" s="833" t="n"/>
      <c r="I638" s="904" t="n">
        <v>7</v>
      </c>
      <c r="J638" s="340">
        <f>F638*18%</f>
        <v/>
      </c>
      <c r="K638" s="340">
        <f>(F638-J638)*1.65%</f>
        <v/>
      </c>
      <c r="L638" s="340">
        <f>(F638-J638)*7.6%</f>
        <v/>
      </c>
      <c r="M638" s="1097" t="n">
        <v>0.9</v>
      </c>
      <c r="N638" s="785">
        <f>(G638+I638)*(9.25%)</f>
        <v/>
      </c>
      <c r="O638" s="904" t="n">
        <v>7.2</v>
      </c>
      <c r="P638" s="1016">
        <f>(F638 - (G638+I638+O638+(J638+K638+L638))) - (H638-M638-N638)</f>
        <v/>
      </c>
      <c r="Q638" s="462">
        <f>P638/F638</f>
        <v/>
      </c>
      <c r="R638" s="1206" t="n"/>
      <c r="S638" s="904" t="n"/>
      <c r="T638" s="569" t="n"/>
      <c r="U638" s="1030" t="n"/>
      <c r="V638" s="1030" t="n"/>
      <c r="W638" s="1030" t="n"/>
    </row>
    <row r="639" ht="15.75" customHeight="1" s="1349">
      <c r="A639" s="1292" t="n"/>
      <c r="B639" s="904" t="n"/>
      <c r="C639" s="904" t="n"/>
      <c r="D639" s="1300" t="inlineStr">
        <is>
          <t xml:space="preserve">KIT 50 HUMBADOR PARABOLT CBA 1/4 X 65 AÇO FIXAÇÃO </t>
        </is>
      </c>
      <c r="E639" s="904" t="n">
        <v>120</v>
      </c>
      <c r="F639" s="856" t="n">
        <v>78.2</v>
      </c>
      <c r="G639" s="1016">
        <f>F639*17%</f>
        <v/>
      </c>
      <c r="H639" s="833" t="n"/>
      <c r="I639" s="904" t="n">
        <v>7</v>
      </c>
      <c r="J639" s="340">
        <f>F639*18%</f>
        <v/>
      </c>
      <c r="K639" s="340">
        <f>(F639-J639)*1.65%</f>
        <v/>
      </c>
      <c r="L639" s="340">
        <f>(F639-J639)*7.6%</f>
        <v/>
      </c>
      <c r="M639" s="1097" t="n">
        <v>4.5</v>
      </c>
      <c r="N639" s="785">
        <f>(G639+I639)*(9.25%)</f>
        <v/>
      </c>
      <c r="O639" s="904" t="n">
        <v>36</v>
      </c>
      <c r="P639" s="1016">
        <f>(F639 - (G639+I639+O639+(J639+K639+L639))) - (H639-M639-N639)</f>
        <v/>
      </c>
      <c r="Q639" s="462">
        <f>P639/F639</f>
        <v/>
      </c>
      <c r="R639" s="1206" t="n"/>
      <c r="S639" s="904" t="n"/>
      <c r="T639" s="569" t="n"/>
      <c r="U639" s="1030" t="n"/>
      <c r="V639" s="1030" t="n"/>
      <c r="W639" s="1030" t="n"/>
    </row>
    <row r="640" ht="15.75" customHeight="1" s="1349">
      <c r="A640" s="1292" t="n"/>
      <c r="B640" s="904" t="n"/>
      <c r="C640" s="904" t="n"/>
      <c r="D640" s="1096" t="inlineStr">
        <is>
          <t xml:space="preserve">KIT 5 CHUMBADOR PARABOLT CBA 5/16 X 75 AÇO FIXAÇÃO </t>
        </is>
      </c>
      <c r="E640" s="904" t="n">
        <v>42.6</v>
      </c>
      <c r="F640" s="856" t="n">
        <v>20.89</v>
      </c>
      <c r="G640" s="1016">
        <f>F640*17%</f>
        <v/>
      </c>
      <c r="H640" s="833" t="n"/>
      <c r="I640" s="904" t="n">
        <v>7</v>
      </c>
      <c r="J640" s="340">
        <f>F640*18%</f>
        <v/>
      </c>
      <c r="K640" s="340">
        <f>(F640-J640)*1.65%</f>
        <v/>
      </c>
      <c r="L640" s="340">
        <f>(F640-J640)*7.6%</f>
        <v/>
      </c>
      <c r="M640" s="1097" t="n">
        <v>0.65</v>
      </c>
      <c r="N640" s="785">
        <f>(G640+I640)*(9.25%)</f>
        <v/>
      </c>
      <c r="O640" s="904" t="n">
        <v>5.35</v>
      </c>
      <c r="P640" s="1016">
        <f>(F640 - (G640+I640+O640+(J640+K640+L640))) - (H640-M640-N640)</f>
        <v/>
      </c>
      <c r="Q640" s="462">
        <f>P640/F640</f>
        <v/>
      </c>
      <c r="R640" s="1206" t="n"/>
      <c r="S640" s="904" t="n"/>
      <c r="T640" s="569" t="n"/>
      <c r="U640" s="1030" t="n"/>
      <c r="V640" s="1030" t="n"/>
      <c r="W640" s="1030" t="n"/>
    </row>
    <row r="641" ht="15.75" customHeight="1" s="1349">
      <c r="A641" s="1292" t="n"/>
      <c r="B641" s="904" t="n"/>
      <c r="C641" s="904" t="n"/>
      <c r="D641" s="1096" t="inlineStr">
        <is>
          <t xml:space="preserve">KIT 10 CHUMBADOR PARABOLT CBA 5/16 X 75 AÇO FIXAÇÃO </t>
        </is>
      </c>
      <c r="E641" s="904" t="n">
        <v>60</v>
      </c>
      <c r="F641" s="856" t="n">
        <v>31.89</v>
      </c>
      <c r="G641" s="1016">
        <f>F641*17%</f>
        <v/>
      </c>
      <c r="H641" s="833" t="n"/>
      <c r="I641" s="904" t="n">
        <v>7</v>
      </c>
      <c r="J641" s="340">
        <f>F641*18%</f>
        <v/>
      </c>
      <c r="K641" s="340">
        <f>(F641-J641)*1.65%</f>
        <v/>
      </c>
      <c r="L641" s="340">
        <f>(F641-J641)*7.6%</f>
        <v/>
      </c>
      <c r="M641" s="1097" t="n">
        <v>1.3</v>
      </c>
      <c r="N641" s="785">
        <f>(G641+I641)*(9.25%)</f>
        <v/>
      </c>
      <c r="O641" s="904" t="n">
        <v>10.7</v>
      </c>
      <c r="P641" s="1016">
        <f>(F641 - (G641+I641+O641+(J641+K641+L641))) - (H641-M641-N641)</f>
        <v/>
      </c>
      <c r="Q641" s="462">
        <f>P641/F641</f>
        <v/>
      </c>
      <c r="R641" s="1206" t="n"/>
      <c r="S641" s="904" t="n"/>
      <c r="T641" s="569" t="n"/>
      <c r="U641" s="1030" t="n"/>
      <c r="V641" s="1030" t="n"/>
      <c r="W641" s="1030" t="n"/>
    </row>
    <row r="642" ht="15.75" customHeight="1" s="1349">
      <c r="A642" s="1292" t="n"/>
      <c r="B642" s="904" t="n"/>
      <c r="C642" s="904" t="n"/>
      <c r="D642" s="1096" t="inlineStr">
        <is>
          <t xml:space="preserve">KIT 50 CHUMBADOR PARABOLT CBA 5/16 X 75 AÇO FIXAÇÃO </t>
        </is>
      </c>
      <c r="E642" s="904" t="n">
        <v>150</v>
      </c>
      <c r="F642" s="856" t="n">
        <v>108.2</v>
      </c>
      <c r="G642" s="1016">
        <f>F642*17%</f>
        <v/>
      </c>
      <c r="H642" s="833" t="n"/>
      <c r="I642" s="904" t="n">
        <v>7</v>
      </c>
      <c r="J642" s="340">
        <f>F642*18%</f>
        <v/>
      </c>
      <c r="K642" s="340">
        <f>(F642-J642)*1.65%</f>
        <v/>
      </c>
      <c r="L642" s="340">
        <f>(F642-J642)*7.6%</f>
        <v/>
      </c>
      <c r="M642" s="1097" t="n">
        <v>6.5</v>
      </c>
      <c r="N642" s="785">
        <f>(G642+I642)*(9.25%)</f>
        <v/>
      </c>
      <c r="O642" s="904" t="n">
        <v>53.5</v>
      </c>
      <c r="P642" s="1016">
        <f>(F642 - (G642+I642+O642+(J642+K642+L642))) - (H642-M642-N642)</f>
        <v/>
      </c>
      <c r="Q642" s="462">
        <f>P642/F642</f>
        <v/>
      </c>
      <c r="R642" s="1206" t="n"/>
      <c r="S642" s="904" t="n"/>
      <c r="T642" s="569" t="n"/>
      <c r="U642" s="1030" t="n"/>
      <c r="V642" s="1030" t="n"/>
      <c r="W642" s="1030" t="n"/>
    </row>
    <row r="643" ht="15.75" customHeight="1" s="1349">
      <c r="A643" s="1292" t="n"/>
      <c r="B643" s="904" t="n"/>
      <c r="C643" s="904" t="n"/>
      <c r="D643" s="1300" t="inlineStr">
        <is>
          <t xml:space="preserve">KIT 5 CHUMBADOR PARABOLT CBA 5/16 X 100 AÇO FIXAÇÃO </t>
        </is>
      </c>
      <c r="E643" s="904" t="n">
        <v>45</v>
      </c>
      <c r="F643" s="856" t="n">
        <v>25.2</v>
      </c>
      <c r="G643" s="1016">
        <f>F643*17%</f>
        <v/>
      </c>
      <c r="H643" s="833" t="n"/>
      <c r="I643" s="904" t="n">
        <v>7</v>
      </c>
      <c r="J643" s="340">
        <f>F643*18%</f>
        <v/>
      </c>
      <c r="K643" s="340">
        <f>(F643-J643)*1.65%</f>
        <v/>
      </c>
      <c r="L643" s="340">
        <f>(F643-J643)*7.6%</f>
        <v/>
      </c>
      <c r="M643" s="1097" t="n">
        <v>0.85</v>
      </c>
      <c r="N643" s="785">
        <f>(G643+I643)*(9.25%)</f>
        <v/>
      </c>
      <c r="O643" s="904" t="n">
        <v>7.5</v>
      </c>
      <c r="P643" s="1016">
        <f>(F643 - (G643+I643+O643+(J643+K643+L643))) - (H643-M643-N643)</f>
        <v/>
      </c>
      <c r="Q643" s="462">
        <f>P643/F643</f>
        <v/>
      </c>
      <c r="R643" s="1206" t="n"/>
      <c r="S643" s="904" t="n"/>
      <c r="T643" s="569" t="n"/>
      <c r="U643" s="1030" t="n"/>
      <c r="V643" s="1030" t="n"/>
      <c r="W643" s="1030" t="n"/>
    </row>
    <row r="644" ht="15.75" customHeight="1" s="1349">
      <c r="A644" s="1292" t="n"/>
      <c r="B644" s="904" t="n"/>
      <c r="C644" s="904" t="n"/>
      <c r="D644" s="1300" t="inlineStr">
        <is>
          <t xml:space="preserve">KIT 10 CHUMBADOR PARABOLT CBA 5/16 X 100 AÇO FIXAÇÃO </t>
        </is>
      </c>
      <c r="E644" s="904" t="n">
        <v>62.3</v>
      </c>
      <c r="F644" s="856" t="n">
        <v>37.5</v>
      </c>
      <c r="G644" s="1016">
        <f>F644*17%</f>
        <v/>
      </c>
      <c r="H644" s="833" t="n"/>
      <c r="I644" s="904" t="n">
        <v>7</v>
      </c>
      <c r="J644" s="340">
        <f>F644*18%</f>
        <v/>
      </c>
      <c r="K644" s="340">
        <f>(F644-J644)*1.65%</f>
        <v/>
      </c>
      <c r="L644" s="340">
        <f>(F644-J644)*7.6%</f>
        <v/>
      </c>
      <c r="M644" s="1097" t="n">
        <v>1.7</v>
      </c>
      <c r="N644" s="785">
        <f>(G644+I644)*(9.25%)</f>
        <v/>
      </c>
      <c r="O644" s="904" t="n">
        <v>14.4</v>
      </c>
      <c r="P644" s="1016">
        <f>(F644 - (G644+I644+O644+(J644+K644+L644))) - (H644-M644-N644)</f>
        <v/>
      </c>
      <c r="Q644" s="462">
        <f>P644/F644</f>
        <v/>
      </c>
      <c r="R644" s="1206" t="n"/>
      <c r="S644" s="904" t="n"/>
      <c r="T644" s="569" t="n"/>
      <c r="U644" s="1030" t="n"/>
      <c r="V644" s="1030" t="n"/>
      <c r="W644" s="1030" t="n"/>
    </row>
    <row r="645" ht="15.75" customHeight="1" s="1349">
      <c r="A645" s="1292" t="n"/>
      <c r="B645" s="904" t="n"/>
      <c r="C645" s="904" t="n"/>
      <c r="D645" s="1300" t="inlineStr">
        <is>
          <t xml:space="preserve">KIT 50 CHUMBADOR PARABOLT CBA 5/16 X 100 AÇO FIXAÇÃO </t>
        </is>
      </c>
      <c r="E645" s="904" t="n">
        <v>180.5</v>
      </c>
      <c r="F645" s="856" t="n">
        <v>142.6</v>
      </c>
      <c r="G645" s="1016">
        <f>F645*17%</f>
        <v/>
      </c>
      <c r="H645" s="833" t="n"/>
      <c r="I645" s="904" t="n">
        <v>7</v>
      </c>
      <c r="J645" s="340">
        <f>F645*18%</f>
        <v/>
      </c>
      <c r="K645" s="340">
        <f>(F645-J645)*1.65%</f>
        <v/>
      </c>
      <c r="L645" s="340">
        <f>(F645-J645)*7.6%</f>
        <v/>
      </c>
      <c r="M645" s="1097" t="n">
        <v>8.5</v>
      </c>
      <c r="N645" s="785">
        <f>(G645+I645)*(9.25%)</f>
        <v/>
      </c>
      <c r="O645" s="904" t="n">
        <v>72</v>
      </c>
      <c r="P645" s="1016">
        <f>(F645 - (G645+I645+O645+(J645+K645+L645))) - (H645-M645-N645)</f>
        <v/>
      </c>
      <c r="Q645" s="462">
        <f>P645/F645</f>
        <v/>
      </c>
      <c r="R645" s="1206" t="n"/>
      <c r="S645" s="904" t="n"/>
      <c r="T645" s="569" t="n"/>
      <c r="U645" s="1030" t="n"/>
      <c r="V645" s="1030" t="n"/>
      <c r="W645" s="1030" t="n"/>
    </row>
    <row r="646" ht="15.75" customHeight="1" s="1349">
      <c r="A646" s="1292" t="n"/>
      <c r="B646" s="904" t="n"/>
      <c r="C646" s="904" t="n"/>
      <c r="D646" s="1096" t="inlineStr">
        <is>
          <t>KIT 5 CHUMBADOR PARABOLT CBA 3/8 X 80 AÇO FIXAÇÃO</t>
        </is>
      </c>
      <c r="E646" s="904" t="n">
        <v>42</v>
      </c>
      <c r="F646" s="856" t="n">
        <v>23.2</v>
      </c>
      <c r="G646" s="1016">
        <f>F646*17%</f>
        <v/>
      </c>
      <c r="H646" s="833" t="n"/>
      <c r="I646" s="904" t="n">
        <v>7</v>
      </c>
      <c r="J646" s="340">
        <f>F646*18%</f>
        <v/>
      </c>
      <c r="K646" s="340">
        <f>(F646-J646)*1.65%</f>
        <v/>
      </c>
      <c r="L646" s="340">
        <f>(F646-J646)*7.6%</f>
        <v/>
      </c>
      <c r="M646" s="1097" t="n">
        <v>0.8</v>
      </c>
      <c r="N646" s="785">
        <f>(G646+I646)*(9.25%)</f>
        <v/>
      </c>
      <c r="O646" s="904" t="n">
        <v>6.55</v>
      </c>
      <c r="P646" s="1016">
        <f>(F646 - (G646+I646+O646+(J646+K646+L646))) - (H646-M646-N646)</f>
        <v/>
      </c>
      <c r="Q646" s="462">
        <f>P646/F646</f>
        <v/>
      </c>
      <c r="R646" s="1206" t="n"/>
      <c r="S646" s="904" t="n"/>
      <c r="T646" s="569" t="n"/>
      <c r="U646" s="1030" t="n"/>
      <c r="V646" s="1030" t="n"/>
      <c r="W646" s="1030" t="n"/>
    </row>
    <row r="647" ht="15.75" customHeight="1" s="1349">
      <c r="A647" s="1292" t="n"/>
      <c r="B647" s="904" t="n"/>
      <c r="C647" s="904" t="n"/>
      <c r="D647" s="1096" t="inlineStr">
        <is>
          <t>KIT 10 CHUMBADOR PARABOLT CBA 3/8 X 80 AÇO FIXAÇÃO</t>
        </is>
      </c>
      <c r="E647" s="904" t="n">
        <v>78.98999999999999</v>
      </c>
      <c r="F647" s="856" t="n">
        <v>34.99</v>
      </c>
      <c r="G647" s="1016">
        <f>F647*17%</f>
        <v/>
      </c>
      <c r="H647" s="833" t="n"/>
      <c r="I647" s="904" t="n">
        <v>7</v>
      </c>
      <c r="J647" s="340">
        <f>F647*18%</f>
        <v/>
      </c>
      <c r="K647" s="340">
        <f>(F647-J647)*1.65%</f>
        <v/>
      </c>
      <c r="L647" s="340">
        <f>(F647-J647)*7.6%</f>
        <v/>
      </c>
      <c r="M647" s="1097" t="n">
        <v>1.6</v>
      </c>
      <c r="N647" s="785">
        <f>(G647+I647)*(9.25%)</f>
        <v/>
      </c>
      <c r="O647" s="904" t="n">
        <v>13.1</v>
      </c>
      <c r="P647" s="1016">
        <f>(F647 - (G647+I647+O647+(J647+K647+L647))) - (H647-M647-N647)</f>
        <v/>
      </c>
      <c r="Q647" s="462">
        <f>P647/F647</f>
        <v/>
      </c>
      <c r="R647" s="1206" t="n"/>
      <c r="S647" s="904" t="n"/>
      <c r="T647" s="569" t="n"/>
      <c r="U647" s="1030" t="n"/>
      <c r="V647" s="1030" t="n"/>
      <c r="W647" s="1030" t="n"/>
    </row>
    <row r="648" ht="15.75" customHeight="1" s="1349">
      <c r="A648" s="1292" t="n"/>
      <c r="B648" s="904" t="n"/>
      <c r="C648" s="904" t="n"/>
      <c r="D648" s="1096" t="inlineStr">
        <is>
          <t>KIT 50 CHUMBADOR PARABOLT CBA 3/8 X 80 AÇO FIXAÇÃO</t>
        </is>
      </c>
      <c r="E648" s="904" t="n">
        <v>160.2</v>
      </c>
      <c r="F648" s="856" t="n">
        <v>118</v>
      </c>
      <c r="G648" s="1016">
        <f>F648*17%</f>
        <v/>
      </c>
      <c r="H648" s="833" t="n"/>
      <c r="I648" s="904" t="n">
        <v>7</v>
      </c>
      <c r="J648" s="340">
        <f>F648*18%</f>
        <v/>
      </c>
      <c r="K648" s="340">
        <f>(F648-J648)*1.65%</f>
        <v/>
      </c>
      <c r="L648" s="340">
        <f>(F648-J648)*7.6%</f>
        <v/>
      </c>
      <c r="M648" s="1097" t="n">
        <v>8</v>
      </c>
      <c r="N648" s="785">
        <f>(G648+I648)*(9.25%)</f>
        <v/>
      </c>
      <c r="O648" s="904" t="n">
        <v>65.5</v>
      </c>
      <c r="P648" s="1016">
        <f>(F648 - (G648+I648+O648+(J648+K648+L648))) - (H648-M648-N648)</f>
        <v/>
      </c>
      <c r="Q648" s="462">
        <f>P648/F648</f>
        <v/>
      </c>
      <c r="R648" s="1206" t="n"/>
      <c r="S648" s="904" t="n"/>
      <c r="T648" s="569" t="n"/>
      <c r="U648" s="1030" t="n"/>
      <c r="V648" s="1030" t="n"/>
      <c r="W648" s="1030" t="n"/>
    </row>
    <row r="649" ht="15.75" customHeight="1" s="1349">
      <c r="A649" s="1292" t="n"/>
      <c r="B649" s="904" t="n"/>
      <c r="C649" s="904" t="n"/>
      <c r="D649" s="1300" t="inlineStr">
        <is>
          <t>KIT 5 CHUMBADOR PARABOLT CBA 3/8 X 110 AÇO FIXAÇÃO</t>
        </is>
      </c>
      <c r="E649" s="904" t="n">
        <v>46</v>
      </c>
      <c r="F649" s="856" t="n">
        <v>28.3</v>
      </c>
      <c r="G649" s="1016">
        <f>F649*17%</f>
        <v/>
      </c>
      <c r="H649" s="833" t="n"/>
      <c r="I649" s="904" t="n">
        <v>7</v>
      </c>
      <c r="J649" s="340">
        <f>F649*18%</f>
        <v/>
      </c>
      <c r="K649" s="340">
        <f>(F649-J649)*1.65%</f>
        <v/>
      </c>
      <c r="L649" s="340">
        <f>(F649-J649)*7.6%</f>
        <v/>
      </c>
      <c r="M649" s="1097" t="n">
        <v>1.1</v>
      </c>
      <c r="N649" s="785">
        <f>(G649+I649)*(9.25%)</f>
        <v/>
      </c>
      <c r="O649" s="904" t="n">
        <v>9.25</v>
      </c>
      <c r="P649" s="1016">
        <f>(F649 - (G649+I649+O649+(J649+K649+L649))) - (H649-M649-N649)</f>
        <v/>
      </c>
      <c r="Q649" s="462">
        <f>P649/F649</f>
        <v/>
      </c>
      <c r="R649" s="1206" t="n"/>
      <c r="S649" s="904" t="n"/>
      <c r="T649" s="569" t="n"/>
      <c r="U649" s="1030" t="n"/>
      <c r="V649" s="1030" t="n"/>
      <c r="W649" s="1030" t="n"/>
    </row>
    <row r="650" ht="15.75" customHeight="1" s="1349">
      <c r="A650" s="1292" t="n"/>
      <c r="B650" s="904" t="n"/>
      <c r="C650" s="904" t="n"/>
      <c r="D650" s="1300" t="inlineStr">
        <is>
          <t>KIT 10 CHUMBADOR PARABOLT CBA 3/8 X 110 AÇO FIXAÇÃO</t>
        </is>
      </c>
      <c r="E650" s="904" t="n">
        <v>90.5</v>
      </c>
      <c r="F650" s="856" t="n">
        <v>46</v>
      </c>
      <c r="G650" s="1016">
        <f>F650*17%</f>
        <v/>
      </c>
      <c r="H650" s="833" t="n"/>
      <c r="I650" s="904" t="n">
        <v>7</v>
      </c>
      <c r="J650" s="340">
        <f>F650*18%</f>
        <v/>
      </c>
      <c r="K650" s="340">
        <f>(F650-J650)*1.65%</f>
        <v/>
      </c>
      <c r="L650" s="340">
        <f>(F650-J650)*7.6%</f>
        <v/>
      </c>
      <c r="M650" s="1097" t="n">
        <v>2.2</v>
      </c>
      <c r="N650" s="785">
        <f>(G650+I650)*(9.25%)</f>
        <v/>
      </c>
      <c r="O650" s="904" t="n">
        <v>18.5</v>
      </c>
      <c r="P650" s="1016">
        <f>(F650 - (G650+I650+O650+(J650+K650+L650))) - (H650-M650-N650)</f>
        <v/>
      </c>
      <c r="Q650" s="462">
        <f>P650/F650</f>
        <v/>
      </c>
      <c r="R650" s="1206" t="n"/>
      <c r="S650" s="904" t="n"/>
      <c r="T650" s="569" t="n"/>
      <c r="U650" s="1030" t="n"/>
      <c r="V650" s="1030" t="n"/>
      <c r="W650" s="1030" t="n"/>
    </row>
    <row r="651" ht="15.75" customHeight="1" s="1349">
      <c r="A651" s="1292" t="n"/>
      <c r="B651" s="904" t="n"/>
      <c r="C651" s="904" t="n"/>
      <c r="D651" s="1300" t="inlineStr">
        <is>
          <t>KIT 50 CHUMBADOR PARABOLT CBA 3/8 X 110 AÇO FIXAÇÃO</t>
        </is>
      </c>
      <c r="E651" s="904" t="n">
        <v>210</v>
      </c>
      <c r="F651" s="856" t="n">
        <v>180</v>
      </c>
      <c r="G651" s="1016">
        <f>F651*17%</f>
        <v/>
      </c>
      <c r="H651" s="833" t="n"/>
      <c r="I651" s="904" t="n">
        <v>7</v>
      </c>
      <c r="J651" s="340">
        <f>F651*18%</f>
        <v/>
      </c>
      <c r="K651" s="340">
        <f>(F651-J651)*1.65%</f>
        <v/>
      </c>
      <c r="L651" s="340">
        <f>(F651-J651)*7.6%</f>
        <v/>
      </c>
      <c r="M651" s="1097" t="n">
        <v>11</v>
      </c>
      <c r="N651" s="785">
        <f>(G651+I651)*(9.25%)</f>
        <v/>
      </c>
      <c r="O651" s="904" t="n">
        <v>92.5</v>
      </c>
      <c r="P651" s="1016">
        <f>(F651 - (G651+I651+O651+(J651+K651+L651))) - (H651-M651-N651)</f>
        <v/>
      </c>
      <c r="Q651" s="462">
        <f>P651/F651</f>
        <v/>
      </c>
      <c r="R651" s="1206" t="n"/>
      <c r="S651" s="904" t="n"/>
      <c r="T651" s="569" t="n"/>
      <c r="U651" s="1030" t="n"/>
      <c r="V651" s="1030" t="n"/>
      <c r="W651" s="1030" t="n"/>
    </row>
    <row r="652" ht="15.75" customHeight="1" s="1349">
      <c r="A652" s="1292" t="n"/>
      <c r="B652" s="904" t="n"/>
      <c r="C652" s="904" t="n"/>
      <c r="D652" s="1096" t="inlineStr">
        <is>
          <t>KIT 5 CHUMBADOR PARABOLT CBA 1/2 X 95 AÇO FIXAÇÃO</t>
        </is>
      </c>
      <c r="E652" s="904" t="n">
        <v>78.90000000000001</v>
      </c>
      <c r="F652" s="856" t="n">
        <v>45.6</v>
      </c>
      <c r="G652" s="1016">
        <f>F652*17%</f>
        <v/>
      </c>
      <c r="H652" s="833" t="n"/>
      <c r="I652" s="904" t="n">
        <v>7</v>
      </c>
      <c r="J652" s="340">
        <f>F652*18%</f>
        <v/>
      </c>
      <c r="K652" s="340">
        <f>(F652-J652)*1.65%</f>
        <v/>
      </c>
      <c r="L652" s="340">
        <f>(F652-J652)*7.6%</f>
        <v/>
      </c>
      <c r="M652" s="1097" t="n">
        <v>2.75</v>
      </c>
      <c r="N652" s="785">
        <f>(G652+I652)*(9.25%)</f>
        <v/>
      </c>
      <c r="O652" s="904" t="n">
        <v>22.8</v>
      </c>
      <c r="P652" s="1016">
        <f>(F652 - (G652+I652+O652+(J652+K652+L652))) - (H652-M652-N652)</f>
        <v/>
      </c>
      <c r="Q652" s="462">
        <f>P652/F652</f>
        <v/>
      </c>
      <c r="R652" s="1206" t="n"/>
      <c r="S652" s="904" t="n"/>
      <c r="T652" s="569" t="n"/>
      <c r="U652" s="1030" t="n"/>
      <c r="V652" s="1030" t="n"/>
      <c r="W652" s="1030" t="n"/>
    </row>
    <row r="653" ht="15.75" customHeight="1" s="1349">
      <c r="A653" s="1292" t="n"/>
      <c r="B653" s="904" t="n"/>
      <c r="C653" s="904" t="n"/>
      <c r="D653" s="1096" t="inlineStr">
        <is>
          <t>KIT 10 CHUMBADOR PARABOLT CBA 1/2 X 95 AÇO FIXAÇÃO</t>
        </is>
      </c>
      <c r="E653" s="904" t="n">
        <v>120.5</v>
      </c>
      <c r="F653" s="856" t="n">
        <v>94.2</v>
      </c>
      <c r="G653" s="1016">
        <f>F653*17%</f>
        <v/>
      </c>
      <c r="H653" s="833" t="n"/>
      <c r="I653" s="904" t="n">
        <v>7</v>
      </c>
      <c r="J653" s="340">
        <f>F653*18%</f>
        <v/>
      </c>
      <c r="K653" s="340">
        <f>(F653-J653)*1.65%</f>
        <v/>
      </c>
      <c r="L653" s="340">
        <f>(F653-J653)*7.6%</f>
        <v/>
      </c>
      <c r="M653" s="1097" t="n">
        <v>5.5</v>
      </c>
      <c r="N653" s="785">
        <f>(G653+I653)*(9.25%)</f>
        <v/>
      </c>
      <c r="O653" s="904" t="n">
        <v>45.6</v>
      </c>
      <c r="P653" s="1016">
        <f>(F653 - (G653+I653+O653+(J653+K653+L653))) - (H653-M653-N653)</f>
        <v/>
      </c>
      <c r="Q653" s="462">
        <f>P653/F653</f>
        <v/>
      </c>
      <c r="R653" s="1206" t="n"/>
      <c r="S653" s="904" t="n"/>
      <c r="T653" s="569" t="n"/>
      <c r="U653" s="1030" t="n"/>
      <c r="V653" s="1030" t="n"/>
      <c r="W653" s="1030" t="n"/>
    </row>
    <row r="654" ht="15.75" customHeight="1" s="1349">
      <c r="A654" s="1292" t="n"/>
      <c r="B654" s="904" t="n"/>
      <c r="C654" s="904" t="n"/>
      <c r="D654" s="1096" t="inlineStr">
        <is>
          <t>KIT 50 CHUMBADOR PARABOLT CBA 1/2 X 95 AÇO FIXAÇÃO</t>
        </is>
      </c>
      <c r="E654" s="904" t="n">
        <v>520</v>
      </c>
      <c r="F654" s="856" t="n">
        <v>425</v>
      </c>
      <c r="G654" s="1016">
        <f>F654*17%</f>
        <v/>
      </c>
      <c r="H654" s="833" t="n"/>
      <c r="I654" s="904" t="n">
        <v>7</v>
      </c>
      <c r="J654" s="340">
        <f>F654*18%</f>
        <v/>
      </c>
      <c r="K654" s="340">
        <f>(F654-J654)*1.65%</f>
        <v/>
      </c>
      <c r="L654" s="340">
        <f>(F654-J654)*7.6%</f>
        <v/>
      </c>
      <c r="M654" s="1097" t="n">
        <v>27.5</v>
      </c>
      <c r="N654" s="785">
        <f>(G654+I654)*(9.25%)</f>
        <v/>
      </c>
      <c r="O654" s="904" t="n">
        <v>228</v>
      </c>
      <c r="P654" s="1016">
        <f>(F654 - (G654+I654+O654+(J654+K654+L654))) - (H654-M654-N654)</f>
        <v/>
      </c>
      <c r="Q654" s="462">
        <f>P654/F654</f>
        <v/>
      </c>
      <c r="R654" s="1206" t="n"/>
      <c r="S654" s="904" t="n"/>
      <c r="T654" s="569" t="n"/>
      <c r="U654" s="1030" t="n"/>
      <c r="V654" s="1030" t="n"/>
      <c r="W654" s="1030" t="n"/>
    </row>
    <row r="655" ht="15.75" customHeight="1" s="1349">
      <c r="A655" s="1292" t="n"/>
      <c r="B655" s="904" t="n">
        <v>10034034168416</v>
      </c>
      <c r="C655" s="904" t="inlineStr">
        <is>
          <t>Vonder</t>
        </is>
      </c>
      <c r="D655" s="904" t="inlineStr">
        <is>
          <t>Serra Copo Diamantada 100mm Com Haste Sextavada Vonder</t>
        </is>
      </c>
      <c r="E655" s="904" t="n"/>
      <c r="F655" s="856" t="n">
        <v>262</v>
      </c>
      <c r="G655" s="1016">
        <f>F655*17%</f>
        <v/>
      </c>
      <c r="H655" s="833" t="n"/>
      <c r="I655" s="904" t="n">
        <v>24.65</v>
      </c>
      <c r="J655" s="340">
        <f>F655*18%</f>
        <v/>
      </c>
      <c r="K655" s="340">
        <f>(F655-J655)*1.65%</f>
        <v/>
      </c>
      <c r="L655" s="340">
        <f>(F655-J655)*7.6%</f>
        <v/>
      </c>
      <c r="M655" s="1097" t="n"/>
      <c r="N655" s="785">
        <f>(G655+I655)*(9.25%)</f>
        <v/>
      </c>
      <c r="O655" s="904" t="n">
        <v>198.46</v>
      </c>
      <c r="P655" s="1016">
        <f>(F655 - (G655+I655+O655+(J655+K655+L655))) - (H655-M655-N655)</f>
        <v/>
      </c>
      <c r="Q655" s="462">
        <f>P655/F655</f>
        <v/>
      </c>
      <c r="R655" s="1206" t="n"/>
      <c r="S655" s="904" t="n"/>
      <c r="T655" s="569" t="n"/>
      <c r="U655" s="1030" t="n"/>
      <c r="V655" s="1030" t="n"/>
      <c r="W655" s="1030" t="n"/>
    </row>
    <row r="656" ht="15.75" customHeight="1" s="1349">
      <c r="A656" s="1292" t="n"/>
      <c r="B656" s="904" t="n"/>
      <c r="C656" s="904" t="inlineStr">
        <is>
          <t>Kalipso</t>
        </is>
      </c>
      <c r="D656" s="904" t="inlineStr">
        <is>
          <t>Óculos Segurança Cores CA 11268 Kalipso Leopardo EPI</t>
        </is>
      </c>
      <c r="E656" s="904" t="n"/>
      <c r="F656" s="794" t="n">
        <v>11.89</v>
      </c>
      <c r="G656" s="1016">
        <f>F656*17%</f>
        <v/>
      </c>
      <c r="H656" s="833" t="n">
        <v>-0.24</v>
      </c>
      <c r="I656" s="904" t="n">
        <v>3.2</v>
      </c>
      <c r="J656" s="340">
        <f>F656*18%</f>
        <v/>
      </c>
      <c r="K656" s="340">
        <f>(F656-J656)*1.65%</f>
        <v/>
      </c>
      <c r="L656" s="340">
        <f>(F656-J656)*7.6%</f>
        <v/>
      </c>
      <c r="M656" s="1097" t="n">
        <v>0.32</v>
      </c>
      <c r="N656" s="785">
        <f>(G656+I656)*(9.25%)</f>
        <v/>
      </c>
      <c r="O656" s="701" t="n">
        <v>2.53</v>
      </c>
      <c r="P656" s="1016">
        <f>(F656 - (G656+I656+O656+(J656+K656+L656))) - (H656-M656-N656)</f>
        <v/>
      </c>
      <c r="Q656" s="462">
        <f>P656/F656</f>
        <v/>
      </c>
      <c r="R656" s="1206" t="n"/>
      <c r="S656" s="904" t="n"/>
      <c r="T656" s="569" t="n"/>
      <c r="U656" s="1030" t="n"/>
      <c r="V656" s="1030" t="n"/>
      <c r="W656" s="1030" t="n"/>
      <c r="X656" s="579" t="n"/>
      <c r="Y656" s="579" t="n"/>
      <c r="Z656" s="579" t="n"/>
      <c r="AA656" s="579" t="n"/>
      <c r="AB656" s="579" t="n"/>
      <c r="AC656" s="579" t="n"/>
      <c r="AD656" s="579" t="n"/>
      <c r="AE656" s="579" t="n"/>
      <c r="AF656" s="579" t="n"/>
    </row>
    <row r="657" ht="15.75" customHeight="1" s="1349">
      <c r="A657" s="1292" t="inlineStr">
        <is>
          <t>446059798663888</t>
        </is>
      </c>
      <c r="B657" s="904" t="n">
        <v>10034034168422</v>
      </c>
      <c r="C657" s="904" t="inlineStr">
        <is>
          <t>Kalipso</t>
        </is>
      </c>
      <c r="D657" s="904" t="inlineStr">
        <is>
          <t>Kit 10 Óculos Segurança Incolor/Cinza CA11268 Kalipso EPI</t>
        </is>
      </c>
      <c r="E657" s="904" t="n"/>
      <c r="F657" s="856" t="n">
        <v>48.49</v>
      </c>
      <c r="G657" s="1016">
        <f>F657*12%</f>
        <v/>
      </c>
      <c r="H657" s="833" t="n">
        <v>-1.5</v>
      </c>
      <c r="I657" s="904" t="n">
        <v>7.85</v>
      </c>
      <c r="J657" s="340">
        <f>F657*18%</f>
        <v/>
      </c>
      <c r="K657" s="340">
        <f>(F657-J657)*1.65%</f>
        <v/>
      </c>
      <c r="L657" s="340">
        <f>(F657-J657)*7.6%</f>
        <v/>
      </c>
      <c r="M657" s="1097">
        <f>0.32*10</f>
        <v/>
      </c>
      <c r="N657" s="785">
        <f>(G657+I657)*(9.25%)</f>
        <v/>
      </c>
      <c r="O657" s="701">
        <f>2.53*10</f>
        <v/>
      </c>
      <c r="P657" s="1016">
        <f>(F657 - (G657+I657+O657+(J657+K657+L657))) - (H657-M657-N657)</f>
        <v/>
      </c>
      <c r="Q657" s="462">
        <f>P657/F657</f>
        <v/>
      </c>
      <c r="R657" s="1206" t="n"/>
      <c r="S657" s="904" t="n"/>
      <c r="T657" s="569" t="n"/>
      <c r="U657" s="1030" t="n"/>
      <c r="V657" s="1030" t="n"/>
      <c r="W657" s="1030" t="n"/>
      <c r="X657" s="579" t="n"/>
      <c r="Y657" s="579" t="n"/>
      <c r="Z657" s="579" t="n"/>
      <c r="AA657" s="579" t="n"/>
      <c r="AB657" s="579" t="n"/>
      <c r="AC657" s="579" t="n"/>
      <c r="AD657" s="579" t="n"/>
      <c r="AE657" s="579" t="n"/>
      <c r="AF657" s="579" t="n"/>
    </row>
    <row r="658" ht="15.75" customHeight="1" s="1349">
      <c r="A658" s="1292" t="n"/>
      <c r="B658" s="904" t="n"/>
      <c r="C658" s="904" t="inlineStr">
        <is>
          <t>Kalipso</t>
        </is>
      </c>
      <c r="D658" s="904" t="inlineStr">
        <is>
          <t>Kit 20 Óculos Segurança Incolor/Cinza CA11268 Kalipso EPI</t>
        </is>
      </c>
      <c r="E658" s="904" t="n"/>
      <c r="F658" s="856" t="n">
        <v>106.89</v>
      </c>
      <c r="G658" s="1016">
        <f>F658*17%</f>
        <v/>
      </c>
      <c r="H658" s="833" t="n">
        <v>-0.8100000000000001</v>
      </c>
      <c r="I658" s="904" t="n">
        <v>12.85</v>
      </c>
      <c r="J658" s="340">
        <f>F658*18%</f>
        <v/>
      </c>
      <c r="K658" s="340">
        <f>(F658-J658)*1.65%</f>
        <v/>
      </c>
      <c r="L658" s="340">
        <f>(F658-J658)*7.6%</f>
        <v/>
      </c>
      <c r="M658" s="1097">
        <f>0.32*20</f>
        <v/>
      </c>
      <c r="N658" s="785">
        <f>(G658+I658)*(9.25%)</f>
        <v/>
      </c>
      <c r="O658" s="701">
        <f>2.53*20</f>
        <v/>
      </c>
      <c r="P658" s="1016">
        <f>(F658 - (G658+I658+O658+(J658+K658+L658))) - (H658-M658-N658)</f>
        <v/>
      </c>
      <c r="Q658" s="462">
        <f>P658/F658</f>
        <v/>
      </c>
      <c r="R658" s="1206" t="n"/>
      <c r="S658" s="904" t="n"/>
      <c r="T658" s="569" t="n"/>
      <c r="U658" s="1030" t="n"/>
      <c r="V658" s="1030" t="n"/>
      <c r="W658" s="1030" t="n"/>
    </row>
    <row r="659" ht="15.75" customHeight="1" s="1349">
      <c r="A659" s="779" t="inlineStr">
        <is>
          <t>3110651542034387</t>
        </is>
      </c>
      <c r="B659" s="887" t="n">
        <v>10034034168472</v>
      </c>
      <c r="C659" s="846" t="inlineStr">
        <is>
          <t>Kalipso</t>
        </is>
      </c>
      <c r="D659" s="847" t="inlineStr">
        <is>
          <t>Kit 12 Óculos Segurança Ca11268 Leopardo Proteção Premium</t>
        </is>
      </c>
      <c r="E659" s="762" t="n">
        <v>78.98999999999999</v>
      </c>
      <c r="F659" s="803" t="n">
        <v>63.5</v>
      </c>
      <c r="G659" s="848">
        <f>F659*17%</f>
        <v/>
      </c>
      <c r="H659" s="609" t="n"/>
      <c r="I659" s="887" t="n">
        <v>7.95</v>
      </c>
      <c r="J659" s="61">
        <f>F659*18%</f>
        <v/>
      </c>
      <c r="K659" s="61">
        <f>(F659-J659)*1.65%</f>
        <v/>
      </c>
      <c r="L659" s="61">
        <f>(F659-J659)*7.6%</f>
        <v/>
      </c>
      <c r="M659" s="784">
        <f>0.32*12</f>
        <v/>
      </c>
      <c r="N659" s="785">
        <f>(G659+I659)*(9.25%)</f>
        <v/>
      </c>
      <c r="O659" s="786">
        <f>2.53*12</f>
        <v/>
      </c>
      <c r="P659" s="1016">
        <f>(F659 - (G659+I659+O659+(J659+K659+L659))) - (H659-M659-N659)</f>
        <v/>
      </c>
      <c r="Q659" s="591">
        <f>P659/F659</f>
        <v/>
      </c>
      <c r="R659" s="611" t="n"/>
      <c r="S659" s="806" t="n"/>
      <c r="T659" s="806" t="n"/>
      <c r="U659" s="595" t="n"/>
      <c r="V659" s="595" t="n"/>
      <c r="W659" s="595" t="n"/>
    </row>
    <row r="660" ht="15.75" customHeight="1" s="1349">
      <c r="A660" s="849" t="inlineStr">
        <is>
          <t>1865120469306001 4665089717</t>
        </is>
      </c>
      <c r="B660" s="850" t="n"/>
      <c r="C660" s="851" t="inlineStr">
        <is>
          <t>Kalipso</t>
        </is>
      </c>
      <c r="D660" s="852" t="inlineStr">
        <is>
          <t>Kit 24 Óculos Segurança Ca11268 Leopardo Proteção Premium</t>
        </is>
      </c>
      <c r="E660" s="853" t="n">
        <v>149</v>
      </c>
      <c r="F660" s="803" t="n">
        <v>126</v>
      </c>
      <c r="G660" s="848">
        <f>F660*17%</f>
        <v/>
      </c>
      <c r="H660" s="661" t="n">
        <v>-3.68</v>
      </c>
      <c r="I660" s="850" t="n">
        <v>18.45</v>
      </c>
      <c r="J660" s="663">
        <f>F660*18%</f>
        <v/>
      </c>
      <c r="K660" s="663">
        <f>(F660-J660)*1.65%</f>
        <v/>
      </c>
      <c r="L660" s="663">
        <f>(F660-J660)*7.6%</f>
        <v/>
      </c>
      <c r="M660" s="784">
        <f>0.32*24</f>
        <v/>
      </c>
      <c r="N660" s="785">
        <f>(G660+I660)*(9.25%)</f>
        <v/>
      </c>
      <c r="O660" s="786">
        <f>2.53*24</f>
        <v/>
      </c>
      <c r="P660" s="1016">
        <f>(F660 - (G660+I660+O660+(J660+K660+L660))) - (H660-M660-N660)</f>
        <v/>
      </c>
      <c r="Q660" s="694">
        <f>P660/F660</f>
        <v/>
      </c>
      <c r="R660" s="854" t="n"/>
      <c r="S660" s="855" t="n"/>
      <c r="T660" s="855" t="n"/>
      <c r="U660" s="668" t="n"/>
      <c r="V660" s="668" t="n"/>
      <c r="W660" s="668" t="n"/>
    </row>
    <row r="661" ht="15.75" customHeight="1" s="1349">
      <c r="A661" s="1292" t="n"/>
      <c r="B661" s="904" t="n"/>
      <c r="C661" s="904" t="inlineStr">
        <is>
          <t>Vonder</t>
        </is>
      </c>
      <c r="D661" s="904" t="inlineStr">
        <is>
          <t>Cinta Plana Sem Fim 4m 4t Vonder Elevação Carga Industrial</t>
        </is>
      </c>
      <c r="E661" s="904" t="n"/>
      <c r="F661" s="856" t="n">
        <v>231.05</v>
      </c>
      <c r="G661" s="1016">
        <f>F661*17%</f>
        <v/>
      </c>
      <c r="H661" s="833" t="n">
        <v>-13.86</v>
      </c>
      <c r="I661" s="904" t="n">
        <v>24.65</v>
      </c>
      <c r="J661" s="340">
        <f>F661*18%</f>
        <v/>
      </c>
      <c r="K661" s="340">
        <f>(F661-J661)*1.65%</f>
        <v/>
      </c>
      <c r="L661" s="340">
        <f>(F661-J661)*7.6%</f>
        <v/>
      </c>
      <c r="M661" s="1097" t="n">
        <v>16.39</v>
      </c>
      <c r="N661" s="785">
        <f>(G661+I661)*(9.25%)</f>
        <v/>
      </c>
      <c r="O661" s="904" t="n">
        <v>127.29</v>
      </c>
      <c r="P661" s="1016">
        <f>(F661 - (G661+I661+O661+(J661+K661+L661))) - (H661-M661-N661)</f>
        <v/>
      </c>
      <c r="Q661" s="462">
        <f>P661/F661</f>
        <v/>
      </c>
      <c r="R661" s="1206" t="n"/>
      <c r="S661" s="904" t="n"/>
      <c r="T661" s="569" t="n"/>
      <c r="U661" s="1030" t="n"/>
      <c r="V661" s="1030" t="n"/>
      <c r="W661" s="1030" t="n"/>
    </row>
    <row r="662" ht="15.75" customHeight="1" s="1349">
      <c r="A662" s="1292" t="inlineStr">
        <is>
          <t>4625283647</t>
        </is>
      </c>
      <c r="B662" s="904" t="n">
        <v>10034034168413</v>
      </c>
      <c r="C662" s="904" t="inlineStr">
        <is>
          <t>Camper</t>
        </is>
      </c>
      <c r="D662" s="904" t="inlineStr">
        <is>
          <t>Kit 10 Carneira Capacete EPI 6 Pontos Pino Ajuste Suspensão</t>
        </is>
      </c>
      <c r="E662" s="904" t="n">
        <v>78.90000000000001</v>
      </c>
      <c r="F662" s="856" t="n">
        <v>54.51</v>
      </c>
      <c r="G662" s="1016">
        <f>F662*17%</f>
        <v/>
      </c>
      <c r="H662" s="833" t="n">
        <v>-2.43</v>
      </c>
      <c r="I662" s="904" t="n">
        <v>7.95</v>
      </c>
      <c r="J662" s="340">
        <f>F662*18%</f>
        <v/>
      </c>
      <c r="K662" s="340">
        <f>(F662-J662)*1.65%</f>
        <v/>
      </c>
      <c r="L662" s="340">
        <f>(F662-J662)*7.6%</f>
        <v/>
      </c>
      <c r="M662" s="1097" t="n">
        <v>6</v>
      </c>
      <c r="N662" s="785">
        <f>(G662+I662)*(9.25%)</f>
        <v/>
      </c>
      <c r="O662" s="904" t="n">
        <v>29.8</v>
      </c>
      <c r="P662" s="1016">
        <f>(F662 - (G662+I662+O662+(J662+K662+L662))) - (H662-M662-N662)</f>
        <v/>
      </c>
      <c r="Q662" s="462">
        <f>P662/F662</f>
        <v/>
      </c>
      <c r="R662" s="1206" t="n"/>
      <c r="S662" s="904" t="n"/>
      <c r="T662" s="569" t="n"/>
      <c r="U662" s="1030" t="n"/>
      <c r="V662" s="1030" t="n"/>
      <c r="W662" s="1030" t="n"/>
    </row>
    <row r="663" ht="15.75" customHeight="1" s="1349">
      <c r="A663" s="1292" t="inlineStr">
        <is>
          <t>4625445361</t>
        </is>
      </c>
      <c r="B663" s="904" t="n">
        <v>10034034168415</v>
      </c>
      <c r="C663" s="904" t="inlineStr">
        <is>
          <t>Atlas</t>
        </is>
      </c>
      <c r="D663" s="904" t="inlineStr">
        <is>
          <t>Broxa Retangular Atlas 800 18x8cm Escova Pintura Forte</t>
        </is>
      </c>
      <c r="E663" s="904" t="n">
        <v>35.89</v>
      </c>
      <c r="F663" s="856" t="n">
        <v>20.65</v>
      </c>
      <c r="G663" s="1016">
        <f>F663*17%</f>
        <v/>
      </c>
      <c r="H663" s="833" t="n"/>
      <c r="I663" s="904" t="n">
        <v>6.75</v>
      </c>
      <c r="J663" s="340">
        <f>F663*18%</f>
        <v/>
      </c>
      <c r="K663" s="340">
        <f>(F663-J663)*1.65%</f>
        <v/>
      </c>
      <c r="L663" s="340">
        <f>(F663-J663)*7.6%</f>
        <v/>
      </c>
      <c r="M663" s="1097" t="n">
        <v>1.57</v>
      </c>
      <c r="N663" s="785">
        <f>(G663+I663)*(9.25%)</f>
        <v/>
      </c>
      <c r="O663" s="904" t="n">
        <v>6.14</v>
      </c>
      <c r="P663" s="1016">
        <f>(F663 - (G663+I663+O663+(J663+K663+L663))) - (H663-M663-N663)</f>
        <v/>
      </c>
      <c r="Q663" s="462">
        <f>P663/F663</f>
        <v/>
      </c>
      <c r="R663" s="1206" t="n"/>
      <c r="S663" s="904" t="n"/>
      <c r="T663" s="569" t="n"/>
      <c r="U663" s="1030" t="n"/>
      <c r="V663" s="1030" t="n"/>
      <c r="W663" s="1030" t="n"/>
    </row>
    <row r="664" ht="15.75" customHeight="1" s="1349">
      <c r="A664" s="1292" t="inlineStr">
        <is>
          <t>6654250342</t>
        </is>
      </c>
      <c r="B664" s="904" t="n">
        <v>10034034168407</v>
      </c>
      <c r="C664" s="904" t="inlineStr">
        <is>
          <t>Atlas</t>
        </is>
      </c>
      <c r="D664" s="904" t="inlineStr">
        <is>
          <t>Kit 5 Broxa Retangular Atlas 800 18x8cm Escova Pintura Forte</t>
        </is>
      </c>
      <c r="E664" s="904" t="n">
        <v>120</v>
      </c>
      <c r="F664" s="856" t="n">
        <v>58.75</v>
      </c>
      <c r="G664" s="1016">
        <f>F664*17%</f>
        <v/>
      </c>
      <c r="H664" s="833" t="n"/>
      <c r="I664" s="904" t="n">
        <v>7.95</v>
      </c>
      <c r="J664" s="340">
        <f>F664*18%</f>
        <v/>
      </c>
      <c r="K664" s="340">
        <f>(F664-J664)*1.65%</f>
        <v/>
      </c>
      <c r="L664" s="340">
        <f>(F664-J664)*7.6%</f>
        <v/>
      </c>
      <c r="M664" s="1097" t="n">
        <v>6.2</v>
      </c>
      <c r="N664" s="785">
        <f>(G664+I664)*(9.25%)</f>
        <v/>
      </c>
      <c r="O664" s="904" t="n">
        <v>30.7</v>
      </c>
      <c r="P664" s="1016">
        <f>(F664 - (G664+I664+O664+(J664+K664+L664))) - (H664-M664-N664)</f>
        <v/>
      </c>
      <c r="Q664" s="462">
        <f>P664/F664</f>
        <v/>
      </c>
      <c r="R664" s="1206" t="n"/>
      <c r="S664" s="904" t="n"/>
      <c r="T664" s="569" t="n"/>
      <c r="U664" s="1030" t="n"/>
      <c r="V664" s="1030" t="n"/>
      <c r="W664" s="1030" t="n"/>
    </row>
    <row r="665" ht="15.75" customHeight="1" s="1349">
      <c r="A665" s="1292" t="inlineStr">
        <is>
          <t>4609349233 6623873336</t>
        </is>
      </c>
      <c r="B665" s="904" t="n">
        <v>10034034168370</v>
      </c>
      <c r="C665" s="904" t="inlineStr">
        <is>
          <t>Delta plus</t>
        </is>
      </c>
      <c r="D665" s="904" t="inlineStr">
        <is>
          <t>Abafador Tipo Concha Magny Cours 2 Anti Ruído EPI</t>
        </is>
      </c>
      <c r="E665" s="904" t="n">
        <v>190.8</v>
      </c>
      <c r="F665" s="856" t="n">
        <v>135.02</v>
      </c>
      <c r="G665" s="1016">
        <f>F665*17%</f>
        <v/>
      </c>
      <c r="H665" s="833" t="n">
        <v>-5.57</v>
      </c>
      <c r="I665" s="904" t="n">
        <v>18.45</v>
      </c>
      <c r="J665" s="340">
        <f>F665*18%</f>
        <v/>
      </c>
      <c r="K665" s="340">
        <f>(F665-J665)*1.65%</f>
        <v/>
      </c>
      <c r="L665" s="340">
        <f>(F665-J665)*7.6%</f>
        <v/>
      </c>
      <c r="M665" s="1097" t="n">
        <v>20.21</v>
      </c>
      <c r="N665" s="785">
        <f>(G665+I665)*(9.25%)</f>
        <v/>
      </c>
      <c r="O665" s="904" t="n">
        <v>78.98999999999999</v>
      </c>
      <c r="P665" s="1016">
        <f>(F665 - (G665+I665+O665+(J665+K665+L665))) - (H665-M665-N665)</f>
        <v/>
      </c>
      <c r="Q665" s="462">
        <f>P665/F665</f>
        <v/>
      </c>
      <c r="R665" s="1206" t="inlineStr">
        <is>
          <t>Ativo</t>
        </is>
      </c>
      <c r="S665" s="904" t="n"/>
      <c r="T665" s="569" t="n"/>
      <c r="U665" s="1030" t="n"/>
      <c r="V665" s="1030" t="n"/>
      <c r="W665" s="1030" t="n"/>
    </row>
    <row r="666" ht="21" customHeight="1" s="1349">
      <c r="A666" s="1292" t="n"/>
      <c r="B666" s="904" t="n"/>
      <c r="C666" s="904" t="n"/>
      <c r="D666" s="904" t="inlineStr">
        <is>
          <t>CHUMBADOR PARABOLT CBA 1/2 X 135 AÇO FIXAÇÃO</t>
        </is>
      </c>
      <c r="E666" s="904" t="n"/>
      <c r="F666" s="856" t="n"/>
      <c r="G666" s="1016">
        <f>F666*17%</f>
        <v/>
      </c>
      <c r="H666" s="833" t="n"/>
      <c r="I666" s="904" t="n">
        <v>7</v>
      </c>
      <c r="J666" s="340">
        <f>F666*18%</f>
        <v/>
      </c>
      <c r="K666" s="340">
        <f>(F666-J666)*1.65%</f>
        <v/>
      </c>
      <c r="L666" s="340">
        <f>(F666-J666)*7.6%</f>
        <v/>
      </c>
      <c r="M666" s="577" t="n"/>
      <c r="N666" s="543">
        <f>(G666+I666)*(9.25%)</f>
        <v/>
      </c>
      <c r="O666" s="904" t="n">
        <v>0</v>
      </c>
      <c r="P666" s="1016">
        <f>(F666 - (G666+I666+O666+(J666+K666+L666))) - (H666-M666-N666)</f>
        <v/>
      </c>
      <c r="Q666" s="462">
        <f>P666/F666</f>
        <v/>
      </c>
      <c r="R666" s="1206" t="n"/>
      <c r="S666" s="904" t="n"/>
      <c r="T666" s="569" t="n"/>
      <c r="U666" s="1030" t="n"/>
      <c r="V666" s="1030" t="n"/>
      <c r="W666" s="1030" t="n"/>
    </row>
    <row r="667" ht="15.75" customHeight="1" s="1349">
      <c r="A667" s="1292" t="inlineStr">
        <is>
          <t> </t>
        </is>
      </c>
      <c r="B667" s="904" t="n">
        <v>10034034168390</v>
      </c>
      <c r="C667" s="904" t="inlineStr">
        <is>
          <t>Atlas</t>
        </is>
      </c>
      <c r="D667" s="904" t="inlineStr">
        <is>
          <t>Kit Pintura 23cm Garfo Aço + Rolo Poliamida Alta Performance</t>
        </is>
      </c>
      <c r="E667" s="904" t="n">
        <v>50</v>
      </c>
      <c r="F667" s="856" t="n">
        <v>37.82</v>
      </c>
      <c r="G667" s="1016">
        <f>F667*17%</f>
        <v/>
      </c>
      <c r="H667" s="833" t="n">
        <v>-1.71</v>
      </c>
      <c r="I667" s="904" t="n">
        <v>8.050000000000001</v>
      </c>
      <c r="J667" s="340">
        <f>F667*18%</f>
        <v/>
      </c>
      <c r="K667" s="340">
        <f>(F667-J667)*1.65%</f>
        <v/>
      </c>
      <c r="L667" s="340">
        <f>(F667-J667)*7.6%</f>
        <v/>
      </c>
      <c r="M667" s="1097" t="n">
        <v>4.59</v>
      </c>
      <c r="N667" s="785">
        <f>(G667+I667)*(9.25%)</f>
        <v/>
      </c>
      <c r="O667" s="904" t="n">
        <v>17.93</v>
      </c>
      <c r="P667" s="1016">
        <f>(F667 - (G667+I667+O667+(J667+K667+L667))) - (H667-M667-N667)</f>
        <v/>
      </c>
      <c r="Q667" s="462">
        <f>P667/F667</f>
        <v/>
      </c>
      <c r="R667" s="1206" t="inlineStr">
        <is>
          <t>Ativo</t>
        </is>
      </c>
      <c r="S667" s="904" t="n"/>
      <c r="T667" s="569" t="n"/>
      <c r="U667" s="1030" t="n"/>
      <c r="V667" s="1030" t="n"/>
      <c r="W667" s="1030" t="n"/>
    </row>
    <row r="668" ht="15.75" customHeight="1" s="1349">
      <c r="A668" s="1292" t="inlineStr">
        <is>
          <t>6604771196</t>
        </is>
      </c>
      <c r="B668" s="904" t="n">
        <v>10034034168392</v>
      </c>
      <c r="C668" s="904" t="inlineStr">
        <is>
          <t>Atlas</t>
        </is>
      </c>
      <c r="D668" s="904" t="inlineStr">
        <is>
          <t>Kit 12 Rolos 9cm Poliéster Atlas Pintura Acabamento Fino</t>
        </is>
      </c>
      <c r="E668" s="904" t="n">
        <v>79.90000000000001</v>
      </c>
      <c r="F668" s="856" t="n">
        <v>65.18000000000001</v>
      </c>
      <c r="G668" s="1016">
        <f>F668*17%</f>
        <v/>
      </c>
      <c r="H668" s="833" t="n">
        <v>-2.02</v>
      </c>
      <c r="I668" s="904" t="n">
        <v>7.95</v>
      </c>
      <c r="J668" s="340">
        <f>F668*18%</f>
        <v/>
      </c>
      <c r="K668" s="340">
        <f>(F668-J668)*1.65%</f>
        <v/>
      </c>
      <c r="L668" s="340">
        <f>(F668-J668)*7.6%</f>
        <v/>
      </c>
      <c r="M668" s="1097" t="n">
        <v>9.960000000000001</v>
      </c>
      <c r="N668" s="785">
        <f>(G668+I668)*(9.25%)</f>
        <v/>
      </c>
      <c r="O668" s="904" t="n">
        <v>40.32</v>
      </c>
      <c r="P668" s="1016">
        <f>(F668 - (G668+I668+O668+(J668+K668+L668))) - (H668-M668-N668)</f>
        <v/>
      </c>
      <c r="Q668" s="462">
        <f>P668/F668</f>
        <v/>
      </c>
      <c r="R668" s="1206" t="inlineStr">
        <is>
          <t>Ativo</t>
        </is>
      </c>
      <c r="S668" s="904" t="n"/>
      <c r="T668" s="569" t="n"/>
      <c r="U668" s="1030" t="n"/>
      <c r="V668" s="1030" t="n"/>
      <c r="W668" s="1030" t="n"/>
    </row>
    <row r="669" ht="15.75" customHeight="1" s="1349">
      <c r="A669" s="1292" t="n"/>
      <c r="B669" s="904" t="n">
        <v>10034034168505</v>
      </c>
      <c r="C669" s="904" t="n"/>
      <c r="D669" s="904" t="inlineStr">
        <is>
          <t>Kit 3 Broxa Retangular 18x7,6 Pintura Alvenaria Absorção</t>
        </is>
      </c>
      <c r="E669" s="904" t="n">
        <v>42.3</v>
      </c>
      <c r="F669" s="856" t="n">
        <v>28</v>
      </c>
      <c r="G669" s="1016">
        <f>F669*12%</f>
        <v/>
      </c>
      <c r="H669" s="833" t="n"/>
      <c r="I669" s="904" t="n">
        <v>6.75</v>
      </c>
      <c r="J669" s="340">
        <f>F669*18%</f>
        <v/>
      </c>
      <c r="K669" s="340">
        <f>(F669-J669)*1.65%</f>
        <v/>
      </c>
      <c r="L669" s="340">
        <f>(F669-J669)*7.6%</f>
        <v/>
      </c>
      <c r="M669" s="1097">
        <f>1.07*3</f>
        <v/>
      </c>
      <c r="N669" s="785">
        <f>(G669+I669)*(9.25%)</f>
        <v/>
      </c>
      <c r="O669" s="701">
        <f>4.17*3</f>
        <v/>
      </c>
      <c r="P669" s="1016">
        <f>(F669 - (G669+I669+O669+(J669+K669+L669))) - (H669-M669-N669)</f>
        <v/>
      </c>
      <c r="Q669" s="462">
        <f>P669/F669</f>
        <v/>
      </c>
      <c r="R669" s="1206" t="n"/>
      <c r="S669" s="904" t="n"/>
      <c r="T669" s="569" t="n"/>
      <c r="U669" s="1030" t="n"/>
      <c r="V669" s="1030" t="n"/>
      <c r="W669" s="1030" t="n"/>
    </row>
    <row r="670" ht="15.75" customHeight="1" s="1349">
      <c r="A670" s="1292" t="inlineStr">
        <is>
          <t>4709473317</t>
        </is>
      </c>
      <c r="B670" s="904" t="n">
        <v>10034034168505</v>
      </c>
      <c r="C670" s="904" t="n"/>
      <c r="D670" s="884" t="inlineStr">
        <is>
          <t>Broxa Trincha Pintura Parede Alvenaria Alta Absorção Epoxi Verde</t>
        </is>
      </c>
      <c r="E670" s="904" t="n">
        <v>40</v>
      </c>
      <c r="F670" s="856" t="n">
        <v>19</v>
      </c>
      <c r="G670" s="1016">
        <f>F670*12%</f>
        <v/>
      </c>
      <c r="H670" s="833" t="n"/>
      <c r="I670" s="904" t="n">
        <v>6.75</v>
      </c>
      <c r="J670" s="340">
        <f>F670*18%</f>
        <v/>
      </c>
      <c r="K670" s="340">
        <f>(F670-J670)*1.65%</f>
        <v/>
      </c>
      <c r="L670" s="340">
        <f>(F670-J670)*7.6%</f>
        <v/>
      </c>
      <c r="M670" s="1097" t="n">
        <v>1.07</v>
      </c>
      <c r="N670" s="785">
        <f>(G670+I670)*(9.25%)</f>
        <v/>
      </c>
      <c r="O670" s="701" t="n">
        <v>4.17</v>
      </c>
      <c r="P670" s="1016">
        <f>(F670 - (G670+I670+O670+(J670+K670+L670))) - (H670-M670-N670)</f>
        <v/>
      </c>
      <c r="Q670" s="462">
        <f>P670/F670</f>
        <v/>
      </c>
      <c r="R670" s="1206" t="n"/>
      <c r="S670" s="904" t="n"/>
      <c r="T670" s="569" t="n"/>
      <c r="U670" s="1030" t="n"/>
      <c r="V670" s="1030" t="n"/>
      <c r="W670" s="1030" t="n"/>
    </row>
    <row r="671" ht="15.75" customHeight="1" s="1349">
      <c r="A671" s="1292" t="n"/>
      <c r="B671" s="904" t="n"/>
      <c r="C671" s="904" t="n"/>
      <c r="D671" s="904" t="inlineStr">
        <is>
          <t>Kit Pintura 23cm Garfo Pintura Bucha Aço + Rolo Poliamida Alta Performance</t>
        </is>
      </c>
      <c r="E671" s="904" t="n"/>
      <c r="F671" s="856" t="n"/>
      <c r="G671" s="1016">
        <f>F671*17%</f>
        <v/>
      </c>
      <c r="H671" s="833" t="n"/>
      <c r="I671" s="904" t="n"/>
      <c r="J671" s="340">
        <f>F671*18%</f>
        <v/>
      </c>
      <c r="K671" s="340">
        <f>(F671-J671)*1.65%</f>
        <v/>
      </c>
      <c r="L671" s="340">
        <f>(F671-J671)*7.6%</f>
        <v/>
      </c>
      <c r="M671" s="1097" t="n"/>
      <c r="N671" s="785">
        <f>(G671+I671)*(9.25%)</f>
        <v/>
      </c>
      <c r="O671" s="904" t="n"/>
      <c r="P671" s="1016">
        <f>(F671 - (G671+I671+O671+(J671+K671+L671))) - (H671-M671-N671)</f>
        <v/>
      </c>
      <c r="Q671" s="462">
        <f>P671/F671</f>
        <v/>
      </c>
      <c r="R671" s="1206" t="n"/>
      <c r="S671" s="904" t="n"/>
      <c r="T671" s="569" t="n"/>
      <c r="U671" s="1030" t="n"/>
      <c r="V671" s="1030" t="n"/>
      <c r="W671" s="1030" t="n"/>
    </row>
    <row r="672" ht="15.75" customHeight="1" s="1349">
      <c r="A672" s="1292" t="inlineStr">
        <is>
          <t>6589529368</t>
        </is>
      </c>
      <c r="B672" s="904" t="n">
        <v>10034034168366</v>
      </c>
      <c r="C672" s="904" t="inlineStr">
        <is>
          <t>Irwin</t>
        </is>
      </c>
      <c r="D672" s="481" t="inlineStr">
        <is>
          <t>Kit 10 Broca Aço Rápido Hss Profissional 3mm Metal Alumínio</t>
        </is>
      </c>
      <c r="E672" s="904" t="n">
        <v>78.98999999999999</v>
      </c>
      <c r="F672" s="856" t="n">
        <v>58.19</v>
      </c>
      <c r="G672" s="1016">
        <f>F672*12%</f>
        <v/>
      </c>
      <c r="H672" s="833" t="n">
        <v>-2.08</v>
      </c>
      <c r="I672" s="904" t="n">
        <v>7.75</v>
      </c>
      <c r="J672" s="450" t="n">
        <v>0</v>
      </c>
      <c r="K672" s="340">
        <f>(F672-J672)*1.65%</f>
        <v/>
      </c>
      <c r="L672" s="340">
        <f>(F672-J672)*7.6%</f>
        <v/>
      </c>
      <c r="M672" s="1097">
        <f>0.35*10</f>
        <v/>
      </c>
      <c r="N672" s="785">
        <f>(G672+I672)*(9.25%)</f>
        <v/>
      </c>
      <c r="O672" s="701">
        <f>3.95*10</f>
        <v/>
      </c>
      <c r="P672" s="1016">
        <f>(F672 - (G672+I672+O672+(J672+K672+L672))) - (H672-M672-N672)</f>
        <v/>
      </c>
      <c r="Q672" s="462">
        <f>P672/F672</f>
        <v/>
      </c>
      <c r="R672" s="1206" t="inlineStr">
        <is>
          <t>Ativo</t>
        </is>
      </c>
      <c r="S672" s="904" t="n"/>
      <c r="T672" s="569" t="n"/>
      <c r="U672" s="1030" t="n"/>
      <c r="V672" s="1030" t="n"/>
      <c r="W672" s="1030" t="n"/>
    </row>
    <row r="673" ht="15.75" customHeight="1" s="1349">
      <c r="A673" s="1292" t="inlineStr">
        <is>
          <t>6589707404</t>
        </is>
      </c>
      <c r="B673" s="904" t="n">
        <v>10034034168367</v>
      </c>
      <c r="C673" s="904" t="inlineStr">
        <is>
          <t>Irwin</t>
        </is>
      </c>
      <c r="D673" s="481" t="inlineStr">
        <is>
          <t>Kit 10 Broca Aço Rápido Hss Metal Alumínio 4mm 5/32 Afiada</t>
        </is>
      </c>
      <c r="E673" s="904" t="n">
        <v>78.98999999999999</v>
      </c>
      <c r="F673" s="856" t="n">
        <v>67.8</v>
      </c>
      <c r="G673" s="1016">
        <f>F673*12%</f>
        <v/>
      </c>
      <c r="H673" s="833" t="n">
        <v>-1.11</v>
      </c>
      <c r="I673" s="904" t="n">
        <v>7.75</v>
      </c>
      <c r="J673" s="450" t="n">
        <v>0</v>
      </c>
      <c r="K673" s="340">
        <f>(F673-J673)*1.65%</f>
        <v/>
      </c>
      <c r="L673" s="340">
        <f>(F673-J673)*7.6%</f>
        <v/>
      </c>
      <c r="M673" s="1097">
        <f>0.37*10</f>
        <v/>
      </c>
      <c r="N673" s="785">
        <f>(G673+I673)*(9.25%)</f>
        <v/>
      </c>
      <c r="O673" s="701">
        <f>4.6*10</f>
        <v/>
      </c>
      <c r="P673" s="1016">
        <f>(F673 - (G673+I673+O673+(J673+K673+L673))) - (H673-M673-N673)</f>
        <v/>
      </c>
      <c r="Q673" s="462">
        <f>P673/F673</f>
        <v/>
      </c>
      <c r="R673" s="1206" t="inlineStr">
        <is>
          <t>Ativo</t>
        </is>
      </c>
      <c r="S673" s="904" t="n"/>
      <c r="T673" s="569" t="n"/>
      <c r="U673" s="1030" t="n"/>
      <c r="V673" s="1030" t="n"/>
      <c r="W673" s="1030" t="n"/>
    </row>
    <row r="674" ht="15.75" customHeight="1" s="1349">
      <c r="A674" s="1292" t="inlineStr">
        <is>
          <t>6590073210 4645639763</t>
        </is>
      </c>
      <c r="B674" s="904" t="n">
        <v>10034034168369</v>
      </c>
      <c r="C674" s="904" t="inlineStr">
        <is>
          <t>Irwin</t>
        </is>
      </c>
      <c r="D674" s="481" t="inlineStr">
        <is>
          <t>Kit 5 Broca Aço Rápido Hss Serralheria 3/8 Alumínio Metal</t>
        </is>
      </c>
      <c r="E674" s="904" t="n">
        <v>199</v>
      </c>
      <c r="F674" s="856" t="n">
        <v>137.74</v>
      </c>
      <c r="G674" s="1016">
        <f>F674*17%</f>
        <v/>
      </c>
      <c r="H674" s="833" t="n">
        <v>-6.12</v>
      </c>
      <c r="I674" s="904" t="n">
        <v>18.45</v>
      </c>
      <c r="J674" s="450" t="n">
        <v>0</v>
      </c>
      <c r="K674" s="340">
        <f>(F674-J674)*1.65%</f>
        <v/>
      </c>
      <c r="L674" s="340">
        <f>(F674-J674)*7.6%</f>
        <v/>
      </c>
      <c r="M674" s="1097">
        <f>1.45*5</f>
        <v/>
      </c>
      <c r="N674" s="785">
        <f>(G674+I674)*(9.25%)</f>
        <v/>
      </c>
      <c r="O674" s="701">
        <f>18.58*5</f>
        <v/>
      </c>
      <c r="P674" s="1016">
        <f>(F674 - (G674+I674+O674+(J674+K674+L674))) - (H674-M674-N674)</f>
        <v/>
      </c>
      <c r="Q674" s="462">
        <f>P674/F674</f>
        <v/>
      </c>
      <c r="R674" s="1206" t="inlineStr">
        <is>
          <t>Ativo</t>
        </is>
      </c>
      <c r="S674" s="904" t="n"/>
      <c r="T674" s="569" t="n"/>
      <c r="U674" s="1030" t="n"/>
      <c r="V674" s="1030" t="n"/>
      <c r="W674" s="1030" t="n"/>
    </row>
    <row r="675" ht="15.75" customHeight="1" s="1349">
      <c r="A675" s="1292" t="inlineStr">
        <is>
          <t>4592671495</t>
        </is>
      </c>
      <c r="B675" s="904" t="n">
        <v>10034034168371</v>
      </c>
      <c r="C675" s="904" t="inlineStr">
        <is>
          <t>Irwin</t>
        </is>
      </c>
      <c r="D675" s="765" t="inlineStr">
        <is>
          <t>Kit 10 Broca Aço Rápido Hss Para Furadeira 1/4 Perfuração</t>
        </is>
      </c>
      <c r="E675" s="904" t="n">
        <v>199</v>
      </c>
      <c r="F675" s="856" t="n">
        <v>124.9</v>
      </c>
      <c r="G675" s="1016">
        <f>F675*17%</f>
        <v/>
      </c>
      <c r="H675" s="833" t="n"/>
      <c r="I675" s="904" t="n">
        <v>18.45</v>
      </c>
      <c r="J675" s="450" t="n">
        <v>0</v>
      </c>
      <c r="K675" s="340">
        <f>(F675-J675)*1.65%</f>
        <v/>
      </c>
      <c r="L675" s="340">
        <f>(F675-J675)*7.6%</f>
        <v/>
      </c>
      <c r="M675" s="1097">
        <f>0.66*10</f>
        <v/>
      </c>
      <c r="N675" s="785">
        <f>(G675+I675)*(9.25%)</f>
        <v/>
      </c>
      <c r="O675" s="701">
        <f>7.93*10</f>
        <v/>
      </c>
      <c r="P675" s="1016">
        <f>(F675 - (G675+I675+O675+(J675+K675+L675))) - (H675-M675-N675)</f>
        <v/>
      </c>
      <c r="Q675" s="462">
        <f>P675/F675</f>
        <v/>
      </c>
      <c r="R675" s="1206" t="inlineStr">
        <is>
          <t>Ativo</t>
        </is>
      </c>
      <c r="S675" s="904" t="n"/>
      <c r="T675" s="569" t="n"/>
      <c r="U675" s="1030" t="n"/>
      <c r="V675" s="1030" t="n"/>
      <c r="W675" s="1030" t="n"/>
    </row>
    <row r="676" ht="15.75" customHeight="1" s="1349">
      <c r="A676" s="1292" t="inlineStr">
        <is>
          <t>6624818426</t>
        </is>
      </c>
      <c r="B676" s="904" t="n">
        <v>10034034168372</v>
      </c>
      <c r="C676" s="904" t="inlineStr">
        <is>
          <t>Irwin</t>
        </is>
      </c>
      <c r="D676" s="481" t="inlineStr">
        <is>
          <t>Kit 5 Jogo Broca Aço Rápido 5/16 Hss Fura Alumínio Metal</t>
        </is>
      </c>
      <c r="E676" s="904" t="n">
        <v>99</v>
      </c>
      <c r="F676" s="856" t="n">
        <v>83.31999999999999</v>
      </c>
      <c r="G676" s="1016">
        <f>F676*17%</f>
        <v/>
      </c>
      <c r="H676" s="833" t="n">
        <v>-1.56</v>
      </c>
      <c r="I676" s="904" t="n">
        <v>12.35</v>
      </c>
      <c r="J676" s="450" t="n">
        <v>0</v>
      </c>
      <c r="K676" s="340">
        <f>(F676-J676)*1.65%</f>
        <v/>
      </c>
      <c r="L676" s="340">
        <f>(F676-J676)*7.6%</f>
        <v/>
      </c>
      <c r="M676" s="1097">
        <f>0.87*5</f>
        <v/>
      </c>
      <c r="N676" s="785">
        <f>(G676+I676)*(9.25%)</f>
        <v/>
      </c>
      <c r="O676" s="701">
        <f>10.83*5</f>
        <v/>
      </c>
      <c r="P676" s="1016">
        <f>(F676 - (G676+I676+O676+(J676+K676+L676))) - (H676-M676-N676)</f>
        <v/>
      </c>
      <c r="Q676" s="462">
        <f>P676/F676</f>
        <v/>
      </c>
      <c r="R676" s="1206" t="inlineStr">
        <is>
          <t>Ativo</t>
        </is>
      </c>
      <c r="S676" s="904" t="n"/>
      <c r="T676" s="569" t="n"/>
      <c r="U676" s="1030" t="n"/>
      <c r="V676" s="1030" t="n"/>
      <c r="W676" s="1030" t="n"/>
    </row>
    <row r="677" ht="15.75" customHeight="1" s="1349">
      <c r="A677" s="1292" t="inlineStr">
        <is>
          <t>4597565719</t>
        </is>
      </c>
      <c r="B677" s="904" t="n">
        <v>10034034166654</v>
      </c>
      <c r="C677" s="904" t="inlineStr">
        <is>
          <t>Irwin</t>
        </is>
      </c>
      <c r="D677" s="481" t="inlineStr">
        <is>
          <t>Tesoura Extra Cut Aço Cromado Profissional Corte Metálico</t>
        </is>
      </c>
      <c r="E677" s="904" t="n">
        <v>250</v>
      </c>
      <c r="F677" s="856" t="n">
        <v>185</v>
      </c>
      <c r="G677" s="1016">
        <f>F677*12%</f>
        <v/>
      </c>
      <c r="H677" s="833" t="n"/>
      <c r="I677" s="904" t="n">
        <v>22.45</v>
      </c>
      <c r="J677" s="450" t="n">
        <v>0</v>
      </c>
      <c r="K677" s="340">
        <f>(F677-J677)*1.65%</f>
        <v/>
      </c>
      <c r="L677" s="340">
        <f>(F677-J677)*7.6%</f>
        <v/>
      </c>
      <c r="M677" s="1097" t="n">
        <v>1.53</v>
      </c>
      <c r="N677" s="785">
        <f>(G677+I677)*(9.25%)</f>
        <v/>
      </c>
      <c r="O677" s="701" t="n">
        <v>115.78</v>
      </c>
      <c r="P677" s="1016">
        <f>(F677 - (G677+I677+O677+(J677+K677+L677))) - (H677-M677-N677)</f>
        <v/>
      </c>
      <c r="Q677" s="462">
        <f>P677/F677</f>
        <v/>
      </c>
      <c r="R677" s="1206" t="inlineStr">
        <is>
          <t>Ativo</t>
        </is>
      </c>
      <c r="S677" s="904" t="n"/>
      <c r="T677" s="569" t="n"/>
      <c r="U677" s="1030" t="n"/>
      <c r="V677" s="1030" t="n"/>
      <c r="W677" s="1030" t="n"/>
    </row>
    <row r="678" ht="15.75" customHeight="1" s="1349">
      <c r="A678" s="1292" t="inlineStr">
        <is>
          <t>4610024203</t>
        </is>
      </c>
      <c r="B678" s="904" t="n">
        <v>10034034168403</v>
      </c>
      <c r="C678" s="904" t="inlineStr">
        <is>
          <t>Irwin</t>
        </is>
      </c>
      <c r="D678" s="481" t="inlineStr">
        <is>
          <t>Kit 5 Broca Aço Rápido 9/64 Hss Serralheria Metalurgia Pro</t>
        </is>
      </c>
      <c r="E678" s="904" t="n">
        <v>50</v>
      </c>
      <c r="F678" s="856" t="n">
        <v>36.6</v>
      </c>
      <c r="G678" s="1016">
        <f>F678*12%</f>
        <v/>
      </c>
      <c r="H678" s="833" t="n"/>
      <c r="I678" s="904" t="n">
        <v>7.75</v>
      </c>
      <c r="J678" s="450" t="n">
        <v>0</v>
      </c>
      <c r="K678" s="340">
        <f>(F678-J678)*1.65%</f>
        <v/>
      </c>
      <c r="L678" s="340">
        <f>(F678-J678)*7.6%</f>
        <v/>
      </c>
      <c r="M678" s="1097">
        <f>0.34*5</f>
        <v/>
      </c>
      <c r="N678" s="785">
        <f>(G678+I678)*(9.25%)</f>
        <v/>
      </c>
      <c r="O678" s="701">
        <f>4.08*5</f>
        <v/>
      </c>
      <c r="P678" s="1016">
        <f>(F678 - (G678+I678+O678+(J678+K678+L678))) - (H678-M678-N678)</f>
        <v/>
      </c>
      <c r="Q678" s="462">
        <f>P678/F678</f>
        <v/>
      </c>
      <c r="R678" s="1206" t="inlineStr">
        <is>
          <t>Ativo</t>
        </is>
      </c>
      <c r="S678" s="904" t="n"/>
      <c r="T678" s="569" t="n"/>
      <c r="U678" s="1030" t="n"/>
      <c r="V678" s="1030" t="n"/>
      <c r="W678" s="1030" t="n"/>
    </row>
    <row r="679" ht="15.75" customHeight="1" s="1349">
      <c r="A679" s="1206" t="n">
        <v>6625176732</v>
      </c>
      <c r="B679" s="904" t="n">
        <v>10034034168402</v>
      </c>
      <c r="C679" s="904" t="inlineStr">
        <is>
          <t>Irwin</t>
        </is>
      </c>
      <c r="D679" s="858" t="inlineStr">
        <is>
          <t>Kit 10 Broca Aço Rápido Hss 9/64 Resistente P/ Furadeira</t>
        </is>
      </c>
      <c r="E679" s="904" t="n">
        <v>78.98999999999999</v>
      </c>
      <c r="F679" s="856" t="n">
        <v>62.95</v>
      </c>
      <c r="G679" s="1016">
        <f>F679*12%</f>
        <v/>
      </c>
      <c r="H679" s="833" t="n"/>
      <c r="I679" s="904" t="n">
        <v>7.75</v>
      </c>
      <c r="J679" s="450" t="n">
        <v>0</v>
      </c>
      <c r="K679" s="340">
        <f>(F679-J679)*1.65%</f>
        <v/>
      </c>
      <c r="L679" s="340">
        <f>(F679-J679)*7.6%</f>
        <v/>
      </c>
      <c r="M679" s="1097">
        <f>0.34*10</f>
        <v/>
      </c>
      <c r="N679" s="785">
        <f>(G679+I679)*(9.25%)</f>
        <v/>
      </c>
      <c r="O679" s="701">
        <f>4.08*10</f>
        <v/>
      </c>
      <c r="P679" s="1016">
        <f>(F679 - (G679+I679+O679+(J679+K679+L679))) - (H679-M679-N679)</f>
        <v/>
      </c>
      <c r="Q679" s="462">
        <f>P679/F679</f>
        <v/>
      </c>
      <c r="R679" s="1206" t="inlineStr">
        <is>
          <t>Ativo</t>
        </is>
      </c>
      <c r="S679" s="904" t="n"/>
      <c r="T679" s="569" t="n"/>
      <c r="U679" s="1030" t="n"/>
      <c r="V679" s="1030" t="n"/>
      <c r="W679" s="1030" t="n"/>
    </row>
    <row r="680" ht="15.75" customHeight="1" s="1349">
      <c r="A680" s="1292" t="inlineStr">
        <is>
          <t>6604758386</t>
        </is>
      </c>
      <c r="B680" s="884" t="inlineStr">
        <is>
          <t>CELULAGAS1000PINO3X27</t>
        </is>
      </c>
      <c r="C680" s="904" t="inlineStr">
        <is>
          <t>ÂNCORA</t>
        </is>
      </c>
      <c r="D680" s="481" t="inlineStr">
        <is>
          <t>Kit Célula De Carga Gás + 1000 Pino Liso 3x27mm Aço Fga850n</t>
        </is>
      </c>
      <c r="E680" s="904" t="n">
        <v>450</v>
      </c>
      <c r="F680" s="856" t="n">
        <v>338.53</v>
      </c>
      <c r="G680" s="1016">
        <f>F680*17%</f>
        <v/>
      </c>
      <c r="H680" s="833" t="n">
        <v>-11.14</v>
      </c>
      <c r="I680" s="904" t="n">
        <v>26.25</v>
      </c>
      <c r="J680" s="340">
        <f>F680*18%</f>
        <v/>
      </c>
      <c r="K680" s="340">
        <f>(F680-J680)*1.65%</f>
        <v/>
      </c>
      <c r="L680" s="340">
        <f>(F680-J680)*7.6%</f>
        <v/>
      </c>
      <c r="M680" s="1097">
        <f>16.01+7.27</f>
        <v/>
      </c>
      <c r="N680" s="785">
        <f>(G680+I680)*(9.25%)</f>
        <v/>
      </c>
      <c r="O680" s="701">
        <f>124.34 + 60.1</f>
        <v/>
      </c>
      <c r="P680" s="1016">
        <f>(F680 - (G680+I680+O680+(J680+K680+L680))) - (H680-M680-N680)</f>
        <v/>
      </c>
      <c r="Q680" s="462">
        <f>P680/F680</f>
        <v/>
      </c>
      <c r="R680" s="1206" t="inlineStr">
        <is>
          <t>Ativo</t>
        </is>
      </c>
      <c r="S680" s="904" t="n"/>
      <c r="T680" s="569" t="n"/>
      <c r="U680" s="1030" t="n"/>
      <c r="V680" s="1030" t="n"/>
      <c r="W680" s="1030" t="n"/>
    </row>
    <row r="681" ht="15.75" customHeight="1" s="1349">
      <c r="A681" s="1292" t="inlineStr">
        <is>
          <t>6605030142</t>
        </is>
      </c>
      <c r="B681" s="904" t="inlineStr">
        <is>
          <t>1000PINOLISO3X27</t>
        </is>
      </c>
      <c r="C681" s="904" t="inlineStr">
        <is>
          <t>ÂNCORA</t>
        </is>
      </c>
      <c r="D681" s="481" t="inlineStr">
        <is>
          <t>Kit 1000 Pino Liso 3x27mm Aço Galvanizado P/ Pistola Fga850n</t>
        </is>
      </c>
      <c r="E681" s="904" t="n">
        <v>149</v>
      </c>
      <c r="F681" s="856" t="n">
        <v>139.9</v>
      </c>
      <c r="G681" s="1016">
        <f>F681*12%</f>
        <v/>
      </c>
      <c r="H681" s="833" t="n"/>
      <c r="I681" s="904" t="n">
        <v>21.05</v>
      </c>
      <c r="J681" s="340">
        <f>F681*18%</f>
        <v/>
      </c>
      <c r="K681" s="340">
        <f>(F681-J681)*1.65%</f>
        <v/>
      </c>
      <c r="L681" s="340">
        <f>(F681-J681)*7.6%</f>
        <v/>
      </c>
      <c r="M681" s="863" t="n">
        <v>7.27</v>
      </c>
      <c r="N681" s="864">
        <f>(G681+I681)*(9.25%)</f>
        <v/>
      </c>
      <c r="O681" s="701" t="n">
        <v>60.1</v>
      </c>
      <c r="P681" s="1016">
        <f>(F681 - (G681+I681+O681+(J681+K681+L681))) - (H681-M681-N681)</f>
        <v/>
      </c>
      <c r="Q681" s="462">
        <f>P681/F681</f>
        <v/>
      </c>
      <c r="R681" s="1206" t="inlineStr">
        <is>
          <t>Ativo</t>
        </is>
      </c>
      <c r="S681" s="904" t="n"/>
      <c r="T681" s="569" t="n"/>
      <c r="U681" s="1030" t="n"/>
      <c r="V681" s="1030" t="n"/>
      <c r="W681" s="1030" t="n"/>
    </row>
    <row r="682" ht="15.75" customHeight="1" s="1349">
      <c r="A682" s="1292" t="inlineStr">
        <is>
          <t>4612423125</t>
        </is>
      </c>
      <c r="B682" s="904" t="n">
        <v>10034034168409</v>
      </c>
      <c r="C682" s="904" t="inlineStr">
        <is>
          <t>Irwin</t>
        </is>
      </c>
      <c r="D682" s="481" t="inlineStr">
        <is>
          <t>Kit 10 Broca Videa 5mm 3/16 Concreto Parede Alvenaria Tijolo</t>
        </is>
      </c>
      <c r="E682" s="904" t="n">
        <v>78.98999999999999</v>
      </c>
      <c r="F682" s="856" t="n">
        <v>69.37</v>
      </c>
      <c r="G682" s="1016">
        <f>F682*12%</f>
        <v/>
      </c>
      <c r="H682" s="833" t="n">
        <v>-0.6899999999999999</v>
      </c>
      <c r="I682" s="904" t="n">
        <v>7.75</v>
      </c>
      <c r="J682" s="450" t="n">
        <v>0</v>
      </c>
      <c r="K682" s="340">
        <f>(F682-J682)*1.65%</f>
        <v/>
      </c>
      <c r="L682" s="340">
        <f>(F682-J682)*7.6%</f>
        <v/>
      </c>
      <c r="M682" s="863">
        <f>0.42*10</f>
        <v/>
      </c>
      <c r="N682" s="864">
        <f>(G682+I682)*(9.25%)</f>
        <v/>
      </c>
      <c r="O682" s="701">
        <f>4.86*10</f>
        <v/>
      </c>
      <c r="P682" s="1016">
        <f>(F682 - (G682+I682+O682+(J682+K682+L682))) - (H682-M682-N682)</f>
        <v/>
      </c>
      <c r="Q682" s="462">
        <f>P682/F682</f>
        <v/>
      </c>
      <c r="R682" s="1206" t="inlineStr">
        <is>
          <t>Ativo</t>
        </is>
      </c>
      <c r="S682" s="904" t="n"/>
      <c r="T682" s="569" t="n"/>
      <c r="U682" s="1030" t="n"/>
      <c r="V682" s="1030" t="n"/>
      <c r="W682" s="1030" t="n"/>
    </row>
    <row r="683" ht="15.75" customHeight="1" s="1349">
      <c r="A683" s="1292" t="inlineStr">
        <is>
          <t>4626224735</t>
        </is>
      </c>
      <c r="B683" s="904" t="n">
        <v>10034034168408</v>
      </c>
      <c r="C683" s="904" t="inlineStr">
        <is>
          <t>Vonder</t>
        </is>
      </c>
      <c r="D683" s="481" t="inlineStr">
        <is>
          <t>5kg Eletrodo Revestido Aço Carbono E6013 Solda Geral 350mm</t>
        </is>
      </c>
      <c r="E683" s="904" t="n">
        <v>149</v>
      </c>
      <c r="F683" s="856" t="n">
        <v>105.73</v>
      </c>
      <c r="G683" s="1016">
        <f>F683*17%</f>
        <v/>
      </c>
      <c r="H683" s="833" t="n">
        <v>-6.34</v>
      </c>
      <c r="I683" s="904" t="n">
        <v>21.55</v>
      </c>
      <c r="J683" s="450" t="n">
        <v>0</v>
      </c>
      <c r="K683" s="340">
        <f>(F683-J683)*1.65%</f>
        <v/>
      </c>
      <c r="L683" s="340">
        <f>(F683-J683)*7.6%</f>
        <v/>
      </c>
      <c r="M683" s="863">
        <f>0.95*5</f>
        <v/>
      </c>
      <c r="N683" s="864">
        <f>(G683+I683)*(9.25%)</f>
        <v/>
      </c>
      <c r="O683" s="701">
        <f>12.17*5</f>
        <v/>
      </c>
      <c r="P683" s="1016">
        <f>(F683 - (G683+I683+O683+(J683+K683+L683))) - (H683-M683-N683)</f>
        <v/>
      </c>
      <c r="Q683" s="462">
        <f>P683/F683</f>
        <v/>
      </c>
      <c r="R683" s="1206" t="inlineStr">
        <is>
          <t>Ativo</t>
        </is>
      </c>
      <c r="S683" s="904" t="n"/>
      <c r="T683" s="569" t="n"/>
      <c r="U683" s="1030" t="n"/>
      <c r="V683" s="1030" t="n"/>
      <c r="W683" s="1030" t="n"/>
    </row>
    <row r="684" ht="15.75" customHeight="1" s="1349">
      <c r="A684" s="1292" t="inlineStr">
        <is>
          <t>6687726672</t>
        </is>
      </c>
      <c r="B684" s="904" t="n">
        <v>10034034168406</v>
      </c>
      <c r="C684" s="904" t="inlineStr">
        <is>
          <t>Irwin</t>
        </is>
      </c>
      <c r="D684" s="481" t="inlineStr">
        <is>
          <t>Kit 10 Jogo Broca Aço Rápido 1/8 Hss Fura Alumínio Metal Pro</t>
        </is>
      </c>
      <c r="E684" s="904" t="n">
        <v>78.98999999999999</v>
      </c>
      <c r="F684" s="856" t="n">
        <v>57.23</v>
      </c>
      <c r="G684" s="1016">
        <f>F684*17%</f>
        <v/>
      </c>
      <c r="H684" s="833" t="n">
        <v>-2.17</v>
      </c>
      <c r="I684" s="904" t="n">
        <v>7.75</v>
      </c>
      <c r="J684" s="450" t="n">
        <v>0</v>
      </c>
      <c r="K684" s="340">
        <f>(F684-J684)*1.65%</f>
        <v/>
      </c>
      <c r="L684" s="340">
        <f>(F684-J684)*7.6%</f>
        <v/>
      </c>
      <c r="M684" s="863">
        <f>0.32*10</f>
        <v/>
      </c>
      <c r="N684" s="864">
        <f>(G684+I684)*(9.25%)</f>
        <v/>
      </c>
      <c r="O684" s="701">
        <f>3.75*10</f>
        <v/>
      </c>
      <c r="P684" s="1016">
        <f>(F684 - (G684+I684+O684+(J684+K684+L684))) - (H684-M684-N684)</f>
        <v/>
      </c>
      <c r="Q684" s="462">
        <f>P684/F684</f>
        <v/>
      </c>
      <c r="R684" s="1206" t="inlineStr">
        <is>
          <t>Ativo</t>
        </is>
      </c>
      <c r="S684" s="861" t="n">
        <v>46235</v>
      </c>
      <c r="T684" s="569" t="n"/>
      <c r="U684" s="1030" t="n"/>
      <c r="V684" s="1030" t="n"/>
      <c r="W684" s="1030" t="n"/>
    </row>
    <row r="685" ht="15.75" customHeight="1" s="1349">
      <c r="A685" s="1292" t="inlineStr">
        <is>
          <t>4642844935</t>
        </is>
      </c>
      <c r="B685" s="904" t="n">
        <v>10034034168427</v>
      </c>
      <c r="C685" s="904" t="inlineStr">
        <is>
          <t>Irwin</t>
        </is>
      </c>
      <c r="D685" s="481" t="inlineStr">
        <is>
          <t>Kit 10 Jogo Broca Aço Rápido 4mm Hss Alumínio Metal Premium</t>
        </is>
      </c>
      <c r="E685" s="904" t="n">
        <v>78.98999999999999</v>
      </c>
      <c r="F685" s="856" t="n">
        <v>66.5</v>
      </c>
      <c r="G685" s="1016">
        <f>F685*17%</f>
        <v/>
      </c>
      <c r="H685" s="833" t="n"/>
      <c r="I685" s="904" t="n">
        <v>7.75</v>
      </c>
      <c r="J685" s="450" t="n">
        <v>0</v>
      </c>
      <c r="K685" s="340">
        <f>(F685-J685)*1.65%</f>
        <v/>
      </c>
      <c r="L685" s="340">
        <f>(F685-J685)*7.6%</f>
        <v/>
      </c>
      <c r="M685" s="863">
        <f>0.35*10</f>
        <v/>
      </c>
      <c r="N685" s="864">
        <f>(G685+I685)*(9.25%)</f>
        <v/>
      </c>
      <c r="O685" s="701">
        <f>4.24*10</f>
        <v/>
      </c>
      <c r="P685" s="1016">
        <f>(F685 - (G685+I685+O685+(J685+K685+L685))) - (H685-M685-N685)</f>
        <v/>
      </c>
      <c r="Q685" s="462">
        <f>P685/F685</f>
        <v/>
      </c>
      <c r="R685" s="1206" t="inlineStr">
        <is>
          <t>Ativo</t>
        </is>
      </c>
      <c r="S685" s="904" t="inlineStr">
        <is>
          <t>4mm</t>
        </is>
      </c>
      <c r="T685" s="569" t="n"/>
      <c r="U685" s="1030" t="n"/>
      <c r="V685" s="1030" t="n"/>
      <c r="W685" s="1030" t="n"/>
    </row>
    <row r="686" ht="15.75" customHeight="1" s="1349">
      <c r="A686" s="862" t="inlineStr">
        <is>
          <t>4645578423</t>
        </is>
      </c>
      <c r="B686" s="904" t="n">
        <v>10034034166783</v>
      </c>
      <c r="C686" s="904" t="inlineStr">
        <is>
          <t>ÂNCORA</t>
        </is>
      </c>
      <c r="D686" s="481" t="inlineStr">
        <is>
          <t>Pacote 100 Porca Aço Galvanizado Sextavado Roscado 1/2</t>
        </is>
      </c>
      <c r="E686" s="904" t="n">
        <v>78.98999999999999</v>
      </c>
      <c r="F686" s="856" t="n">
        <v>60.03</v>
      </c>
      <c r="G686" s="1016">
        <f>F686*17%</f>
        <v/>
      </c>
      <c r="H686" s="833" t="n">
        <v>-1.89</v>
      </c>
      <c r="I686" s="904" t="n">
        <v>7.95</v>
      </c>
      <c r="J686" s="340">
        <f>F686*18%</f>
        <v/>
      </c>
      <c r="K686" s="340">
        <f>(F686-J686)*1.65%</f>
        <v/>
      </c>
      <c r="L686" s="340">
        <f>(F686-J686)*7.6%</f>
        <v/>
      </c>
      <c r="M686" s="863" t="n">
        <v>3.29</v>
      </c>
      <c r="N686" s="864">
        <f>(G686+I686)*(9.25%)</f>
        <v/>
      </c>
      <c r="O686" s="701" t="n">
        <v>27.17</v>
      </c>
      <c r="P686" s="1016">
        <f>(F686 - (G686+I686+O686+(J686+K686+L686))) - (H686-M686-N686)</f>
        <v/>
      </c>
      <c r="Q686" s="462">
        <f>P686/F686</f>
        <v/>
      </c>
      <c r="R686" s="1206" t="inlineStr">
        <is>
          <t>Ativo</t>
        </is>
      </c>
      <c r="S686" s="904" t="n"/>
      <c r="T686" s="569" t="n"/>
      <c r="U686" s="1030" t="n"/>
      <c r="V686" s="1030" t="n"/>
      <c r="W686" s="1030" t="n"/>
    </row>
    <row r="687" ht="15.75" customHeight="1" s="1349">
      <c r="A687" s="1292" t="n"/>
      <c r="B687" s="904" t="n"/>
      <c r="C687" s="904" t="n"/>
      <c r="D687" s="904" t="inlineStr">
        <is>
          <t>porca 1/4 100un</t>
        </is>
      </c>
      <c r="E687" s="904" t="n">
        <v>40</v>
      </c>
      <c r="F687" s="856" t="n">
        <v>25</v>
      </c>
      <c r="G687" s="1016">
        <f>F687*17%</f>
        <v/>
      </c>
      <c r="H687" s="833" t="n"/>
      <c r="I687" s="904" t="n">
        <v>6.85</v>
      </c>
      <c r="J687" s="340">
        <f>F687*18%</f>
        <v/>
      </c>
      <c r="K687" s="340">
        <f>(F687-J687)*1.65%</f>
        <v/>
      </c>
      <c r="L687" s="340">
        <f>(F687-J687)*7.6%</f>
        <v/>
      </c>
      <c r="M687" s="863">
        <f>0.66*1</f>
        <v/>
      </c>
      <c r="N687" s="864">
        <f>(G687+I687)*(9.25%)</f>
        <v/>
      </c>
      <c r="O687" s="701">
        <f>5.44*1</f>
        <v/>
      </c>
      <c r="P687" s="1016">
        <f>(F687 - (G687+I687+O687+(J687+K687+L687))) - (H687-M687-N687)</f>
        <v/>
      </c>
      <c r="Q687" s="462">
        <f>P687/F687</f>
        <v/>
      </c>
      <c r="R687" s="1206" t="n"/>
      <c r="S687" s="904" t="n"/>
      <c r="T687" s="569" t="n"/>
      <c r="U687" s="1030" t="n"/>
      <c r="V687" s="1030" t="n"/>
      <c r="W687" s="1030" t="n"/>
    </row>
    <row r="688" ht="15.75" customHeight="1" s="1349">
      <c r="A688" s="1292" t="n"/>
      <c r="B688" s="904" t="n"/>
      <c r="C688" s="904" t="n"/>
      <c r="D688" s="904" t="inlineStr">
        <is>
          <t>porca 1/4 500un</t>
        </is>
      </c>
      <c r="E688" s="904" t="n">
        <v>78.98999999999999</v>
      </c>
      <c r="F688" s="856" t="n">
        <v>78.98999999999999</v>
      </c>
      <c r="G688" s="1016">
        <f>F688*17%</f>
        <v/>
      </c>
      <c r="H688" s="833" t="n"/>
      <c r="I688" s="904" t="n">
        <v>6.85</v>
      </c>
      <c r="J688" s="340">
        <f>F688*18%</f>
        <v/>
      </c>
      <c r="K688" s="340">
        <f>(F688-J688)*1.65%</f>
        <v/>
      </c>
      <c r="L688" s="340">
        <f>(F688-J688)*7.6%</f>
        <v/>
      </c>
      <c r="M688" s="863">
        <f>0.66*5</f>
        <v/>
      </c>
      <c r="N688" s="864">
        <f>(G688+I688)*(9.25%)</f>
        <v/>
      </c>
      <c r="O688" s="701">
        <f>5.44*5</f>
        <v/>
      </c>
      <c r="P688" s="1016">
        <f>(F688 - (G688+I688+O688+(J688+K688+L688))) - (H688-M688-N688)</f>
        <v/>
      </c>
      <c r="Q688" s="462">
        <f>P688/F688</f>
        <v/>
      </c>
      <c r="R688" s="1206" t="n"/>
      <c r="S688" s="904" t="n"/>
      <c r="T688" s="569" t="n"/>
      <c r="U688" s="1030" t="n"/>
      <c r="V688" s="1030" t="n"/>
      <c r="W688" s="1030" t="n"/>
    </row>
    <row r="689" ht="15.75" customHeight="1" s="1349">
      <c r="A689" s="1292" t="n"/>
      <c r="B689" s="904" t="n">
        <v>10034034166403</v>
      </c>
      <c r="C689" s="904" t="inlineStr">
        <is>
          <t>Delta plus</t>
        </is>
      </c>
      <c r="D689" s="904" t="inlineStr">
        <is>
          <t>Protetor Facial Máscara Lente Incolor 8" EPI CA 47620 JABRE</t>
        </is>
      </c>
      <c r="E689" s="904" t="n">
        <v>62.89</v>
      </c>
      <c r="F689" s="856" t="n">
        <v>43.3</v>
      </c>
      <c r="G689" s="1016">
        <f>F689*17%</f>
        <v/>
      </c>
      <c r="H689" s="833" t="n"/>
      <c r="I689" s="904" t="n">
        <v>6.85</v>
      </c>
      <c r="J689" s="340">
        <f>F689*18%</f>
        <v/>
      </c>
      <c r="K689" s="340">
        <f>(F689-J689)*1.65%</f>
        <v/>
      </c>
      <c r="L689" s="340">
        <f>(F689-J689)*7.6%</f>
        <v/>
      </c>
      <c r="M689" s="863" t="n">
        <v>5.87</v>
      </c>
      <c r="N689" s="864">
        <f>(G689+I689)*(9.25%)</f>
        <v/>
      </c>
      <c r="O689" s="904" t="n">
        <v>22.95</v>
      </c>
      <c r="P689" s="1016">
        <f>(F689 - (G689+I689+O689+(J689+K689+L689))) - (H689-M689-N689)</f>
        <v/>
      </c>
      <c r="Q689" s="462">
        <f>P689/F689</f>
        <v/>
      </c>
      <c r="R689" s="1206" t="n"/>
      <c r="S689" s="904" t="n"/>
      <c r="T689" s="569" t="n"/>
      <c r="U689" s="1030" t="n"/>
      <c r="V689" s="1030" t="n"/>
      <c r="W689" s="1030" t="n"/>
    </row>
    <row r="690" ht="15.75" customHeight="1" s="1349">
      <c r="A690" s="1292" t="n"/>
      <c r="B690" s="904" t="n">
        <v>10034034168453</v>
      </c>
      <c r="C690" s="904" t="inlineStr">
        <is>
          <t>Delta plus</t>
        </is>
      </c>
      <c r="D690" s="904" t="inlineStr">
        <is>
          <t>Kit 3 Protetor Facial 8 Ajustável Incolor EPI CA 47620 JABRE</t>
        </is>
      </c>
      <c r="E690" s="904" t="n">
        <v>120</v>
      </c>
      <c r="F690" s="856" t="n">
        <v>106.5</v>
      </c>
      <c r="G690" s="1016">
        <f>F690*17%</f>
        <v/>
      </c>
      <c r="H690" s="833" t="n"/>
      <c r="I690" s="904" t="n">
        <v>6.85</v>
      </c>
      <c r="J690" s="340">
        <f>F690*18%</f>
        <v/>
      </c>
      <c r="K690" s="340">
        <f>(F690-J690)*1.65%</f>
        <v/>
      </c>
      <c r="L690" s="340">
        <f>(F690-J690)*7.6%</f>
        <v/>
      </c>
      <c r="M690" s="863" t="n">
        <v>17.61</v>
      </c>
      <c r="N690" s="864">
        <f>(G690+I690)*(9.25%)</f>
        <v/>
      </c>
      <c r="O690" s="904" t="n">
        <v>68.84999999999999</v>
      </c>
      <c r="P690" s="1016">
        <f>(F690 - (G690+I690+O690+(J690+K690+L690))) - (H690-M690-N690)</f>
        <v/>
      </c>
      <c r="Q690" s="462">
        <f>P690/F690</f>
        <v/>
      </c>
      <c r="R690" s="1206" t="n"/>
      <c r="S690" s="904" t="n"/>
      <c r="T690" s="569" t="n"/>
      <c r="U690" s="1030" t="n"/>
      <c r="V690" s="1030" t="n"/>
      <c r="W690" s="1030" t="n"/>
    </row>
    <row r="691" ht="15.75" customHeight="1" s="1349">
      <c r="A691" s="1292" t="inlineStr">
        <is>
          <t>7596802673679055</t>
        </is>
      </c>
      <c r="B691" s="904" t="inlineStr">
        <is>
          <t>2868482196283347</t>
        </is>
      </c>
      <c r="C691" s="904" t="inlineStr">
        <is>
          <t>Delta plus</t>
        </is>
      </c>
      <c r="D691" s="904" t="inlineStr">
        <is>
          <t>Tênis Epi Feminino Preto Antiderrapante Uso Diário Estiloso</t>
        </is>
      </c>
      <c r="E691" s="904" t="n">
        <v>305.6</v>
      </c>
      <c r="F691" s="856" t="n">
        <v>272.76</v>
      </c>
      <c r="G691" s="1016">
        <f>F691*17%</f>
        <v/>
      </c>
      <c r="H691" s="833" t="n">
        <v>-2.32</v>
      </c>
      <c r="I691" s="904" t="n">
        <v>24.65</v>
      </c>
      <c r="J691" s="340">
        <f>F691*18%</f>
        <v/>
      </c>
      <c r="K691" s="340">
        <f>(F691-J691)*1.65%</f>
        <v/>
      </c>
      <c r="L691" s="340">
        <f>(F691-J691)*7.6%</f>
        <v/>
      </c>
      <c r="M691" s="863" t="n">
        <v>42.95</v>
      </c>
      <c r="N691" s="864">
        <f>(G691+I691)*(9.25%)</f>
        <v/>
      </c>
      <c r="O691" s="904" t="n">
        <v>167.88</v>
      </c>
      <c r="P691" s="1016">
        <f>(F691 - (G691+I691+O691+(J691+K691+L691))) - (H691-M691-N691)</f>
        <v/>
      </c>
      <c r="Q691" s="462">
        <f>P691/F691</f>
        <v/>
      </c>
      <c r="R691" s="1206" t="n"/>
      <c r="S691" s="904" t="n"/>
      <c r="T691" s="569" t="n"/>
      <c r="U691" s="1030" t="n"/>
      <c r="V691" s="1030" t="n"/>
      <c r="W691" s="1030" t="n"/>
    </row>
    <row r="692" ht="15.75" customHeight="1" s="1349">
      <c r="A692" s="1292" t="n"/>
      <c r="B692" s="904" t="inlineStr">
        <is>
          <t>8251767493724114</t>
        </is>
      </c>
      <c r="C692" s="904" t="inlineStr">
        <is>
          <t>Delta plus</t>
        </is>
      </c>
      <c r="D692" s="904" t="inlineStr">
        <is>
          <t>Tênis Epi Resende Oi Bico Plástico Antiderrapante Ca 48738</t>
        </is>
      </c>
      <c r="E692" s="904" t="n">
        <v>240.3</v>
      </c>
      <c r="F692" s="856" t="n">
        <v>208</v>
      </c>
      <c r="G692" s="1016">
        <f>F692*12%</f>
        <v/>
      </c>
      <c r="H692" s="833" t="n"/>
      <c r="I692" s="904" t="n">
        <v>15.89</v>
      </c>
      <c r="J692" s="340">
        <f>F692*18%</f>
        <v/>
      </c>
      <c r="K692" s="340">
        <f>(F692-J692)*1.65%</f>
        <v/>
      </c>
      <c r="L692" s="340">
        <f>(F692-J692)*7.6%</f>
        <v/>
      </c>
      <c r="M692" s="863" t="n">
        <v>35.76</v>
      </c>
      <c r="N692" s="864">
        <f>(G692+I692)*(9.25%)</f>
        <v/>
      </c>
      <c r="O692" s="701" t="n">
        <v>139.76</v>
      </c>
      <c r="P692" s="1016">
        <f>(F692 - (G692+I692+O692+(J692+K692+L692))) - (H692-M692-N692)</f>
        <v/>
      </c>
      <c r="Q692" s="462">
        <f>P692/F692</f>
        <v/>
      </c>
      <c r="R692" s="1206" t="inlineStr">
        <is>
          <t>Ativo</t>
        </is>
      </c>
      <c r="S692" s="904" t="n"/>
      <c r="T692" s="569" t="n"/>
      <c r="U692" s="1030" t="n"/>
      <c r="V692" s="1030" t="n"/>
      <c r="W692" s="1030" t="n"/>
    </row>
    <row r="693" ht="15.75" customHeight="1" s="1349">
      <c r="A693" s="862" t="inlineStr">
        <is>
          <t>6721095590</t>
        </is>
      </c>
      <c r="B693" s="904" t="n">
        <v>10034034168418</v>
      </c>
      <c r="C693" s="904" t="n"/>
      <c r="D693" s="481" t="inlineStr">
        <is>
          <t>Pá Quadrada Aço Reforçada Jardinagem Agro Profissional</t>
        </is>
      </c>
      <c r="E693" s="904" t="n">
        <v>78.98999999999999</v>
      </c>
      <c r="F693" s="856" t="n">
        <v>35.99</v>
      </c>
      <c r="G693" s="1016">
        <f>F693*17%</f>
        <v/>
      </c>
      <c r="H693" s="833" t="n"/>
      <c r="I693" s="904" t="n">
        <v>8.050000000000001</v>
      </c>
      <c r="J693" s="340">
        <f>F693*18%</f>
        <v/>
      </c>
      <c r="K693" s="340">
        <f>(F693-J693)*1.65%</f>
        <v/>
      </c>
      <c r="L693" s="340">
        <f>(F693-J693)*7.6%</f>
        <v/>
      </c>
      <c r="M693" s="863" t="n"/>
      <c r="N693" s="864">
        <f>(G693+I693)*(9.25%)</f>
        <v/>
      </c>
      <c r="O693" s="904" t="n"/>
      <c r="P693" s="1016">
        <f>(F693 - (G693+I693+O693+(J693+K693+L693))) - (H693-M693-N693)</f>
        <v/>
      </c>
      <c r="Q693" s="462">
        <f>P693/F693</f>
        <v/>
      </c>
      <c r="R693" s="1206" t="inlineStr">
        <is>
          <t>Ativo</t>
        </is>
      </c>
      <c r="S693" s="904" t="n"/>
      <c r="T693" s="569" t="n"/>
      <c r="U693" s="1030" t="n"/>
      <c r="V693" s="1030" t="n"/>
      <c r="W693" s="1030" t="n"/>
    </row>
    <row r="694" ht="15.75" customHeight="1" s="1349">
      <c r="A694" s="862" t="inlineStr">
        <is>
          <t>6721338670</t>
        </is>
      </c>
      <c r="B694" s="904" t="n">
        <v>10034034167047</v>
      </c>
      <c r="C694" s="904" t="n"/>
      <c r="D694" s="481" t="inlineStr">
        <is>
          <t>Pá Bico Arredondado Aço Reforçada Jardinagem Obra N3 Premium</t>
        </is>
      </c>
      <c r="E694" s="904" t="n">
        <v>78.98999999999999</v>
      </c>
      <c r="F694" s="856" t="n">
        <v>37.9</v>
      </c>
      <c r="G694" s="1016">
        <f>F694*17%</f>
        <v/>
      </c>
      <c r="H694" s="833" t="n"/>
      <c r="I694" s="904" t="n">
        <v>6.75</v>
      </c>
      <c r="J694" s="340">
        <f>F694*18%</f>
        <v/>
      </c>
      <c r="K694" s="340">
        <f>(F694-J694)*1.65%</f>
        <v/>
      </c>
      <c r="L694" s="340">
        <f>(F694-J694)*7.6%</f>
        <v/>
      </c>
      <c r="M694" s="863" t="n"/>
      <c r="N694" s="864">
        <f>(G694+I694)*(9.25%)</f>
        <v/>
      </c>
      <c r="O694" s="904" t="n"/>
      <c r="P694" s="1016">
        <f>(F694 - (G694+I694+O694+(J694+K694+L694))) - (H694-M694-N694)</f>
        <v/>
      </c>
      <c r="Q694" s="462">
        <f>P694/F694</f>
        <v/>
      </c>
      <c r="R694" s="1206" t="inlineStr">
        <is>
          <t>Ativo</t>
        </is>
      </c>
      <c r="S694" s="904" t="n"/>
      <c r="T694" s="569" t="n"/>
      <c r="U694" s="1030" t="n"/>
      <c r="V694" s="1030" t="n"/>
      <c r="W694" s="1030" t="n"/>
    </row>
    <row r="695" ht="15.75" customHeight="1" s="1349">
      <c r="A695" s="862" t="inlineStr">
        <is>
          <t>4657817035</t>
        </is>
      </c>
      <c r="B695" s="904" t="n">
        <v>10034034168420</v>
      </c>
      <c r="C695" s="904" t="n"/>
      <c r="D695" s="481" t="inlineStr">
        <is>
          <t>Enxada Larga Reforçada Aço N2.5 Norte Jardinagem Premium</t>
        </is>
      </c>
      <c r="E695" s="904" t="n">
        <v>78.98999999999999</v>
      </c>
      <c r="F695" s="856" t="n">
        <v>32.87</v>
      </c>
      <c r="G695" s="1016">
        <f>F695*17%</f>
        <v/>
      </c>
      <c r="H695" s="833" t="n"/>
      <c r="I695" s="904" t="n">
        <v>6.85</v>
      </c>
      <c r="J695" s="340">
        <f>F695*18%</f>
        <v/>
      </c>
      <c r="K695" s="340">
        <f>(F695-J695)*1.65%</f>
        <v/>
      </c>
      <c r="L695" s="340">
        <f>(F695-J695)*7.6%</f>
        <v/>
      </c>
      <c r="M695" s="863" t="n"/>
      <c r="N695" s="864">
        <f>(G695+I695)*(9.25%)</f>
        <v/>
      </c>
      <c r="O695" s="904" t="n"/>
      <c r="P695" s="1016">
        <f>(F695 - (G695+I695+O695+(J695+K695+L695))) - (H695-M695-N695)</f>
        <v/>
      </c>
      <c r="Q695" s="462">
        <f>P695/F695</f>
        <v/>
      </c>
      <c r="R695" s="1206" t="n"/>
      <c r="S695" s="904" t="n"/>
      <c r="T695" s="569" t="n"/>
      <c r="U695" s="1030" t="n"/>
      <c r="V695" s="1030" t="n"/>
      <c r="W695" s="1030" t="n"/>
    </row>
    <row r="696" ht="15.75" customHeight="1" s="1349">
      <c r="A696" s="862" t="inlineStr">
        <is>
          <t>4658046901</t>
        </is>
      </c>
      <c r="B696" s="904" t="n">
        <v>10034034167201</v>
      </c>
      <c r="C696" s="904" t="inlineStr">
        <is>
          <t>Irwin</t>
        </is>
      </c>
      <c r="D696" s="481" t="inlineStr">
        <is>
          <t>Broca Hss 9/16 Pol Aço Rápido Alumínio Metal Profissional</t>
        </is>
      </c>
      <c r="E696" s="904" t="n">
        <v>250</v>
      </c>
      <c r="F696" s="856" t="n">
        <v>193.03</v>
      </c>
      <c r="G696" s="1016">
        <f>F696*17%</f>
        <v/>
      </c>
      <c r="H696" s="833" t="n">
        <v>-5.98</v>
      </c>
      <c r="I696" s="904" t="n">
        <v>20.95</v>
      </c>
      <c r="J696" s="450" t="n">
        <v>0</v>
      </c>
      <c r="K696" s="340">
        <f>(F696-J696)*1.65%</f>
        <v/>
      </c>
      <c r="L696" s="340">
        <f>(F696-J696)*7.6%</f>
        <v/>
      </c>
      <c r="M696" s="863" t="n">
        <v>11.2</v>
      </c>
      <c r="N696" s="864">
        <f>(G696+I696)*(9.25%)</f>
        <v/>
      </c>
      <c r="O696" s="701" t="n">
        <v>125.09</v>
      </c>
      <c r="P696" s="1016">
        <f>(F696 - (G696+I696+O696+(J696+K696+L696))) - (H696-M696-N696)</f>
        <v/>
      </c>
      <c r="Q696" s="462">
        <f>P696/F696</f>
        <v/>
      </c>
      <c r="R696" s="1206" t="n"/>
      <c r="S696" s="904" t="n"/>
      <c r="T696" s="569" t="n"/>
      <c r="U696" s="1030" t="n"/>
      <c r="V696" s="1030" t="n"/>
      <c r="W696" s="1030" t="n"/>
    </row>
    <row r="697" ht="15.75" customHeight="1" s="1349">
      <c r="A697" s="862" t="inlineStr">
        <is>
          <t>6744243660</t>
        </is>
      </c>
      <c r="B697" s="904" t="inlineStr">
        <is>
          <t>XC22S</t>
        </is>
      </c>
      <c r="C697" s="904" t="inlineStr">
        <is>
          <t>ÂNCORA</t>
        </is>
      </c>
      <c r="D697" s="765" t="inlineStr">
        <is>
          <t>Caixa Finca Pino 22 Fixação Ferramentas Ação Direta 100un</t>
        </is>
      </c>
      <c r="E697" s="904" t="n">
        <v>78.98999999999999</v>
      </c>
      <c r="F697" s="856" t="n">
        <v>61.64</v>
      </c>
      <c r="G697" s="1016">
        <f>F697*17%</f>
        <v/>
      </c>
      <c r="H697" s="833" t="n"/>
      <c r="I697" s="904" t="n">
        <v>7.85</v>
      </c>
      <c r="J697" s="340">
        <f>F697*18%</f>
        <v/>
      </c>
      <c r="K697" s="340">
        <f>(F697-J697)*1.65%</f>
        <v/>
      </c>
      <c r="L697" s="340">
        <f>(F697-J697)*7.6%</f>
        <v/>
      </c>
      <c r="M697" s="1097" t="n">
        <v>3.7</v>
      </c>
      <c r="N697" s="785">
        <f>(G697+I697)*(9.25%)</f>
        <v/>
      </c>
      <c r="O697" s="708" t="n">
        <v>29.76</v>
      </c>
      <c r="P697" s="1016">
        <f>(F697 - (G697+I697+O697+(J697+K697+L697))) - (H697-M697-N697)</f>
        <v/>
      </c>
      <c r="Q697" s="462">
        <f>P697/F697</f>
        <v/>
      </c>
      <c r="R697" s="1206" t="inlineStr">
        <is>
          <t>Ativo</t>
        </is>
      </c>
      <c r="S697" s="904" t="n"/>
      <c r="T697" s="569" t="n"/>
      <c r="U697" s="1030" t="n"/>
      <c r="V697" s="1030" t="n"/>
      <c r="W697" s="1030" t="n"/>
    </row>
    <row r="698" ht="15.75" customHeight="1" s="1349">
      <c r="A698" s="1292" t="inlineStr">
        <is>
          <t>4671421211</t>
        </is>
      </c>
      <c r="B698" s="904" t="n"/>
      <c r="C698" s="904" t="n"/>
      <c r="D698" s="904" t="inlineStr">
        <is>
          <t>Perneira Couro Raspa Epi Soldador Ajustável Velcro Ca 49214 Cinza</t>
        </is>
      </c>
      <c r="E698" s="904" t="n">
        <v>62</v>
      </c>
      <c r="F698" s="856" t="n">
        <v>41.32</v>
      </c>
      <c r="G698" s="1016">
        <f>F698*17%</f>
        <v/>
      </c>
      <c r="H698" s="833" t="n">
        <v>-2.06</v>
      </c>
      <c r="I698" s="904" t="n">
        <v>6.85</v>
      </c>
      <c r="J698" s="340">
        <f>F698*18%</f>
        <v/>
      </c>
      <c r="K698" s="340">
        <f>(F698-J698)*1.65%</f>
        <v/>
      </c>
      <c r="L698" s="340">
        <f>(F698-J698)*7.6%</f>
        <v/>
      </c>
      <c r="M698" s="863" t="n">
        <v>4.03</v>
      </c>
      <c r="N698" s="864">
        <f>(G698+I698)*(9.25%)</f>
        <v/>
      </c>
      <c r="O698" s="904" t="n">
        <v>20.65</v>
      </c>
      <c r="P698" s="1016">
        <f>(F698 - (G698+I698+O698+(J698+K698+L698))) - (H698-M698-N698)</f>
        <v/>
      </c>
      <c r="Q698" s="462">
        <f>P698/F698</f>
        <v/>
      </c>
      <c r="R698" s="1206" t="inlineStr">
        <is>
          <t>Ativo</t>
        </is>
      </c>
      <c r="S698" s="904" t="n"/>
      <c r="T698" s="569" t="n"/>
      <c r="U698" s="1030" t="n"/>
      <c r="V698" s="1030" t="n"/>
      <c r="W698" s="1030" t="n"/>
    </row>
    <row r="699" ht="15.75" customHeight="1" s="1349">
      <c r="A699" s="1292" t="inlineStr">
        <is>
          <t>1326896251493137</t>
        </is>
      </c>
      <c r="B699" s="904" t="n"/>
      <c r="C699" s="904" t="n"/>
      <c r="D699" s="904" t="inlineStr">
        <is>
          <t>Bota Impermeável Trabalho Pesca Pvc Cano Longo Ca 40400</t>
        </is>
      </c>
      <c r="E699" s="904" t="n"/>
      <c r="F699" s="856" t="n">
        <v>103.55</v>
      </c>
      <c r="G699" s="1016">
        <f>F699*17%</f>
        <v/>
      </c>
      <c r="H699" s="833" t="n"/>
      <c r="I699" s="904" t="n">
        <v>16</v>
      </c>
      <c r="J699" s="340">
        <f>F699*18%</f>
        <v/>
      </c>
      <c r="K699" s="340">
        <f>(F699-J699)*1.65%</f>
        <v/>
      </c>
      <c r="L699" s="340">
        <f>(F699-J699)*7.6%</f>
        <v/>
      </c>
      <c r="M699" s="863" t="n">
        <v>9.470000000000001</v>
      </c>
      <c r="N699" s="864">
        <f>(G699+I699)*(9.25%)</f>
        <v/>
      </c>
      <c r="O699" s="1320" t="n">
        <v>47.01</v>
      </c>
      <c r="P699" s="1016">
        <f>(F699 - (G699+I699+O699+(J699+K699+L699))) - (H699-M699-N699)</f>
        <v/>
      </c>
      <c r="Q699" s="462">
        <f>P699/F699</f>
        <v/>
      </c>
      <c r="R699" s="1206" t="inlineStr">
        <is>
          <t>Ativo</t>
        </is>
      </c>
      <c r="S699" s="904" t="n"/>
      <c r="T699" s="569" t="n"/>
      <c r="U699" s="1030" t="n"/>
      <c r="V699" s="1030" t="n"/>
      <c r="W699" s="1030" t="n"/>
    </row>
    <row r="700" ht="15.75" customHeight="1" s="1349">
      <c r="A700" s="1292" t="n"/>
      <c r="B700" s="904" t="n">
        <v>10034034168225</v>
      </c>
      <c r="C700" s="904" t="n"/>
      <c r="D700" s="904" t="inlineStr">
        <is>
          <t>Cadeado Segurança Loto Bloqueio Elétrico 38mm Haste Cromada</t>
        </is>
      </c>
      <c r="E700" s="904" t="n">
        <v>69.5</v>
      </c>
      <c r="F700" s="856" t="n">
        <v>54.89</v>
      </c>
      <c r="G700" s="1016">
        <f>F700*12%</f>
        <v/>
      </c>
      <c r="H700" s="833" t="n">
        <v>-1.46</v>
      </c>
      <c r="I700" s="904" t="n">
        <v>7.75</v>
      </c>
      <c r="J700" s="340">
        <f>F700*18%</f>
        <v/>
      </c>
      <c r="K700" s="340">
        <f>(F700-J700)*1.65%</f>
        <v/>
      </c>
      <c r="L700" s="340">
        <f>(F700-J700)*7.6%</f>
        <v/>
      </c>
      <c r="M700" s="863" t="n">
        <v>8.550000000000001</v>
      </c>
      <c r="N700" s="864">
        <f>(G700+I700)*(9.25%)</f>
        <v/>
      </c>
      <c r="O700" s="904" t="n">
        <v>33.42</v>
      </c>
      <c r="P700" s="1016">
        <f>(F700 - (G700+I700+O700+(J700+K700+L700))) - (H700-M700-N700)</f>
        <v/>
      </c>
      <c r="Q700" s="462">
        <f>P700/F700</f>
        <v/>
      </c>
      <c r="R700" s="1206" t="inlineStr">
        <is>
          <t>Ativo</t>
        </is>
      </c>
      <c r="S700" s="904" t="n"/>
      <c r="T700" s="569" t="n"/>
      <c r="U700" s="1030">
        <f>33.42-8.55</f>
        <v/>
      </c>
      <c r="V700" s="1030" t="n"/>
      <c r="W700" s="1030" t="n"/>
    </row>
    <row r="701" ht="15.75" customHeight="1" s="1349">
      <c r="A701" s="1292" t="n"/>
      <c r="B701" s="904" t="n">
        <v>10034034168481</v>
      </c>
      <c r="C701" s="904" t="n"/>
      <c r="D701" s="904" t="inlineStr">
        <is>
          <t>Kit 2 Cadeado Bloqueio Segurança Loto NR10 Disjuntor 38mm</t>
        </is>
      </c>
      <c r="E701" s="904" t="n">
        <v>160</v>
      </c>
      <c r="F701" s="856" t="n">
        <v>112</v>
      </c>
      <c r="G701" s="1016">
        <f>F701*12%</f>
        <v/>
      </c>
      <c r="H701" s="833" t="n">
        <v>-6.72</v>
      </c>
      <c r="I701" s="904" t="n">
        <v>16.45</v>
      </c>
      <c r="J701" s="340">
        <f>F701*18%</f>
        <v/>
      </c>
      <c r="K701" s="340">
        <f>(F701-J701)*1.65%</f>
        <v/>
      </c>
      <c r="L701" s="340">
        <f>(F701-J701)*7.6%</f>
        <v/>
      </c>
      <c r="M701" s="863" t="n">
        <v>17.1</v>
      </c>
      <c r="N701" s="864">
        <f>(G701+I701)*(9.25%)</f>
        <v/>
      </c>
      <c r="O701" s="904" t="n">
        <v>66.84</v>
      </c>
      <c r="P701" s="1016">
        <f>(F701 - (G701+I701+O701+(J701+K701+L701))) - (H701-M701-N701)</f>
        <v/>
      </c>
      <c r="Q701" s="462">
        <f>P701/F701</f>
        <v/>
      </c>
      <c r="R701" s="1206" t="inlineStr">
        <is>
          <t>Ativo</t>
        </is>
      </c>
      <c r="S701" s="904" t="n"/>
      <c r="T701" s="569" t="n"/>
      <c r="U701" s="1030" t="n"/>
      <c r="V701" s="1030" t="n"/>
      <c r="W701" s="1030" t="n"/>
    </row>
    <row r="702" ht="15.75" customHeight="1" s="1349">
      <c r="A702" s="1292" t="n"/>
      <c r="B702" s="904" t="n">
        <v>10034034168482</v>
      </c>
      <c r="C702" s="904" t="n"/>
      <c r="D702" s="904" t="inlineStr">
        <is>
          <t>Kit 3 Cadeado 38mm Painel Elétrico Proteção Painel Elétrico</t>
        </is>
      </c>
      <c r="E702" s="904" t="n">
        <v>220</v>
      </c>
      <c r="F702" s="856" t="n">
        <v>156.2</v>
      </c>
      <c r="G702" s="1016">
        <f>F702*12%</f>
        <v/>
      </c>
      <c r="H702" s="833" t="n"/>
      <c r="I702" s="904" t="n">
        <v>18.45</v>
      </c>
      <c r="J702" s="340">
        <f>F702*18%</f>
        <v/>
      </c>
      <c r="K702" s="340">
        <f>(F702-J702)*1.65%</f>
        <v/>
      </c>
      <c r="L702" s="340">
        <f>(F702-J702)*7.6%</f>
        <v/>
      </c>
      <c r="M702" s="863" t="n">
        <v>25.65</v>
      </c>
      <c r="N702" s="864">
        <f>(G702+I702)*(9.25%)</f>
        <v/>
      </c>
      <c r="O702" s="904" t="n">
        <v>100.26</v>
      </c>
      <c r="P702" s="1016">
        <f>(F702 - (G702+I702+O702+(J702+K702+L702))) - (H702-M702-N702)</f>
        <v/>
      </c>
      <c r="Q702" s="462">
        <f>P702/F702</f>
        <v/>
      </c>
      <c r="R702" s="1206" t="n"/>
      <c r="S702" s="904" t="n"/>
      <c r="T702" s="569" t="n"/>
      <c r="U702" s="1030" t="n"/>
      <c r="V702" s="1030" t="n"/>
      <c r="W702" s="1030" t="n"/>
    </row>
    <row r="703" ht="15.75" customHeight="1" s="1349">
      <c r="A703" s="1292" t="inlineStr">
        <is>
          <t>4677521941</t>
        </is>
      </c>
      <c r="B703" s="904" t="n"/>
      <c r="C703" s="904" t="n"/>
      <c r="D703" s="904" t="inlineStr">
        <is>
          <t>Lixeira Grande 100l Retangular Pedal Preto Cesto Haste Metál</t>
        </is>
      </c>
      <c r="E703" s="904" t="n">
        <v>550</v>
      </c>
      <c r="F703" s="856" t="n">
        <v>442.1</v>
      </c>
      <c r="G703" s="1016">
        <f>F703*12%</f>
        <v/>
      </c>
      <c r="H703" s="833" t="n"/>
      <c r="I703" s="904" t="n">
        <v>110.75</v>
      </c>
      <c r="J703" s="340">
        <f>F703*18%</f>
        <v/>
      </c>
      <c r="K703" s="340">
        <f>(F703-J703)*1.65%</f>
        <v/>
      </c>
      <c r="L703" s="340">
        <f>(F703-J703)*7.6%</f>
        <v/>
      </c>
      <c r="M703" s="863" t="n">
        <v>46.05</v>
      </c>
      <c r="N703" s="864">
        <f>(G703+I703)*(9.25%)</f>
        <v/>
      </c>
      <c r="O703" s="701" t="n">
        <v>180</v>
      </c>
      <c r="P703" s="1016">
        <f>(F703 - (G703+I703+O703+(J703+K703+L703))) - (H703-M703-N703)</f>
        <v/>
      </c>
      <c r="Q703" s="462">
        <f>P703/F703</f>
        <v/>
      </c>
      <c r="R703" s="1206" t="inlineStr">
        <is>
          <t>Ativo</t>
        </is>
      </c>
      <c r="S703" s="904" t="n"/>
      <c r="T703" s="569" t="n"/>
      <c r="U703" s="1030" t="n"/>
      <c r="V703" s="1030" t="n"/>
      <c r="W703" s="1030" t="n"/>
    </row>
    <row r="704" ht="15.75" customHeight="1" s="1349">
      <c r="A704" s="904" t="inlineStr">
        <is>
          <t>4004113004058579</t>
        </is>
      </c>
      <c r="C704" s="904" t="inlineStr">
        <is>
          <t>ÂNCORA</t>
        </is>
      </c>
      <c r="D704" s="904" t="inlineStr">
        <is>
          <t>Kit Tela Alvenaria 1,2x17x50cm Tel170 Amarração Concreto Aço</t>
        </is>
      </c>
      <c r="E704" s="904" t="n">
        <v>400</v>
      </c>
      <c r="F704" s="856" t="n">
        <v>396</v>
      </c>
      <c r="G704" s="1016">
        <f>F704*17%</f>
        <v/>
      </c>
      <c r="H704" s="833" t="n"/>
      <c r="I704" s="904" t="n">
        <v>68.65000000000001</v>
      </c>
      <c r="J704" s="340">
        <f>F704*18%</f>
        <v/>
      </c>
      <c r="K704" s="340">
        <f>(F704-J704)*1.65%</f>
        <v/>
      </c>
      <c r="L704" s="340">
        <f>(F704-J704)*7.6%</f>
        <v/>
      </c>
      <c r="M704" s="863">
        <f>8.16*2</f>
        <v/>
      </c>
      <c r="N704" s="864">
        <f>(G704+I704)*(9.25%)</f>
        <v/>
      </c>
      <c r="O704" s="701">
        <f>64.1*2</f>
        <v/>
      </c>
      <c r="P704" s="1016">
        <f>(F704 - (G704+I704+O704+(J704+K704+L704))) - (H704-M704-N704)</f>
        <v/>
      </c>
      <c r="Q704" s="462">
        <f>P704/F704</f>
        <v/>
      </c>
      <c r="R704" s="1206" t="inlineStr">
        <is>
          <t>Ativo</t>
        </is>
      </c>
      <c r="S704" s="904" t="n"/>
      <c r="T704" s="569" t="n"/>
      <c r="U704" s="1030" t="n"/>
      <c r="V704" s="1030" t="n"/>
      <c r="W704" s="1030" t="n"/>
    </row>
    <row r="705" ht="15.75" customHeight="1" s="1349">
      <c r="A705" s="904" t="inlineStr">
        <is>
          <t>4677454453 4677592269</t>
        </is>
      </c>
      <c r="C705" s="904" t="inlineStr">
        <is>
          <t>ÂNCORA</t>
        </is>
      </c>
      <c r="D705" s="904" t="inlineStr">
        <is>
          <t>50un Tela Alvenaria 17x50cm Tel170 Amarração Reforço Fachada Caixa Com 50un</t>
        </is>
      </c>
      <c r="E705" s="904" t="n">
        <v>199</v>
      </c>
      <c r="F705" s="856" t="n">
        <v>183.33</v>
      </c>
      <c r="G705" s="1016">
        <f>F705*17%</f>
        <v/>
      </c>
      <c r="H705" s="833" t="n">
        <v>-5.67</v>
      </c>
      <c r="I705" s="904" t="n">
        <v>27.75</v>
      </c>
      <c r="J705" s="340">
        <f>F705*18%</f>
        <v/>
      </c>
      <c r="K705" s="340">
        <f>(F705-J705)*1.65%</f>
        <v/>
      </c>
      <c r="L705" s="340">
        <f>(F705-J705)*7.6%</f>
        <v/>
      </c>
      <c r="M705" s="863">
        <f>8.16*1</f>
        <v/>
      </c>
      <c r="N705" s="864">
        <f>(G705+I705)*(9.25%)</f>
        <v/>
      </c>
      <c r="O705" s="701">
        <f>64.1*1</f>
        <v/>
      </c>
      <c r="P705" s="1016">
        <f>(F705 - (G705+I705+O705+(J705+K705+L705))) - (H705-M705-N705)</f>
        <v/>
      </c>
      <c r="Q705" s="462">
        <f>P705/F705</f>
        <v/>
      </c>
      <c r="R705" s="1206" t="inlineStr">
        <is>
          <t>Ativo</t>
        </is>
      </c>
      <c r="S705" s="904" t="n"/>
      <c r="T705" s="569" t="n"/>
      <c r="U705" s="1030" t="n"/>
      <c r="V705" s="1030" t="n"/>
      <c r="W705" s="1030" t="n"/>
    </row>
    <row r="706" ht="15.75" customHeight="1" s="1349">
      <c r="A706" s="904" t="n">
        <v>4677454453</v>
      </c>
      <c r="C706" s="904" t="inlineStr">
        <is>
          <t>ÂNCORA</t>
        </is>
      </c>
      <c r="D706" s="904" t="inlineStr">
        <is>
          <t>25un Tela Alvenaria 17x50cm Tl 170 Fachada Aço Galvanizado 25un</t>
        </is>
      </c>
      <c r="E706" s="904" t="n">
        <v>78.98999999999999</v>
      </c>
      <c r="F706" s="856" t="n">
        <v>74.90000000000001</v>
      </c>
      <c r="G706" s="1016">
        <f>F706*17%</f>
        <v/>
      </c>
      <c r="H706" s="833" t="n"/>
      <c r="I706" s="904" t="n">
        <v>8.550000000000001</v>
      </c>
      <c r="J706" s="340">
        <f>F706*18%</f>
        <v/>
      </c>
      <c r="K706" s="340">
        <f>(F706-J706)*1.65%</f>
        <v/>
      </c>
      <c r="L706" s="340">
        <f>(F706-J706)*7.6%</f>
        <v/>
      </c>
      <c r="M706" s="863">
        <f>8.16/50 * 20</f>
        <v/>
      </c>
      <c r="N706" s="864">
        <f>(G706+I706)*(9.25%)</f>
        <v/>
      </c>
      <c r="O706" s="701">
        <f>64.1/50 * 20</f>
        <v/>
      </c>
      <c r="P706" s="1016">
        <f>(F706 - (G706+I706+O706+(J706+K706+L706))) - (H706-M706-N706)</f>
        <v/>
      </c>
      <c r="Q706" s="462">
        <f>P706/F706</f>
        <v/>
      </c>
      <c r="R706" s="1206" t="inlineStr">
        <is>
          <t>Ativo</t>
        </is>
      </c>
      <c r="S706" s="904" t="n"/>
      <c r="T706" s="569" t="n"/>
      <c r="U706" s="1030" t="n"/>
      <c r="V706" s="1030" t="n"/>
      <c r="W706" s="1030" t="n"/>
    </row>
    <row r="707" ht="15.75" customHeight="1" s="1349">
      <c r="A707" s="904" t="inlineStr">
        <is>
          <t>4677454453 6768888536</t>
        </is>
      </c>
      <c r="C707" s="904" t="inlineStr">
        <is>
          <t>ÂNCORA</t>
        </is>
      </c>
      <c r="D707" s="904" t="inlineStr">
        <is>
          <t>10un Tela Alvenaria 17x500mm Tel170 Reforço Obra Construfix 10un</t>
        </is>
      </c>
      <c r="E707" s="904" t="n">
        <v>78.98999999999999</v>
      </c>
      <c r="F707" s="856" t="n">
        <v>43.55</v>
      </c>
      <c r="G707" s="1016">
        <f>F707*17%</f>
        <v/>
      </c>
      <c r="H707" s="833" t="n"/>
      <c r="I707" s="904" t="n">
        <v>8.550000000000001</v>
      </c>
      <c r="J707" s="340">
        <f>F707*18%</f>
        <v/>
      </c>
      <c r="K707" s="340">
        <f>(F707-J707)*1.65%</f>
        <v/>
      </c>
      <c r="L707" s="340">
        <f>(F707-J707)*7.6%</f>
        <v/>
      </c>
      <c r="M707" s="863">
        <f>8.16/5</f>
        <v/>
      </c>
      <c r="N707" s="864">
        <f>(G707+I707)*(9.25%)</f>
        <v/>
      </c>
      <c r="O707" s="701">
        <f>64.1/5</f>
        <v/>
      </c>
      <c r="P707" s="1016">
        <f>(F707 - (G707+I707+O707+(J707+K707+L707))) - (H707-M707-N707)</f>
        <v/>
      </c>
      <c r="Q707" s="462">
        <f>P707/F707</f>
        <v/>
      </c>
      <c r="R707" s="1206" t="inlineStr">
        <is>
          <t>Ativo</t>
        </is>
      </c>
      <c r="S707" s="904" t="n"/>
      <c r="T707" s="569" t="n"/>
      <c r="U707" s="1030" t="n"/>
      <c r="V707" s="1030" t="n"/>
      <c r="W707" s="1030" t="n"/>
    </row>
    <row r="708" ht="15.75" customHeight="1" s="1349">
      <c r="A708" s="904" t="n">
        <v>4677662545</v>
      </c>
      <c r="C708" s="904" t="inlineStr">
        <is>
          <t>ÂNCORA</t>
        </is>
      </c>
      <c r="D708" s="904" t="inlineStr">
        <is>
          <t>25un Tela Alvenaria 17x50cm Tl 170 Fachada Aço Galvanizado 25un</t>
        </is>
      </c>
      <c r="E708" s="904" t="n">
        <v>149</v>
      </c>
      <c r="F708" s="856" t="n">
        <v>115.43</v>
      </c>
      <c r="G708" s="1016">
        <f>F708*17%</f>
        <v/>
      </c>
      <c r="H708" s="833" t="n">
        <v>-3.57</v>
      </c>
      <c r="I708" s="904" t="n">
        <v>21.05</v>
      </c>
      <c r="J708" s="340">
        <f>F708*18%</f>
        <v/>
      </c>
      <c r="K708" s="340">
        <f>(F708-J708)*1.65%</f>
        <v/>
      </c>
      <c r="L708" s="340">
        <f>(F708-J708)*7.6%</f>
        <v/>
      </c>
      <c r="M708" s="863">
        <f>8.16/2</f>
        <v/>
      </c>
      <c r="N708" s="864">
        <f>(G708+I708)*(9.25%)</f>
        <v/>
      </c>
      <c r="O708" s="701">
        <f>64.1/2</f>
        <v/>
      </c>
      <c r="P708" s="1016">
        <f>(F708 - (G708+I708+O708+(J708+K708+L708))) - (H708-M708-N708)</f>
        <v/>
      </c>
      <c r="Q708" s="462">
        <f>P708/F708</f>
        <v/>
      </c>
      <c r="R708" s="1206" t="inlineStr">
        <is>
          <t>Ativo</t>
        </is>
      </c>
      <c r="S708" s="904" t="n"/>
      <c r="T708" s="569" t="n"/>
      <c r="U708" s="1030" t="n"/>
      <c r="V708" s="1030" t="n"/>
      <c r="W708" s="1030" t="n"/>
    </row>
    <row r="709" ht="15.75" customHeight="1" s="1349">
      <c r="A709" s="862" t="inlineStr">
        <is>
          <t>6808966134</t>
        </is>
      </c>
      <c r="B709" s="904" t="n"/>
      <c r="C709" s="904" t="inlineStr">
        <is>
          <t>Vinilseg</t>
        </is>
      </c>
      <c r="D709" s="765" t="inlineStr">
        <is>
          <t>Calça Chuva Forro Soft Impermeável Reforçada Solda Rebatida</t>
        </is>
      </c>
      <c r="E709" s="904" t="n">
        <v>55</v>
      </c>
      <c r="F709" s="856" t="n">
        <v>33.9</v>
      </c>
      <c r="G709" s="1016">
        <f>F709*17%</f>
        <v/>
      </c>
      <c r="H709" s="833" t="n"/>
      <c r="I709" s="904" t="n">
        <v>8.050000000000001</v>
      </c>
      <c r="J709" s="340">
        <f>F709*18%</f>
        <v/>
      </c>
      <c r="K709" s="340">
        <f>(F709-J709)*1.65%</f>
        <v/>
      </c>
      <c r="L709" s="340">
        <f>(F709-J709)*7.6%</f>
        <v/>
      </c>
      <c r="M709" s="863" t="n">
        <v>1.68</v>
      </c>
      <c r="N709" s="864">
        <f>(G709+I709)*(9.25%)</f>
        <v/>
      </c>
      <c r="O709" s="701" t="n">
        <v>13.25</v>
      </c>
      <c r="P709" s="1016">
        <f>(F709 - (G709+I709+O709+(J709+K709+L709))) - (H709-M709-N709)</f>
        <v/>
      </c>
      <c r="Q709" s="462">
        <f>P709/F709</f>
        <v/>
      </c>
      <c r="R709" s="1206" t="inlineStr">
        <is>
          <t>Ativo</t>
        </is>
      </c>
      <c r="S709" s="904" t="n"/>
      <c r="T709" s="569" t="n"/>
      <c r="U709" s="1030" t="n"/>
      <c r="V709" s="1030" t="n"/>
      <c r="W709" s="1030" t="n"/>
    </row>
    <row r="710" ht="15.75" customHeight="1" s="1349">
      <c r="A710" s="1292" t="n"/>
      <c r="B710" s="904" t="n"/>
      <c r="C710" s="904" t="inlineStr">
        <is>
          <t>Vinilseg</t>
        </is>
      </c>
      <c r="D710" s="904" t="inlineStr">
        <is>
          <t>camisa nr10</t>
        </is>
      </c>
      <c r="E710" s="904" t="n">
        <v>300</v>
      </c>
      <c r="F710" s="856" t="n">
        <v>300</v>
      </c>
      <c r="G710" s="1016">
        <f>F710*17%</f>
        <v/>
      </c>
      <c r="H710" s="833" t="n"/>
      <c r="I710" s="904" t="n">
        <v>16</v>
      </c>
      <c r="J710" s="340">
        <f>F710*18%</f>
        <v/>
      </c>
      <c r="K710" s="340">
        <f>(F710-J710)*1.65%</f>
        <v/>
      </c>
      <c r="L710" s="340">
        <f>(F710-J710)*7.6%</f>
        <v/>
      </c>
      <c r="M710" s="863" t="n">
        <v>28.66</v>
      </c>
      <c r="N710" s="864">
        <f>(G710+I710)*(9.25%)</f>
        <v/>
      </c>
      <c r="O710" s="701" t="n">
        <v>112</v>
      </c>
      <c r="P710" s="1016">
        <f>(F710 - (G710+I710+O710+(J710+K710+L710))) - (H710-M710-N710)</f>
        <v/>
      </c>
      <c r="Q710" s="462">
        <f>P710/F710</f>
        <v/>
      </c>
      <c r="R710" s="1206" t="n"/>
      <c r="S710" s="904" t="n"/>
      <c r="T710" s="569" t="n"/>
      <c r="U710" s="1030" t="n"/>
      <c r="V710" s="1030" t="n"/>
      <c r="W710" s="1030" t="n"/>
    </row>
    <row r="711" ht="15.75" customHeight="1" s="1349">
      <c r="A711" s="1292" t="n"/>
      <c r="B711" s="904" t="n"/>
      <c r="C711" s="904" t="inlineStr">
        <is>
          <t>Vinilseg</t>
        </is>
      </c>
      <c r="D711" s="904" t="inlineStr">
        <is>
          <t>calça nr10</t>
        </is>
      </c>
      <c r="E711" s="904" t="n">
        <v>300</v>
      </c>
      <c r="F711" s="856" t="n">
        <v>300</v>
      </c>
      <c r="G711" s="1016">
        <f>F711*17%</f>
        <v/>
      </c>
      <c r="H711" s="833" t="n"/>
      <c r="I711" s="904" t="n">
        <v>16</v>
      </c>
      <c r="J711" s="340">
        <f>F711*18%</f>
        <v/>
      </c>
      <c r="K711" s="340">
        <f>(F711-J711)*1.65%</f>
        <v/>
      </c>
      <c r="L711" s="340">
        <f>(F711-J711)*7.6%</f>
        <v/>
      </c>
      <c r="M711" s="863" t="n">
        <v>27.63</v>
      </c>
      <c r="N711" s="864">
        <f>(G711+I711)*(9.25%)</f>
        <v/>
      </c>
      <c r="O711" s="701" t="n">
        <v>108</v>
      </c>
      <c r="P711" s="1016">
        <f>(F711 - (G711+I711+O711+(J711+K711+L711))) - (H711-M711-N711)</f>
        <v/>
      </c>
      <c r="Q711" s="462">
        <f>P711/F711</f>
        <v/>
      </c>
      <c r="R711" s="1206" t="n"/>
      <c r="S711" s="904" t="n"/>
      <c r="T711" s="569" t="n"/>
      <c r="U711" s="1030" t="n"/>
      <c r="V711" s="1030" t="n"/>
      <c r="W711" s="1030" t="n"/>
    </row>
    <row r="712" ht="15.75" customHeight="1" s="1349">
      <c r="A712" s="1292" t="inlineStr">
        <is>
          <t>6815448982</t>
        </is>
      </c>
      <c r="B712" s="904" t="n"/>
      <c r="C712" s="904" t="inlineStr">
        <is>
          <t>Vinilseg</t>
        </is>
      </c>
      <c r="D712" s="481" t="inlineStr">
        <is>
          <t>Conjunto Nr10 Camisa Calça Reforçada Eletricista Anti Chamas</t>
        </is>
      </c>
      <c r="E712" s="904" t="n">
        <v>499</v>
      </c>
      <c r="F712" s="856" t="n">
        <v>369</v>
      </c>
      <c r="G712" s="1016">
        <f>F712*17%</f>
        <v/>
      </c>
      <c r="H712" s="833" t="n"/>
      <c r="I712" s="904" t="n">
        <v>23.25</v>
      </c>
      <c r="J712" s="340">
        <f>F712*18%</f>
        <v/>
      </c>
      <c r="K712" s="340">
        <f>(F712-J712)*1.65%</f>
        <v/>
      </c>
      <c r="L712" s="340">
        <f>(F712-J712)*7.6%</f>
        <v/>
      </c>
      <c r="M712" s="863" t="n">
        <v>56.29</v>
      </c>
      <c r="N712" s="864">
        <f>(G712+I712)*(9.25%)</f>
        <v/>
      </c>
      <c r="O712" s="701" t="n">
        <v>220</v>
      </c>
      <c r="P712" s="1016">
        <f>(F712 - (G712+I712+O712+(J712+K712+L712))) - (H712-M712-N712)</f>
        <v/>
      </c>
      <c r="Q712" s="462">
        <f>P712/F712</f>
        <v/>
      </c>
      <c r="R712" s="1206" t="inlineStr">
        <is>
          <t>Ativo</t>
        </is>
      </c>
      <c r="S712" s="904" t="n"/>
      <c r="T712" s="569" t="n"/>
      <c r="U712" s="1030" t="n"/>
      <c r="V712" s="1030" t="n"/>
      <c r="W712" s="1030" t="n"/>
    </row>
    <row r="713" ht="15.75" customHeight="1" s="1349">
      <c r="A713" s="1292" t="inlineStr">
        <is>
          <t>6824766210</t>
        </is>
      </c>
      <c r="B713" s="904" t="n"/>
      <c r="C713" s="904" t="inlineStr">
        <is>
          <t>VOLK</t>
        </is>
      </c>
      <c r="D713" s="904" t="inlineStr">
        <is>
          <t>10 Luva Uso Geral Proteção Vulcanizada Orange Smart Ca46816</t>
        </is>
      </c>
      <c r="E713" s="904" t="n">
        <v>149.9</v>
      </c>
      <c r="F713" s="856" t="n"/>
      <c r="G713" s="1016">
        <f>F713*17%</f>
        <v/>
      </c>
      <c r="H713" s="833" t="n"/>
      <c r="I713" s="904" t="n"/>
      <c r="J713" s="340">
        <f>F713*18%</f>
        <v/>
      </c>
      <c r="K713" s="340">
        <f>(F713-J713)*1.65%</f>
        <v/>
      </c>
      <c r="L713" s="340">
        <f>(F713-J713)*7.6%</f>
        <v/>
      </c>
      <c r="M713" s="863" t="n"/>
      <c r="N713" s="864">
        <f>(G713+I713)*(9.25%)</f>
        <v/>
      </c>
      <c r="O713" s="904" t="n"/>
      <c r="P713" s="1016">
        <f>(F713 - (G713+I713+O713+(J713+K713+L713))) - (H713-M713-N713)</f>
        <v/>
      </c>
      <c r="Q713" s="462">
        <f>P713/F713</f>
        <v/>
      </c>
      <c r="R713" s="1206" t="n"/>
      <c r="S713" s="904" t="n"/>
      <c r="T713" s="569" t="n"/>
      <c r="U713" s="1030" t="n"/>
      <c r="V713" s="1030" t="n"/>
      <c r="W713" s="1030" t="n"/>
    </row>
    <row r="714" ht="15.75" customHeight="1" s="1349">
      <c r="A714" s="1292" t="n"/>
      <c r="B714" s="904" t="n"/>
      <c r="C714" s="904" t="n"/>
      <c r="D714" s="904" t="inlineStr">
        <is>
          <t>Luva Latex Laranja Reforçada Alta Proteção G Tam 9 Ca37815</t>
        </is>
      </c>
      <c r="E714" s="904" t="n">
        <v>38</v>
      </c>
      <c r="F714" s="856" t="n">
        <v>21.3</v>
      </c>
      <c r="G714" s="1016">
        <f>F714*17%</f>
        <v/>
      </c>
      <c r="H714" s="833" t="n"/>
      <c r="I714" s="904" t="n">
        <v>6.85</v>
      </c>
      <c r="J714" s="340">
        <f>F714*18%</f>
        <v/>
      </c>
      <c r="K714" s="340">
        <f>(F714-J714)*1.65%</f>
        <v/>
      </c>
      <c r="L714" s="340">
        <f>(F714-J714)*7.6%</f>
        <v/>
      </c>
      <c r="M714" s="863" t="n">
        <v>0.77</v>
      </c>
      <c r="N714" s="864">
        <f>(G714+I714)*(9.25%)</f>
        <v/>
      </c>
      <c r="O714" s="904" t="n">
        <v>5.99</v>
      </c>
      <c r="P714" s="1016">
        <f>(F714 - (G714+I714+O714+(J714+K714+L714))) - (H714-M714-N714)</f>
        <v/>
      </c>
      <c r="Q714" s="462">
        <f>P714/F714</f>
        <v/>
      </c>
      <c r="R714" s="1206" t="n"/>
      <c r="S714" s="904" t="n"/>
      <c r="T714" s="569" t="n"/>
      <c r="U714" s="1030" t="n"/>
      <c r="V714" s="1030" t="n"/>
      <c r="W714" s="1030" t="n"/>
    </row>
    <row r="715" ht="15.75" customHeight="1" s="1349">
      <c r="A715" s="1292" t="n"/>
      <c r="B715" s="904" t="n"/>
      <c r="C715" s="904" t="n"/>
      <c r="D715" s="904" t="n"/>
      <c r="E715" s="904" t="n"/>
      <c r="F715" s="856" t="n"/>
      <c r="G715" s="1016">
        <f>F715*17%</f>
        <v/>
      </c>
      <c r="H715" s="833" t="n"/>
      <c r="I715" s="904" t="n"/>
      <c r="J715" s="340">
        <f>F715*18%</f>
        <v/>
      </c>
      <c r="K715" s="340">
        <f>(F715-J715)*1.65%</f>
        <v/>
      </c>
      <c r="L715" s="340">
        <f>(F715-J715)*7.6%</f>
        <v/>
      </c>
      <c r="M715" s="863" t="n"/>
      <c r="N715" s="864">
        <f>(G715+I715)*(9.25%)</f>
        <v/>
      </c>
      <c r="O715" s="904" t="n"/>
      <c r="P715" s="1016">
        <f>(F715 - (G715+I715+O715+(J715+K715+L715))) - (H715-M715-N715)</f>
        <v/>
      </c>
      <c r="Q715" s="651" t="n"/>
      <c r="R715" s="1206" t="n"/>
      <c r="S715" s="904" t="n"/>
      <c r="T715" s="569" t="n"/>
      <c r="U715" s="1030" t="n"/>
      <c r="V715" s="1030" t="n"/>
      <c r="W715" s="1030" t="n"/>
    </row>
    <row r="716" ht="15.75" customHeight="1" s="1349">
      <c r="A716" s="1292" t="n"/>
      <c r="B716" s="904" t="n"/>
      <c r="C716" s="904" t="n"/>
      <c r="D716" s="904" t="n"/>
      <c r="E716" s="904" t="n"/>
      <c r="F716" s="856" t="n"/>
      <c r="G716" s="1016">
        <f>F716*17%</f>
        <v/>
      </c>
      <c r="H716" s="833" t="n"/>
      <c r="I716" s="904" t="n"/>
      <c r="J716" s="340">
        <f>F716*18%</f>
        <v/>
      </c>
      <c r="K716" s="340">
        <f>(F716-J716)*1.65%</f>
        <v/>
      </c>
      <c r="L716" s="340">
        <f>(F716-J716)*7.6%</f>
        <v/>
      </c>
      <c r="M716" s="863" t="n"/>
      <c r="N716" s="864">
        <f>(G716+I716)*(9.25%)</f>
        <v/>
      </c>
      <c r="O716" s="904" t="n"/>
      <c r="P716" s="1016">
        <f>(F716 - (G716+I716+O716+(J716+K716+L716))) - (H716-M716-N716)</f>
        <v/>
      </c>
      <c r="Q716" s="651" t="n"/>
      <c r="R716" s="1206" t="n"/>
      <c r="S716" s="904" t="n"/>
      <c r="T716" s="569" t="n"/>
      <c r="U716" s="1030" t="n"/>
      <c r="V716" s="1030" t="n"/>
      <c r="W716" s="1030" t="n"/>
    </row>
    <row r="717" ht="15.75" customHeight="1" s="1349">
      <c r="A717" s="1292" t="n"/>
      <c r="B717" s="904" t="n"/>
      <c r="C717" s="904" t="n"/>
      <c r="D717" s="904" t="n"/>
      <c r="E717" s="904" t="n"/>
      <c r="F717" s="856" t="n"/>
      <c r="G717" s="1016">
        <f>F717*17%</f>
        <v/>
      </c>
      <c r="H717" s="833" t="n"/>
      <c r="I717" s="904" t="n"/>
      <c r="J717" s="340">
        <f>F717*18%</f>
        <v/>
      </c>
      <c r="K717" s="340">
        <f>(F717-J717)*1.65%</f>
        <v/>
      </c>
      <c r="L717" s="340">
        <f>(F717-J717)*7.6%</f>
        <v/>
      </c>
      <c r="M717" s="863" t="n"/>
      <c r="N717" s="864">
        <f>(G717+I717)*(9.25%)</f>
        <v/>
      </c>
      <c r="O717" s="904" t="n"/>
      <c r="P717" s="1016">
        <f>(F717 - (G717+I717+O717+(J717+K717+L717))) - (H717-M717-N717)</f>
        <v/>
      </c>
      <c r="Q717" s="651" t="n"/>
      <c r="R717" s="1206" t="n"/>
      <c r="S717" s="904" t="n"/>
      <c r="T717" s="569" t="n"/>
      <c r="U717" s="1030" t="n"/>
      <c r="V717" s="1030" t="n"/>
      <c r="W717" s="1030" t="n"/>
    </row>
    <row r="718" ht="15.75" customHeight="1" s="1349">
      <c r="A718" s="1292" t="n"/>
      <c r="B718" s="904" t="n"/>
      <c r="C718" s="904" t="n"/>
      <c r="D718" s="904" t="n"/>
      <c r="E718" s="904" t="n"/>
      <c r="F718" s="856" t="n"/>
      <c r="G718" s="1016">
        <f>F718*17%</f>
        <v/>
      </c>
      <c r="H718" s="833" t="n"/>
      <c r="I718" s="904" t="n"/>
      <c r="J718" s="340">
        <f>F718*18%</f>
        <v/>
      </c>
      <c r="K718" s="340">
        <f>(F718-J718)*1.65%</f>
        <v/>
      </c>
      <c r="L718" s="340">
        <f>(F718-J718)*7.6%</f>
        <v/>
      </c>
      <c r="M718" s="863" t="n"/>
      <c r="N718" s="864">
        <f>(G718+I718)*(9.25%)</f>
        <v/>
      </c>
      <c r="O718" s="904" t="n"/>
      <c r="P718" s="1016">
        <f>(F718 - (G718+I718+O718+(J718+K718+L718))) - (H718-M718-N718)</f>
        <v/>
      </c>
      <c r="Q718" s="651" t="n"/>
      <c r="R718" s="1206" t="n"/>
      <c r="S718" s="904" t="n"/>
      <c r="T718" s="569" t="n"/>
      <c r="U718" s="1030" t="n"/>
      <c r="V718" s="1030" t="n"/>
      <c r="W718" s="1030" t="n"/>
    </row>
    <row r="719" ht="15.75" customHeight="1" s="1349">
      <c r="A719" s="1292" t="n"/>
      <c r="B719" s="904" t="n"/>
      <c r="C719" s="904" t="n"/>
      <c r="D719" s="904" t="n"/>
      <c r="E719" s="904" t="n"/>
      <c r="F719" s="856" t="n"/>
      <c r="G719" s="1016">
        <f>F719*17%</f>
        <v/>
      </c>
      <c r="H719" s="833" t="n"/>
      <c r="I719" s="904" t="n"/>
      <c r="J719" s="340">
        <f>F719*18%</f>
        <v/>
      </c>
      <c r="K719" s="340">
        <f>(F719-J719)*1.65%</f>
        <v/>
      </c>
      <c r="L719" s="340">
        <f>(F719-J719)*7.6%</f>
        <v/>
      </c>
      <c r="M719" s="863" t="n"/>
      <c r="N719" s="864">
        <f>(G719+I719)*(9.25%)</f>
        <v/>
      </c>
      <c r="O719" s="904" t="n"/>
      <c r="P719" s="1016">
        <f>(F719 - (G719+I719+O719+(J719+K719+L719))) - (H719-M719-N719)</f>
        <v/>
      </c>
      <c r="Q719" s="651" t="n"/>
      <c r="R719" s="1206" t="n"/>
      <c r="S719" s="904" t="n"/>
      <c r="T719" s="569" t="n"/>
      <c r="U719" s="1030" t="n"/>
      <c r="V719" s="1030" t="n"/>
      <c r="W719" s="1030" t="n"/>
    </row>
    <row r="720" ht="15.75" customHeight="1" s="1349">
      <c r="A720" s="1292" t="n"/>
      <c r="B720" s="904" t="n"/>
      <c r="C720" s="904" t="n"/>
      <c r="D720" s="904" t="n"/>
      <c r="E720" s="904" t="n"/>
      <c r="F720" s="856" t="n"/>
      <c r="G720" s="1016">
        <f>F720*17%</f>
        <v/>
      </c>
      <c r="H720" s="833" t="n"/>
      <c r="I720" s="904" t="n"/>
      <c r="J720" s="340">
        <f>F720*18%</f>
        <v/>
      </c>
      <c r="K720" s="340">
        <f>(F720-J720)*1.65%</f>
        <v/>
      </c>
      <c r="L720" s="340">
        <f>(F720-J720)*7.6%</f>
        <v/>
      </c>
      <c r="M720" s="863" t="n"/>
      <c r="N720" s="864">
        <f>(G720+I720)*(9.25%)</f>
        <v/>
      </c>
      <c r="O720" s="904" t="n"/>
      <c r="P720" s="1016">
        <f>(F720 - (G720+I720+O720+(J720+K720+L720))) - (H720-M720-N720)</f>
        <v/>
      </c>
      <c r="Q720" s="651" t="n"/>
      <c r="R720" s="1206" t="n"/>
      <c r="S720" s="904" t="n"/>
      <c r="T720" s="569" t="n"/>
      <c r="U720" s="1030" t="n"/>
      <c r="V720" s="1030" t="n"/>
      <c r="W720" s="1030" t="n"/>
    </row>
    <row r="721" ht="15.75" customHeight="1" s="1349">
      <c r="A721" s="1292" t="n"/>
      <c r="B721" s="904" t="n"/>
      <c r="C721" s="904" t="n"/>
      <c r="D721" s="904" t="n"/>
      <c r="E721" s="904" t="n"/>
      <c r="F721" s="856" t="n"/>
      <c r="G721" s="866" t="n"/>
      <c r="H721" s="833" t="n"/>
      <c r="I721" s="904" t="n"/>
      <c r="J721" s="340">
        <f>F721*18%</f>
        <v/>
      </c>
      <c r="K721" s="340">
        <f>(F721-J721)*1.65%</f>
        <v/>
      </c>
      <c r="L721" s="340">
        <f>(F721-J721)*7.6%</f>
        <v/>
      </c>
      <c r="M721" s="863" t="n"/>
      <c r="N721" s="864">
        <f>(G721+I721)*(9.25%)</f>
        <v/>
      </c>
      <c r="O721" s="904" t="n"/>
      <c r="P721" s="1016">
        <f>(F721 - (G721+I721+O721+(J721+K721+L721))) - (H721-M721-N721)</f>
        <v/>
      </c>
      <c r="Q721" s="651" t="n"/>
      <c r="R721" s="1206" t="n"/>
      <c r="S721" s="904" t="n"/>
      <c r="T721" s="569" t="n"/>
      <c r="U721" s="1030" t="n"/>
      <c r="V721" s="1030" t="n"/>
      <c r="W721" s="1030" t="n"/>
    </row>
    <row r="722" ht="15.75" customHeight="1" s="1349">
      <c r="A722" s="1292" t="n"/>
      <c r="B722" s="904" t="n"/>
      <c r="C722" s="904" t="n"/>
      <c r="D722" s="904" t="n"/>
      <c r="E722" s="904" t="n"/>
      <c r="F722" s="856" t="n"/>
      <c r="G722" s="866" t="n"/>
      <c r="H722" s="833" t="n"/>
      <c r="I722" s="904" t="n"/>
      <c r="J722" s="340">
        <f>F722*18%</f>
        <v/>
      </c>
      <c r="K722" s="340">
        <f>(F722-J722)*1.65%</f>
        <v/>
      </c>
      <c r="L722" s="340">
        <f>(F722-J722)*7.6%</f>
        <v/>
      </c>
      <c r="M722" s="863" t="n"/>
      <c r="N722" s="864">
        <f>(G722+I722)*(9.25%)</f>
        <v/>
      </c>
      <c r="O722" s="904" t="n"/>
      <c r="P722" s="1016">
        <f>(F722 - (G722+I722+O722+(J722+K722+L722))) - (H722-M722-N722)</f>
        <v/>
      </c>
      <c r="Q722" s="651" t="n"/>
      <c r="R722" s="1206" t="n"/>
      <c r="S722" s="904" t="n"/>
      <c r="T722" s="569" t="n"/>
      <c r="U722" s="1030" t="n"/>
      <c r="V722" s="1030" t="n"/>
      <c r="W722" s="1030" t="n"/>
    </row>
    <row r="723" ht="15.75" customHeight="1" s="1349">
      <c r="A723" s="1292" t="n"/>
      <c r="B723" s="904" t="n"/>
      <c r="C723" s="904" t="n"/>
      <c r="D723" s="904" t="n"/>
      <c r="E723" s="904" t="n"/>
      <c r="F723" s="856" t="n"/>
      <c r="G723" s="866" t="n"/>
      <c r="H723" s="833" t="n"/>
      <c r="I723" s="904" t="n"/>
      <c r="J723" s="340">
        <f>F723*18%</f>
        <v/>
      </c>
      <c r="K723" s="340">
        <f>(F723-J723)*1.65%</f>
        <v/>
      </c>
      <c r="L723" s="340">
        <f>(F723-J723)*7.6%</f>
        <v/>
      </c>
      <c r="M723" s="863" t="n"/>
      <c r="N723" s="864">
        <f>(G723+I723)*(9.25%)</f>
        <v/>
      </c>
      <c r="O723" s="904" t="n"/>
      <c r="P723" s="1016">
        <f>(F723 - (G723+I723+O723+(J723+K723+L723))) - (H723-M723-N723)</f>
        <v/>
      </c>
      <c r="Q723" s="651" t="n"/>
      <c r="R723" s="1206" t="n"/>
      <c r="S723" s="904" t="n"/>
      <c r="T723" s="569" t="n"/>
      <c r="U723" s="1030" t="n"/>
      <c r="V723" s="1030" t="n"/>
      <c r="W723" s="1030" t="n"/>
    </row>
    <row r="724" ht="15.75" customHeight="1" s="1349">
      <c r="A724" s="1292" t="n"/>
      <c r="B724" s="904" t="n"/>
      <c r="C724" s="904" t="n"/>
      <c r="D724" s="904" t="n"/>
      <c r="E724" s="904" t="n"/>
      <c r="F724" s="856" t="n"/>
      <c r="G724" s="866" t="n"/>
      <c r="H724" s="833" t="n"/>
      <c r="I724" s="904" t="n"/>
      <c r="J724" s="340">
        <f>F724*18%</f>
        <v/>
      </c>
      <c r="K724" s="340">
        <f>(F724-J724)*1.65%</f>
        <v/>
      </c>
      <c r="L724" s="340">
        <f>(F724-J724)*7.6%</f>
        <v/>
      </c>
      <c r="M724" s="863" t="n"/>
      <c r="N724" s="864">
        <f>(G724+I724)*(9.25%)</f>
        <v/>
      </c>
      <c r="O724" s="904" t="n"/>
      <c r="P724" s="1016">
        <f>(F724 - (G724+I724+O724+(J724+K724+L724))) - (H724-M724-N724)</f>
        <v/>
      </c>
      <c r="Q724" s="651" t="n"/>
      <c r="R724" s="1206" t="n"/>
      <c r="S724" s="904" t="n"/>
      <c r="T724" s="569" t="n"/>
      <c r="U724" s="1030" t="n"/>
      <c r="V724" s="1030" t="n"/>
      <c r="W724" s="1030" t="n"/>
    </row>
    <row r="725" ht="15.75" customHeight="1" s="1349">
      <c r="A725" s="1292" t="n"/>
      <c r="B725" s="904" t="n"/>
      <c r="C725" s="904" t="n"/>
      <c r="D725" s="904" t="n"/>
      <c r="E725" s="904" t="n"/>
      <c r="F725" s="856" t="n"/>
      <c r="G725" s="866" t="n"/>
      <c r="H725" s="833" t="n"/>
      <c r="I725" s="904" t="n"/>
      <c r="J725" s="340">
        <f>F725*18%</f>
        <v/>
      </c>
      <c r="K725" s="340">
        <f>(F725-J725)*1.65%</f>
        <v/>
      </c>
      <c r="L725" s="340">
        <f>(F725-J725)*7.6%</f>
        <v/>
      </c>
      <c r="M725" s="863" t="n"/>
      <c r="N725" s="864">
        <f>(G725+I725)*(9.25%)</f>
        <v/>
      </c>
      <c r="O725" s="904" t="n"/>
      <c r="P725" s="1016">
        <f>(F725 - (G725+I725+O725+(J725+K725+L725))) - (H725-M725-N725)</f>
        <v/>
      </c>
      <c r="Q725" s="651" t="n"/>
      <c r="R725" s="1206" t="n"/>
      <c r="S725" s="904" t="n"/>
      <c r="T725" s="569" t="n"/>
      <c r="U725" s="1030" t="n"/>
      <c r="V725" s="1030" t="n"/>
      <c r="W725" s="1030" t="n"/>
    </row>
    <row r="726" ht="15.75" customHeight="1" s="1349">
      <c r="A726" s="1292" t="n"/>
      <c r="B726" s="904" t="n"/>
      <c r="C726" s="904" t="n"/>
      <c r="D726" s="904" t="n"/>
      <c r="E726" s="904" t="n"/>
      <c r="F726" s="856" t="n"/>
      <c r="G726" s="866" t="n"/>
      <c r="H726" s="833" t="n"/>
      <c r="I726" s="904" t="n"/>
      <c r="J726" s="340">
        <f>F726*18%</f>
        <v/>
      </c>
      <c r="K726" s="340">
        <f>(F726-J726)*1.65%</f>
        <v/>
      </c>
      <c r="L726" s="340">
        <f>(F726-J726)*7.6%</f>
        <v/>
      </c>
      <c r="M726" s="863" t="n"/>
      <c r="N726" s="864">
        <f>(G726+I726)*(9.25%)</f>
        <v/>
      </c>
      <c r="O726" s="904" t="n"/>
      <c r="P726" s="1016">
        <f>(F726 - (G726+I726+O726+(J726+K726+L726))) - (H726-M726-N726)</f>
        <v/>
      </c>
      <c r="Q726" s="651" t="n"/>
      <c r="R726" s="1206" t="n"/>
      <c r="S726" s="904" t="n"/>
      <c r="T726" s="569" t="n"/>
      <c r="U726" s="1030" t="n"/>
      <c r="V726" s="1030" t="n"/>
      <c r="W726" s="1030" t="n"/>
    </row>
    <row r="727" ht="15.75" customHeight="1" s="1349">
      <c r="A727" s="1292" t="n"/>
      <c r="B727" s="904" t="n"/>
      <c r="C727" s="904" t="n"/>
      <c r="D727" s="904" t="n"/>
      <c r="E727" s="904" t="n"/>
      <c r="F727" s="856" t="n"/>
      <c r="G727" s="866" t="n"/>
      <c r="H727" s="833" t="n"/>
      <c r="I727" s="904" t="n"/>
      <c r="J727" s="340">
        <f>F727*18%</f>
        <v/>
      </c>
      <c r="K727" s="340">
        <f>(F727-J727)*1.65%</f>
        <v/>
      </c>
      <c r="L727" s="340">
        <f>(F727-J727)*7.6%</f>
        <v/>
      </c>
      <c r="M727" s="863" t="n"/>
      <c r="N727" s="864">
        <f>(G727+I727)*(9.25%)</f>
        <v/>
      </c>
      <c r="O727" s="904" t="n"/>
      <c r="P727" s="1016">
        <f>(F727 - (G727+I727+O727+(J727+K727+L727))) - (H727-M727-N727)</f>
        <v/>
      </c>
      <c r="Q727" s="651" t="n"/>
      <c r="R727" s="1206" t="n"/>
      <c r="S727" s="904" t="n"/>
      <c r="T727" s="569" t="n"/>
      <c r="U727" s="1030" t="n"/>
      <c r="V727" s="1030" t="n"/>
      <c r="W727" s="1030" t="n"/>
    </row>
    <row r="728" ht="15.75" customHeight="1" s="1349">
      <c r="A728" s="1292" t="n"/>
      <c r="B728" s="904" t="n"/>
      <c r="C728" s="904" t="n"/>
      <c r="D728" s="904" t="n"/>
      <c r="E728" s="904" t="n"/>
      <c r="F728" s="856" t="n"/>
      <c r="G728" s="866" t="n"/>
      <c r="H728" s="833" t="n"/>
      <c r="I728" s="904" t="n"/>
      <c r="J728" s="340">
        <f>F728*18%</f>
        <v/>
      </c>
      <c r="K728" s="340">
        <f>(F728-J728)*1.65%</f>
        <v/>
      </c>
      <c r="L728" s="340">
        <f>(F728-J728)*7.6%</f>
        <v/>
      </c>
      <c r="M728" s="863" t="n"/>
      <c r="N728" s="864">
        <f>(G728+I728)*(9.25%)</f>
        <v/>
      </c>
      <c r="O728" s="904" t="n"/>
      <c r="P728" s="1016">
        <f>(F728 - (G728+I728+O728+(J728+K728+L728))) - (H728-M728-N728)</f>
        <v/>
      </c>
      <c r="Q728" s="651" t="n"/>
      <c r="R728" s="1206" t="n"/>
      <c r="S728" s="904" t="n"/>
      <c r="T728" s="569" t="n"/>
      <c r="U728" s="1030" t="n"/>
      <c r="V728" s="1030" t="n"/>
      <c r="W728" s="1030" t="n"/>
    </row>
    <row r="729" ht="15.75" customHeight="1" s="1349">
      <c r="A729" s="1292" t="n"/>
      <c r="B729" s="904" t="n"/>
      <c r="C729" s="904" t="n"/>
      <c r="D729" s="904" t="n"/>
      <c r="E729" s="904" t="n"/>
      <c r="F729" s="856" t="n"/>
      <c r="G729" s="866" t="n"/>
      <c r="H729" s="833" t="n"/>
      <c r="I729" s="904" t="n"/>
      <c r="J729" s="340">
        <f>F729*18%</f>
        <v/>
      </c>
      <c r="K729" s="340">
        <f>(F729-J729)*1.65%</f>
        <v/>
      </c>
      <c r="L729" s="340">
        <f>(F729-J729)*7.6%</f>
        <v/>
      </c>
      <c r="M729" s="863" t="n"/>
      <c r="N729" s="864">
        <f>(G729+I729)*(9.25%)</f>
        <v/>
      </c>
      <c r="O729" s="904" t="n"/>
      <c r="P729" s="1016">
        <f>(F729 - (G729+I729+O729+(J729+K729+L729))) - (H729-M729-N729)</f>
        <v/>
      </c>
      <c r="Q729" s="651" t="n"/>
      <c r="R729" s="1206" t="n"/>
      <c r="S729" s="904" t="n"/>
      <c r="T729" s="569" t="n"/>
      <c r="U729" s="1030" t="n"/>
      <c r="V729" s="1030" t="n"/>
      <c r="W729" s="1030" t="n"/>
    </row>
    <row r="730" ht="15.75" customHeight="1" s="1349">
      <c r="A730" s="1292" t="n"/>
      <c r="B730" s="904" t="n"/>
      <c r="C730" s="904" t="n"/>
      <c r="D730" s="904" t="n"/>
      <c r="E730" s="904" t="n"/>
      <c r="F730" s="856" t="n"/>
      <c r="G730" s="866" t="n"/>
      <c r="H730" s="833" t="n"/>
      <c r="I730" s="904" t="n"/>
      <c r="J730" s="340">
        <f>F730*18%</f>
        <v/>
      </c>
      <c r="K730" s="340">
        <f>(F730-J730)*1.65%</f>
        <v/>
      </c>
      <c r="L730" s="340">
        <f>(F730-J730)*7.6%</f>
        <v/>
      </c>
      <c r="M730" s="863" t="n"/>
      <c r="N730" s="864">
        <f>(G730+I730)*(9.25%)</f>
        <v/>
      </c>
      <c r="O730" s="904" t="n"/>
      <c r="P730" s="1016">
        <f>(F730 - (G730+I730+O730+(J730+K730+L730))) - (H730-M730-N730)</f>
        <v/>
      </c>
      <c r="Q730" s="651" t="n"/>
      <c r="R730" s="1206" t="n"/>
      <c r="S730" s="904" t="n"/>
      <c r="T730" s="569" t="n"/>
      <c r="U730" s="1030" t="n"/>
      <c r="V730" s="1030" t="n"/>
      <c r="W730" s="1030" t="n"/>
    </row>
    <row r="731" ht="15.75" customHeight="1" s="1349">
      <c r="A731" s="1292" t="n"/>
      <c r="B731" s="904" t="n"/>
      <c r="C731" s="904" t="n"/>
      <c r="D731" s="904" t="n"/>
      <c r="E731" s="904" t="n"/>
      <c r="F731" s="856" t="n"/>
      <c r="G731" s="866" t="n"/>
      <c r="H731" s="833" t="n"/>
      <c r="I731" s="904" t="n"/>
      <c r="J731" s="340">
        <f>F731*18%</f>
        <v/>
      </c>
      <c r="K731" s="340">
        <f>(F731-J731)*1.65%</f>
        <v/>
      </c>
      <c r="L731" s="340">
        <f>(F731-J731)*7.6%</f>
        <v/>
      </c>
      <c r="M731" s="863" t="n"/>
      <c r="N731" s="864">
        <f>(G731+I731)*(9.25%)</f>
        <v/>
      </c>
      <c r="O731" s="904" t="n"/>
      <c r="P731" s="1016">
        <f>(F731 - (G731+I731+O731+(J731+K731+L731))) - (H731-M731-N731)</f>
        <v/>
      </c>
      <c r="Q731" s="651" t="n"/>
      <c r="R731" s="1206" t="n"/>
      <c r="S731" s="904" t="n"/>
      <c r="T731" s="569" t="n"/>
      <c r="U731" s="1030" t="n"/>
      <c r="V731" s="1030" t="n"/>
      <c r="W731" s="1030" t="n"/>
    </row>
    <row r="732" ht="15.75" customHeight="1" s="1349">
      <c r="A732" s="1292" t="n"/>
      <c r="B732" s="904" t="n"/>
      <c r="C732" s="904" t="n"/>
      <c r="D732" s="904" t="n"/>
      <c r="E732" s="904" t="n"/>
      <c r="F732" s="856" t="n"/>
      <c r="G732" s="866" t="n"/>
      <c r="H732" s="833" t="n"/>
      <c r="I732" s="904" t="n"/>
      <c r="J732" s="340">
        <f>F732*18%</f>
        <v/>
      </c>
      <c r="K732" s="340">
        <f>(F732-J732)*1.65%</f>
        <v/>
      </c>
      <c r="L732" s="340">
        <f>(F732-J732)*7.6%</f>
        <v/>
      </c>
      <c r="M732" s="863" t="n"/>
      <c r="N732" s="864">
        <f>(G732+I732)*(9.25%)</f>
        <v/>
      </c>
      <c r="O732" s="904" t="n"/>
      <c r="P732" s="1016">
        <f>(F732 - (G732+I732+O732+(J732+K732+L732))) - (H732-M732-N732)</f>
        <v/>
      </c>
      <c r="Q732" s="651" t="n"/>
      <c r="R732" s="1206" t="n"/>
      <c r="S732" s="904" t="n"/>
      <c r="T732" s="569" t="n"/>
      <c r="U732" s="1030" t="n"/>
      <c r="V732" s="1030" t="n"/>
      <c r="W732" s="1030" t="n"/>
    </row>
    <row r="733" ht="15.75" customHeight="1" s="1349">
      <c r="A733" s="1292" t="n"/>
      <c r="B733" s="904" t="n"/>
      <c r="C733" s="904" t="n"/>
      <c r="D733" s="904" t="n"/>
      <c r="E733" s="904" t="n"/>
      <c r="F733" s="856" t="n"/>
      <c r="G733" s="866" t="n"/>
      <c r="H733" s="833" t="n"/>
      <c r="I733" s="904" t="n"/>
      <c r="J733" s="340">
        <f>F733*18%</f>
        <v/>
      </c>
      <c r="K733" s="340">
        <f>(F733-J733)*1.65%</f>
        <v/>
      </c>
      <c r="L733" s="340">
        <f>(F733-J733)*7.6%</f>
        <v/>
      </c>
      <c r="M733" s="863" t="n"/>
      <c r="N733" s="864">
        <f>(G733+I733)*(9.25%)</f>
        <v/>
      </c>
      <c r="O733" s="904" t="n"/>
      <c r="P733" s="1016">
        <f>(F733 - (G733+I733+O733+(J733+K733+L733))) - (H733-M733-N733)</f>
        <v/>
      </c>
      <c r="Q733" s="651" t="n"/>
      <c r="R733" s="1206" t="n"/>
      <c r="S733" s="904" t="n"/>
      <c r="T733" s="569" t="n"/>
      <c r="U733" s="1030" t="n"/>
      <c r="V733" s="1030" t="n"/>
      <c r="W733" s="1030" t="n"/>
    </row>
    <row r="734" ht="15.75" customHeight="1" s="1349">
      <c r="A734" s="1292" t="n"/>
      <c r="B734" s="904" t="n"/>
      <c r="C734" s="904" t="n"/>
      <c r="D734" s="904" t="n"/>
      <c r="E734" s="904" t="n"/>
      <c r="F734" s="856" t="n"/>
      <c r="G734" s="866" t="n"/>
      <c r="H734" s="833" t="n"/>
      <c r="I734" s="904" t="n"/>
      <c r="J734" s="340">
        <f>F734*18%</f>
        <v/>
      </c>
      <c r="K734" s="340">
        <f>(F734-J734)*1.65%</f>
        <v/>
      </c>
      <c r="L734" s="340">
        <f>(F734-J734)*7.6%</f>
        <v/>
      </c>
      <c r="M734" s="863" t="n"/>
      <c r="N734" s="864">
        <f>(G734+I734)*(9.25%)</f>
        <v/>
      </c>
      <c r="O734" s="904" t="n"/>
      <c r="P734" s="1016">
        <f>(F734 - (G734+I734+O734+(J734+K734+L734))) - (H734-M734-N734)</f>
        <v/>
      </c>
      <c r="Q734" s="651" t="n"/>
      <c r="R734" s="1206" t="n"/>
      <c r="S734" s="904" t="n"/>
      <c r="T734" s="569" t="n"/>
      <c r="U734" s="1030" t="n"/>
      <c r="V734" s="1030" t="n"/>
      <c r="W734" s="1030" t="n"/>
    </row>
    <row r="735" ht="15.75" customHeight="1" s="1349">
      <c r="A735" s="1292" t="n"/>
      <c r="B735" s="904" t="n"/>
      <c r="C735" s="904" t="n"/>
      <c r="D735" s="904" t="n"/>
      <c r="E735" s="904" t="n"/>
      <c r="F735" s="856" t="n"/>
      <c r="G735" s="866" t="n"/>
      <c r="H735" s="833" t="n"/>
      <c r="I735" s="904" t="n"/>
      <c r="J735" s="340">
        <f>F735*18%</f>
        <v/>
      </c>
      <c r="K735" s="340">
        <f>(F735-J735)*1.65%</f>
        <v/>
      </c>
      <c r="L735" s="340">
        <f>(F735-J735)*7.6%</f>
        <v/>
      </c>
      <c r="M735" s="863" t="n"/>
      <c r="N735" s="864">
        <f>(G735+I735)*(9.25%)</f>
        <v/>
      </c>
      <c r="O735" s="904" t="n"/>
      <c r="P735" s="1016">
        <f>(F735 - (G735+I735+O735+(J735+K735+L735))) - (H735-M735-N735)</f>
        <v/>
      </c>
      <c r="Q735" s="651" t="n"/>
      <c r="R735" s="1206" t="n"/>
      <c r="S735" s="904" t="n"/>
      <c r="T735" s="569" t="n"/>
      <c r="U735" s="1030" t="n"/>
      <c r="V735" s="1030" t="n"/>
      <c r="W735" s="1030" t="n"/>
    </row>
    <row r="736" ht="15.75" customHeight="1" s="1349">
      <c r="A736" s="1292" t="n"/>
      <c r="B736" s="904" t="n"/>
      <c r="C736" s="904" t="n"/>
      <c r="D736" s="904" t="n"/>
      <c r="E736" s="904" t="n"/>
      <c r="F736" s="856" t="n"/>
      <c r="G736" s="866" t="n"/>
      <c r="H736" s="833" t="n"/>
      <c r="I736" s="904" t="n"/>
      <c r="J736" s="340">
        <f>F736*18%</f>
        <v/>
      </c>
      <c r="K736" s="340">
        <f>(F736-J736)*1.65%</f>
        <v/>
      </c>
      <c r="L736" s="340">
        <f>(F736-J736)*7.6%</f>
        <v/>
      </c>
      <c r="M736" s="863" t="n"/>
      <c r="N736" s="864">
        <f>(G736+I736)*(9.25%)</f>
        <v/>
      </c>
      <c r="O736" s="904" t="n"/>
      <c r="P736" s="1016">
        <f>(F736 - (G736+I736+O736+(J736+K736+L736))) - (H736-M736-N736)</f>
        <v/>
      </c>
      <c r="Q736" s="651" t="n"/>
      <c r="R736" s="1206" t="n"/>
      <c r="S736" s="904" t="n"/>
      <c r="T736" s="569" t="n"/>
      <c r="U736" s="1030" t="n"/>
      <c r="V736" s="1030" t="n"/>
      <c r="W736" s="1030" t="n"/>
    </row>
    <row r="737" ht="15.75" customHeight="1" s="1349">
      <c r="A737" s="1292" t="n"/>
      <c r="B737" s="904" t="n"/>
      <c r="C737" s="904" t="n"/>
      <c r="D737" s="904" t="n"/>
      <c r="E737" s="904" t="n"/>
      <c r="F737" s="856" t="n"/>
      <c r="G737" s="866" t="n"/>
      <c r="H737" s="833" t="n"/>
      <c r="I737" s="904" t="n"/>
      <c r="J737" s="340">
        <f>F737*18%</f>
        <v/>
      </c>
      <c r="K737" s="340">
        <f>(F737-J737)*1.65%</f>
        <v/>
      </c>
      <c r="L737" s="340">
        <f>(F737-J737)*7.6%</f>
        <v/>
      </c>
      <c r="M737" s="863" t="n"/>
      <c r="N737" s="864">
        <f>(G737+I737)*(9.25%)</f>
        <v/>
      </c>
      <c r="O737" s="904" t="n"/>
      <c r="P737" s="1016">
        <f>(F737 - (G737+I737+O737+(J737+K737+L737))) - (H737-M737-N737)</f>
        <v/>
      </c>
      <c r="Q737" s="651" t="n"/>
      <c r="R737" s="1206" t="n"/>
      <c r="S737" s="904" t="n"/>
      <c r="T737" s="569" t="n"/>
      <c r="U737" s="1030" t="n"/>
      <c r="V737" s="1030" t="n"/>
      <c r="W737" s="1030" t="n"/>
    </row>
    <row r="738" ht="15.75" customHeight="1" s="1349">
      <c r="A738" s="1292" t="n"/>
      <c r="B738" s="904" t="n"/>
      <c r="C738" s="904" t="n"/>
      <c r="D738" s="904" t="n"/>
      <c r="E738" s="904" t="n"/>
      <c r="F738" s="856" t="n"/>
      <c r="G738" s="866" t="n"/>
      <c r="H738" s="833" t="n"/>
      <c r="I738" s="904" t="n"/>
      <c r="J738" s="340">
        <f>F738*18%</f>
        <v/>
      </c>
      <c r="K738" s="340">
        <f>(F738-J738)*1.65%</f>
        <v/>
      </c>
      <c r="L738" s="340">
        <f>(F738-J738)*7.6%</f>
        <v/>
      </c>
      <c r="M738" s="863" t="n"/>
      <c r="N738" s="864">
        <f>(G738+I738)*(9.25%)</f>
        <v/>
      </c>
      <c r="O738" s="904" t="n"/>
      <c r="P738" s="1016">
        <f>(F738 - (G738+I738+O738+(J738+K738+L738))) - (H738-M738-N738)</f>
        <v/>
      </c>
      <c r="Q738" s="651" t="n"/>
      <c r="R738" s="1206" t="n"/>
      <c r="S738" s="904" t="n"/>
      <c r="T738" s="569" t="n"/>
      <c r="U738" s="1030" t="n"/>
      <c r="V738" s="1030" t="n"/>
      <c r="W738" s="1030" t="n"/>
    </row>
    <row r="739" ht="15.75" customHeight="1" s="1349">
      <c r="A739" s="1292" t="n"/>
      <c r="B739" s="904" t="n"/>
      <c r="C739" s="904" t="n"/>
      <c r="D739" s="904" t="n"/>
      <c r="E739" s="904" t="n"/>
      <c r="F739" s="856" t="n"/>
      <c r="G739" s="866" t="n"/>
      <c r="H739" s="833" t="n"/>
      <c r="I739" s="904" t="n"/>
      <c r="J739" s="340">
        <f>F739*18%</f>
        <v/>
      </c>
      <c r="K739" s="340">
        <f>(F739-J739)*1.65%</f>
        <v/>
      </c>
      <c r="L739" s="340">
        <f>(F739-J739)*7.6%</f>
        <v/>
      </c>
      <c r="M739" s="863" t="n"/>
      <c r="N739" s="864">
        <f>(G739+I739)*(9.25%)</f>
        <v/>
      </c>
      <c r="O739" s="904" t="n"/>
      <c r="P739" s="1016">
        <f>(F739 - (G739+I739+O739+(J739+K739+L739))) - (H739-M739-N739)</f>
        <v/>
      </c>
      <c r="Q739" s="651" t="n"/>
      <c r="R739" s="1206" t="n"/>
      <c r="S739" s="904" t="n"/>
      <c r="T739" s="569" t="n"/>
      <c r="U739" s="1030" t="n"/>
      <c r="V739" s="1030" t="n"/>
      <c r="W739" s="1030" t="n"/>
    </row>
    <row r="740" ht="15.75" customHeight="1" s="1349">
      <c r="A740" s="1292" t="n"/>
      <c r="B740" s="904" t="n"/>
      <c r="C740" s="904" t="n"/>
      <c r="D740" s="904" t="n"/>
      <c r="E740" s="904" t="n"/>
      <c r="F740" s="856" t="n"/>
      <c r="G740" s="866" t="n"/>
      <c r="H740" s="833" t="n"/>
      <c r="I740" s="904" t="n"/>
      <c r="J740" s="340">
        <f>F740*18%</f>
        <v/>
      </c>
      <c r="K740" s="340">
        <f>(F740-J740)*1.65%</f>
        <v/>
      </c>
      <c r="L740" s="340">
        <f>(F740-J740)*7.6%</f>
        <v/>
      </c>
      <c r="M740" s="863" t="n"/>
      <c r="N740" s="864">
        <f>(G740+I740)*(9.25%)</f>
        <v/>
      </c>
      <c r="O740" s="904" t="n"/>
      <c r="P740" s="1016">
        <f>(F740 - (G740+I740+O740+(J740+K740+L740))) - (H740-M740-N740)</f>
        <v/>
      </c>
      <c r="Q740" s="651" t="n"/>
      <c r="R740" s="1206" t="n"/>
      <c r="S740" s="904" t="n"/>
      <c r="T740" s="569" t="n"/>
      <c r="U740" s="1030" t="n"/>
      <c r="V740" s="1030" t="n"/>
      <c r="W740" s="1030" t="n"/>
    </row>
    <row r="741" ht="15.75" customHeight="1" s="1349">
      <c r="A741" s="1292" t="n"/>
      <c r="B741" s="904" t="n"/>
      <c r="C741" s="904" t="n"/>
      <c r="D741" s="904" t="n"/>
      <c r="E741" s="904" t="n"/>
      <c r="F741" s="856" t="n"/>
      <c r="G741" s="866" t="n"/>
      <c r="H741" s="833" t="n"/>
      <c r="I741" s="904" t="n"/>
      <c r="J741" s="340">
        <f>F741*18%</f>
        <v/>
      </c>
      <c r="K741" s="340">
        <f>(F741-J741)*1.65%</f>
        <v/>
      </c>
      <c r="L741" s="340">
        <f>(F741-J741)*7.6%</f>
        <v/>
      </c>
      <c r="M741" s="863" t="n"/>
      <c r="N741" s="864">
        <f>(G741+I741)*(9.25%)</f>
        <v/>
      </c>
      <c r="O741" s="904" t="n"/>
      <c r="P741" s="1016">
        <f>(F741 - (G741+I741+O741+(J741+K741+L741))) - (H741-M741-N741)</f>
        <v/>
      </c>
      <c r="Q741" s="651" t="n"/>
      <c r="R741" s="1206" t="n"/>
      <c r="S741" s="904" t="n"/>
      <c r="T741" s="569" t="n"/>
      <c r="U741" s="1030" t="n"/>
      <c r="V741" s="1030" t="n"/>
      <c r="W741" s="1030" t="n"/>
    </row>
    <row r="742" ht="15.75" customHeight="1" s="1349">
      <c r="A742" s="1292" t="n"/>
      <c r="B742" s="904" t="n"/>
      <c r="C742" s="904" t="n"/>
      <c r="D742" s="904" t="n"/>
      <c r="E742" s="904" t="n"/>
      <c r="F742" s="856" t="n"/>
      <c r="G742" s="866" t="n"/>
      <c r="H742" s="833" t="n"/>
      <c r="I742" s="904" t="n"/>
      <c r="J742" s="340">
        <f>F742*18%</f>
        <v/>
      </c>
      <c r="K742" s="340">
        <f>(F742-J742)*1.65%</f>
        <v/>
      </c>
      <c r="L742" s="340">
        <f>(F742-J742)*7.6%</f>
        <v/>
      </c>
      <c r="M742" s="863" t="n"/>
      <c r="N742" s="864">
        <f>(G742+I742)*(9.25%)</f>
        <v/>
      </c>
      <c r="O742" s="904" t="n"/>
      <c r="P742" s="1016">
        <f>(F742 - (G742+I742+O742+(J742+K742+L742))) - (H742-M742-N742)</f>
        <v/>
      </c>
      <c r="Q742" s="651" t="n"/>
      <c r="R742" s="1206" t="n"/>
      <c r="S742" s="904" t="n"/>
      <c r="T742" s="569" t="n"/>
      <c r="U742" s="1030" t="n"/>
      <c r="V742" s="1030" t="n"/>
      <c r="W742" s="1030" t="n"/>
    </row>
    <row r="743" ht="15.75" customHeight="1" s="1349">
      <c r="A743" s="1292" t="n"/>
      <c r="B743" s="904" t="n"/>
      <c r="C743" s="904" t="n"/>
      <c r="D743" s="904" t="n"/>
      <c r="E743" s="904" t="n"/>
      <c r="F743" s="856" t="n"/>
      <c r="G743" s="866" t="n"/>
      <c r="H743" s="833" t="n"/>
      <c r="I743" s="904" t="n"/>
      <c r="J743" s="340">
        <f>F743*18%</f>
        <v/>
      </c>
      <c r="K743" s="340">
        <f>(F743-J743)*1.65%</f>
        <v/>
      </c>
      <c r="L743" s="340">
        <f>(F743-J743)*7.6%</f>
        <v/>
      </c>
      <c r="M743" s="863" t="n"/>
      <c r="N743" s="864">
        <f>(G743+I743)*(9.25%)</f>
        <v/>
      </c>
      <c r="O743" s="904" t="n"/>
      <c r="P743" s="1016">
        <f>(F743 - (G743+I743+O743+(J743+K743+L743))) - (H743-M743-N743)</f>
        <v/>
      </c>
      <c r="Q743" s="651" t="n"/>
      <c r="R743" s="1206" t="n"/>
      <c r="S743" s="904" t="n"/>
      <c r="T743" s="569" t="n"/>
      <c r="U743" s="1030" t="n"/>
      <c r="V743" s="1030" t="n"/>
      <c r="W743" s="1030" t="n"/>
    </row>
    <row r="744" ht="15.75" customHeight="1" s="1349">
      <c r="A744" s="1292" t="n"/>
      <c r="B744" s="904" t="n"/>
      <c r="C744" s="904" t="n"/>
      <c r="D744" s="904" t="n"/>
      <c r="E744" s="904" t="n"/>
      <c r="F744" s="856" t="n"/>
      <c r="G744" s="866" t="n"/>
      <c r="H744" s="833" t="n"/>
      <c r="I744" s="904" t="n"/>
      <c r="J744" s="340">
        <f>F744*18%</f>
        <v/>
      </c>
      <c r="K744" s="340">
        <f>(F744-J744)*1.65%</f>
        <v/>
      </c>
      <c r="L744" s="340">
        <f>(F744-J744)*7.6%</f>
        <v/>
      </c>
      <c r="M744" s="863" t="n"/>
      <c r="N744" s="864">
        <f>(G744+I744)*(9.25%)</f>
        <v/>
      </c>
      <c r="O744" s="904" t="n"/>
      <c r="P744" s="1016">
        <f>(F744 - (G744+I744+O744+(J744+K744+L744))) - (H744-M744-N744)</f>
        <v/>
      </c>
      <c r="Q744" s="651" t="n"/>
      <c r="R744" s="1206" t="n"/>
      <c r="S744" s="904" t="n"/>
      <c r="T744" s="569" t="n"/>
      <c r="U744" s="1030" t="n"/>
      <c r="V744" s="1030" t="n"/>
      <c r="W744" s="1030" t="n"/>
    </row>
    <row r="745" ht="15.75" customHeight="1" s="1349">
      <c r="A745" s="1292" t="n"/>
      <c r="B745" s="904" t="n"/>
      <c r="C745" s="904" t="n"/>
      <c r="D745" s="904" t="n"/>
      <c r="E745" s="904" t="n"/>
      <c r="F745" s="856" t="n"/>
      <c r="G745" s="866" t="n"/>
      <c r="H745" s="833" t="n"/>
      <c r="I745" s="904" t="n"/>
      <c r="J745" s="340">
        <f>F745*18%</f>
        <v/>
      </c>
      <c r="K745" s="340">
        <f>(F745-J745)*1.65%</f>
        <v/>
      </c>
      <c r="L745" s="340">
        <f>(F745-J745)*7.6%</f>
        <v/>
      </c>
      <c r="M745" s="863" t="n"/>
      <c r="N745" s="864">
        <f>(G745+I745)*(9.25%)</f>
        <v/>
      </c>
      <c r="O745" s="904" t="n"/>
      <c r="P745" s="1016">
        <f>(F745 - (G745+I745+O745+(J745+K745+L745))) - (H745-M745-N745)</f>
        <v/>
      </c>
      <c r="Q745" s="651" t="n"/>
      <c r="R745" s="1206" t="n"/>
      <c r="S745" s="904" t="n"/>
      <c r="T745" s="569" t="n"/>
      <c r="U745" s="1030" t="n"/>
      <c r="V745" s="1030" t="n"/>
      <c r="W745" s="1030" t="n"/>
    </row>
    <row r="746" ht="15.75" customHeight="1" s="1349">
      <c r="A746" s="1292" t="n"/>
      <c r="B746" s="904" t="n"/>
      <c r="C746" s="904" t="n"/>
      <c r="D746" s="904" t="n"/>
      <c r="E746" s="904" t="n"/>
      <c r="F746" s="856" t="n"/>
      <c r="G746" s="866" t="n"/>
      <c r="H746" s="833" t="n"/>
      <c r="I746" s="904" t="n"/>
      <c r="J746" s="340">
        <f>F746*18%</f>
        <v/>
      </c>
      <c r="K746" s="340">
        <f>(F746-J746)*1.65%</f>
        <v/>
      </c>
      <c r="L746" s="340">
        <f>(F746-J746)*7.6%</f>
        <v/>
      </c>
      <c r="M746" s="863" t="n"/>
      <c r="N746" s="864">
        <f>(G746+I746)*(9.25%)</f>
        <v/>
      </c>
      <c r="O746" s="904" t="n"/>
      <c r="P746" s="1016">
        <f>(F746 - (G746+I746+O746+(J746+K746+L746))) - (H746-M746-N746)</f>
        <v/>
      </c>
      <c r="Q746" s="651" t="n"/>
      <c r="R746" s="1206" t="n"/>
      <c r="S746" s="904" t="n"/>
      <c r="T746" s="569" t="n"/>
      <c r="U746" s="1030" t="n"/>
      <c r="V746" s="1030" t="n"/>
      <c r="W746" s="1030" t="n"/>
    </row>
    <row r="747" ht="15.75" customHeight="1" s="1349">
      <c r="A747" s="1292" t="n"/>
      <c r="B747" s="904" t="n"/>
      <c r="C747" s="904" t="n"/>
      <c r="D747" s="904" t="n"/>
      <c r="E747" s="904" t="n"/>
      <c r="F747" s="856" t="n"/>
      <c r="G747" s="866" t="n"/>
      <c r="H747" s="833" t="n"/>
      <c r="I747" s="904" t="n"/>
      <c r="J747" s="340">
        <f>F747*18%</f>
        <v/>
      </c>
      <c r="K747" s="340">
        <f>(F747-J747)*1.65%</f>
        <v/>
      </c>
      <c r="L747" s="340">
        <f>(F747-J747)*7.6%</f>
        <v/>
      </c>
      <c r="M747" s="863" t="n"/>
      <c r="N747" s="864">
        <f>(G747+I747)*(9.25%)</f>
        <v/>
      </c>
      <c r="O747" s="904" t="n"/>
      <c r="P747" s="1016">
        <f>(F747 - (G747+I747+O747+(J747+K747+L747))) - (H747-M747-N747)</f>
        <v/>
      </c>
      <c r="Q747" s="651" t="n"/>
      <c r="R747" s="1206" t="n"/>
      <c r="S747" s="904" t="n"/>
      <c r="T747" s="569" t="n"/>
      <c r="U747" s="1030" t="n"/>
      <c r="V747" s="1030" t="n"/>
      <c r="W747" s="1030" t="n"/>
    </row>
    <row r="748" ht="15.75" customHeight="1" s="1349">
      <c r="A748" s="1292" t="n"/>
      <c r="B748" s="904" t="n"/>
      <c r="C748" s="904" t="n"/>
      <c r="D748" s="904" t="n"/>
      <c r="E748" s="904" t="n"/>
      <c r="F748" s="856" t="n"/>
      <c r="G748" s="866" t="n"/>
      <c r="H748" s="833" t="n"/>
      <c r="I748" s="904" t="n"/>
      <c r="J748" s="340">
        <f>F748*18%</f>
        <v/>
      </c>
      <c r="K748" s="340">
        <f>(F748-J748)*1.65%</f>
        <v/>
      </c>
      <c r="L748" s="340">
        <f>(F748-J748)*7.6%</f>
        <v/>
      </c>
      <c r="M748" s="863" t="n"/>
      <c r="N748" s="864">
        <f>(G748+I748)*(9.25%)</f>
        <v/>
      </c>
      <c r="O748" s="904" t="n"/>
      <c r="P748" s="866" t="n"/>
      <c r="Q748" s="651" t="n"/>
      <c r="R748" s="1206" t="n"/>
      <c r="S748" s="904" t="n"/>
      <c r="T748" s="569" t="n"/>
      <c r="U748" s="1030" t="n"/>
      <c r="V748" s="1030" t="n"/>
      <c r="W748" s="1030" t="n"/>
    </row>
    <row r="749" ht="15.75" customHeight="1" s="1349">
      <c r="A749" s="1292" t="n"/>
      <c r="B749" s="904" t="n"/>
      <c r="C749" s="904" t="n"/>
      <c r="D749" s="904" t="n"/>
      <c r="E749" s="904" t="n"/>
      <c r="F749" s="856" t="n"/>
      <c r="G749" s="866" t="n"/>
      <c r="H749" s="833" t="n"/>
      <c r="I749" s="904" t="n"/>
      <c r="J749" s="340">
        <f>F749*18%</f>
        <v/>
      </c>
      <c r="K749" s="340">
        <f>(F749-J749)*1.65%</f>
        <v/>
      </c>
      <c r="L749" s="340">
        <f>(F749-J749)*7.6%</f>
        <v/>
      </c>
      <c r="M749" s="863" t="n"/>
      <c r="N749" s="864">
        <f>(G749+I749)*(9.25%)</f>
        <v/>
      </c>
      <c r="O749" s="904" t="n"/>
      <c r="P749" s="866" t="n"/>
      <c r="Q749" s="651" t="n"/>
      <c r="R749" s="1206" t="n"/>
      <c r="S749" s="904" t="n"/>
      <c r="T749" s="569" t="n"/>
      <c r="U749" s="1030" t="n"/>
      <c r="V749" s="1030" t="n"/>
      <c r="W749" s="1030" t="n"/>
    </row>
    <row r="750" ht="15.75" customHeight="1" s="1349">
      <c r="A750" s="1292" t="n"/>
      <c r="B750" s="904" t="n"/>
      <c r="C750" s="904" t="n"/>
      <c r="D750" s="904" t="n"/>
      <c r="E750" s="904" t="n"/>
      <c r="F750" s="856" t="n"/>
      <c r="G750" s="866" t="n"/>
      <c r="H750" s="833" t="n"/>
      <c r="I750" s="904" t="n"/>
      <c r="J750" s="340">
        <f>F750*18%</f>
        <v/>
      </c>
      <c r="K750" s="340">
        <f>(F750-J750)*1.65%</f>
        <v/>
      </c>
      <c r="L750" s="340">
        <f>(F750-J750)*7.6%</f>
        <v/>
      </c>
      <c r="M750" s="863" t="n"/>
      <c r="N750" s="864">
        <f>(G750+I750)*(9.25%)</f>
        <v/>
      </c>
      <c r="O750" s="904" t="n"/>
      <c r="P750" s="866" t="n"/>
      <c r="Q750" s="651" t="n"/>
      <c r="R750" s="1206" t="n"/>
      <c r="S750" s="904" t="n"/>
      <c r="T750" s="569" t="n"/>
      <c r="U750" s="1030" t="n"/>
      <c r="V750" s="1030" t="n"/>
      <c r="W750" s="1030" t="n"/>
    </row>
    <row r="751" ht="15.75" customHeight="1" s="1349">
      <c r="A751" s="1292" t="n"/>
      <c r="B751" s="904" t="n"/>
      <c r="C751" s="904" t="n"/>
      <c r="D751" s="904" t="n"/>
      <c r="E751" s="904" t="n"/>
      <c r="F751" s="856" t="n"/>
      <c r="G751" s="866" t="n"/>
      <c r="H751" s="833" t="n"/>
      <c r="I751" s="904" t="n"/>
      <c r="J751" s="340">
        <f>F751*18%</f>
        <v/>
      </c>
      <c r="K751" s="340">
        <f>(F751-J751)*1.65%</f>
        <v/>
      </c>
      <c r="L751" s="340">
        <f>(F751-J751)*7.6%</f>
        <v/>
      </c>
      <c r="M751" s="863" t="n"/>
      <c r="N751" s="864">
        <f>(G751+I751)*(9.25%)</f>
        <v/>
      </c>
      <c r="O751" s="904" t="n"/>
      <c r="P751" s="866" t="n"/>
      <c r="Q751" s="651" t="n"/>
      <c r="R751" s="1206" t="n"/>
      <c r="S751" s="904" t="n"/>
      <c r="T751" s="569" t="n"/>
      <c r="U751" s="1030" t="n"/>
      <c r="V751" s="1030" t="n"/>
      <c r="W751" s="1030" t="n"/>
    </row>
    <row r="752" ht="15.75" customHeight="1" s="1349">
      <c r="A752" s="1292" t="n"/>
      <c r="B752" s="904" t="n"/>
      <c r="C752" s="904" t="n"/>
      <c r="D752" s="904" t="n"/>
      <c r="E752" s="904" t="n"/>
      <c r="F752" s="856" t="n"/>
      <c r="G752" s="866" t="n"/>
      <c r="H752" s="833" t="n"/>
      <c r="I752" s="904" t="n"/>
      <c r="J752" s="340">
        <f>F752*18%</f>
        <v/>
      </c>
      <c r="K752" s="340">
        <f>(F752-J752)*1.65%</f>
        <v/>
      </c>
      <c r="L752" s="340">
        <f>(F752-J752)*7.6%</f>
        <v/>
      </c>
      <c r="M752" s="863" t="n"/>
      <c r="N752" s="864">
        <f>(G752+I752)*(9.25%)</f>
        <v/>
      </c>
      <c r="O752" s="904" t="n"/>
      <c r="P752" s="866" t="n"/>
      <c r="Q752" s="651" t="n"/>
      <c r="R752" s="1206" t="n"/>
      <c r="S752" s="904" t="n"/>
      <c r="T752" s="569" t="n"/>
      <c r="U752" s="1030" t="n"/>
      <c r="V752" s="1030" t="n"/>
      <c r="W752" s="1030" t="n"/>
    </row>
    <row r="753" ht="15.75" customHeight="1" s="1349">
      <c r="A753" s="1292" t="n"/>
      <c r="B753" s="904" t="n"/>
      <c r="C753" s="904" t="n"/>
      <c r="D753" s="904" t="n"/>
      <c r="E753" s="904" t="n"/>
      <c r="F753" s="856" t="n"/>
      <c r="G753" s="866" t="n"/>
      <c r="H753" s="833" t="n"/>
      <c r="I753" s="904" t="n"/>
      <c r="J753" s="340">
        <f>F753*18%</f>
        <v/>
      </c>
      <c r="K753" s="340">
        <f>(F753-J753)*1.65%</f>
        <v/>
      </c>
      <c r="L753" s="340">
        <f>(F753-J753)*7.6%</f>
        <v/>
      </c>
      <c r="M753" s="863" t="n"/>
      <c r="N753" s="864">
        <f>(G753+I753)*(9.25%)</f>
        <v/>
      </c>
      <c r="O753" s="904" t="n"/>
      <c r="P753" s="866" t="n"/>
      <c r="Q753" s="651" t="n"/>
      <c r="R753" s="1206" t="n"/>
      <c r="S753" s="904" t="n"/>
      <c r="T753" s="569" t="n"/>
      <c r="U753" s="1030" t="n"/>
      <c r="V753" s="1030" t="n"/>
      <c r="W753" s="1030" t="n"/>
    </row>
    <row r="754" ht="15.75" customHeight="1" s="1349">
      <c r="A754" s="1292" t="n"/>
      <c r="B754" s="904" t="n"/>
      <c r="C754" s="904" t="n"/>
      <c r="D754" s="904" t="n"/>
      <c r="E754" s="904" t="n"/>
      <c r="F754" s="856" t="n"/>
      <c r="G754" s="866" t="n"/>
      <c r="H754" s="833" t="n"/>
      <c r="I754" s="904" t="n"/>
      <c r="J754" s="340">
        <f>F754*18%</f>
        <v/>
      </c>
      <c r="K754" s="340">
        <f>(F754-J754)*1.65%</f>
        <v/>
      </c>
      <c r="L754" s="340">
        <f>(F754-J754)*7.6%</f>
        <v/>
      </c>
      <c r="M754" s="863" t="n"/>
      <c r="N754" s="864">
        <f>(G754+I754)*(9.25%)</f>
        <v/>
      </c>
      <c r="O754" s="904" t="n"/>
      <c r="P754" s="866" t="n"/>
      <c r="Q754" s="651" t="n"/>
      <c r="R754" s="1206" t="n"/>
      <c r="S754" s="904" t="n"/>
      <c r="T754" s="569" t="n"/>
      <c r="U754" s="1030" t="n"/>
      <c r="V754" s="1030" t="n"/>
      <c r="W754" s="1030" t="n"/>
    </row>
    <row r="755" ht="15.75" customHeight="1" s="1349">
      <c r="A755" s="1292" t="n"/>
      <c r="B755" s="904" t="n"/>
      <c r="C755" s="904" t="n"/>
      <c r="D755" s="904" t="n"/>
      <c r="E755" s="904" t="n"/>
      <c r="F755" s="856" t="n"/>
      <c r="G755" s="866" t="n"/>
      <c r="H755" s="833" t="n"/>
      <c r="I755" s="904" t="n"/>
      <c r="J755" s="340">
        <f>F755*18%</f>
        <v/>
      </c>
      <c r="K755" s="340">
        <f>(F755-J755)*1.65%</f>
        <v/>
      </c>
      <c r="L755" s="340">
        <f>(F755-J755)*7.6%</f>
        <v/>
      </c>
      <c r="M755" s="863" t="n"/>
      <c r="N755" s="864">
        <f>(G755+I755)*(9.25%)</f>
        <v/>
      </c>
      <c r="O755" s="904" t="n"/>
      <c r="P755" s="866" t="n"/>
      <c r="Q755" s="651" t="n"/>
      <c r="R755" s="1206" t="n"/>
      <c r="S755" s="904" t="n"/>
      <c r="T755" s="569" t="n"/>
      <c r="U755" s="1030" t="n"/>
      <c r="V755" s="1030" t="n"/>
      <c r="W755" s="1030" t="n"/>
    </row>
    <row r="756" ht="15.75" customHeight="1" s="1349">
      <c r="A756" s="1292" t="n"/>
      <c r="B756" s="904" t="n"/>
      <c r="C756" s="904" t="n"/>
      <c r="D756" s="904" t="n"/>
      <c r="E756" s="904" t="n"/>
      <c r="F756" s="856" t="n"/>
      <c r="G756" s="866" t="n"/>
      <c r="H756" s="833" t="n"/>
      <c r="I756" s="904" t="n"/>
      <c r="J756" s="340">
        <f>F756*18%</f>
        <v/>
      </c>
      <c r="K756" s="340">
        <f>(F756-J756)*1.65%</f>
        <v/>
      </c>
      <c r="L756" s="340">
        <f>(F756-J756)*7.6%</f>
        <v/>
      </c>
      <c r="M756" s="863" t="n"/>
      <c r="N756" s="864">
        <f>(G756+I756)*(9.25%)</f>
        <v/>
      </c>
      <c r="O756" s="904" t="n"/>
      <c r="P756" s="866" t="n"/>
      <c r="Q756" s="651" t="n"/>
      <c r="R756" s="1206" t="n"/>
      <c r="S756" s="904" t="n"/>
      <c r="T756" s="569" t="n"/>
      <c r="U756" s="1030" t="n"/>
      <c r="V756" s="1030" t="n"/>
      <c r="W756" s="1030" t="n"/>
    </row>
    <row r="757" ht="15.75" customHeight="1" s="1349">
      <c r="A757" s="1292" t="n"/>
      <c r="B757" s="904" t="n"/>
      <c r="C757" s="904" t="n"/>
      <c r="D757" s="904" t="n"/>
      <c r="E757" s="904" t="n"/>
      <c r="F757" s="856" t="n"/>
      <c r="G757" s="866" t="n"/>
      <c r="H757" s="833" t="n"/>
      <c r="I757" s="904" t="n"/>
      <c r="J757" s="340">
        <f>F757*18%</f>
        <v/>
      </c>
      <c r="K757" s="340">
        <f>(F757-J757)*1.65%</f>
        <v/>
      </c>
      <c r="L757" s="340">
        <f>(F757-J757)*7.6%</f>
        <v/>
      </c>
      <c r="M757" s="863" t="n"/>
      <c r="N757" s="864">
        <f>(G757+I757)*(9.25%)</f>
        <v/>
      </c>
      <c r="O757" s="904" t="n"/>
      <c r="P757" s="866" t="n"/>
      <c r="Q757" s="651" t="n"/>
      <c r="R757" s="1206" t="n"/>
      <c r="S757" s="904" t="n"/>
      <c r="T757" s="569" t="n"/>
      <c r="U757" s="1030" t="n"/>
      <c r="V757" s="1030" t="n"/>
      <c r="W757" s="1030" t="n"/>
    </row>
    <row r="758" ht="15.75" customHeight="1" s="1349">
      <c r="A758" s="1292" t="n"/>
      <c r="B758" s="904" t="n"/>
      <c r="C758" s="904" t="n"/>
      <c r="D758" s="904" t="n"/>
      <c r="E758" s="904" t="n"/>
      <c r="F758" s="856" t="n"/>
      <c r="G758" s="866" t="n"/>
      <c r="H758" s="833" t="n"/>
      <c r="I758" s="904" t="n"/>
      <c r="J758" s="340">
        <f>F758*18%</f>
        <v/>
      </c>
      <c r="K758" s="340">
        <f>(F758-J758)*1.65%</f>
        <v/>
      </c>
      <c r="L758" s="340">
        <f>(F758-J758)*7.6%</f>
        <v/>
      </c>
      <c r="M758" s="863" t="n"/>
      <c r="N758" s="864">
        <f>(G758+I758)*(9.25%)</f>
        <v/>
      </c>
      <c r="O758" s="904" t="n"/>
      <c r="P758" s="866" t="n"/>
      <c r="Q758" s="651" t="n"/>
      <c r="R758" s="1206" t="n"/>
      <c r="S758" s="904" t="n"/>
      <c r="T758" s="569" t="n"/>
      <c r="U758" s="1030" t="n"/>
      <c r="V758" s="1030" t="n"/>
      <c r="W758" s="1030" t="n"/>
    </row>
    <row r="759" ht="15.75" customHeight="1" s="1349">
      <c r="A759" s="1292" t="n"/>
      <c r="B759" s="904" t="n"/>
      <c r="C759" s="904" t="n"/>
      <c r="D759" s="904" t="n"/>
      <c r="E759" s="904" t="n"/>
      <c r="F759" s="856" t="n"/>
      <c r="G759" s="866" t="n"/>
      <c r="H759" s="833" t="n"/>
      <c r="I759" s="904" t="n"/>
      <c r="J759" s="340">
        <f>F759*18%</f>
        <v/>
      </c>
      <c r="K759" s="340">
        <f>(F759-J759)*1.65%</f>
        <v/>
      </c>
      <c r="L759" s="340">
        <f>(F759-J759)*7.6%</f>
        <v/>
      </c>
      <c r="M759" s="863" t="n"/>
      <c r="N759" s="864">
        <f>(G759+I759)*(9.25%)</f>
        <v/>
      </c>
      <c r="O759" s="904" t="n"/>
      <c r="P759" s="866" t="n"/>
      <c r="Q759" s="651" t="n"/>
      <c r="R759" s="1206" t="n"/>
      <c r="S759" s="904" t="n"/>
      <c r="T759" s="569" t="n"/>
      <c r="U759" s="1030" t="n"/>
      <c r="V759" s="1030" t="n"/>
      <c r="W759" s="1030" t="n"/>
    </row>
    <row r="760" ht="15.75" customHeight="1" s="1349">
      <c r="A760" s="1292" t="n"/>
      <c r="B760" s="904" t="n"/>
      <c r="C760" s="904" t="n"/>
      <c r="D760" s="904" t="n"/>
      <c r="E760" s="904" t="n"/>
      <c r="F760" s="856" t="n"/>
      <c r="G760" s="866" t="n"/>
      <c r="H760" s="833" t="n"/>
      <c r="I760" s="904" t="n"/>
      <c r="J760" s="340">
        <f>F760*18%</f>
        <v/>
      </c>
      <c r="K760" s="340">
        <f>(F760-J760)*1.65%</f>
        <v/>
      </c>
      <c r="L760" s="340">
        <f>(F760-J760)*7.6%</f>
        <v/>
      </c>
      <c r="M760" s="863" t="n"/>
      <c r="N760" s="864">
        <f>(G760+I760)*(9.25%)</f>
        <v/>
      </c>
      <c r="O760" s="904" t="n"/>
      <c r="P760" s="866" t="n"/>
      <c r="Q760" s="651" t="n"/>
      <c r="R760" s="1206" t="n"/>
      <c r="S760" s="904" t="n"/>
      <c r="T760" s="569" t="n"/>
      <c r="U760" s="1030" t="n"/>
      <c r="V760" s="1030" t="n"/>
      <c r="W760" s="1030" t="n"/>
    </row>
    <row r="761" ht="15.75" customHeight="1" s="1349">
      <c r="A761" s="1292" t="n"/>
      <c r="B761" s="904" t="n"/>
      <c r="C761" s="904" t="n"/>
      <c r="D761" s="904" t="n"/>
      <c r="E761" s="904" t="n"/>
      <c r="F761" s="856" t="n"/>
      <c r="G761" s="866" t="n"/>
      <c r="H761" s="833" t="n"/>
      <c r="I761" s="904" t="n"/>
      <c r="J761" s="340">
        <f>F761*18%</f>
        <v/>
      </c>
      <c r="K761" s="340">
        <f>(F761-J761)*1.65%</f>
        <v/>
      </c>
      <c r="L761" s="340">
        <f>(F761-J761)*7.6%</f>
        <v/>
      </c>
      <c r="M761" s="863" t="n"/>
      <c r="N761" s="864">
        <f>(G761+I761)*(9.25%)</f>
        <v/>
      </c>
      <c r="O761" s="904" t="n"/>
      <c r="P761" s="866" t="n"/>
      <c r="Q761" s="651" t="n"/>
      <c r="R761" s="1206" t="n"/>
      <c r="S761" s="904" t="n"/>
      <c r="T761" s="569" t="n"/>
      <c r="U761" s="1030" t="n"/>
      <c r="V761" s="1030" t="n"/>
      <c r="W761" s="1030" t="n"/>
    </row>
    <row r="762" ht="15.75" customHeight="1" s="1349">
      <c r="A762" s="1292" t="n"/>
      <c r="B762" s="904" t="n"/>
      <c r="C762" s="904" t="n"/>
      <c r="D762" s="904" t="n"/>
      <c r="E762" s="904" t="n"/>
      <c r="F762" s="856" t="n"/>
      <c r="G762" s="866" t="n"/>
      <c r="H762" s="833" t="n"/>
      <c r="I762" s="904" t="n"/>
      <c r="J762" s="340">
        <f>F762*18%</f>
        <v/>
      </c>
      <c r="K762" s="340">
        <f>(F762-J762)*1.65%</f>
        <v/>
      </c>
      <c r="L762" s="340">
        <f>(F762-J762)*7.6%</f>
        <v/>
      </c>
      <c r="M762" s="863" t="n"/>
      <c r="N762" s="864">
        <f>(G762+I762)*(9.25%)</f>
        <v/>
      </c>
      <c r="O762" s="904" t="n"/>
      <c r="P762" s="866" t="n"/>
      <c r="Q762" s="651" t="n"/>
      <c r="R762" s="1206" t="n"/>
      <c r="S762" s="904" t="n"/>
      <c r="T762" s="569" t="n"/>
      <c r="U762" s="1030" t="n"/>
      <c r="V762" s="1030" t="n"/>
      <c r="W762" s="1030" t="n"/>
    </row>
    <row r="763" ht="15.75" customHeight="1" s="1349">
      <c r="A763" s="1292" t="n"/>
      <c r="B763" s="904" t="n"/>
      <c r="C763" s="904" t="n"/>
      <c r="D763" s="904" t="n"/>
      <c r="E763" s="904" t="n"/>
      <c r="F763" s="856" t="n"/>
      <c r="G763" s="866" t="n"/>
      <c r="H763" s="833" t="n"/>
      <c r="I763" s="904" t="n"/>
      <c r="J763" s="340">
        <f>F763*18%</f>
        <v/>
      </c>
      <c r="K763" s="340">
        <f>(F763-J763)*1.65%</f>
        <v/>
      </c>
      <c r="L763" s="340">
        <f>(F763-J763)*7.6%</f>
        <v/>
      </c>
      <c r="M763" s="863" t="n"/>
      <c r="N763" s="864">
        <f>(G763+I763)*(9.25%)</f>
        <v/>
      </c>
      <c r="O763" s="904" t="n"/>
      <c r="P763" s="866" t="n"/>
      <c r="Q763" s="651" t="n"/>
      <c r="R763" s="1206" t="n"/>
      <c r="S763" s="904" t="n"/>
      <c r="T763" s="569" t="n"/>
      <c r="U763" s="1030" t="n"/>
      <c r="V763" s="1030" t="n"/>
      <c r="W763" s="1030" t="n"/>
    </row>
    <row r="764" ht="15.75" customHeight="1" s="1349">
      <c r="A764" s="1292" t="n"/>
      <c r="B764" s="904" t="n"/>
      <c r="C764" s="904" t="n"/>
      <c r="D764" s="904" t="n"/>
      <c r="E764" s="904" t="n"/>
      <c r="F764" s="856" t="n"/>
      <c r="G764" s="866" t="n"/>
      <c r="H764" s="833" t="n"/>
      <c r="I764" s="904" t="n"/>
      <c r="J764" s="340">
        <f>F764*18%</f>
        <v/>
      </c>
      <c r="K764" s="340">
        <f>(F764-J764)*1.65%</f>
        <v/>
      </c>
      <c r="L764" s="340">
        <f>(F764-J764)*7.6%</f>
        <v/>
      </c>
      <c r="M764" s="863" t="n"/>
      <c r="N764" s="864">
        <f>(G764+I764)*(9.25%)</f>
        <v/>
      </c>
      <c r="O764" s="904" t="n"/>
      <c r="P764" s="866" t="n"/>
      <c r="Q764" s="651" t="n"/>
      <c r="R764" s="1206" t="n"/>
      <c r="S764" s="904" t="n"/>
      <c r="T764" s="569" t="n"/>
      <c r="U764" s="1030" t="n"/>
      <c r="V764" s="1030" t="n"/>
      <c r="W764" s="1030" t="n"/>
    </row>
    <row r="765" ht="15.75" customHeight="1" s="1349">
      <c r="A765" s="1292" t="n"/>
      <c r="B765" s="904" t="n"/>
      <c r="C765" s="904" t="n"/>
      <c r="D765" s="904" t="n"/>
      <c r="E765" s="904" t="n"/>
      <c r="F765" s="856" t="n"/>
      <c r="G765" s="866" t="n"/>
      <c r="H765" s="833" t="n"/>
      <c r="I765" s="904" t="n"/>
      <c r="J765" s="340">
        <f>F765*18%</f>
        <v/>
      </c>
      <c r="K765" s="340">
        <f>(F765-J765)*1.65%</f>
        <v/>
      </c>
      <c r="L765" s="340">
        <f>(F765-J765)*7.6%</f>
        <v/>
      </c>
      <c r="M765" s="863" t="n"/>
      <c r="N765" s="864">
        <f>(G765+I765)*(9.25%)</f>
        <v/>
      </c>
      <c r="O765" s="904" t="n"/>
      <c r="P765" s="866" t="n"/>
      <c r="Q765" s="651" t="n"/>
      <c r="R765" s="1206" t="n"/>
      <c r="S765" s="904" t="n"/>
      <c r="T765" s="569" t="n"/>
      <c r="U765" s="1030" t="n"/>
      <c r="V765" s="1030" t="n"/>
      <c r="W765" s="1030" t="n"/>
    </row>
    <row r="766" ht="15.75" customHeight="1" s="1349">
      <c r="A766" s="1292" t="n"/>
      <c r="B766" s="904" t="n"/>
      <c r="C766" s="904" t="n"/>
      <c r="D766" s="904" t="n"/>
      <c r="E766" s="904" t="n"/>
      <c r="F766" s="856" t="n"/>
      <c r="G766" s="866" t="n"/>
      <c r="H766" s="833" t="n"/>
      <c r="I766" s="904" t="n"/>
      <c r="J766" s="340">
        <f>F766*18%</f>
        <v/>
      </c>
      <c r="K766" s="340">
        <f>(F766-J766)*1.65%</f>
        <v/>
      </c>
      <c r="L766" s="340">
        <f>(F766-J766)*7.6%</f>
        <v/>
      </c>
      <c r="M766" s="863" t="n"/>
      <c r="N766" s="864">
        <f>(G766+I766)*(9.25%)</f>
        <v/>
      </c>
      <c r="O766" s="904" t="n"/>
      <c r="P766" s="866" t="n"/>
      <c r="Q766" s="651" t="n"/>
      <c r="R766" s="1206" t="n"/>
      <c r="S766" s="904" t="n"/>
      <c r="T766" s="569" t="n"/>
      <c r="U766" s="1030" t="n"/>
      <c r="V766" s="1030" t="n"/>
      <c r="W766" s="1030" t="n"/>
    </row>
    <row r="767" ht="15.75" customHeight="1" s="1349">
      <c r="A767" s="1292" t="n"/>
      <c r="B767" s="904" t="n"/>
      <c r="C767" s="904" t="n"/>
      <c r="D767" s="904" t="n"/>
      <c r="E767" s="904" t="n"/>
      <c r="F767" s="856" t="n"/>
      <c r="G767" s="866" t="n"/>
      <c r="H767" s="833" t="n"/>
      <c r="I767" s="904" t="n"/>
      <c r="J767" s="340">
        <f>F767*18%</f>
        <v/>
      </c>
      <c r="K767" s="340">
        <f>(F767-J767)*1.65%</f>
        <v/>
      </c>
      <c r="L767" s="340">
        <f>(F767-J767)*7.6%</f>
        <v/>
      </c>
      <c r="M767" s="863" t="n"/>
      <c r="N767" s="864">
        <f>(G767+I767)*(9.25%)</f>
        <v/>
      </c>
      <c r="O767" s="904" t="n"/>
      <c r="P767" s="866" t="n"/>
      <c r="Q767" s="651" t="n"/>
      <c r="R767" s="1206" t="n"/>
      <c r="S767" s="904" t="n"/>
      <c r="T767" s="569" t="n"/>
      <c r="U767" s="1030" t="n"/>
      <c r="V767" s="1030" t="n"/>
      <c r="W767" s="1030" t="n"/>
    </row>
    <row r="768" ht="15.75" customHeight="1" s="1349">
      <c r="A768" s="1292" t="n"/>
      <c r="B768" s="904" t="n"/>
      <c r="C768" s="904" t="n"/>
      <c r="D768" s="904" t="n"/>
      <c r="E768" s="904" t="n"/>
      <c r="F768" s="856" t="n"/>
      <c r="G768" s="866" t="n"/>
      <c r="H768" s="833" t="n"/>
      <c r="I768" s="904" t="n"/>
      <c r="J768" s="340">
        <f>F768*18%</f>
        <v/>
      </c>
      <c r="K768" s="340">
        <f>(F768-J768)*1.65%</f>
        <v/>
      </c>
      <c r="L768" s="340">
        <f>(F768-J768)*7.6%</f>
        <v/>
      </c>
      <c r="M768" s="863" t="n"/>
      <c r="N768" s="864">
        <f>(G768+I768)*(9.25%)</f>
        <v/>
      </c>
      <c r="O768" s="904" t="n"/>
      <c r="P768" s="866" t="n"/>
      <c r="Q768" s="651" t="n"/>
      <c r="R768" s="1206" t="n"/>
      <c r="S768" s="904" t="n"/>
      <c r="T768" s="569" t="n"/>
      <c r="U768" s="1030" t="n"/>
      <c r="V768" s="1030" t="n"/>
      <c r="W768" s="1030" t="n"/>
    </row>
    <row r="769" ht="15.75" customHeight="1" s="1349">
      <c r="A769" s="1292" t="n"/>
      <c r="B769" s="904" t="n"/>
      <c r="C769" s="904" t="n"/>
      <c r="D769" s="904" t="n"/>
      <c r="E769" s="904" t="n"/>
      <c r="F769" s="856" t="n"/>
      <c r="G769" s="866" t="n"/>
      <c r="H769" s="833" t="n"/>
      <c r="I769" s="904" t="n"/>
      <c r="J769" s="340">
        <f>F769*18%</f>
        <v/>
      </c>
      <c r="K769" s="340">
        <f>(F769-J769)*1.65%</f>
        <v/>
      </c>
      <c r="L769" s="340">
        <f>(F769-J769)*7.6%</f>
        <v/>
      </c>
      <c r="M769" s="863" t="n"/>
      <c r="N769" s="864">
        <f>(G769+I769)*(9.25%)</f>
        <v/>
      </c>
      <c r="O769" s="904" t="n"/>
      <c r="P769" s="866" t="n"/>
      <c r="Q769" s="651" t="n"/>
      <c r="R769" s="1206" t="n"/>
      <c r="S769" s="904" t="n"/>
      <c r="T769" s="569" t="n"/>
      <c r="U769" s="1030" t="n"/>
      <c r="V769" s="1030" t="n"/>
      <c r="W769" s="1030" t="n"/>
    </row>
    <row r="770" ht="15.75" customHeight="1" s="1349">
      <c r="A770" s="1292" t="n"/>
      <c r="B770" s="904" t="n"/>
      <c r="C770" s="904" t="n"/>
      <c r="D770" s="904" t="n"/>
      <c r="E770" s="904" t="n"/>
      <c r="F770" s="856" t="n"/>
      <c r="G770" s="866" t="n"/>
      <c r="H770" s="833" t="n"/>
      <c r="I770" s="904" t="n"/>
      <c r="J770" s="340">
        <f>F770*18%</f>
        <v/>
      </c>
      <c r="K770" s="340">
        <f>(F770-J770)*1.65%</f>
        <v/>
      </c>
      <c r="L770" s="340">
        <f>(F770-J770)*7.6%</f>
        <v/>
      </c>
      <c r="M770" s="863" t="n"/>
      <c r="N770" s="864">
        <f>(G770+I770)*(9.25%)</f>
        <v/>
      </c>
      <c r="O770" s="904" t="n"/>
      <c r="P770" s="866" t="n"/>
      <c r="Q770" s="651" t="n"/>
      <c r="R770" s="1206" t="n"/>
      <c r="S770" s="904" t="n"/>
      <c r="T770" s="569" t="n"/>
      <c r="U770" s="1030" t="n"/>
      <c r="V770" s="1030" t="n"/>
      <c r="W770" s="1030" t="n"/>
    </row>
    <row r="771" ht="15.75" customHeight="1" s="1349">
      <c r="A771" s="1292" t="n"/>
      <c r="B771" s="904" t="n"/>
      <c r="C771" s="904" t="n"/>
      <c r="D771" s="904" t="n"/>
      <c r="E771" s="904" t="n"/>
      <c r="F771" s="856" t="n"/>
      <c r="G771" s="866" t="n"/>
      <c r="H771" s="833" t="n"/>
      <c r="I771" s="904" t="n"/>
      <c r="J771" s="340">
        <f>F771*18%</f>
        <v/>
      </c>
      <c r="K771" s="340">
        <f>(F771-J771)*1.65%</f>
        <v/>
      </c>
      <c r="L771" s="340">
        <f>(F771-J771)*7.6%</f>
        <v/>
      </c>
      <c r="M771" s="863" t="n"/>
      <c r="N771" s="864">
        <f>(G771+I771)*(9.25%)</f>
        <v/>
      </c>
      <c r="O771" s="904" t="n"/>
      <c r="P771" s="866" t="n"/>
      <c r="Q771" s="651" t="n"/>
      <c r="R771" s="1206" t="n"/>
      <c r="S771" s="904" t="n"/>
      <c r="T771" s="569" t="n"/>
      <c r="U771" s="1030" t="n"/>
      <c r="V771" s="1030" t="n"/>
      <c r="W771" s="1030" t="n"/>
    </row>
    <row r="772" ht="15.75" customHeight="1" s="1349">
      <c r="A772" s="1292" t="n"/>
      <c r="B772" s="904" t="n"/>
      <c r="C772" s="904" t="n"/>
      <c r="D772" s="904" t="n"/>
      <c r="E772" s="904" t="n"/>
      <c r="F772" s="856" t="n"/>
      <c r="G772" s="866" t="n"/>
      <c r="H772" s="833" t="n"/>
      <c r="I772" s="904" t="n"/>
      <c r="J772" s="340">
        <f>F772*18%</f>
        <v/>
      </c>
      <c r="K772" s="340">
        <f>(F772-J772)*1.65%</f>
        <v/>
      </c>
      <c r="L772" s="340">
        <f>(F772-J772)*7.6%</f>
        <v/>
      </c>
      <c r="M772" s="863" t="n"/>
      <c r="N772" s="864">
        <f>(G772+I772)*(9.25%)</f>
        <v/>
      </c>
      <c r="O772" s="904" t="n"/>
      <c r="P772" s="866" t="n"/>
      <c r="Q772" s="651" t="n"/>
      <c r="R772" s="1206" t="n"/>
      <c r="S772" s="904" t="n"/>
      <c r="T772" s="569" t="n"/>
      <c r="U772" s="1030" t="n"/>
      <c r="V772" s="1030" t="n"/>
      <c r="W772" s="1030" t="n"/>
    </row>
    <row r="773" ht="15.75" customHeight="1" s="1349">
      <c r="A773" s="1292" t="n"/>
      <c r="B773" s="904" t="n"/>
      <c r="C773" s="904" t="n"/>
      <c r="D773" s="904" t="n"/>
      <c r="E773" s="904" t="n"/>
      <c r="F773" s="856" t="n"/>
      <c r="G773" s="866" t="n"/>
      <c r="H773" s="833" t="n"/>
      <c r="I773" s="904" t="n"/>
      <c r="J773" s="340">
        <f>F773*18%</f>
        <v/>
      </c>
      <c r="K773" s="340">
        <f>(F773-J773)*1.65%</f>
        <v/>
      </c>
      <c r="L773" s="340">
        <f>(F773-J773)*7.6%</f>
        <v/>
      </c>
      <c r="M773" s="863" t="n"/>
      <c r="N773" s="864">
        <f>(G773+I773)*(9.25%)</f>
        <v/>
      </c>
      <c r="O773" s="904" t="n"/>
      <c r="P773" s="866" t="n"/>
      <c r="Q773" s="651" t="n"/>
      <c r="R773" s="1206" t="n"/>
      <c r="S773" s="904" t="n"/>
      <c r="T773" s="569" t="n"/>
      <c r="U773" s="1030" t="n"/>
      <c r="V773" s="1030" t="n"/>
      <c r="W773" s="1030" t="n"/>
    </row>
    <row r="774" ht="15.75" customHeight="1" s="1349">
      <c r="A774" s="1292" t="n"/>
      <c r="B774" s="904" t="n"/>
      <c r="C774" s="904" t="n"/>
      <c r="D774" s="904" t="n"/>
      <c r="E774" s="904" t="n"/>
      <c r="F774" s="856" t="n"/>
      <c r="G774" s="866" t="n"/>
      <c r="H774" s="833" t="n"/>
      <c r="I774" s="904" t="n"/>
      <c r="J774" s="340">
        <f>F774*18%</f>
        <v/>
      </c>
      <c r="K774" s="340">
        <f>(F774-J774)*1.65%</f>
        <v/>
      </c>
      <c r="L774" s="340">
        <f>(F774-J774)*7.6%</f>
        <v/>
      </c>
      <c r="M774" s="863" t="n"/>
      <c r="N774" s="864">
        <f>(G774+I774)*(9.25%)</f>
        <v/>
      </c>
      <c r="O774" s="904" t="n"/>
      <c r="P774" s="866" t="n"/>
      <c r="Q774" s="651" t="n"/>
      <c r="R774" s="1206" t="n"/>
      <c r="S774" s="904" t="n"/>
      <c r="T774" s="569" t="n"/>
      <c r="U774" s="1030" t="n"/>
      <c r="V774" s="1030" t="n"/>
      <c r="W774" s="1030" t="n"/>
    </row>
    <row r="775" ht="15.75" customHeight="1" s="1349">
      <c r="A775" s="1292" t="n"/>
      <c r="B775" s="904" t="n"/>
      <c r="C775" s="904" t="n"/>
      <c r="D775" s="904" t="n"/>
      <c r="E775" s="904" t="n"/>
      <c r="F775" s="856" t="n"/>
      <c r="G775" s="866" t="n"/>
      <c r="H775" s="833" t="n"/>
      <c r="I775" s="904" t="n"/>
      <c r="J775" s="867">
        <f>F775*18%</f>
        <v/>
      </c>
      <c r="K775" s="867">
        <f>(F775-J775)*1.65%</f>
        <v/>
      </c>
      <c r="L775" s="867" t="n"/>
      <c r="M775" s="863" t="n"/>
      <c r="N775" s="864">
        <f>(G775+I775)*(9.25%)</f>
        <v/>
      </c>
      <c r="O775" s="904" t="n"/>
      <c r="P775" s="866" t="n"/>
      <c r="Q775" s="651" t="n"/>
      <c r="R775" s="1206" t="n"/>
      <c r="S775" s="904" t="n"/>
      <c r="T775" s="569" t="n"/>
      <c r="U775" s="1030" t="n"/>
      <c r="V775" s="1030" t="n"/>
      <c r="W775" s="1030" t="n"/>
    </row>
    <row r="776" ht="15.75" customHeight="1" s="1349">
      <c r="A776" s="1292" t="n"/>
      <c r="B776" s="904" t="n"/>
      <c r="C776" s="904" t="n"/>
      <c r="D776" s="904" t="n"/>
      <c r="E776" s="904" t="n"/>
      <c r="F776" s="856" t="n"/>
      <c r="G776" s="866" t="n"/>
      <c r="H776" s="833" t="n"/>
      <c r="I776" s="904" t="n"/>
      <c r="J776" s="867">
        <f>F776*18%</f>
        <v/>
      </c>
      <c r="K776" s="867">
        <f>(F776-J776)*1.65%</f>
        <v/>
      </c>
      <c r="L776" s="867" t="n"/>
      <c r="M776" s="863" t="n"/>
      <c r="N776" s="864">
        <f>(G776+I776)*(9.25%)</f>
        <v/>
      </c>
      <c r="O776" s="904" t="n"/>
      <c r="P776" s="866" t="n"/>
      <c r="Q776" s="651" t="n"/>
      <c r="R776" s="1206" t="n"/>
      <c r="S776" s="904" t="n"/>
      <c r="T776" s="569" t="n"/>
      <c r="U776" s="1030" t="n"/>
      <c r="V776" s="1030" t="n"/>
      <c r="W776" s="1030" t="n"/>
    </row>
    <row r="777" ht="15.75" customHeight="1" s="1349">
      <c r="A777" s="1292" t="n"/>
      <c r="B777" s="904" t="n"/>
      <c r="C777" s="904" t="n"/>
      <c r="D777" s="904" t="n"/>
      <c r="E777" s="904" t="n"/>
      <c r="F777" s="856" t="n"/>
      <c r="G777" s="866" t="n"/>
      <c r="H777" s="833" t="n"/>
      <c r="I777" s="904" t="n"/>
      <c r="J777" s="867">
        <f>F777*18%</f>
        <v/>
      </c>
      <c r="K777" s="867">
        <f>(F777-J777)*1.65%</f>
        <v/>
      </c>
      <c r="L777" s="867" t="n"/>
      <c r="M777" s="863" t="n"/>
      <c r="N777" s="864">
        <f>(G777+I777)*(9.25%)</f>
        <v/>
      </c>
      <c r="O777" s="904" t="n"/>
      <c r="P777" s="866" t="n"/>
      <c r="Q777" s="651" t="n"/>
      <c r="R777" s="1206" t="n"/>
      <c r="S777" s="904" t="n"/>
      <c r="T777" s="569" t="n"/>
      <c r="U777" s="1030" t="n"/>
      <c r="V777" s="1030" t="n"/>
      <c r="W777" s="1030" t="n"/>
    </row>
    <row r="778" ht="15.75" customHeight="1" s="1349">
      <c r="A778" s="1292" t="n"/>
      <c r="B778" s="904" t="n"/>
      <c r="C778" s="904" t="n"/>
      <c r="D778" s="904" t="n"/>
      <c r="E778" s="904" t="n"/>
      <c r="F778" s="856" t="n"/>
      <c r="G778" s="866" t="n"/>
      <c r="H778" s="833" t="n"/>
      <c r="I778" s="904" t="n"/>
      <c r="J778" s="867">
        <f>F778*18%</f>
        <v/>
      </c>
      <c r="K778" s="867">
        <f>(F778-J778)*1.65%</f>
        <v/>
      </c>
      <c r="L778" s="867" t="n"/>
      <c r="M778" s="863" t="n"/>
      <c r="N778" s="864">
        <f>(G778+I778)*(9.25%)</f>
        <v/>
      </c>
      <c r="O778" s="904" t="n"/>
      <c r="P778" s="866" t="n"/>
      <c r="Q778" s="651" t="n"/>
      <c r="R778" s="1206" t="n"/>
      <c r="S778" s="904" t="n"/>
      <c r="T778" s="569" t="n"/>
      <c r="U778" s="1030" t="n"/>
      <c r="V778" s="1030" t="n"/>
      <c r="W778" s="1030" t="n"/>
    </row>
    <row r="779" ht="15.75" customHeight="1" s="1349">
      <c r="A779" s="1292" t="n"/>
      <c r="B779" s="904" t="n"/>
      <c r="C779" s="904" t="n"/>
      <c r="D779" s="904" t="n"/>
      <c r="E779" s="904" t="n"/>
      <c r="F779" s="856" t="n"/>
      <c r="G779" s="866" t="n"/>
      <c r="H779" s="833" t="n"/>
      <c r="I779" s="904" t="n"/>
      <c r="J779" s="867">
        <f>F779*18%</f>
        <v/>
      </c>
      <c r="K779" s="867">
        <f>(F779-J779)*1.65%</f>
        <v/>
      </c>
      <c r="L779" s="867" t="n"/>
      <c r="M779" s="863" t="n"/>
      <c r="N779" s="864">
        <f>(G779+I779)*(9.25%)</f>
        <v/>
      </c>
      <c r="O779" s="904" t="n"/>
      <c r="P779" s="866" t="n"/>
      <c r="Q779" s="651" t="n"/>
      <c r="R779" s="1206" t="n"/>
      <c r="S779" s="904" t="n"/>
      <c r="T779" s="569" t="n"/>
      <c r="U779" s="1030" t="n"/>
      <c r="V779" s="1030" t="n"/>
      <c r="W779" s="1030" t="n"/>
    </row>
    <row r="780" ht="15.75" customHeight="1" s="1349">
      <c r="A780" s="1292" t="n"/>
      <c r="B780" s="904" t="n"/>
      <c r="C780" s="904" t="n"/>
      <c r="D780" s="904" t="n"/>
      <c r="E780" s="904" t="n"/>
      <c r="F780" s="856" t="n"/>
      <c r="G780" s="866" t="n"/>
      <c r="H780" s="833" t="n"/>
      <c r="I780" s="904" t="n"/>
      <c r="J780" s="867">
        <f>F780*18%</f>
        <v/>
      </c>
      <c r="K780" s="867">
        <f>(F780-J780)*1.65%</f>
        <v/>
      </c>
      <c r="L780" s="867" t="n"/>
      <c r="M780" s="863" t="n"/>
      <c r="N780" s="864">
        <f>(G780+I780)*(9.25%)</f>
        <v/>
      </c>
      <c r="O780" s="904" t="n"/>
      <c r="P780" s="866" t="n"/>
      <c r="Q780" s="651" t="n"/>
      <c r="R780" s="1206" t="n"/>
      <c r="S780" s="904" t="n"/>
      <c r="T780" s="569" t="n"/>
      <c r="U780" s="1030" t="n"/>
      <c r="V780" s="1030" t="n"/>
      <c r="W780" s="1030" t="n"/>
    </row>
    <row r="781" ht="15.75" customHeight="1" s="1349">
      <c r="A781" s="1292" t="n"/>
      <c r="B781" s="904" t="n"/>
      <c r="C781" s="904" t="n"/>
      <c r="D781" s="904" t="n"/>
      <c r="E781" s="904" t="n"/>
      <c r="F781" s="856" t="n"/>
      <c r="G781" s="866" t="n"/>
      <c r="H781" s="833" t="n"/>
      <c r="I781" s="904" t="n"/>
      <c r="J781" s="867">
        <f>F781*18%</f>
        <v/>
      </c>
      <c r="K781" s="867">
        <f>(F781-J781)*1.65%</f>
        <v/>
      </c>
      <c r="L781" s="867" t="n"/>
      <c r="M781" s="863" t="n"/>
      <c r="N781" s="864">
        <f>(G781+I781)*(9.25%)</f>
        <v/>
      </c>
      <c r="O781" s="904" t="n"/>
      <c r="P781" s="866" t="n"/>
      <c r="Q781" s="651" t="n"/>
      <c r="R781" s="1206" t="n"/>
      <c r="S781" s="904" t="n"/>
      <c r="T781" s="569" t="n"/>
      <c r="U781" s="1030" t="n"/>
      <c r="V781" s="1030" t="n"/>
      <c r="W781" s="1030" t="n"/>
    </row>
    <row r="782" ht="15.75" customHeight="1" s="1349">
      <c r="A782" s="1292" t="n"/>
      <c r="B782" s="904" t="n"/>
      <c r="C782" s="904" t="n"/>
      <c r="D782" s="904" t="n"/>
      <c r="E782" s="904" t="n"/>
      <c r="F782" s="856" t="n"/>
      <c r="G782" s="866" t="n"/>
      <c r="H782" s="833" t="n"/>
      <c r="I782" s="904" t="n"/>
      <c r="J782" s="867">
        <f>F782*18%</f>
        <v/>
      </c>
      <c r="K782" s="867">
        <f>(F782-J782)*1.65%</f>
        <v/>
      </c>
      <c r="L782" s="867" t="n"/>
      <c r="M782" s="863" t="n"/>
      <c r="N782" s="864">
        <f>(G782+I782)*(9.25%)</f>
        <v/>
      </c>
      <c r="O782" s="904" t="n"/>
      <c r="P782" s="866" t="n"/>
      <c r="Q782" s="651" t="n"/>
      <c r="R782" s="1206" t="n"/>
      <c r="S782" s="904" t="n"/>
      <c r="T782" s="569" t="n"/>
      <c r="U782" s="1030" t="n"/>
      <c r="V782" s="1030" t="n"/>
      <c r="W782" s="1030" t="n"/>
    </row>
    <row r="783" ht="15.75" customHeight="1" s="1349">
      <c r="A783" s="1292" t="n"/>
      <c r="B783" s="904" t="n"/>
      <c r="C783" s="904" t="n"/>
      <c r="D783" s="904" t="n"/>
      <c r="E783" s="904" t="n"/>
      <c r="F783" s="856" t="n"/>
      <c r="G783" s="866" t="n"/>
      <c r="H783" s="833" t="n"/>
      <c r="I783" s="904" t="n"/>
      <c r="J783" s="867">
        <f>F783*18%</f>
        <v/>
      </c>
      <c r="K783" s="867">
        <f>(F783-J783)*1.65%</f>
        <v/>
      </c>
      <c r="L783" s="867" t="n"/>
      <c r="M783" s="863" t="n"/>
      <c r="N783" s="864">
        <f>(G783+I783)*(9.25%)</f>
        <v/>
      </c>
      <c r="O783" s="904" t="n"/>
      <c r="P783" s="866" t="n"/>
      <c r="Q783" s="651" t="n"/>
      <c r="R783" s="1206" t="n"/>
      <c r="S783" s="904" t="n"/>
      <c r="T783" s="569" t="n"/>
      <c r="U783" s="1030" t="n"/>
      <c r="V783" s="1030" t="n"/>
      <c r="W783" s="1030" t="n"/>
    </row>
    <row r="784" ht="15.75" customHeight="1" s="1349">
      <c r="A784" s="1292" t="n"/>
      <c r="B784" s="904" t="n"/>
      <c r="C784" s="904" t="n"/>
      <c r="D784" s="904" t="n"/>
      <c r="E784" s="904" t="n"/>
      <c r="F784" s="856" t="n"/>
      <c r="G784" s="866" t="n"/>
      <c r="H784" s="833" t="n"/>
      <c r="I784" s="904" t="n"/>
      <c r="J784" s="867">
        <f>F784*18%</f>
        <v/>
      </c>
      <c r="K784" s="867">
        <f>(F784-J784)*1.65%</f>
        <v/>
      </c>
      <c r="L784" s="867" t="n"/>
      <c r="M784" s="863" t="n"/>
      <c r="N784" s="864">
        <f>(G784+I784)*(9.25%)</f>
        <v/>
      </c>
      <c r="O784" s="904" t="n"/>
      <c r="P784" s="866" t="n"/>
      <c r="Q784" s="651" t="n"/>
      <c r="R784" s="1206" t="n"/>
      <c r="S784" s="904" t="n"/>
      <c r="T784" s="569" t="n"/>
      <c r="U784" s="1030" t="n"/>
      <c r="V784" s="1030" t="n"/>
      <c r="W784" s="1030" t="n"/>
    </row>
    <row r="785" ht="15.75" customHeight="1" s="1349">
      <c r="A785" s="1292" t="n"/>
      <c r="B785" s="904" t="n"/>
      <c r="C785" s="904" t="n"/>
      <c r="D785" s="904" t="n"/>
      <c r="E785" s="904" t="n"/>
      <c r="F785" s="856" t="n"/>
      <c r="G785" s="866" t="n"/>
      <c r="H785" s="833" t="n"/>
      <c r="I785" s="904" t="n"/>
      <c r="J785" s="867">
        <f>F785*18%</f>
        <v/>
      </c>
      <c r="K785" s="867">
        <f>(F785-J785)*1.65%</f>
        <v/>
      </c>
      <c r="L785" s="867" t="n"/>
      <c r="M785" s="863" t="n"/>
      <c r="N785" s="864">
        <f>(G785+I785)*(9.25%)</f>
        <v/>
      </c>
      <c r="O785" s="904" t="n"/>
      <c r="P785" s="866" t="n"/>
      <c r="Q785" s="651" t="n"/>
      <c r="R785" s="1206" t="n"/>
      <c r="S785" s="904" t="n"/>
      <c r="T785" s="569" t="n"/>
      <c r="U785" s="1030" t="n"/>
      <c r="V785" s="1030" t="n"/>
      <c r="W785" s="1030" t="n"/>
    </row>
    <row r="786" ht="15.75" customHeight="1" s="1349">
      <c r="A786" s="1292" t="n"/>
      <c r="B786" s="904" t="n"/>
      <c r="C786" s="904" t="n"/>
      <c r="D786" s="904" t="n"/>
      <c r="E786" s="904" t="n"/>
      <c r="F786" s="856" t="n"/>
      <c r="G786" s="866" t="n"/>
      <c r="H786" s="833" t="n"/>
      <c r="I786" s="904" t="n"/>
      <c r="J786" s="867">
        <f>F786*18%</f>
        <v/>
      </c>
      <c r="K786" s="867">
        <f>(F786-J786)*1.65%</f>
        <v/>
      </c>
      <c r="L786" s="867" t="n"/>
      <c r="M786" s="863" t="n"/>
      <c r="N786" s="864">
        <f>(G786+I786)*(9.25%)</f>
        <v/>
      </c>
      <c r="O786" s="904" t="n"/>
      <c r="P786" s="866" t="n"/>
      <c r="Q786" s="651" t="n"/>
      <c r="R786" s="1206" t="n"/>
      <c r="S786" s="904" t="n"/>
      <c r="T786" s="569" t="n"/>
      <c r="U786" s="1030" t="n"/>
      <c r="V786" s="1030" t="n"/>
      <c r="W786" s="1030" t="n"/>
    </row>
    <row r="787" ht="15.75" customHeight="1" s="1349">
      <c r="A787" s="1292" t="n"/>
      <c r="B787" s="904" t="n"/>
      <c r="C787" s="904" t="n"/>
      <c r="D787" s="904" t="n"/>
      <c r="E787" s="904" t="n"/>
      <c r="F787" s="856" t="n"/>
      <c r="G787" s="866" t="n"/>
      <c r="H787" s="833" t="n"/>
      <c r="I787" s="904" t="n"/>
      <c r="J787" s="867">
        <f>F787*18%</f>
        <v/>
      </c>
      <c r="K787" s="867">
        <f>(F787-J787)*1.65%</f>
        <v/>
      </c>
      <c r="L787" s="867" t="n"/>
      <c r="M787" s="863" t="n"/>
      <c r="N787" s="864">
        <f>(G787+I787)*(9.25%)</f>
        <v/>
      </c>
      <c r="O787" s="904" t="n"/>
      <c r="P787" s="866" t="n"/>
      <c r="Q787" s="651" t="n"/>
      <c r="R787" s="1206" t="n"/>
      <c r="S787" s="904" t="n"/>
      <c r="T787" s="569" t="n"/>
      <c r="U787" s="1030" t="n"/>
      <c r="V787" s="1030" t="n"/>
      <c r="W787" s="1030" t="n"/>
    </row>
    <row r="788" ht="15.75" customHeight="1" s="1349">
      <c r="A788" s="1292" t="n"/>
      <c r="B788" s="904" t="n"/>
      <c r="C788" s="904" t="n"/>
      <c r="D788" s="904" t="n"/>
      <c r="E788" s="904" t="n"/>
      <c r="F788" s="856" t="n"/>
      <c r="G788" s="866" t="n"/>
      <c r="H788" s="833" t="n"/>
      <c r="I788" s="904" t="n"/>
      <c r="J788" s="867">
        <f>F788*18%</f>
        <v/>
      </c>
      <c r="K788" s="867">
        <f>(F788-J788)*1.65%</f>
        <v/>
      </c>
      <c r="L788" s="867" t="n"/>
      <c r="M788" s="863" t="n"/>
      <c r="N788" s="864">
        <f>(G788+I788)*(9.25%)</f>
        <v/>
      </c>
      <c r="O788" s="904" t="n"/>
      <c r="P788" s="866" t="n"/>
      <c r="Q788" s="651" t="n"/>
      <c r="R788" s="1206" t="n"/>
      <c r="S788" s="904" t="n"/>
      <c r="T788" s="569" t="n"/>
      <c r="U788" s="1030" t="n"/>
      <c r="V788" s="1030" t="n"/>
      <c r="W788" s="1030" t="n"/>
    </row>
    <row r="789" ht="15.75" customHeight="1" s="1349">
      <c r="A789" s="1292" t="n"/>
      <c r="B789" s="904" t="n"/>
      <c r="C789" s="904" t="n"/>
      <c r="D789" s="904" t="n"/>
      <c r="E789" s="904" t="n"/>
      <c r="F789" s="856" t="n"/>
      <c r="G789" s="866" t="n"/>
      <c r="H789" s="833" t="n"/>
      <c r="I789" s="904" t="n"/>
      <c r="J789" s="867">
        <f>F789*18%</f>
        <v/>
      </c>
      <c r="K789" s="867">
        <f>(F789-J789)*1.65%</f>
        <v/>
      </c>
      <c r="L789" s="867" t="n"/>
      <c r="M789" s="863" t="n"/>
      <c r="N789" s="864">
        <f>(G789+I789)*(9.25%)</f>
        <v/>
      </c>
      <c r="O789" s="904" t="n"/>
      <c r="P789" s="866" t="n"/>
      <c r="Q789" s="651" t="n"/>
      <c r="R789" s="1206" t="n"/>
      <c r="S789" s="904" t="n"/>
      <c r="T789" s="569" t="n"/>
      <c r="U789" s="1030" t="n"/>
      <c r="V789" s="1030" t="n"/>
      <c r="W789" s="1030" t="n"/>
    </row>
    <row r="790" ht="15.75" customHeight="1" s="1349">
      <c r="A790" s="1292" t="n"/>
      <c r="B790" s="904" t="n"/>
      <c r="C790" s="904" t="n"/>
      <c r="D790" s="904" t="n"/>
      <c r="E790" s="904" t="n"/>
      <c r="F790" s="856" t="n"/>
      <c r="G790" s="866" t="n"/>
      <c r="H790" s="833" t="n"/>
      <c r="I790" s="904" t="n"/>
      <c r="J790" s="867">
        <f>F790*18%</f>
        <v/>
      </c>
      <c r="K790" s="867">
        <f>(F790-J790)*1.65%</f>
        <v/>
      </c>
      <c r="L790" s="867" t="n"/>
      <c r="M790" s="863" t="n"/>
      <c r="N790" s="864">
        <f>(G790+I790)*(9.25%)</f>
        <v/>
      </c>
      <c r="O790" s="904" t="n"/>
      <c r="P790" s="866" t="n"/>
      <c r="Q790" s="651" t="n"/>
      <c r="R790" s="1206" t="n"/>
      <c r="S790" s="904" t="n"/>
      <c r="T790" s="569" t="n"/>
      <c r="U790" s="1030" t="n"/>
      <c r="V790" s="1030" t="n"/>
      <c r="W790" s="1030" t="n"/>
    </row>
    <row r="791" ht="15.75" customHeight="1" s="1349">
      <c r="A791" s="1292" t="n"/>
      <c r="B791" s="904" t="n"/>
      <c r="C791" s="904" t="n"/>
      <c r="D791" s="904" t="n"/>
      <c r="E791" s="904" t="n"/>
      <c r="F791" s="856" t="n"/>
      <c r="G791" s="866" t="n"/>
      <c r="H791" s="833" t="n"/>
      <c r="I791" s="904" t="n"/>
      <c r="J791" s="867">
        <f>F791*18%</f>
        <v/>
      </c>
      <c r="K791" s="867">
        <f>(F791-J791)*1.65%</f>
        <v/>
      </c>
      <c r="L791" s="867" t="n"/>
      <c r="M791" s="863" t="n"/>
      <c r="N791" s="864">
        <f>(G791+I791)*(9.25%)</f>
        <v/>
      </c>
      <c r="O791" s="904" t="n"/>
      <c r="P791" s="866" t="n"/>
      <c r="Q791" s="651" t="n"/>
      <c r="R791" s="1206" t="n"/>
      <c r="S791" s="904" t="n"/>
      <c r="T791" s="569" t="n"/>
      <c r="U791" s="1030" t="n"/>
      <c r="V791" s="1030" t="n"/>
      <c r="W791" s="1030" t="n"/>
    </row>
    <row r="792" ht="15.75" customHeight="1" s="1349">
      <c r="A792" s="1292" t="n"/>
      <c r="B792" s="904" t="n"/>
      <c r="C792" s="904" t="n"/>
      <c r="D792" s="904" t="n"/>
      <c r="E792" s="904" t="n"/>
      <c r="F792" s="856" t="n"/>
      <c r="G792" s="866" t="n"/>
      <c r="H792" s="833" t="n"/>
      <c r="I792" s="904" t="n"/>
      <c r="J792" s="867">
        <f>F792*18%</f>
        <v/>
      </c>
      <c r="K792" s="867">
        <f>(F792-J792)*1.65%</f>
        <v/>
      </c>
      <c r="L792" s="867" t="n"/>
      <c r="M792" s="863" t="n"/>
      <c r="N792" s="864">
        <f>(G792+I792)*(9.25%)</f>
        <v/>
      </c>
      <c r="O792" s="904" t="n"/>
      <c r="P792" s="866" t="n"/>
      <c r="Q792" s="651" t="n"/>
      <c r="R792" s="1206" t="n"/>
      <c r="S792" s="904" t="n"/>
      <c r="T792" s="569" t="n"/>
      <c r="U792" s="1030" t="n"/>
      <c r="V792" s="1030" t="n"/>
      <c r="W792" s="1030" t="n"/>
    </row>
    <row r="793" ht="15.75" customHeight="1" s="1349">
      <c r="A793" s="1292" t="n"/>
      <c r="B793" s="904" t="n"/>
      <c r="C793" s="904" t="n"/>
      <c r="D793" s="904" t="n"/>
      <c r="E793" s="904" t="n"/>
      <c r="F793" s="856" t="n"/>
      <c r="G793" s="866" t="n"/>
      <c r="H793" s="833" t="n"/>
      <c r="I793" s="904" t="n"/>
      <c r="J793" s="867">
        <f>F793*18%</f>
        <v/>
      </c>
      <c r="K793" s="867">
        <f>(F793-J793)*1.65%</f>
        <v/>
      </c>
      <c r="L793" s="867" t="n"/>
      <c r="M793" s="863" t="n"/>
      <c r="N793" s="864">
        <f>(G793+I793)*(9.25%)</f>
        <v/>
      </c>
      <c r="O793" s="904" t="n"/>
      <c r="P793" s="866" t="n"/>
      <c r="Q793" s="651" t="n"/>
      <c r="R793" s="1206" t="n"/>
      <c r="S793" s="904" t="n"/>
      <c r="T793" s="569" t="n"/>
      <c r="U793" s="1030" t="n"/>
      <c r="V793" s="1030" t="n"/>
      <c r="W793" s="1030" t="n"/>
    </row>
    <row r="794" ht="15.75" customHeight="1" s="1349">
      <c r="A794" s="1292" t="n"/>
      <c r="B794" s="904" t="n"/>
      <c r="C794" s="904" t="n"/>
      <c r="D794" s="904" t="n"/>
      <c r="E794" s="904" t="n"/>
      <c r="F794" s="856" t="n"/>
      <c r="G794" s="866" t="n"/>
      <c r="H794" s="833" t="n"/>
      <c r="I794" s="904" t="n"/>
      <c r="J794" s="867">
        <f>F794*18%</f>
        <v/>
      </c>
      <c r="K794" s="867">
        <f>(F794-J794)*1.65%</f>
        <v/>
      </c>
      <c r="L794" s="867" t="n"/>
      <c r="M794" s="863" t="n"/>
      <c r="N794" s="864">
        <f>(G794+I794)*(9.25%)</f>
        <v/>
      </c>
      <c r="O794" s="904" t="n"/>
      <c r="P794" s="866" t="n"/>
      <c r="Q794" s="651" t="n"/>
      <c r="R794" s="1206" t="n"/>
      <c r="S794" s="904" t="n"/>
      <c r="T794" s="569" t="n"/>
      <c r="U794" s="1030" t="n"/>
      <c r="V794" s="1030" t="n"/>
      <c r="W794" s="1030" t="n"/>
    </row>
    <row r="795" ht="15.75" customHeight="1" s="1349">
      <c r="A795" s="1292" t="n"/>
      <c r="B795" s="904" t="n"/>
      <c r="C795" s="904" t="n"/>
      <c r="D795" s="904" t="n"/>
      <c r="E795" s="904" t="n"/>
      <c r="F795" s="856" t="n"/>
      <c r="G795" s="866" t="n"/>
      <c r="H795" s="833" t="n"/>
      <c r="I795" s="904" t="n"/>
      <c r="J795" s="867">
        <f>F795*18%</f>
        <v/>
      </c>
      <c r="K795" s="867">
        <f>(F795-J795)*1.65%</f>
        <v/>
      </c>
      <c r="L795" s="867" t="n"/>
      <c r="M795" s="863" t="n"/>
      <c r="N795" s="864">
        <f>(G795+I795)*(9.25%)</f>
        <v/>
      </c>
      <c r="O795" s="904" t="n"/>
      <c r="P795" s="866" t="n"/>
      <c r="Q795" s="651" t="n"/>
      <c r="R795" s="1206" t="n"/>
      <c r="S795" s="904" t="n"/>
      <c r="T795" s="569" t="n"/>
      <c r="U795" s="1030" t="n"/>
      <c r="V795" s="1030" t="n"/>
      <c r="W795" s="1030" t="n"/>
    </row>
    <row r="796" ht="15.75" customHeight="1" s="1349">
      <c r="A796" s="1292" t="n"/>
      <c r="B796" s="904" t="n"/>
      <c r="C796" s="904" t="n"/>
      <c r="D796" s="904" t="n"/>
      <c r="E796" s="904" t="n"/>
      <c r="F796" s="856" t="n"/>
      <c r="G796" s="866" t="n"/>
      <c r="H796" s="833" t="n"/>
      <c r="I796" s="904" t="n"/>
      <c r="J796" s="867">
        <f>F796*18%</f>
        <v/>
      </c>
      <c r="K796" s="867">
        <f>(F796-J796)*1.65%</f>
        <v/>
      </c>
      <c r="L796" s="867" t="n"/>
      <c r="M796" s="863" t="n"/>
      <c r="N796" s="864">
        <f>(G796+I796)*(9.25%)</f>
        <v/>
      </c>
      <c r="O796" s="904" t="n"/>
      <c r="P796" s="866" t="n"/>
      <c r="Q796" s="651" t="n"/>
      <c r="R796" s="1206" t="n"/>
      <c r="S796" s="904" t="n"/>
      <c r="T796" s="569" t="n"/>
      <c r="U796" s="1030" t="n"/>
      <c r="V796" s="1030" t="n"/>
      <c r="W796" s="1030" t="n"/>
    </row>
    <row r="797" ht="15.75" customHeight="1" s="1349">
      <c r="A797" s="1292" t="n"/>
      <c r="B797" s="904" t="n"/>
      <c r="C797" s="904" t="n"/>
      <c r="D797" s="904" t="n"/>
      <c r="E797" s="904" t="n"/>
      <c r="F797" s="856" t="n"/>
      <c r="G797" s="866" t="n"/>
      <c r="H797" s="833" t="n"/>
      <c r="I797" s="904" t="n"/>
      <c r="J797" s="867">
        <f>F797*18%</f>
        <v/>
      </c>
      <c r="K797" s="867">
        <f>(F797-J797)*1.65%</f>
        <v/>
      </c>
      <c r="L797" s="867" t="n"/>
      <c r="M797" s="863" t="n"/>
      <c r="N797" s="864">
        <f>(G797+I797)*(9.25%)</f>
        <v/>
      </c>
      <c r="O797" s="904" t="n"/>
      <c r="P797" s="866" t="n"/>
      <c r="Q797" s="651" t="n"/>
      <c r="R797" s="1206" t="n"/>
      <c r="S797" s="904" t="n"/>
      <c r="T797" s="569" t="n"/>
      <c r="U797" s="1030" t="n"/>
      <c r="V797" s="1030" t="n"/>
      <c r="W797" s="1030" t="n"/>
    </row>
    <row r="798" ht="15.75" customHeight="1" s="1349">
      <c r="A798" s="1292" t="n"/>
      <c r="B798" s="904" t="n"/>
      <c r="C798" s="904" t="n"/>
      <c r="D798" s="904" t="n"/>
      <c r="E798" s="904" t="n"/>
      <c r="F798" s="856" t="n"/>
      <c r="G798" s="866" t="n"/>
      <c r="H798" s="833" t="n"/>
      <c r="I798" s="904" t="n"/>
      <c r="J798" s="867">
        <f>F798*18%</f>
        <v/>
      </c>
      <c r="K798" s="867">
        <f>(F798-J798)*1.65%</f>
        <v/>
      </c>
      <c r="L798" s="867" t="n"/>
      <c r="M798" s="863" t="n"/>
      <c r="N798" s="864">
        <f>(G798+I798)*(9.25%)</f>
        <v/>
      </c>
      <c r="O798" s="904" t="n"/>
      <c r="P798" s="866" t="n"/>
      <c r="Q798" s="651" t="n"/>
      <c r="R798" s="1206" t="n"/>
      <c r="S798" s="904" t="n"/>
      <c r="T798" s="569" t="n"/>
      <c r="U798" s="1030" t="n"/>
      <c r="V798" s="1030" t="n"/>
      <c r="W798" s="1030" t="n"/>
    </row>
    <row r="799" ht="15.75" customHeight="1" s="1349">
      <c r="A799" s="1292" t="n"/>
      <c r="B799" s="904" t="n"/>
      <c r="C799" s="904" t="n"/>
      <c r="D799" s="904" t="n"/>
      <c r="E799" s="904" t="n"/>
      <c r="F799" s="856" t="n"/>
      <c r="G799" s="866" t="n"/>
      <c r="H799" s="833" t="n"/>
      <c r="I799" s="904" t="n"/>
      <c r="J799" s="867">
        <f>F799*18%</f>
        <v/>
      </c>
      <c r="K799" s="867">
        <f>(F799-J799)*1.65%</f>
        <v/>
      </c>
      <c r="L799" s="867" t="n"/>
      <c r="M799" s="863" t="n"/>
      <c r="N799" s="864">
        <f>(G799+I799)*(9.25%)</f>
        <v/>
      </c>
      <c r="O799" s="904" t="n"/>
      <c r="P799" s="866" t="n"/>
      <c r="Q799" s="651" t="n"/>
      <c r="R799" s="1206" t="n"/>
      <c r="S799" s="904" t="n"/>
      <c r="T799" s="569" t="n"/>
      <c r="U799" s="1030" t="n"/>
      <c r="V799" s="1030" t="n"/>
      <c r="W799" s="1030" t="n"/>
    </row>
    <row r="800" ht="15.75" customHeight="1" s="1349">
      <c r="A800" s="1292" t="n"/>
      <c r="B800" s="904" t="n"/>
      <c r="C800" s="904" t="n"/>
      <c r="D800" s="904" t="n"/>
      <c r="E800" s="904" t="n"/>
      <c r="F800" s="856" t="n"/>
      <c r="G800" s="866" t="n"/>
      <c r="H800" s="833" t="n"/>
      <c r="I800" s="904" t="n"/>
      <c r="J800" s="867">
        <f>F800*18%</f>
        <v/>
      </c>
      <c r="K800" s="867">
        <f>(F800-J800)*1.65%</f>
        <v/>
      </c>
      <c r="L800" s="867" t="n"/>
      <c r="M800" s="863" t="n"/>
      <c r="N800" s="864">
        <f>(G800+I800)*(9.25%)</f>
        <v/>
      </c>
      <c r="O800" s="904" t="n"/>
      <c r="P800" s="866" t="n"/>
      <c r="Q800" s="651" t="n"/>
      <c r="R800" s="1206" t="n"/>
      <c r="S800" s="904" t="n"/>
      <c r="T800" s="569" t="n"/>
      <c r="U800" s="1030" t="n"/>
      <c r="V800" s="1030" t="n"/>
      <c r="W800" s="1030" t="n"/>
    </row>
    <row r="801" ht="15.75" customHeight="1" s="1349">
      <c r="A801" s="1292" t="n"/>
      <c r="B801" s="904" t="n"/>
      <c r="C801" s="904" t="n"/>
      <c r="D801" s="904" t="n"/>
      <c r="E801" s="904" t="n"/>
      <c r="F801" s="856" t="n"/>
      <c r="G801" s="866" t="n"/>
      <c r="H801" s="833" t="n"/>
      <c r="I801" s="904" t="n"/>
      <c r="J801" s="867">
        <f>F801*18%</f>
        <v/>
      </c>
      <c r="K801" s="867">
        <f>(F801-J801)*1.65%</f>
        <v/>
      </c>
      <c r="L801" s="867" t="n"/>
      <c r="M801" s="863" t="n"/>
      <c r="N801" s="864">
        <f>(G801+I801)*(9.25%)</f>
        <v/>
      </c>
      <c r="O801" s="904" t="n"/>
      <c r="P801" s="866" t="n"/>
      <c r="Q801" s="651" t="n"/>
      <c r="R801" s="1206" t="n"/>
      <c r="S801" s="904" t="n"/>
      <c r="T801" s="569" t="n"/>
      <c r="U801" s="1030" t="n"/>
      <c r="V801" s="1030" t="n"/>
      <c r="W801" s="1030" t="n"/>
    </row>
    <row r="802" ht="15.75" customHeight="1" s="1349">
      <c r="A802" s="1292" t="n"/>
      <c r="B802" s="904" t="n"/>
      <c r="C802" s="904" t="n"/>
      <c r="D802" s="904" t="n"/>
      <c r="E802" s="904" t="n"/>
      <c r="F802" s="856" t="n"/>
      <c r="G802" s="866" t="n"/>
      <c r="H802" s="833" t="n"/>
      <c r="I802" s="904" t="n"/>
      <c r="J802" s="867">
        <f>F802*18%</f>
        <v/>
      </c>
      <c r="K802" s="867">
        <f>(F802-J802)*1.65%</f>
        <v/>
      </c>
      <c r="L802" s="867" t="n"/>
      <c r="M802" s="863" t="n"/>
      <c r="N802" s="864">
        <f>(G802+I802)*(9.25%)</f>
        <v/>
      </c>
      <c r="O802" s="904" t="n"/>
      <c r="P802" s="866" t="n"/>
      <c r="Q802" s="651" t="n"/>
      <c r="R802" s="1206" t="n"/>
      <c r="S802" s="904" t="n"/>
      <c r="T802" s="569" t="n"/>
      <c r="U802" s="1030" t="n"/>
      <c r="V802" s="1030" t="n"/>
      <c r="W802" s="1030" t="n"/>
    </row>
    <row r="803" ht="15.75" customHeight="1" s="1349">
      <c r="A803" s="1292" t="n"/>
      <c r="B803" s="904" t="n"/>
      <c r="C803" s="904" t="n"/>
      <c r="D803" s="904" t="n"/>
      <c r="E803" s="904" t="n"/>
      <c r="F803" s="856" t="n"/>
      <c r="G803" s="866" t="n"/>
      <c r="H803" s="833" t="n"/>
      <c r="I803" s="904" t="n"/>
      <c r="J803" s="867">
        <f>F803*18%</f>
        <v/>
      </c>
      <c r="K803" s="867">
        <f>(F803-J803)*1.65%</f>
        <v/>
      </c>
      <c r="L803" s="867" t="n"/>
      <c r="M803" s="863" t="n"/>
      <c r="N803" s="864">
        <f>(G803+I803)*(9.25%)</f>
        <v/>
      </c>
      <c r="O803" s="904" t="n"/>
      <c r="P803" s="866" t="n"/>
      <c r="Q803" s="651" t="n"/>
      <c r="R803" s="1206" t="n"/>
      <c r="S803" s="904" t="n"/>
      <c r="T803" s="569" t="n"/>
      <c r="U803" s="1030" t="n"/>
      <c r="V803" s="1030" t="n"/>
      <c r="W803" s="1030" t="n"/>
    </row>
    <row r="804" ht="15.75" customHeight="1" s="1349">
      <c r="A804" s="1292" t="n"/>
      <c r="B804" s="904" t="n"/>
      <c r="C804" s="904" t="n"/>
      <c r="D804" s="904" t="n"/>
      <c r="E804" s="904" t="n"/>
      <c r="F804" s="856" t="n"/>
      <c r="G804" s="866" t="n"/>
      <c r="H804" s="833" t="n"/>
      <c r="I804" s="904" t="n"/>
      <c r="J804" s="867">
        <f>F804*18%</f>
        <v/>
      </c>
      <c r="K804" s="867">
        <f>(F804-J804)*1.65%</f>
        <v/>
      </c>
      <c r="L804" s="867" t="n"/>
      <c r="M804" s="863" t="n"/>
      <c r="N804" s="864">
        <f>(G804+I804)*(9.25%)</f>
        <v/>
      </c>
      <c r="O804" s="904" t="n"/>
      <c r="P804" s="866" t="n"/>
      <c r="Q804" s="651" t="n"/>
      <c r="R804" s="1206" t="n"/>
      <c r="S804" s="904" t="n"/>
      <c r="T804" s="569" t="n"/>
      <c r="U804" s="1030" t="n"/>
      <c r="V804" s="1030" t="n"/>
      <c r="W804" s="1030" t="n"/>
    </row>
    <row r="805" ht="15.75" customHeight="1" s="1349">
      <c r="A805" s="1292" t="n"/>
      <c r="B805" s="904" t="n"/>
      <c r="C805" s="904" t="n"/>
      <c r="D805" s="904" t="n"/>
      <c r="E805" s="904" t="n"/>
      <c r="F805" s="856" t="n"/>
      <c r="G805" s="866" t="n"/>
      <c r="H805" s="833" t="n"/>
      <c r="I805" s="904" t="n"/>
      <c r="J805" s="867">
        <f>F805*18%</f>
        <v/>
      </c>
      <c r="K805" s="867">
        <f>(F805-J805)*1.65%</f>
        <v/>
      </c>
      <c r="L805" s="867" t="n"/>
      <c r="M805" s="863" t="n"/>
      <c r="N805" s="864">
        <f>(G805+I805)*(9.25%)</f>
        <v/>
      </c>
      <c r="O805" s="904" t="n"/>
      <c r="P805" s="866" t="n"/>
      <c r="Q805" s="651" t="n"/>
      <c r="R805" s="1206" t="n"/>
      <c r="S805" s="904" t="n"/>
      <c r="T805" s="569" t="n"/>
      <c r="U805" s="1030" t="n"/>
      <c r="V805" s="1030" t="n"/>
      <c r="W805" s="1030" t="n"/>
    </row>
    <row r="806" ht="15.75" customHeight="1" s="1349">
      <c r="A806" s="1292" t="n"/>
      <c r="B806" s="904" t="n"/>
      <c r="C806" s="904" t="n"/>
      <c r="D806" s="904" t="n"/>
      <c r="E806" s="904" t="n"/>
      <c r="F806" s="856" t="n"/>
      <c r="G806" s="866" t="n"/>
      <c r="H806" s="833" t="n"/>
      <c r="I806" s="904" t="n"/>
      <c r="J806" s="867">
        <f>F806*18%</f>
        <v/>
      </c>
      <c r="K806" s="867">
        <f>(F806-J806)*1.65%</f>
        <v/>
      </c>
      <c r="L806" s="867" t="n"/>
      <c r="M806" s="863" t="n"/>
      <c r="N806" s="864">
        <f>(G806+I806)*(9.25%)</f>
        <v/>
      </c>
      <c r="O806" s="904" t="n"/>
      <c r="P806" s="866" t="n"/>
      <c r="Q806" s="651" t="n"/>
      <c r="R806" s="1206" t="n"/>
      <c r="S806" s="904" t="n"/>
      <c r="T806" s="569" t="n"/>
      <c r="U806" s="1030" t="n"/>
      <c r="V806" s="1030" t="n"/>
      <c r="W806" s="1030" t="n"/>
    </row>
    <row r="807" ht="15.75" customHeight="1" s="1349">
      <c r="A807" s="1292" t="n"/>
      <c r="B807" s="904" t="n"/>
      <c r="C807" s="904" t="n"/>
      <c r="D807" s="904" t="n"/>
      <c r="E807" s="904" t="n"/>
      <c r="F807" s="856" t="n"/>
      <c r="G807" s="866" t="n"/>
      <c r="H807" s="833" t="n"/>
      <c r="I807" s="904" t="n"/>
      <c r="J807" s="867">
        <f>F807*18%</f>
        <v/>
      </c>
      <c r="K807" s="867">
        <f>(F807-J807)*1.65%</f>
        <v/>
      </c>
      <c r="L807" s="867" t="n"/>
      <c r="M807" s="863" t="n"/>
      <c r="N807" s="864">
        <f>(G807+I807)*(9.25%)</f>
        <v/>
      </c>
      <c r="O807" s="904" t="n"/>
      <c r="P807" s="866" t="n"/>
      <c r="Q807" s="651" t="n"/>
      <c r="R807" s="1206" t="n"/>
      <c r="S807" s="904" t="n"/>
      <c r="T807" s="569" t="n"/>
      <c r="U807" s="1030" t="n"/>
      <c r="V807" s="1030" t="n"/>
      <c r="W807" s="1030" t="n"/>
    </row>
    <row r="808" ht="15.75" customHeight="1" s="1349">
      <c r="A808" s="1292" t="n"/>
      <c r="B808" s="904" t="n"/>
      <c r="C808" s="904" t="n"/>
      <c r="D808" s="904" t="n"/>
      <c r="E808" s="904" t="n"/>
      <c r="F808" s="856" t="n"/>
      <c r="G808" s="866" t="n"/>
      <c r="H808" s="833" t="n"/>
      <c r="I808" s="904" t="n"/>
      <c r="J808" s="867">
        <f>F808*18%</f>
        <v/>
      </c>
      <c r="K808" s="867">
        <f>(F808-J808)*1.65%</f>
        <v/>
      </c>
      <c r="L808" s="867" t="n"/>
      <c r="M808" s="863" t="n"/>
      <c r="N808" s="864">
        <f>(G808+I808)*(9.25%)</f>
        <v/>
      </c>
      <c r="O808" s="904" t="n"/>
      <c r="P808" s="866" t="n"/>
      <c r="Q808" s="651" t="n"/>
      <c r="R808" s="1206" t="n"/>
      <c r="S808" s="904" t="n"/>
      <c r="T808" s="569" t="n"/>
      <c r="U808" s="1030" t="n"/>
      <c r="V808" s="1030" t="n"/>
      <c r="W808" s="1030" t="n"/>
    </row>
    <row r="809" ht="15.75" customHeight="1" s="1349">
      <c r="A809" s="1292" t="n"/>
      <c r="B809" s="904" t="n"/>
      <c r="C809" s="904" t="n"/>
      <c r="D809" s="904" t="n"/>
      <c r="E809" s="904" t="n"/>
      <c r="F809" s="856" t="n"/>
      <c r="G809" s="866" t="n"/>
      <c r="H809" s="833" t="n"/>
      <c r="I809" s="904" t="n"/>
      <c r="J809" s="867">
        <f>F809*18%</f>
        <v/>
      </c>
      <c r="K809" s="867">
        <f>(F809-J809)*1.65%</f>
        <v/>
      </c>
      <c r="L809" s="867" t="n"/>
      <c r="M809" s="863" t="n"/>
      <c r="N809" s="864">
        <f>(G809+I809)*(9.25%)</f>
        <v/>
      </c>
      <c r="O809" s="904" t="n"/>
      <c r="P809" s="866" t="n"/>
      <c r="Q809" s="651" t="n"/>
      <c r="R809" s="1206" t="n"/>
      <c r="S809" s="904" t="n"/>
      <c r="T809" s="569" t="n"/>
      <c r="U809" s="1030" t="n"/>
      <c r="V809" s="1030" t="n"/>
      <c r="W809" s="1030" t="n"/>
    </row>
    <row r="810" ht="15.75" customHeight="1" s="1349">
      <c r="A810" s="1292" t="n"/>
      <c r="B810" s="904" t="n"/>
      <c r="C810" s="904" t="n"/>
      <c r="D810" s="904" t="n"/>
      <c r="E810" s="904" t="n"/>
      <c r="F810" s="856" t="n"/>
      <c r="G810" s="866" t="n"/>
      <c r="H810" s="833" t="n"/>
      <c r="I810" s="904" t="n"/>
      <c r="J810" s="867">
        <f>F810*18%</f>
        <v/>
      </c>
      <c r="K810" s="867">
        <f>(F810-J810)*1.65%</f>
        <v/>
      </c>
      <c r="L810" s="867" t="n"/>
      <c r="M810" s="863" t="n"/>
      <c r="N810" s="864">
        <f>(G810+I810)*(9.25%)</f>
        <v/>
      </c>
      <c r="O810" s="904" t="n"/>
      <c r="P810" s="866" t="n"/>
      <c r="Q810" s="651" t="n"/>
      <c r="R810" s="1206" t="n"/>
      <c r="S810" s="904" t="n"/>
      <c r="T810" s="569" t="n"/>
      <c r="U810" s="1030" t="n"/>
      <c r="V810" s="1030" t="n"/>
      <c r="W810" s="1030" t="n"/>
    </row>
    <row r="811" ht="15.75" customHeight="1" s="1349">
      <c r="A811" s="1292" t="n"/>
      <c r="B811" s="904" t="n"/>
      <c r="C811" s="904" t="n"/>
      <c r="D811" s="904" t="n"/>
      <c r="E811" s="904" t="n"/>
      <c r="F811" s="856" t="n"/>
      <c r="G811" s="866" t="n"/>
      <c r="H811" s="833" t="n"/>
      <c r="I811" s="904" t="n"/>
      <c r="J811" s="867">
        <f>F811*18%</f>
        <v/>
      </c>
      <c r="K811" s="867">
        <f>(F811-J811)*1.65%</f>
        <v/>
      </c>
      <c r="L811" s="867" t="n"/>
      <c r="M811" s="863" t="n"/>
      <c r="N811" s="864">
        <f>(G811+I811)*(9.25%)</f>
        <v/>
      </c>
      <c r="O811" s="904" t="n"/>
      <c r="P811" s="866" t="n"/>
      <c r="Q811" s="651" t="n"/>
      <c r="R811" s="1206" t="n"/>
      <c r="S811" s="904" t="n"/>
      <c r="T811" s="569" t="n"/>
      <c r="U811" s="1030" t="n"/>
      <c r="V811" s="1030" t="n"/>
      <c r="W811" s="1030" t="n"/>
    </row>
    <row r="812" ht="15.75" customHeight="1" s="1349">
      <c r="A812" s="1292" t="n"/>
      <c r="B812" s="904" t="n"/>
      <c r="C812" s="904" t="n"/>
      <c r="D812" s="904" t="n"/>
      <c r="E812" s="904" t="n"/>
      <c r="F812" s="856" t="n"/>
      <c r="G812" s="866" t="n"/>
      <c r="H812" s="833" t="n"/>
      <c r="I812" s="904" t="n"/>
      <c r="J812" s="867">
        <f>F812*18%</f>
        <v/>
      </c>
      <c r="K812" s="867">
        <f>(F812-J812)*1.65%</f>
        <v/>
      </c>
      <c r="L812" s="867" t="n"/>
      <c r="M812" s="863" t="n"/>
      <c r="N812" s="864">
        <f>(G812+I812)*(9.25%)</f>
        <v/>
      </c>
      <c r="O812" s="904" t="n"/>
      <c r="P812" s="866" t="n"/>
      <c r="Q812" s="651" t="n"/>
      <c r="R812" s="1206" t="n"/>
      <c r="S812" s="904" t="n"/>
      <c r="T812" s="569" t="n"/>
      <c r="U812" s="1030" t="n"/>
      <c r="V812" s="1030" t="n"/>
      <c r="W812" s="1030" t="n"/>
    </row>
    <row r="813" ht="15.75" customHeight="1" s="1349">
      <c r="A813" s="1292" t="n"/>
      <c r="B813" s="904" t="n"/>
      <c r="C813" s="904" t="n"/>
      <c r="D813" s="904" t="n"/>
      <c r="E813" s="904" t="n"/>
      <c r="F813" s="856" t="n"/>
      <c r="G813" s="866" t="n"/>
      <c r="H813" s="833" t="n"/>
      <c r="I813" s="904" t="n"/>
      <c r="J813" s="867">
        <f>F813*18%</f>
        <v/>
      </c>
      <c r="K813" s="867">
        <f>(F813-J813)*1.65%</f>
        <v/>
      </c>
      <c r="L813" s="867" t="n"/>
      <c r="M813" s="863" t="n"/>
      <c r="N813" s="864">
        <f>(G813+I813)*(9.25%)</f>
        <v/>
      </c>
      <c r="O813" s="904" t="n"/>
      <c r="P813" s="866" t="n"/>
      <c r="Q813" s="651" t="n"/>
      <c r="R813" s="1206" t="n"/>
      <c r="S813" s="904" t="n"/>
      <c r="T813" s="569" t="n"/>
      <c r="U813" s="1030" t="n"/>
      <c r="V813" s="1030" t="n"/>
      <c r="W813" s="1030" t="n"/>
    </row>
    <row r="814" ht="15.75" customHeight="1" s="1349">
      <c r="A814" s="1292" t="n"/>
      <c r="B814" s="904" t="n"/>
      <c r="C814" s="904" t="n"/>
      <c r="D814" s="904" t="n"/>
      <c r="E814" s="904" t="n"/>
      <c r="F814" s="856" t="n"/>
      <c r="G814" s="866" t="n"/>
      <c r="H814" s="833" t="n"/>
      <c r="I814" s="904" t="n"/>
      <c r="J814" s="867">
        <f>F814*18%</f>
        <v/>
      </c>
      <c r="K814" s="867">
        <f>(F814-J814)*1.65%</f>
        <v/>
      </c>
      <c r="L814" s="867" t="n"/>
      <c r="M814" s="863" t="n"/>
      <c r="N814" s="864">
        <f>(G814+I814)*(9.25%)</f>
        <v/>
      </c>
      <c r="O814" s="904" t="n"/>
      <c r="P814" s="866" t="n"/>
      <c r="Q814" s="651" t="n"/>
      <c r="R814" s="1206" t="n"/>
      <c r="S814" s="904" t="n"/>
      <c r="T814" s="569" t="n"/>
      <c r="U814" s="1030" t="n"/>
      <c r="V814" s="1030" t="n"/>
      <c r="W814" s="1030" t="n"/>
    </row>
    <row r="815" ht="15.75" customHeight="1" s="1349">
      <c r="A815" s="1292" t="n"/>
      <c r="B815" s="904" t="n"/>
      <c r="C815" s="904" t="n"/>
      <c r="D815" s="904" t="n"/>
      <c r="E815" s="904" t="n"/>
      <c r="F815" s="856" t="n"/>
      <c r="G815" s="866" t="n"/>
      <c r="H815" s="833" t="n"/>
      <c r="I815" s="904" t="n"/>
      <c r="J815" s="867">
        <f>F815*18%</f>
        <v/>
      </c>
      <c r="K815" s="867">
        <f>(F815-J815)*1.65%</f>
        <v/>
      </c>
      <c r="L815" s="867" t="n"/>
      <c r="M815" s="863" t="n"/>
      <c r="N815" s="864">
        <f>(G815+I815)*(9.25%)</f>
        <v/>
      </c>
      <c r="O815" s="904" t="n"/>
      <c r="P815" s="866" t="n"/>
      <c r="Q815" s="651" t="n"/>
      <c r="R815" s="1206" t="n"/>
      <c r="S815" s="904" t="n"/>
      <c r="T815" s="569" t="n"/>
      <c r="U815" s="1030" t="n"/>
      <c r="V815" s="1030" t="n"/>
      <c r="W815" s="1030" t="n"/>
    </row>
    <row r="816" ht="15.75" customHeight="1" s="1349">
      <c r="A816" s="1292" t="n"/>
      <c r="B816" s="904" t="n"/>
      <c r="C816" s="904" t="n"/>
      <c r="D816" s="904" t="n"/>
      <c r="E816" s="904" t="n"/>
      <c r="F816" s="856" t="n"/>
      <c r="G816" s="866" t="n"/>
      <c r="H816" s="833" t="n"/>
      <c r="I816" s="904" t="n"/>
      <c r="J816" s="867">
        <f>F816*18%</f>
        <v/>
      </c>
      <c r="K816" s="867">
        <f>(F816-J816)*1.65%</f>
        <v/>
      </c>
      <c r="L816" s="867" t="n"/>
      <c r="M816" s="863" t="n"/>
      <c r="N816" s="864">
        <f>(G816+I816)*(9.25%)</f>
        <v/>
      </c>
      <c r="O816" s="904" t="n"/>
      <c r="P816" s="866" t="n"/>
      <c r="Q816" s="651" t="n"/>
      <c r="R816" s="1206" t="n"/>
      <c r="S816" s="904" t="n"/>
      <c r="T816" s="569" t="n"/>
      <c r="U816" s="1030" t="n"/>
      <c r="V816" s="1030" t="n"/>
      <c r="W816" s="1030" t="n"/>
    </row>
    <row r="817" ht="15.75" customHeight="1" s="1349">
      <c r="A817" s="1292" t="n"/>
      <c r="B817" s="904" t="n"/>
      <c r="C817" s="904" t="n"/>
      <c r="D817" s="904" t="n"/>
      <c r="E817" s="904" t="n"/>
      <c r="F817" s="856" t="n"/>
      <c r="G817" s="866" t="n"/>
      <c r="H817" s="833" t="n"/>
      <c r="I817" s="904" t="n"/>
      <c r="J817" s="867">
        <f>F817*18%</f>
        <v/>
      </c>
      <c r="K817" s="867">
        <f>(F817-J817)*1.65%</f>
        <v/>
      </c>
      <c r="L817" s="867" t="n"/>
      <c r="M817" s="863" t="n"/>
      <c r="N817" s="864">
        <f>(G817+I817)*(9.25%)</f>
        <v/>
      </c>
      <c r="O817" s="904" t="n"/>
      <c r="P817" s="866" t="n"/>
      <c r="Q817" s="651" t="n"/>
      <c r="R817" s="1206" t="n"/>
      <c r="S817" s="904" t="n"/>
      <c r="T817" s="569" t="n"/>
      <c r="U817" s="1030" t="n"/>
      <c r="V817" s="1030" t="n"/>
      <c r="W817" s="1030" t="n"/>
    </row>
    <row r="818" ht="15.75" customHeight="1" s="1349">
      <c r="A818" s="1292" t="n"/>
      <c r="B818" s="904" t="n"/>
      <c r="C818" s="904" t="n"/>
      <c r="D818" s="904" t="n"/>
      <c r="E818" s="904" t="n"/>
      <c r="F818" s="856" t="n"/>
      <c r="G818" s="866" t="n"/>
      <c r="H818" s="833" t="n"/>
      <c r="I818" s="904" t="n"/>
      <c r="J818" s="867">
        <f>F818*18%</f>
        <v/>
      </c>
      <c r="K818" s="867">
        <f>(F818-J818)*1.65%</f>
        <v/>
      </c>
      <c r="L818" s="867" t="n"/>
      <c r="M818" s="863" t="n"/>
      <c r="N818" s="864">
        <f>(G818+I818)*(9.25%)</f>
        <v/>
      </c>
      <c r="O818" s="904" t="n"/>
      <c r="P818" s="866" t="n"/>
      <c r="Q818" s="651" t="n"/>
      <c r="R818" s="1206" t="n"/>
      <c r="S818" s="904" t="n"/>
      <c r="T818" s="569" t="n"/>
      <c r="U818" s="1030" t="n"/>
      <c r="V818" s="1030" t="n"/>
      <c r="W818" s="1030" t="n"/>
    </row>
    <row r="819" ht="15.75" customHeight="1" s="1349">
      <c r="A819" s="1292" t="n"/>
      <c r="B819" s="904" t="n"/>
      <c r="C819" s="904" t="n"/>
      <c r="D819" s="904" t="n"/>
      <c r="E819" s="904" t="n"/>
      <c r="F819" s="856" t="n"/>
      <c r="G819" s="866" t="n"/>
      <c r="H819" s="833" t="n"/>
      <c r="I819" s="904" t="n"/>
      <c r="J819" s="867">
        <f>F819*18%</f>
        <v/>
      </c>
      <c r="K819" s="867">
        <f>(F819-J819)*1.65%</f>
        <v/>
      </c>
      <c r="L819" s="867" t="n"/>
      <c r="M819" s="863" t="n"/>
      <c r="N819" s="864">
        <f>(G819+I819)*(9.25%)</f>
        <v/>
      </c>
      <c r="O819" s="904" t="n"/>
      <c r="P819" s="866" t="n"/>
      <c r="Q819" s="651" t="n"/>
      <c r="R819" s="1206" t="n"/>
      <c r="S819" s="904" t="n"/>
      <c r="T819" s="569" t="n"/>
      <c r="U819" s="1030" t="n"/>
      <c r="V819" s="1030" t="n"/>
      <c r="W819" s="1030" t="n"/>
    </row>
    <row r="820" ht="15.75" customHeight="1" s="1349">
      <c r="A820" s="1292" t="n"/>
      <c r="B820" s="904" t="n"/>
      <c r="C820" s="904" t="n"/>
      <c r="D820" s="904" t="n"/>
      <c r="E820" s="904" t="n"/>
      <c r="F820" s="856" t="n"/>
      <c r="G820" s="866" t="n"/>
      <c r="H820" s="833" t="n"/>
      <c r="I820" s="904" t="n"/>
      <c r="J820" s="867">
        <f>F820*18%</f>
        <v/>
      </c>
      <c r="K820" s="867">
        <f>(F820-J820)*1.65%</f>
        <v/>
      </c>
      <c r="L820" s="867" t="n"/>
      <c r="M820" s="863" t="n"/>
      <c r="N820" s="864">
        <f>(G820+I820)*(9.25%)</f>
        <v/>
      </c>
      <c r="O820" s="904" t="n"/>
      <c r="P820" s="866" t="n"/>
      <c r="Q820" s="651" t="n"/>
      <c r="R820" s="1206" t="n"/>
      <c r="S820" s="904" t="n"/>
      <c r="T820" s="569" t="n"/>
      <c r="U820" s="1030" t="n"/>
      <c r="V820" s="1030" t="n"/>
      <c r="W820" s="1030" t="n"/>
    </row>
    <row r="821" ht="15.75" customHeight="1" s="1349">
      <c r="A821" s="1292" t="n"/>
      <c r="B821" s="904" t="n"/>
      <c r="C821" s="904" t="n"/>
      <c r="D821" s="904" t="n"/>
      <c r="E821" s="904" t="n"/>
      <c r="F821" s="856" t="n"/>
      <c r="G821" s="866" t="n"/>
      <c r="H821" s="833" t="n"/>
      <c r="I821" s="904" t="n"/>
      <c r="J821" s="867">
        <f>F821*18%</f>
        <v/>
      </c>
      <c r="K821" s="867">
        <f>(F821-J821)*1.65%</f>
        <v/>
      </c>
      <c r="L821" s="867" t="n"/>
      <c r="M821" s="863" t="n"/>
      <c r="N821" s="864">
        <f>(G821+I821)*(9.25%)</f>
        <v/>
      </c>
      <c r="O821" s="904" t="n"/>
      <c r="P821" s="866" t="n"/>
      <c r="Q821" s="651" t="n"/>
      <c r="R821" s="1206" t="n"/>
      <c r="S821" s="904" t="n"/>
      <c r="T821" s="569" t="n"/>
      <c r="U821" s="1030" t="n"/>
      <c r="V821" s="1030" t="n"/>
      <c r="W821" s="1030" t="n"/>
    </row>
    <row r="822" ht="15.75" customHeight="1" s="1349">
      <c r="A822" s="1292" t="n"/>
      <c r="B822" s="904" t="n"/>
      <c r="C822" s="904" t="n"/>
      <c r="D822" s="904" t="n"/>
      <c r="E822" s="904" t="n"/>
      <c r="F822" s="856" t="n"/>
      <c r="G822" s="866" t="n"/>
      <c r="H822" s="833" t="n"/>
      <c r="I822" s="904" t="n"/>
      <c r="J822" s="867">
        <f>F822*18%</f>
        <v/>
      </c>
      <c r="K822" s="867">
        <f>(F822-J822)*1.65%</f>
        <v/>
      </c>
      <c r="L822" s="867" t="n"/>
      <c r="M822" s="863" t="n"/>
      <c r="N822" s="864">
        <f>(G822+I822)*(9.25%)</f>
        <v/>
      </c>
      <c r="O822" s="904" t="n"/>
      <c r="P822" s="866" t="n"/>
      <c r="Q822" s="651" t="n"/>
      <c r="R822" s="1206" t="n"/>
      <c r="S822" s="904" t="n"/>
      <c r="T822" s="569" t="n"/>
      <c r="U822" s="1030" t="n"/>
      <c r="V822" s="1030" t="n"/>
      <c r="W822" s="1030" t="n"/>
    </row>
    <row r="823" ht="15.75" customHeight="1" s="1349">
      <c r="A823" s="1292" t="n"/>
      <c r="B823" s="904" t="n"/>
      <c r="C823" s="904" t="n"/>
      <c r="D823" s="904" t="n"/>
      <c r="E823" s="904" t="n"/>
      <c r="F823" s="856" t="n"/>
      <c r="G823" s="866" t="n"/>
      <c r="H823" s="833" t="n"/>
      <c r="I823" s="904" t="n"/>
      <c r="J823" s="867">
        <f>F823*18%</f>
        <v/>
      </c>
      <c r="K823" s="867">
        <f>(F823-J823)*1.65%</f>
        <v/>
      </c>
      <c r="L823" s="867" t="n"/>
      <c r="M823" s="863" t="n"/>
      <c r="N823" s="864">
        <f>(G823+I823)*(9.25%)</f>
        <v/>
      </c>
      <c r="O823" s="904" t="n"/>
      <c r="P823" s="866" t="n"/>
      <c r="Q823" s="651" t="n"/>
      <c r="R823" s="1206" t="n"/>
      <c r="S823" s="904" t="n"/>
      <c r="T823" s="569" t="n"/>
      <c r="U823" s="1030" t="n"/>
      <c r="V823" s="1030" t="n"/>
      <c r="W823" s="1030" t="n"/>
    </row>
    <row r="824" ht="15.75" customHeight="1" s="1349">
      <c r="A824" s="1292" t="n"/>
      <c r="B824" s="904" t="n"/>
      <c r="C824" s="904" t="n"/>
      <c r="D824" s="904" t="n"/>
      <c r="E824" s="904" t="n"/>
      <c r="F824" s="856" t="n"/>
      <c r="G824" s="866" t="n"/>
      <c r="H824" s="833" t="n"/>
      <c r="I824" s="904" t="n"/>
      <c r="J824" s="867">
        <f>F824*18%</f>
        <v/>
      </c>
      <c r="K824" s="867">
        <f>(F824-J824)*1.65%</f>
        <v/>
      </c>
      <c r="L824" s="867" t="n"/>
      <c r="M824" s="863" t="n"/>
      <c r="N824" s="864">
        <f>(G824+I824)*(9.25%)</f>
        <v/>
      </c>
      <c r="O824" s="904" t="n"/>
      <c r="P824" s="866" t="n"/>
      <c r="Q824" s="651" t="n"/>
      <c r="R824" s="1206" t="n"/>
      <c r="S824" s="904" t="n"/>
      <c r="T824" s="569" t="n"/>
      <c r="U824" s="1030" t="n"/>
      <c r="V824" s="1030" t="n"/>
      <c r="W824" s="1030" t="n"/>
    </row>
    <row r="825" ht="15.75" customHeight="1" s="1349">
      <c r="A825" s="1292" t="n"/>
      <c r="B825" s="904" t="n"/>
      <c r="C825" s="904" t="n"/>
      <c r="D825" s="904" t="n"/>
      <c r="E825" s="904" t="n"/>
      <c r="F825" s="856" t="n"/>
      <c r="G825" s="866" t="n"/>
      <c r="H825" s="833" t="n"/>
      <c r="I825" s="904" t="n"/>
      <c r="J825" s="867">
        <f>F825*18%</f>
        <v/>
      </c>
      <c r="K825" s="867">
        <f>(F825-J825)*1.65%</f>
        <v/>
      </c>
      <c r="L825" s="867" t="n"/>
      <c r="M825" s="863" t="n"/>
      <c r="N825" s="864">
        <f>(G825+I825)*(9.25%)</f>
        <v/>
      </c>
      <c r="O825" s="904" t="n"/>
      <c r="P825" s="866" t="n"/>
      <c r="Q825" s="651" t="n"/>
      <c r="R825" s="1206" t="n"/>
      <c r="S825" s="904" t="n"/>
      <c r="T825" s="569" t="n"/>
      <c r="U825" s="1030" t="n"/>
      <c r="V825" s="1030" t="n"/>
      <c r="W825" s="1030" t="n"/>
    </row>
    <row r="826" ht="15.75" customHeight="1" s="1349">
      <c r="A826" s="1292" t="n"/>
      <c r="B826" s="904" t="n"/>
      <c r="C826" s="904" t="n"/>
      <c r="D826" s="904" t="n"/>
      <c r="E826" s="904" t="n"/>
      <c r="F826" s="856" t="n"/>
      <c r="G826" s="866" t="n"/>
      <c r="H826" s="833" t="n"/>
      <c r="I826" s="904" t="n"/>
      <c r="J826" s="867">
        <f>F826*18%</f>
        <v/>
      </c>
      <c r="K826" s="867">
        <f>(F826-J826)*1.65%</f>
        <v/>
      </c>
      <c r="L826" s="867" t="n"/>
      <c r="M826" s="863" t="n"/>
      <c r="N826" s="864">
        <f>(G826+I826)*(9.25%)</f>
        <v/>
      </c>
      <c r="O826" s="904" t="n"/>
      <c r="P826" s="866" t="n"/>
      <c r="Q826" s="651" t="n"/>
      <c r="R826" s="1206" t="n"/>
      <c r="S826" s="904" t="n"/>
      <c r="T826" s="569" t="n"/>
      <c r="U826" s="1030" t="n"/>
      <c r="V826" s="1030" t="n"/>
      <c r="W826" s="1030" t="n"/>
    </row>
    <row r="827" ht="15.75" customHeight="1" s="1349">
      <c r="A827" s="1292" t="n"/>
      <c r="B827" s="904" t="n"/>
      <c r="C827" s="904" t="n"/>
      <c r="D827" s="904" t="n"/>
      <c r="E827" s="904" t="n"/>
      <c r="F827" s="856" t="n"/>
      <c r="G827" s="866" t="n"/>
      <c r="H827" s="833" t="n"/>
      <c r="I827" s="904" t="n"/>
      <c r="J827" s="867">
        <f>F827*18%</f>
        <v/>
      </c>
      <c r="K827" s="867">
        <f>(F827-J827)*1.65%</f>
        <v/>
      </c>
      <c r="L827" s="867" t="n"/>
      <c r="M827" s="863" t="n"/>
      <c r="N827" s="864">
        <f>(G827+I827)*(9.25%)</f>
        <v/>
      </c>
      <c r="O827" s="904" t="n"/>
      <c r="P827" s="866" t="n"/>
      <c r="Q827" s="651" t="n"/>
      <c r="R827" s="1206" t="n"/>
      <c r="S827" s="904" t="n"/>
      <c r="T827" s="569" t="n"/>
      <c r="U827" s="1030" t="n"/>
      <c r="V827" s="1030" t="n"/>
      <c r="W827" s="1030" t="n"/>
    </row>
    <row r="828" ht="15.75" customHeight="1" s="1349">
      <c r="A828" s="1292" t="n"/>
      <c r="B828" s="904" t="n"/>
      <c r="C828" s="904" t="n"/>
      <c r="D828" s="904" t="n"/>
      <c r="E828" s="904" t="n"/>
      <c r="F828" s="856" t="n"/>
      <c r="G828" s="866" t="n"/>
      <c r="H828" s="833" t="n"/>
      <c r="I828" s="904" t="n"/>
      <c r="J828" s="867">
        <f>F828*18%</f>
        <v/>
      </c>
      <c r="K828" s="867">
        <f>(F828-J828)*1.65%</f>
        <v/>
      </c>
      <c r="L828" s="867" t="n"/>
      <c r="M828" s="863" t="n"/>
      <c r="N828" s="864">
        <f>(G828+I828)*(9.25%)</f>
        <v/>
      </c>
      <c r="O828" s="904" t="n"/>
      <c r="P828" s="866" t="n"/>
      <c r="Q828" s="651" t="n"/>
      <c r="R828" s="1206" t="n"/>
      <c r="S828" s="904" t="n"/>
      <c r="T828" s="569" t="n"/>
      <c r="U828" s="1030" t="n"/>
      <c r="V828" s="1030" t="n"/>
      <c r="W828" s="1030" t="n"/>
    </row>
    <row r="829" ht="15.75" customHeight="1" s="1349">
      <c r="A829" s="1292" t="n"/>
      <c r="B829" s="904" t="n"/>
      <c r="C829" s="904" t="n"/>
      <c r="D829" s="904" t="n"/>
      <c r="E829" s="904" t="n"/>
      <c r="F829" s="856" t="n"/>
      <c r="G829" s="866" t="n"/>
      <c r="H829" s="833" t="n"/>
      <c r="I829" s="904" t="n"/>
      <c r="J829" s="867">
        <f>F829*18%</f>
        <v/>
      </c>
      <c r="K829" s="867">
        <f>(F829-J829)*1.65%</f>
        <v/>
      </c>
      <c r="L829" s="867" t="n"/>
      <c r="M829" s="863" t="n"/>
      <c r="N829" s="864">
        <f>(G829+I829)*(9.25%)</f>
        <v/>
      </c>
      <c r="O829" s="904" t="n"/>
      <c r="P829" s="866" t="n"/>
      <c r="Q829" s="651" t="n"/>
      <c r="R829" s="1206" t="n"/>
      <c r="S829" s="904" t="n"/>
      <c r="T829" s="569" t="n"/>
      <c r="U829" s="1030" t="n"/>
      <c r="V829" s="1030" t="n"/>
      <c r="W829" s="1030" t="n"/>
    </row>
    <row r="830" ht="15.75" customHeight="1" s="1349">
      <c r="A830" s="1292" t="n"/>
      <c r="B830" s="904" t="n"/>
      <c r="C830" s="904" t="n"/>
      <c r="D830" s="904" t="n"/>
      <c r="E830" s="904" t="n"/>
      <c r="F830" s="856" t="n"/>
      <c r="G830" s="866" t="n"/>
      <c r="H830" s="833" t="n"/>
      <c r="I830" s="904" t="n"/>
      <c r="J830" s="867">
        <f>F830*18%</f>
        <v/>
      </c>
      <c r="K830" s="867">
        <f>(F830-J830)*1.65%</f>
        <v/>
      </c>
      <c r="L830" s="867" t="n"/>
      <c r="M830" s="863" t="n"/>
      <c r="N830" s="864">
        <f>(G830+I830)*(9.25%)</f>
        <v/>
      </c>
      <c r="O830" s="904" t="n"/>
      <c r="P830" s="866" t="n"/>
      <c r="Q830" s="651" t="n"/>
      <c r="R830" s="1206" t="n"/>
      <c r="S830" s="904" t="n"/>
      <c r="T830" s="569" t="n"/>
      <c r="U830" s="1030" t="n"/>
      <c r="V830" s="1030" t="n"/>
      <c r="W830" s="1030" t="n"/>
    </row>
    <row r="831" ht="15.75" customHeight="1" s="1349">
      <c r="A831" s="1292" t="n"/>
      <c r="B831" s="904" t="n"/>
      <c r="C831" s="904" t="n"/>
      <c r="D831" s="904" t="n"/>
      <c r="E831" s="904" t="n"/>
      <c r="F831" s="856" t="n"/>
      <c r="G831" s="866" t="n"/>
      <c r="H831" s="833" t="n"/>
      <c r="I831" s="904" t="n"/>
      <c r="J831" s="867">
        <f>F831*18%</f>
        <v/>
      </c>
      <c r="K831" s="867">
        <f>(F831-J831)*1.65%</f>
        <v/>
      </c>
      <c r="L831" s="867" t="n"/>
      <c r="M831" s="863" t="n"/>
      <c r="N831" s="864">
        <f>(G831+I831)*(9.25%)</f>
        <v/>
      </c>
      <c r="O831" s="904" t="n"/>
      <c r="P831" s="866" t="n"/>
      <c r="Q831" s="651" t="n"/>
      <c r="R831" s="1206" t="n"/>
      <c r="S831" s="904" t="n"/>
      <c r="T831" s="569" t="n"/>
      <c r="U831" s="1030" t="n"/>
      <c r="V831" s="1030" t="n"/>
      <c r="W831" s="1030" t="n"/>
    </row>
    <row r="832" ht="15.75" customHeight="1" s="1349">
      <c r="A832" s="1292" t="n"/>
      <c r="B832" s="904" t="n"/>
      <c r="C832" s="904" t="n"/>
      <c r="D832" s="904" t="n"/>
      <c r="E832" s="904" t="n"/>
      <c r="F832" s="856" t="n"/>
      <c r="G832" s="866" t="n"/>
      <c r="H832" s="833" t="n"/>
      <c r="I832" s="904" t="n"/>
      <c r="J832" s="867">
        <f>F832*18%</f>
        <v/>
      </c>
      <c r="K832" s="867">
        <f>(F832-J832)*1.65%</f>
        <v/>
      </c>
      <c r="L832" s="867" t="n"/>
      <c r="M832" s="863" t="n"/>
      <c r="N832" s="864">
        <f>(G832+I832)*(9.25%)</f>
        <v/>
      </c>
      <c r="O832" s="904" t="n"/>
      <c r="P832" s="866" t="n"/>
      <c r="Q832" s="651" t="n"/>
      <c r="R832" s="1206" t="n"/>
      <c r="S832" s="904" t="n"/>
      <c r="T832" s="569" t="n"/>
      <c r="U832" s="1030" t="n"/>
      <c r="V832" s="1030" t="n"/>
      <c r="W832" s="1030" t="n"/>
    </row>
    <row r="833" ht="15.75" customHeight="1" s="1349">
      <c r="A833" s="1292" t="n"/>
      <c r="B833" s="904" t="n"/>
      <c r="C833" s="904" t="n"/>
      <c r="D833" s="904" t="n"/>
      <c r="E833" s="904" t="n"/>
      <c r="F833" s="856" t="n"/>
      <c r="G833" s="866" t="n"/>
      <c r="H833" s="833" t="n"/>
      <c r="I833" s="904" t="n"/>
      <c r="J833" s="867">
        <f>F833*18%</f>
        <v/>
      </c>
      <c r="K833" s="867">
        <f>(F833-J833)*1.65%</f>
        <v/>
      </c>
      <c r="L833" s="867" t="n"/>
      <c r="M833" s="863" t="n"/>
      <c r="N833" s="864">
        <f>(G833+I833)*(9.25%)</f>
        <v/>
      </c>
      <c r="O833" s="904" t="n"/>
      <c r="P833" s="866" t="n"/>
      <c r="Q833" s="651" t="n"/>
      <c r="R833" s="1206" t="n"/>
      <c r="S833" s="904" t="n"/>
      <c r="T833" s="569" t="n"/>
      <c r="U833" s="1030" t="n"/>
      <c r="V833" s="1030" t="n"/>
      <c r="W833" s="1030" t="n"/>
    </row>
    <row r="834" ht="15.75" customHeight="1" s="1349">
      <c r="A834" s="1292" t="n"/>
      <c r="B834" s="904" t="n"/>
      <c r="C834" s="904" t="n"/>
      <c r="D834" s="904" t="n"/>
      <c r="E834" s="904" t="n"/>
      <c r="F834" s="856" t="n"/>
      <c r="G834" s="866" t="n"/>
      <c r="H834" s="833" t="n"/>
      <c r="I834" s="904" t="n"/>
      <c r="J834" s="867">
        <f>F834*18%</f>
        <v/>
      </c>
      <c r="K834" s="867">
        <f>(F834-J834)*1.65%</f>
        <v/>
      </c>
      <c r="L834" s="867" t="n"/>
      <c r="M834" s="863" t="n"/>
      <c r="N834" s="864">
        <f>(G834+I834)*(9.25%)</f>
        <v/>
      </c>
      <c r="O834" s="904" t="n"/>
      <c r="P834" s="866" t="n"/>
      <c r="Q834" s="651" t="n"/>
      <c r="R834" s="1206" t="n"/>
      <c r="S834" s="904" t="n"/>
      <c r="T834" s="569" t="n"/>
      <c r="U834" s="1030" t="n"/>
      <c r="V834" s="1030" t="n"/>
      <c r="W834" s="1030" t="n"/>
    </row>
    <row r="835" ht="15.75" customHeight="1" s="1349">
      <c r="A835" s="1292" t="n"/>
      <c r="B835" s="904" t="n"/>
      <c r="C835" s="904" t="n"/>
      <c r="D835" s="904" t="n"/>
      <c r="E835" s="904" t="n"/>
      <c r="F835" s="856" t="n"/>
      <c r="G835" s="866" t="n"/>
      <c r="H835" s="833" t="n"/>
      <c r="I835" s="904" t="n"/>
      <c r="J835" s="867">
        <f>F835*18%</f>
        <v/>
      </c>
      <c r="K835" s="867">
        <f>(F835-J835)*1.65%</f>
        <v/>
      </c>
      <c r="L835" s="867" t="n"/>
      <c r="M835" s="863" t="n"/>
      <c r="N835" s="864">
        <f>(G835+I835)*(9.25%)</f>
        <v/>
      </c>
      <c r="O835" s="904" t="n"/>
      <c r="P835" s="866" t="n"/>
      <c r="Q835" s="651" t="n"/>
      <c r="R835" s="1206" t="n"/>
      <c r="S835" s="904" t="n"/>
      <c r="T835" s="569" t="n"/>
      <c r="U835" s="1030" t="n"/>
      <c r="V835" s="1030" t="n"/>
      <c r="W835" s="1030" t="n"/>
    </row>
    <row r="836" ht="15.75" customHeight="1" s="1349">
      <c r="A836" s="1292" t="n"/>
      <c r="B836" s="904" t="n"/>
      <c r="C836" s="904" t="n"/>
      <c r="D836" s="904" t="n"/>
      <c r="E836" s="904" t="n"/>
      <c r="F836" s="856" t="n"/>
      <c r="G836" s="866" t="n"/>
      <c r="H836" s="833" t="n"/>
      <c r="I836" s="904" t="n"/>
      <c r="J836" s="867">
        <f>F836*18%</f>
        <v/>
      </c>
      <c r="K836" s="867">
        <f>(F836-J836)*1.65%</f>
        <v/>
      </c>
      <c r="L836" s="867" t="n"/>
      <c r="M836" s="863" t="n"/>
      <c r="N836" s="864">
        <f>(G836+I836)*(9.25%)</f>
        <v/>
      </c>
      <c r="O836" s="904" t="n"/>
      <c r="P836" s="866" t="n"/>
      <c r="Q836" s="651" t="n"/>
      <c r="R836" s="1206" t="n"/>
      <c r="S836" s="904" t="n"/>
      <c r="T836" s="569" t="n"/>
      <c r="U836" s="1030" t="n"/>
      <c r="V836" s="1030" t="n"/>
      <c r="W836" s="1030" t="n"/>
    </row>
    <row r="837" ht="15.75" customHeight="1" s="1349">
      <c r="A837" s="1292" t="n"/>
      <c r="B837" s="904" t="n"/>
      <c r="C837" s="904" t="n"/>
      <c r="D837" s="904" t="n"/>
      <c r="E837" s="904" t="n"/>
      <c r="F837" s="856" t="n"/>
      <c r="G837" s="866" t="n"/>
      <c r="H837" s="833" t="n"/>
      <c r="I837" s="904" t="n"/>
      <c r="J837" s="867">
        <f>F837*18%</f>
        <v/>
      </c>
      <c r="K837" s="867">
        <f>(F837-J837)*1.65%</f>
        <v/>
      </c>
      <c r="L837" s="867" t="n"/>
      <c r="M837" s="863" t="n"/>
      <c r="N837" s="864">
        <f>(G837+I837)*(9.25%)</f>
        <v/>
      </c>
      <c r="O837" s="904" t="n"/>
      <c r="P837" s="866" t="n"/>
      <c r="Q837" s="651" t="n"/>
      <c r="R837" s="1206" t="n"/>
      <c r="S837" s="904" t="n"/>
      <c r="T837" s="569" t="n"/>
      <c r="U837" s="1030" t="n"/>
      <c r="V837" s="1030" t="n"/>
      <c r="W837" s="1030" t="n"/>
    </row>
    <row r="838" ht="15.75" customHeight="1" s="1349">
      <c r="A838" s="1292" t="n"/>
      <c r="B838" s="904" t="n"/>
      <c r="C838" s="904" t="n"/>
      <c r="D838" s="904" t="n"/>
      <c r="E838" s="904" t="n"/>
      <c r="F838" s="856" t="n"/>
      <c r="G838" s="866" t="n"/>
      <c r="H838" s="833" t="n"/>
      <c r="I838" s="904" t="n"/>
      <c r="J838" s="867">
        <f>F838*18%</f>
        <v/>
      </c>
      <c r="K838" s="867">
        <f>(F838-J838)*1.65%</f>
        <v/>
      </c>
      <c r="L838" s="867" t="n"/>
      <c r="M838" s="863" t="n"/>
      <c r="N838" s="864">
        <f>(G838+I838)*(9.25%)</f>
        <v/>
      </c>
      <c r="O838" s="904" t="n"/>
      <c r="P838" s="866" t="n"/>
      <c r="Q838" s="651" t="n"/>
      <c r="R838" s="1206" t="n"/>
      <c r="S838" s="904" t="n"/>
      <c r="T838" s="569" t="n"/>
      <c r="U838" s="1030" t="n"/>
      <c r="V838" s="1030" t="n"/>
      <c r="W838" s="1030" t="n"/>
    </row>
    <row r="839" ht="15.75" customHeight="1" s="1349">
      <c r="A839" s="1292" t="n"/>
      <c r="B839" s="904" t="n"/>
      <c r="C839" s="904" t="n"/>
      <c r="D839" s="904" t="n"/>
      <c r="E839" s="904" t="n"/>
      <c r="F839" s="856" t="n"/>
      <c r="G839" s="866" t="n"/>
      <c r="H839" s="833" t="n"/>
      <c r="I839" s="904" t="n"/>
      <c r="J839" s="867">
        <f>F839*18%</f>
        <v/>
      </c>
      <c r="K839" s="867">
        <f>(F839-J839)*1.65%</f>
        <v/>
      </c>
      <c r="L839" s="867" t="n"/>
      <c r="M839" s="863" t="n"/>
      <c r="N839" s="864">
        <f>(G839+I839)*(9.25%)</f>
        <v/>
      </c>
      <c r="O839" s="904" t="n"/>
      <c r="P839" s="866" t="n"/>
      <c r="Q839" s="651" t="n"/>
      <c r="R839" s="1206" t="n"/>
      <c r="S839" s="904" t="n"/>
      <c r="T839" s="569" t="n"/>
      <c r="U839" s="1030" t="n"/>
      <c r="V839" s="1030" t="n"/>
      <c r="W839" s="1030" t="n"/>
    </row>
    <row r="840" ht="15.75" customHeight="1" s="1349">
      <c r="A840" s="1292" t="n"/>
      <c r="B840" s="904" t="n"/>
      <c r="C840" s="904" t="n"/>
      <c r="D840" s="904" t="n"/>
      <c r="E840" s="904" t="n"/>
      <c r="F840" s="856" t="n"/>
      <c r="G840" s="866" t="n"/>
      <c r="H840" s="833" t="n"/>
      <c r="I840" s="904" t="n"/>
      <c r="J840" s="867">
        <f>F840*18%</f>
        <v/>
      </c>
      <c r="K840" s="867">
        <f>(F840-J840)*1.65%</f>
        <v/>
      </c>
      <c r="L840" s="867" t="n"/>
      <c r="M840" s="863" t="n"/>
      <c r="N840" s="864">
        <f>(G840+I840)*(9.25%)</f>
        <v/>
      </c>
      <c r="O840" s="904" t="n"/>
      <c r="P840" s="866" t="n"/>
      <c r="Q840" s="651" t="n"/>
      <c r="R840" s="1206" t="n"/>
      <c r="S840" s="904" t="n"/>
      <c r="T840" s="569" t="n"/>
      <c r="U840" s="1030" t="n"/>
      <c r="V840" s="1030" t="n"/>
      <c r="W840" s="1030" t="n"/>
    </row>
    <row r="841" ht="15.75" customHeight="1" s="1349">
      <c r="A841" s="1292" t="n"/>
      <c r="B841" s="904" t="n"/>
      <c r="C841" s="904" t="n"/>
      <c r="D841" s="904" t="n"/>
      <c r="E841" s="904" t="n"/>
      <c r="F841" s="856" t="n"/>
      <c r="G841" s="866" t="n"/>
      <c r="H841" s="833" t="n"/>
      <c r="I841" s="904" t="n"/>
      <c r="J841" s="867">
        <f>F841*18%</f>
        <v/>
      </c>
      <c r="K841" s="867">
        <f>(F841-J841)*1.65%</f>
        <v/>
      </c>
      <c r="L841" s="867" t="n"/>
      <c r="M841" s="863" t="n"/>
      <c r="N841" s="864">
        <f>(G841+I841)*(9.25%)</f>
        <v/>
      </c>
      <c r="O841" s="904" t="n"/>
      <c r="P841" s="866" t="n"/>
      <c r="Q841" s="651" t="n"/>
      <c r="R841" s="1206" t="n"/>
      <c r="S841" s="904" t="n"/>
      <c r="T841" s="569" t="n"/>
      <c r="U841" s="1030" t="n"/>
      <c r="V841" s="1030" t="n"/>
      <c r="W841" s="1030" t="n"/>
    </row>
    <row r="842" ht="15.75" customHeight="1" s="1349">
      <c r="A842" s="1292" t="n"/>
      <c r="B842" s="904" t="n"/>
      <c r="C842" s="904" t="n"/>
      <c r="D842" s="904" t="n"/>
      <c r="E842" s="904" t="n"/>
      <c r="F842" s="856" t="n"/>
      <c r="G842" s="866" t="n"/>
      <c r="H842" s="833" t="n"/>
      <c r="I842" s="904" t="n"/>
      <c r="J842" s="867">
        <f>F842*18%</f>
        <v/>
      </c>
      <c r="K842" s="867">
        <f>(F842-J842)*1.65%</f>
        <v/>
      </c>
      <c r="L842" s="867" t="n"/>
      <c r="M842" s="863" t="n"/>
      <c r="N842" s="864">
        <f>(G842+I842)*(9.25%)</f>
        <v/>
      </c>
      <c r="O842" s="904" t="n"/>
      <c r="P842" s="866" t="n"/>
      <c r="Q842" s="651" t="n"/>
      <c r="R842" s="1206" t="n"/>
      <c r="S842" s="904" t="n"/>
      <c r="T842" s="569" t="n"/>
      <c r="U842" s="1030" t="n"/>
      <c r="V842" s="1030" t="n"/>
      <c r="W842" s="1030" t="n"/>
    </row>
    <row r="843" ht="15.75" customHeight="1" s="1349">
      <c r="A843" s="1292" t="n"/>
      <c r="B843" s="904" t="n"/>
      <c r="C843" s="904" t="n"/>
      <c r="D843" s="904" t="n"/>
      <c r="E843" s="904" t="n"/>
      <c r="F843" s="856" t="n"/>
      <c r="G843" s="866" t="n"/>
      <c r="H843" s="833" t="n"/>
      <c r="I843" s="904" t="n"/>
      <c r="J843" s="867">
        <f>F843*18%</f>
        <v/>
      </c>
      <c r="K843" s="867">
        <f>(F843-J843)*1.65%</f>
        <v/>
      </c>
      <c r="L843" s="867" t="n"/>
      <c r="M843" s="863" t="n"/>
      <c r="N843" s="864">
        <f>(G843+I843)*(9.25%)</f>
        <v/>
      </c>
      <c r="O843" s="904" t="n"/>
      <c r="P843" s="866" t="n"/>
      <c r="Q843" s="651" t="n"/>
      <c r="R843" s="1206" t="n"/>
      <c r="S843" s="904" t="n"/>
      <c r="T843" s="569" t="n"/>
      <c r="U843" s="1030" t="n"/>
      <c r="V843" s="1030" t="n"/>
      <c r="W843" s="1030" t="n"/>
    </row>
    <row r="844" ht="15.75" customHeight="1" s="1349">
      <c r="A844" s="1292" t="n"/>
      <c r="B844" s="904" t="n"/>
      <c r="C844" s="904" t="n"/>
      <c r="D844" s="904" t="n"/>
      <c r="E844" s="904" t="n"/>
      <c r="F844" s="856" t="n"/>
      <c r="G844" s="866" t="n"/>
      <c r="H844" s="833" t="n"/>
      <c r="I844" s="904" t="n"/>
      <c r="J844" s="867">
        <f>F844*18%</f>
        <v/>
      </c>
      <c r="K844" s="867">
        <f>(F844-J844)*1.65%</f>
        <v/>
      </c>
      <c r="L844" s="867" t="n"/>
      <c r="M844" s="863" t="n"/>
      <c r="N844" s="864">
        <f>(G844+I844)*(9.25%)</f>
        <v/>
      </c>
      <c r="O844" s="904" t="n"/>
      <c r="P844" s="866" t="n"/>
      <c r="Q844" s="651" t="n"/>
      <c r="R844" s="1206" t="n"/>
      <c r="S844" s="904" t="n"/>
      <c r="T844" s="569" t="n"/>
      <c r="U844" s="1030" t="n"/>
      <c r="V844" s="1030" t="n"/>
      <c r="W844" s="1030" t="n"/>
    </row>
    <row r="845" ht="15.75" customHeight="1" s="1349">
      <c r="A845" s="1292" t="n"/>
      <c r="B845" s="904" t="n"/>
      <c r="C845" s="904" t="n"/>
      <c r="D845" s="904" t="n"/>
      <c r="E845" s="904" t="n"/>
      <c r="F845" s="856" t="n"/>
      <c r="G845" s="866" t="n"/>
      <c r="H845" s="833" t="n"/>
      <c r="I845" s="904" t="n"/>
      <c r="J845" s="867">
        <f>F845*18%</f>
        <v/>
      </c>
      <c r="K845" s="867">
        <f>(F845-J845)*1.65%</f>
        <v/>
      </c>
      <c r="L845" s="867" t="n"/>
      <c r="M845" s="863" t="n"/>
      <c r="N845" s="864">
        <f>(G845+I845)*(9.25%)</f>
        <v/>
      </c>
      <c r="O845" s="904" t="n"/>
      <c r="P845" s="866" t="n"/>
      <c r="Q845" s="651" t="n"/>
      <c r="R845" s="1206" t="n"/>
      <c r="S845" s="904" t="n"/>
      <c r="T845" s="569" t="n"/>
      <c r="U845" s="1030" t="n"/>
      <c r="V845" s="1030" t="n"/>
      <c r="W845" s="1030" t="n"/>
    </row>
    <row r="846" ht="15.75" customHeight="1" s="1349">
      <c r="A846" s="1292" t="n"/>
      <c r="B846" s="904" t="n"/>
      <c r="C846" s="904" t="n"/>
      <c r="D846" s="904" t="n"/>
      <c r="E846" s="904" t="n"/>
      <c r="F846" s="856" t="n"/>
      <c r="G846" s="866" t="n"/>
      <c r="H846" s="833" t="n"/>
      <c r="I846" s="904" t="n"/>
      <c r="J846" s="867">
        <f>F846*18%</f>
        <v/>
      </c>
      <c r="K846" s="867">
        <f>(F846-J846)*1.65%</f>
        <v/>
      </c>
      <c r="L846" s="867" t="n"/>
      <c r="M846" s="863" t="n"/>
      <c r="N846" s="864">
        <f>(G846+I846)*(9.25%)</f>
        <v/>
      </c>
      <c r="O846" s="904" t="n"/>
      <c r="P846" s="866" t="n"/>
      <c r="Q846" s="651" t="n"/>
      <c r="R846" s="1206" t="n"/>
      <c r="S846" s="904" t="n"/>
      <c r="T846" s="569" t="n"/>
      <c r="U846" s="1030" t="n"/>
      <c r="V846" s="1030" t="n"/>
      <c r="W846" s="1030" t="n"/>
    </row>
    <row r="847" ht="15.75" customHeight="1" s="1349">
      <c r="A847" s="1292" t="n"/>
      <c r="B847" s="904" t="n"/>
      <c r="C847" s="904" t="n"/>
      <c r="D847" s="904" t="n"/>
      <c r="E847" s="904" t="n"/>
      <c r="F847" s="856" t="n"/>
      <c r="G847" s="866" t="n"/>
      <c r="H847" s="833" t="n"/>
      <c r="I847" s="904" t="n"/>
      <c r="J847" s="867">
        <f>F847*18%</f>
        <v/>
      </c>
      <c r="K847" s="867">
        <f>(F847-J847)*1.65%</f>
        <v/>
      </c>
      <c r="L847" s="867" t="n"/>
      <c r="M847" s="863" t="n"/>
      <c r="N847" s="864">
        <f>(G847+I847)*(9.25%)</f>
        <v/>
      </c>
      <c r="O847" s="904" t="n"/>
      <c r="P847" s="866" t="n"/>
      <c r="Q847" s="651" t="n"/>
      <c r="R847" s="1206" t="n"/>
      <c r="S847" s="904" t="n"/>
      <c r="T847" s="569" t="n"/>
      <c r="U847" s="1030" t="n"/>
      <c r="V847" s="1030" t="n"/>
      <c r="W847" s="1030" t="n"/>
    </row>
    <row r="848" ht="15.75" customHeight="1" s="1349">
      <c r="A848" s="1292" t="n"/>
      <c r="B848" s="904" t="n"/>
      <c r="C848" s="904" t="n"/>
      <c r="D848" s="904" t="n"/>
      <c r="E848" s="904" t="n"/>
      <c r="F848" s="856" t="n"/>
      <c r="G848" s="866" t="n"/>
      <c r="H848" s="833" t="n"/>
      <c r="I848" s="904" t="n"/>
      <c r="J848" s="867">
        <f>F848*18%</f>
        <v/>
      </c>
      <c r="K848" s="867">
        <f>(F848-J848)*1.65%</f>
        <v/>
      </c>
      <c r="L848" s="867" t="n"/>
      <c r="M848" s="863" t="n"/>
      <c r="N848" s="864">
        <f>(G848+I848)*(9.25%)</f>
        <v/>
      </c>
      <c r="O848" s="904" t="n"/>
      <c r="P848" s="866" t="n"/>
      <c r="Q848" s="651" t="n"/>
      <c r="R848" s="1206" t="n"/>
      <c r="S848" s="904" t="n"/>
      <c r="T848" s="569" t="n"/>
      <c r="U848" s="1030" t="n"/>
      <c r="V848" s="1030" t="n"/>
      <c r="W848" s="1030" t="n"/>
    </row>
    <row r="849" ht="15.75" customHeight="1" s="1349">
      <c r="A849" s="1292" t="n"/>
      <c r="B849" s="904" t="n"/>
      <c r="C849" s="904" t="n"/>
      <c r="D849" s="904" t="n"/>
      <c r="E849" s="904" t="n"/>
      <c r="F849" s="856" t="n"/>
      <c r="G849" s="866" t="n"/>
      <c r="H849" s="833" t="n"/>
      <c r="I849" s="904" t="n"/>
      <c r="J849" s="867">
        <f>F849*18%</f>
        <v/>
      </c>
      <c r="K849" s="867">
        <f>(F849-J849)*1.65%</f>
        <v/>
      </c>
      <c r="L849" s="867" t="n"/>
      <c r="M849" s="863" t="n"/>
      <c r="N849" s="864">
        <f>(G849+I849)*(9.25%)</f>
        <v/>
      </c>
      <c r="O849" s="904" t="n"/>
      <c r="P849" s="866" t="n"/>
      <c r="Q849" s="651" t="n"/>
      <c r="R849" s="1206" t="n"/>
      <c r="S849" s="904" t="n"/>
      <c r="T849" s="569" t="n"/>
      <c r="U849" s="1030" t="n"/>
      <c r="V849" s="1030" t="n"/>
      <c r="W849" s="1030" t="n"/>
    </row>
    <row r="850" ht="15.75" customHeight="1" s="1349">
      <c r="A850" s="1292" t="n"/>
      <c r="B850" s="904" t="n"/>
      <c r="C850" s="904" t="n"/>
      <c r="D850" s="904" t="n"/>
      <c r="E850" s="904" t="n"/>
      <c r="F850" s="856" t="n"/>
      <c r="G850" s="866" t="n"/>
      <c r="H850" s="833" t="n"/>
      <c r="I850" s="904" t="n"/>
      <c r="J850" s="867">
        <f>F850*18%</f>
        <v/>
      </c>
      <c r="K850" s="867">
        <f>(F850-J850)*1.65%</f>
        <v/>
      </c>
      <c r="L850" s="867" t="n"/>
      <c r="M850" s="863" t="n"/>
      <c r="N850" s="864">
        <f>(G850+I850)*(9.25%)</f>
        <v/>
      </c>
      <c r="O850" s="904" t="n"/>
      <c r="P850" s="866" t="n"/>
      <c r="Q850" s="651" t="n"/>
      <c r="R850" s="1206" t="n"/>
      <c r="S850" s="904" t="n"/>
      <c r="T850" s="569" t="n"/>
      <c r="U850" s="1030" t="n"/>
      <c r="V850" s="1030" t="n"/>
      <c r="W850" s="1030" t="n"/>
    </row>
    <row r="851" ht="15.75" customHeight="1" s="1349">
      <c r="A851" s="1292" t="n"/>
      <c r="B851" s="904" t="n"/>
      <c r="C851" s="904" t="n"/>
      <c r="D851" s="904" t="n"/>
      <c r="E851" s="904" t="n"/>
      <c r="F851" s="856" t="n"/>
      <c r="G851" s="866" t="n"/>
      <c r="H851" s="833" t="n"/>
      <c r="I851" s="904" t="n"/>
      <c r="J851" s="867">
        <f>F851*18%</f>
        <v/>
      </c>
      <c r="K851" s="867">
        <f>(F851-J851)*1.65%</f>
        <v/>
      </c>
      <c r="L851" s="867" t="n"/>
      <c r="M851" s="863" t="n"/>
      <c r="N851" s="864">
        <f>(G851+I851)*(9.25%)</f>
        <v/>
      </c>
      <c r="O851" s="904" t="n"/>
      <c r="P851" s="866" t="n"/>
      <c r="Q851" s="651" t="n"/>
      <c r="R851" s="1206" t="n"/>
      <c r="S851" s="904" t="n"/>
      <c r="T851" s="569" t="n"/>
      <c r="U851" s="1030" t="n"/>
      <c r="V851" s="1030" t="n"/>
      <c r="W851" s="1030" t="n"/>
    </row>
    <row r="852" ht="15.75" customHeight="1" s="1349">
      <c r="A852" s="1292" t="n"/>
      <c r="B852" s="904" t="n"/>
      <c r="C852" s="904" t="n"/>
      <c r="D852" s="904" t="n"/>
      <c r="E852" s="904" t="n"/>
      <c r="F852" s="856" t="n"/>
      <c r="G852" s="866" t="n"/>
      <c r="H852" s="833" t="n"/>
      <c r="I852" s="904" t="n"/>
      <c r="J852" s="867">
        <f>F852*18%</f>
        <v/>
      </c>
      <c r="K852" s="867">
        <f>(F852-J852)*1.65%</f>
        <v/>
      </c>
      <c r="L852" s="867" t="n"/>
      <c r="M852" s="863" t="n"/>
      <c r="N852" s="864">
        <f>(G852+I852)*(9.25%)</f>
        <v/>
      </c>
      <c r="O852" s="904" t="n"/>
      <c r="P852" s="866" t="n"/>
      <c r="Q852" s="651" t="n"/>
      <c r="R852" s="1206" t="n"/>
      <c r="S852" s="904" t="n"/>
      <c r="T852" s="569" t="n"/>
      <c r="U852" s="1030" t="n"/>
      <c r="V852" s="1030" t="n"/>
      <c r="W852" s="1030" t="n"/>
    </row>
    <row r="853" ht="15.75" customHeight="1" s="1349">
      <c r="A853" s="1292" t="n"/>
      <c r="B853" s="904" t="n"/>
      <c r="C853" s="904" t="n"/>
      <c r="D853" s="904" t="n"/>
      <c r="E853" s="904" t="n"/>
      <c r="F853" s="856" t="n"/>
      <c r="G853" s="866" t="n"/>
      <c r="H853" s="833" t="n"/>
      <c r="I853" s="904" t="n"/>
      <c r="J853" s="867">
        <f>F853*18%</f>
        <v/>
      </c>
      <c r="K853" s="867">
        <f>(F853-J853)*1.65%</f>
        <v/>
      </c>
      <c r="L853" s="867" t="n"/>
      <c r="M853" s="863" t="n"/>
      <c r="N853" s="864">
        <f>(G853+I853)*(9.25%)</f>
        <v/>
      </c>
      <c r="O853" s="904" t="n"/>
      <c r="P853" s="866" t="n"/>
      <c r="Q853" s="651" t="n"/>
      <c r="R853" s="1206" t="n"/>
      <c r="S853" s="904" t="n"/>
      <c r="T853" s="569" t="n"/>
      <c r="U853" s="1030" t="n"/>
      <c r="V853" s="1030" t="n"/>
      <c r="W853" s="1030" t="n"/>
    </row>
    <row r="854" ht="15.75" customHeight="1" s="1349">
      <c r="A854" s="1292" t="n"/>
      <c r="B854" s="904" t="n"/>
      <c r="C854" s="904" t="n"/>
      <c r="D854" s="904" t="n"/>
      <c r="E854" s="904" t="n"/>
      <c r="F854" s="856" t="n"/>
      <c r="G854" s="866" t="n"/>
      <c r="H854" s="833" t="n"/>
      <c r="I854" s="904" t="n"/>
      <c r="J854" s="867">
        <f>F854*18%</f>
        <v/>
      </c>
      <c r="K854" s="867">
        <f>(F854-J854)*1.65%</f>
        <v/>
      </c>
      <c r="L854" s="867" t="n"/>
      <c r="M854" s="863" t="n"/>
      <c r="N854" s="864">
        <f>(G854+I854)*(9.25%)</f>
        <v/>
      </c>
      <c r="O854" s="904" t="n"/>
      <c r="P854" s="866" t="n"/>
      <c r="Q854" s="651" t="n"/>
      <c r="R854" s="1206" t="n"/>
      <c r="S854" s="904" t="n"/>
      <c r="T854" s="569" t="n"/>
      <c r="U854" s="1030" t="n"/>
      <c r="V854" s="1030" t="n"/>
      <c r="W854" s="1030" t="n"/>
    </row>
    <row r="855" ht="15.75" customHeight="1" s="1349">
      <c r="A855" s="1292" t="n"/>
      <c r="B855" s="904" t="n"/>
      <c r="C855" s="904" t="n"/>
      <c r="D855" s="904" t="n"/>
      <c r="E855" s="904" t="n"/>
      <c r="F855" s="856" t="n"/>
      <c r="G855" s="866" t="n"/>
      <c r="H855" s="833" t="n"/>
      <c r="I855" s="904" t="n"/>
      <c r="J855" s="867">
        <f>F855*18%</f>
        <v/>
      </c>
      <c r="K855" s="867">
        <f>(F855-J855)*1.65%</f>
        <v/>
      </c>
      <c r="L855" s="867" t="n"/>
      <c r="M855" s="863" t="n"/>
      <c r="N855" s="864">
        <f>(G855+I855)*(9.25%)</f>
        <v/>
      </c>
      <c r="O855" s="904" t="n"/>
      <c r="P855" s="866" t="n"/>
      <c r="Q855" s="651" t="n"/>
      <c r="R855" s="1206" t="n"/>
      <c r="S855" s="904" t="n"/>
      <c r="T855" s="569" t="n"/>
      <c r="U855" s="1030" t="n"/>
      <c r="V855" s="1030" t="n"/>
      <c r="W855" s="1030" t="n"/>
    </row>
    <row r="856" ht="15.75" customHeight="1" s="1349">
      <c r="A856" s="1292" t="n"/>
      <c r="B856" s="904" t="n"/>
      <c r="C856" s="904" t="n"/>
      <c r="D856" s="904" t="n"/>
      <c r="E856" s="904" t="n"/>
      <c r="F856" s="856" t="n"/>
      <c r="G856" s="866" t="n"/>
      <c r="H856" s="833" t="n"/>
      <c r="I856" s="904" t="n"/>
      <c r="J856" s="867">
        <f>F856*18%</f>
        <v/>
      </c>
      <c r="K856" s="867">
        <f>(F856-J856)*1.65%</f>
        <v/>
      </c>
      <c r="L856" s="867" t="n"/>
      <c r="M856" s="863" t="n"/>
      <c r="N856" s="864">
        <f>(G856+I856)*(9.25%)</f>
        <v/>
      </c>
      <c r="O856" s="904" t="n"/>
      <c r="P856" s="866" t="n"/>
      <c r="Q856" s="651" t="n"/>
      <c r="R856" s="1206" t="n"/>
      <c r="S856" s="904" t="n"/>
      <c r="T856" s="569" t="n"/>
      <c r="U856" s="1030" t="n"/>
      <c r="V856" s="1030" t="n"/>
      <c r="W856" s="1030" t="n"/>
    </row>
    <row r="857" ht="15.75" customHeight="1" s="1349">
      <c r="A857" s="1292" t="n"/>
      <c r="B857" s="904" t="n"/>
      <c r="C857" s="904" t="n"/>
      <c r="D857" s="904" t="n"/>
      <c r="E857" s="904" t="n"/>
      <c r="F857" s="856" t="n"/>
      <c r="G857" s="866" t="n"/>
      <c r="H857" s="833" t="n"/>
      <c r="I857" s="904" t="n"/>
      <c r="J857" s="867">
        <f>F857*18%</f>
        <v/>
      </c>
      <c r="K857" s="867">
        <f>(F857-J857)*1.65%</f>
        <v/>
      </c>
      <c r="L857" s="867" t="n"/>
      <c r="M857" s="863" t="n"/>
      <c r="N857" s="864">
        <f>(G857+I857)*(9.25%)</f>
        <v/>
      </c>
      <c r="O857" s="904" t="n"/>
      <c r="P857" s="866" t="n"/>
      <c r="Q857" s="651" t="n"/>
      <c r="R857" s="1206" t="n"/>
      <c r="S857" s="904" t="n"/>
      <c r="T857" s="569" t="n"/>
      <c r="U857" s="1030" t="n"/>
      <c r="V857" s="1030" t="n"/>
      <c r="W857" s="1030" t="n"/>
    </row>
    <row r="858" ht="15.75" customHeight="1" s="1349">
      <c r="A858" s="1292" t="n"/>
      <c r="B858" s="904" t="n"/>
      <c r="C858" s="904" t="n"/>
      <c r="D858" s="904" t="n"/>
      <c r="E858" s="904" t="n"/>
      <c r="F858" s="856" t="n"/>
      <c r="G858" s="866" t="n"/>
      <c r="H858" s="833" t="n"/>
      <c r="I858" s="904" t="n"/>
      <c r="J858" s="867">
        <f>F858*18%</f>
        <v/>
      </c>
      <c r="K858" s="867">
        <f>(F858-J858)*1.65%</f>
        <v/>
      </c>
      <c r="L858" s="867" t="n"/>
      <c r="M858" s="863" t="n"/>
      <c r="N858" s="864">
        <f>(G858+I858)*(9.25%)</f>
        <v/>
      </c>
      <c r="O858" s="904" t="n"/>
      <c r="P858" s="866" t="n"/>
      <c r="Q858" s="651" t="n"/>
      <c r="R858" s="1206" t="n"/>
      <c r="S858" s="904" t="n"/>
      <c r="T858" s="569" t="n"/>
      <c r="U858" s="1030" t="n"/>
      <c r="V858" s="1030" t="n"/>
      <c r="W858" s="1030" t="n"/>
    </row>
    <row r="859" ht="15.75" customHeight="1" s="1349">
      <c r="A859" s="1292" t="n"/>
      <c r="B859" s="904" t="n"/>
      <c r="C859" s="904" t="n"/>
      <c r="D859" s="904" t="n"/>
      <c r="E859" s="904" t="n"/>
      <c r="F859" s="856" t="n"/>
      <c r="G859" s="866" t="n"/>
      <c r="H859" s="833" t="n"/>
      <c r="I859" s="904" t="n"/>
      <c r="J859" s="867">
        <f>F859*18%</f>
        <v/>
      </c>
      <c r="K859" s="867">
        <f>(F859-J859)*1.65%</f>
        <v/>
      </c>
      <c r="L859" s="867" t="n"/>
      <c r="M859" s="863" t="n"/>
      <c r="N859" s="864">
        <f>(G859+I859)*(9.25%)</f>
        <v/>
      </c>
      <c r="O859" s="904" t="n"/>
      <c r="P859" s="866" t="n"/>
      <c r="Q859" s="651" t="n"/>
      <c r="R859" s="1206" t="n"/>
      <c r="S859" s="904" t="n"/>
      <c r="T859" s="569" t="n"/>
      <c r="U859" s="1030" t="n"/>
      <c r="V859" s="1030" t="n"/>
      <c r="W859" s="1030" t="n"/>
    </row>
    <row r="860" ht="15.75" customHeight="1" s="1349">
      <c r="A860" s="1292" t="n"/>
      <c r="B860" s="904" t="n"/>
      <c r="C860" s="904" t="n"/>
      <c r="D860" s="904" t="n"/>
      <c r="E860" s="904" t="n"/>
      <c r="F860" s="856" t="n"/>
      <c r="G860" s="866" t="n"/>
      <c r="H860" s="833" t="n"/>
      <c r="I860" s="904" t="n"/>
      <c r="J860" s="867">
        <f>F860*18%</f>
        <v/>
      </c>
      <c r="K860" s="867">
        <f>(F860-J860)*1.65%</f>
        <v/>
      </c>
      <c r="L860" s="867" t="n"/>
      <c r="M860" s="863" t="n"/>
      <c r="N860" s="864">
        <f>(G860+I860)*(9.25%)</f>
        <v/>
      </c>
      <c r="O860" s="904" t="n"/>
      <c r="P860" s="866" t="n"/>
      <c r="Q860" s="651" t="n"/>
      <c r="R860" s="1206" t="n"/>
      <c r="S860" s="904" t="n"/>
      <c r="T860" s="569" t="n"/>
      <c r="U860" s="1030" t="n"/>
      <c r="V860" s="1030" t="n"/>
      <c r="W860" s="1030" t="n"/>
    </row>
    <row r="861" ht="15.75" customHeight="1" s="1349">
      <c r="A861" s="1292" t="n"/>
      <c r="B861" s="904" t="n"/>
      <c r="C861" s="904" t="n"/>
      <c r="D861" s="904" t="n"/>
      <c r="E861" s="904" t="n"/>
      <c r="F861" s="856" t="n"/>
      <c r="G861" s="866" t="n"/>
      <c r="H861" s="833" t="n"/>
      <c r="I861" s="904" t="n"/>
      <c r="J861" s="867">
        <f>F861*18%</f>
        <v/>
      </c>
      <c r="K861" s="867">
        <f>(F861-J861)*1.65%</f>
        <v/>
      </c>
      <c r="L861" s="867" t="n"/>
      <c r="M861" s="863" t="n"/>
      <c r="N861" s="864">
        <f>(G861+I861)*(9.25%)</f>
        <v/>
      </c>
      <c r="O861" s="904" t="n"/>
      <c r="P861" s="866" t="n"/>
      <c r="Q861" s="651" t="n"/>
      <c r="R861" s="1206" t="n"/>
      <c r="S861" s="904" t="n"/>
      <c r="T861" s="569" t="n"/>
      <c r="U861" s="1030" t="n"/>
      <c r="V861" s="1030" t="n"/>
      <c r="W861" s="1030" t="n"/>
    </row>
    <row r="862" ht="15.75" customHeight="1" s="1349">
      <c r="A862" s="1292" t="n"/>
      <c r="B862" s="904" t="n"/>
      <c r="C862" s="904" t="n"/>
      <c r="D862" s="904" t="n"/>
      <c r="E862" s="904" t="n"/>
      <c r="F862" s="856" t="n"/>
      <c r="G862" s="866" t="n"/>
      <c r="H862" s="833" t="n"/>
      <c r="I862" s="904" t="n"/>
      <c r="J862" s="867">
        <f>F862*18%</f>
        <v/>
      </c>
      <c r="K862" s="867">
        <f>(F862-J862)*1.65%</f>
        <v/>
      </c>
      <c r="L862" s="867" t="n"/>
      <c r="M862" s="863" t="n"/>
      <c r="N862" s="864">
        <f>(G862+I862)*(9.25%)</f>
        <v/>
      </c>
      <c r="O862" s="904" t="n"/>
      <c r="P862" s="866" t="n"/>
      <c r="Q862" s="651" t="n"/>
      <c r="R862" s="1206" t="n"/>
      <c r="S862" s="904" t="n"/>
      <c r="T862" s="569" t="n"/>
      <c r="U862" s="1030" t="n"/>
      <c r="V862" s="1030" t="n"/>
      <c r="W862" s="1030" t="n"/>
    </row>
    <row r="863" ht="15.75" customHeight="1" s="1349">
      <c r="A863" s="1292" t="n"/>
      <c r="B863" s="904" t="n"/>
      <c r="C863" s="904" t="n"/>
      <c r="D863" s="904" t="n"/>
      <c r="E863" s="904" t="n"/>
      <c r="F863" s="856" t="n"/>
      <c r="G863" s="866" t="n"/>
      <c r="H863" s="833" t="n"/>
      <c r="I863" s="904" t="n"/>
      <c r="J863" s="867">
        <f>F863*18%</f>
        <v/>
      </c>
      <c r="K863" s="867">
        <f>(F863-J863)*1.65%</f>
        <v/>
      </c>
      <c r="L863" s="867" t="n"/>
      <c r="M863" s="863" t="n"/>
      <c r="N863" s="864">
        <f>(G863+I863)*(9.25%)</f>
        <v/>
      </c>
      <c r="O863" s="904" t="n"/>
      <c r="P863" s="866" t="n"/>
      <c r="Q863" s="651" t="n"/>
      <c r="R863" s="1206" t="n"/>
      <c r="S863" s="904" t="n"/>
      <c r="T863" s="569" t="n"/>
      <c r="U863" s="1030" t="n"/>
      <c r="V863" s="1030" t="n"/>
      <c r="W863" s="1030" t="n"/>
    </row>
    <row r="864" ht="15.75" customHeight="1" s="1349">
      <c r="A864" s="1292" t="n"/>
      <c r="B864" s="904" t="n"/>
      <c r="C864" s="904" t="n"/>
      <c r="D864" s="904" t="n"/>
      <c r="E864" s="904" t="n"/>
      <c r="F864" s="856" t="n"/>
      <c r="G864" s="866" t="n"/>
      <c r="H864" s="833" t="n"/>
      <c r="I864" s="904" t="n"/>
      <c r="J864" s="867">
        <f>F864*18%</f>
        <v/>
      </c>
      <c r="K864" s="867">
        <f>(F864-J864)*1.65%</f>
        <v/>
      </c>
      <c r="L864" s="867" t="n"/>
      <c r="M864" s="863" t="n"/>
      <c r="N864" s="864">
        <f>(G864+I864)*(9.25%)</f>
        <v/>
      </c>
      <c r="O864" s="904" t="n"/>
      <c r="P864" s="866" t="n"/>
      <c r="Q864" s="651" t="n"/>
      <c r="R864" s="1206" t="n"/>
      <c r="S864" s="904" t="n"/>
      <c r="T864" s="569" t="n"/>
      <c r="U864" s="1030" t="n"/>
      <c r="V864" s="1030" t="n"/>
      <c r="W864" s="1030" t="n"/>
    </row>
    <row r="865" ht="15.75" customHeight="1" s="1349">
      <c r="A865" s="1292" t="n"/>
      <c r="B865" s="904" t="n"/>
      <c r="C865" s="904" t="n"/>
      <c r="D865" s="904" t="n"/>
      <c r="E865" s="904" t="n"/>
      <c r="F865" s="856" t="n"/>
      <c r="G865" s="866" t="n"/>
      <c r="H865" s="833" t="n"/>
      <c r="I865" s="904" t="n"/>
      <c r="J865" s="867">
        <f>F865*18%</f>
        <v/>
      </c>
      <c r="K865" s="867">
        <f>(F865-J865)*1.65%</f>
        <v/>
      </c>
      <c r="L865" s="867" t="n"/>
      <c r="M865" s="863" t="n"/>
      <c r="N865" s="864">
        <f>(G865+I865)*(9.25%)</f>
        <v/>
      </c>
      <c r="O865" s="904" t="n"/>
      <c r="P865" s="866" t="n"/>
      <c r="Q865" s="651" t="n"/>
      <c r="R865" s="1206" t="n"/>
      <c r="S865" s="904" t="n"/>
      <c r="T865" s="569" t="n"/>
      <c r="U865" s="1030" t="n"/>
      <c r="V865" s="1030" t="n"/>
      <c r="W865" s="1030" t="n"/>
    </row>
    <row r="866" ht="15.75" customHeight="1" s="1349">
      <c r="A866" s="1292" t="n"/>
      <c r="B866" s="904" t="n"/>
      <c r="C866" s="904" t="n"/>
      <c r="D866" s="904" t="n"/>
      <c r="E866" s="904" t="n"/>
      <c r="F866" s="856" t="n"/>
      <c r="G866" s="866" t="n"/>
      <c r="H866" s="833" t="n"/>
      <c r="I866" s="904" t="n"/>
      <c r="J866" s="867">
        <f>F866*18%</f>
        <v/>
      </c>
      <c r="K866" s="867">
        <f>(F866-J866)*1.65%</f>
        <v/>
      </c>
      <c r="L866" s="867" t="n"/>
      <c r="M866" s="863" t="n"/>
      <c r="N866" s="864">
        <f>(G866+I866)*(9.25%)</f>
        <v/>
      </c>
      <c r="O866" s="904" t="n"/>
      <c r="P866" s="866" t="n"/>
      <c r="Q866" s="651" t="n"/>
      <c r="R866" s="1206" t="n"/>
      <c r="S866" s="904" t="n"/>
      <c r="T866" s="569" t="n"/>
      <c r="U866" s="1030" t="n"/>
      <c r="V866" s="1030" t="n"/>
      <c r="W866" s="1030" t="n"/>
    </row>
    <row r="867" ht="15.75" customHeight="1" s="1349">
      <c r="A867" s="1292" t="n"/>
      <c r="B867" s="904" t="n"/>
      <c r="C867" s="904" t="n"/>
      <c r="D867" s="904" t="n"/>
      <c r="E867" s="904" t="n"/>
      <c r="F867" s="856" t="n"/>
      <c r="G867" s="866" t="n"/>
      <c r="H867" s="833" t="n"/>
      <c r="I867" s="904" t="n"/>
      <c r="J867" s="867">
        <f>F867*18%</f>
        <v/>
      </c>
      <c r="K867" s="867">
        <f>(F867-J867)*1.65%</f>
        <v/>
      </c>
      <c r="L867" s="867" t="n"/>
      <c r="M867" s="863" t="n"/>
      <c r="N867" s="864">
        <f>(G867+I867)*(9.25%)</f>
        <v/>
      </c>
      <c r="O867" s="904" t="n"/>
      <c r="P867" s="866" t="n"/>
      <c r="Q867" s="651" t="n"/>
      <c r="R867" s="1206" t="n"/>
      <c r="S867" s="904" t="n"/>
      <c r="T867" s="569" t="n"/>
      <c r="U867" s="1030" t="n"/>
      <c r="V867" s="1030" t="n"/>
      <c r="W867" s="1030" t="n"/>
    </row>
    <row r="868" ht="15.75" customHeight="1" s="1349">
      <c r="A868" s="1292" t="n"/>
      <c r="B868" s="904" t="n"/>
      <c r="C868" s="904" t="n"/>
      <c r="D868" s="904" t="n"/>
      <c r="E868" s="904" t="n"/>
      <c r="F868" s="856" t="n"/>
      <c r="G868" s="866" t="n"/>
      <c r="H868" s="833" t="n"/>
      <c r="I868" s="904" t="n"/>
      <c r="J868" s="867">
        <f>F868*18%</f>
        <v/>
      </c>
      <c r="K868" s="867">
        <f>(F868-J868)*1.65%</f>
        <v/>
      </c>
      <c r="L868" s="867" t="n"/>
      <c r="M868" s="863" t="n"/>
      <c r="N868" s="864">
        <f>(G868+I868)*(9.25%)</f>
        <v/>
      </c>
      <c r="O868" s="904" t="n"/>
      <c r="P868" s="866" t="n"/>
      <c r="Q868" s="651" t="n"/>
      <c r="R868" s="1206" t="n"/>
      <c r="S868" s="904" t="n"/>
      <c r="T868" s="569" t="n"/>
      <c r="U868" s="1030" t="n"/>
      <c r="V868" s="1030" t="n"/>
      <c r="W868" s="1030" t="n"/>
    </row>
    <row r="869" ht="15.75" customHeight="1" s="1349">
      <c r="A869" s="1292" t="n"/>
      <c r="B869" s="904" t="n"/>
      <c r="C869" s="904" t="n"/>
      <c r="D869" s="904" t="n"/>
      <c r="E869" s="904" t="n"/>
      <c r="F869" s="856" t="n"/>
      <c r="G869" s="866" t="n"/>
      <c r="H869" s="833" t="n"/>
      <c r="I869" s="904" t="n"/>
      <c r="J869" s="867">
        <f>F869*18%</f>
        <v/>
      </c>
      <c r="K869" s="867">
        <f>(F869-J869)*1.65%</f>
        <v/>
      </c>
      <c r="L869" s="867" t="n"/>
      <c r="M869" s="863" t="n"/>
      <c r="N869" s="864">
        <f>(G869+I869)*(9.25%)</f>
        <v/>
      </c>
      <c r="O869" s="904" t="n"/>
      <c r="P869" s="866" t="n"/>
      <c r="Q869" s="651" t="n"/>
      <c r="R869" s="1206" t="n"/>
      <c r="S869" s="904" t="n"/>
      <c r="T869" s="569" t="n"/>
      <c r="U869" s="1030" t="n"/>
      <c r="V869" s="1030" t="n"/>
      <c r="W869" s="1030" t="n"/>
    </row>
    <row r="870" ht="15.75" customHeight="1" s="1349">
      <c r="A870" s="1292" t="n"/>
      <c r="B870" s="904" t="n"/>
      <c r="C870" s="904" t="n"/>
      <c r="D870" s="904" t="n"/>
      <c r="E870" s="904" t="n"/>
      <c r="F870" s="856" t="n"/>
      <c r="G870" s="866" t="n"/>
      <c r="H870" s="833" t="n"/>
      <c r="I870" s="904" t="n"/>
      <c r="J870" s="867">
        <f>F870*18%</f>
        <v/>
      </c>
      <c r="K870" s="867">
        <f>(F870-J870)*1.65%</f>
        <v/>
      </c>
      <c r="L870" s="867" t="n"/>
      <c r="M870" s="863" t="n"/>
      <c r="N870" s="864">
        <f>(G870+I870)*(9.25%)</f>
        <v/>
      </c>
      <c r="O870" s="904" t="n"/>
      <c r="P870" s="866" t="n"/>
      <c r="Q870" s="651" t="n"/>
      <c r="R870" s="1206" t="n"/>
      <c r="S870" s="904" t="n"/>
      <c r="T870" s="569" t="n"/>
      <c r="U870" s="1030" t="n"/>
      <c r="V870" s="1030" t="n"/>
      <c r="W870" s="1030" t="n"/>
    </row>
    <row r="871" ht="15.75" customHeight="1" s="1349">
      <c r="A871" s="1292" t="n"/>
      <c r="B871" s="904" t="n"/>
      <c r="C871" s="904" t="n"/>
      <c r="D871" s="904" t="n"/>
      <c r="E871" s="904" t="n"/>
      <c r="F871" s="856" t="n"/>
      <c r="G871" s="866" t="n"/>
      <c r="H871" s="833" t="n"/>
      <c r="I871" s="904" t="n"/>
      <c r="J871" s="867">
        <f>F871*18%</f>
        <v/>
      </c>
      <c r="K871" s="867">
        <f>(F871-J871)*1.65%</f>
        <v/>
      </c>
      <c r="L871" s="867" t="n"/>
      <c r="M871" s="863" t="n"/>
      <c r="N871" s="864">
        <f>(G871+I871)*(9.25%)</f>
        <v/>
      </c>
      <c r="O871" s="904" t="n"/>
      <c r="P871" s="866" t="n"/>
      <c r="Q871" s="651" t="n"/>
      <c r="R871" s="1206" t="n"/>
      <c r="S871" s="904" t="n"/>
      <c r="T871" s="569" t="n"/>
      <c r="U871" s="1030" t="n"/>
      <c r="V871" s="1030" t="n"/>
      <c r="W871" s="1030" t="n"/>
    </row>
    <row r="872" ht="15.75" customHeight="1" s="1349">
      <c r="A872" s="1292" t="n"/>
      <c r="B872" s="904" t="n"/>
      <c r="C872" s="904" t="n"/>
      <c r="D872" s="904" t="n"/>
      <c r="E872" s="904" t="n"/>
      <c r="F872" s="856" t="n"/>
      <c r="G872" s="866" t="n"/>
      <c r="H872" s="833" t="n"/>
      <c r="I872" s="904" t="n"/>
      <c r="J872" s="867">
        <f>F872*18%</f>
        <v/>
      </c>
      <c r="K872" s="867">
        <f>(F872-J872)*1.65%</f>
        <v/>
      </c>
      <c r="L872" s="867" t="n"/>
      <c r="M872" s="863" t="n"/>
      <c r="N872" s="864">
        <f>(G872+I872)*(9.25%)</f>
        <v/>
      </c>
      <c r="O872" s="904" t="n"/>
      <c r="P872" s="866" t="n"/>
      <c r="Q872" s="651" t="n"/>
      <c r="R872" s="1206" t="n"/>
      <c r="S872" s="904" t="n"/>
      <c r="T872" s="569" t="n"/>
      <c r="U872" s="1030" t="n"/>
      <c r="V872" s="1030" t="n"/>
      <c r="W872" s="1030" t="n"/>
    </row>
    <row r="873" ht="15.75" customHeight="1" s="1349">
      <c r="A873" s="1292" t="n"/>
      <c r="B873" s="904" t="n"/>
      <c r="C873" s="904" t="n"/>
      <c r="D873" s="904" t="n"/>
      <c r="E873" s="904" t="n"/>
      <c r="F873" s="856" t="n"/>
      <c r="G873" s="866" t="n"/>
      <c r="H873" s="833" t="n"/>
      <c r="I873" s="904" t="n"/>
      <c r="J873" s="867">
        <f>F873*18%</f>
        <v/>
      </c>
      <c r="K873" s="867">
        <f>(F873-J873)*1.65%</f>
        <v/>
      </c>
      <c r="L873" s="867" t="n"/>
      <c r="M873" s="863" t="n"/>
      <c r="N873" s="864">
        <f>(G873+I873)*(9.25%)</f>
        <v/>
      </c>
      <c r="O873" s="904" t="n"/>
      <c r="P873" s="866" t="n"/>
      <c r="Q873" s="651" t="n"/>
      <c r="R873" s="1206" t="n"/>
      <c r="S873" s="904" t="n"/>
      <c r="T873" s="569" t="n"/>
      <c r="U873" s="1030" t="n"/>
      <c r="V873" s="1030" t="n"/>
      <c r="W873" s="1030" t="n"/>
    </row>
    <row r="874" ht="15.75" customHeight="1" s="1349">
      <c r="A874" s="1292" t="n"/>
      <c r="B874" s="904" t="n"/>
      <c r="C874" s="904" t="n"/>
      <c r="D874" s="904" t="n"/>
      <c r="E874" s="904" t="n"/>
      <c r="F874" s="856" t="n"/>
      <c r="G874" s="866" t="n"/>
      <c r="H874" s="833" t="n"/>
      <c r="I874" s="904" t="n"/>
      <c r="J874" s="867">
        <f>F874*18%</f>
        <v/>
      </c>
      <c r="K874" s="867">
        <f>(F874-J874)*1.65%</f>
        <v/>
      </c>
      <c r="L874" s="867" t="n"/>
      <c r="M874" s="863" t="n"/>
      <c r="N874" s="864">
        <f>(G874+I874)*(9.25%)</f>
        <v/>
      </c>
      <c r="O874" s="904" t="n"/>
      <c r="P874" s="866" t="n"/>
      <c r="Q874" s="651" t="n"/>
      <c r="R874" s="1206" t="n"/>
      <c r="S874" s="904" t="n"/>
      <c r="T874" s="569" t="n"/>
      <c r="U874" s="1030" t="n"/>
      <c r="V874" s="1030" t="n"/>
      <c r="W874" s="1030" t="n"/>
    </row>
    <row r="875" ht="15.75" customHeight="1" s="1349">
      <c r="A875" s="1292" t="n"/>
      <c r="B875" s="904" t="n"/>
      <c r="C875" s="904" t="n"/>
      <c r="D875" s="904" t="n"/>
      <c r="E875" s="904" t="n"/>
      <c r="F875" s="856" t="n"/>
      <c r="G875" s="866" t="n"/>
      <c r="H875" s="833" t="n"/>
      <c r="I875" s="904" t="n"/>
      <c r="J875" s="867">
        <f>F875*18%</f>
        <v/>
      </c>
      <c r="K875" s="867">
        <f>(F875-J875)*1.65%</f>
        <v/>
      </c>
      <c r="L875" s="867" t="n"/>
      <c r="M875" s="863" t="n"/>
      <c r="N875" s="864">
        <f>(G875+I875)*(9.25%)</f>
        <v/>
      </c>
      <c r="O875" s="904" t="n"/>
      <c r="P875" s="866" t="n"/>
      <c r="Q875" s="651" t="n"/>
      <c r="R875" s="1206" t="n"/>
      <c r="S875" s="904" t="n"/>
      <c r="T875" s="569" t="n"/>
      <c r="U875" s="1030" t="n"/>
      <c r="V875" s="1030" t="n"/>
      <c r="W875" s="1030" t="n"/>
    </row>
    <row r="876" ht="15.75" customHeight="1" s="1349">
      <c r="A876" s="1292" t="n"/>
      <c r="B876" s="904" t="n"/>
      <c r="C876" s="904" t="n"/>
      <c r="D876" s="904" t="n"/>
      <c r="E876" s="904" t="n"/>
      <c r="F876" s="856" t="n"/>
      <c r="G876" s="866" t="n"/>
      <c r="H876" s="833" t="n"/>
      <c r="I876" s="904" t="n"/>
      <c r="J876" s="867">
        <f>F876*18%</f>
        <v/>
      </c>
      <c r="K876" s="867">
        <f>(F876-J876)*1.65%</f>
        <v/>
      </c>
      <c r="L876" s="867" t="n"/>
      <c r="M876" s="863" t="n"/>
      <c r="N876" s="864">
        <f>(G876+I876)*(9.25%)</f>
        <v/>
      </c>
      <c r="O876" s="904" t="n"/>
      <c r="P876" s="866" t="n"/>
      <c r="Q876" s="651" t="n"/>
      <c r="R876" s="1206" t="n"/>
      <c r="S876" s="904" t="n"/>
      <c r="T876" s="569" t="n"/>
      <c r="U876" s="1030" t="n"/>
      <c r="V876" s="1030" t="n"/>
      <c r="W876" s="1030" t="n"/>
    </row>
    <row r="877" ht="15.75" customHeight="1" s="1349">
      <c r="A877" s="1292" t="n"/>
      <c r="B877" s="904" t="n"/>
      <c r="C877" s="904" t="n"/>
      <c r="D877" s="904" t="n"/>
      <c r="E877" s="904" t="n"/>
      <c r="F877" s="856" t="n"/>
      <c r="G877" s="866" t="n"/>
      <c r="H877" s="833" t="n"/>
      <c r="I877" s="904" t="n"/>
      <c r="J877" s="867">
        <f>F877*18%</f>
        <v/>
      </c>
      <c r="K877" s="867">
        <f>(F877-J877)*1.65%</f>
        <v/>
      </c>
      <c r="L877" s="867" t="n"/>
      <c r="M877" s="863" t="n"/>
      <c r="N877" s="864">
        <f>(G877+I877)*(9.25%)</f>
        <v/>
      </c>
      <c r="O877" s="904" t="n"/>
      <c r="P877" s="866" t="n"/>
      <c r="Q877" s="651" t="n"/>
      <c r="R877" s="1206" t="n"/>
      <c r="S877" s="904" t="n"/>
      <c r="T877" s="569" t="n"/>
      <c r="U877" s="1030" t="n"/>
      <c r="V877" s="1030" t="n"/>
      <c r="W877" s="1030" t="n"/>
    </row>
    <row r="878" ht="15.75" customHeight="1" s="1349">
      <c r="A878" s="1292" t="n"/>
      <c r="B878" s="904" t="n"/>
      <c r="C878" s="904" t="n"/>
      <c r="D878" s="904" t="n"/>
      <c r="E878" s="904" t="n"/>
      <c r="F878" s="856" t="n"/>
      <c r="G878" s="866" t="n"/>
      <c r="H878" s="833" t="n"/>
      <c r="I878" s="904" t="n"/>
      <c r="J878" s="867">
        <f>F878*18%</f>
        <v/>
      </c>
      <c r="K878" s="867">
        <f>(F878-J878)*1.65%</f>
        <v/>
      </c>
      <c r="L878" s="867" t="n"/>
      <c r="M878" s="863" t="n"/>
      <c r="N878" s="864">
        <f>(G878+I878)*(9.25%)</f>
        <v/>
      </c>
      <c r="O878" s="904" t="n"/>
      <c r="P878" s="866" t="n"/>
      <c r="Q878" s="651" t="n"/>
      <c r="R878" s="1206" t="n"/>
      <c r="S878" s="904" t="n"/>
      <c r="T878" s="569" t="n"/>
      <c r="U878" s="1030" t="n"/>
      <c r="V878" s="1030" t="n"/>
      <c r="W878" s="1030" t="n"/>
    </row>
    <row r="879" ht="15.75" customHeight="1" s="1349">
      <c r="A879" s="1292" t="n"/>
      <c r="B879" s="904" t="n"/>
      <c r="C879" s="904" t="n"/>
      <c r="D879" s="904" t="n"/>
      <c r="E879" s="904" t="n"/>
      <c r="F879" s="856" t="n"/>
      <c r="G879" s="866" t="n"/>
      <c r="H879" s="833" t="n"/>
      <c r="I879" s="904" t="n"/>
      <c r="J879" s="867">
        <f>F879*18%</f>
        <v/>
      </c>
      <c r="K879" s="867">
        <f>(F879-J879)*1.65%</f>
        <v/>
      </c>
      <c r="L879" s="867" t="n"/>
      <c r="M879" s="863" t="n"/>
      <c r="N879" s="864">
        <f>(G879+I879)*(9.25%)</f>
        <v/>
      </c>
      <c r="O879" s="904" t="n"/>
      <c r="P879" s="866" t="n"/>
      <c r="Q879" s="651" t="n"/>
      <c r="R879" s="1206" t="n"/>
      <c r="S879" s="904" t="n"/>
      <c r="T879" s="569" t="n"/>
      <c r="U879" s="1030" t="n"/>
      <c r="V879" s="1030" t="n"/>
      <c r="W879" s="1030" t="n"/>
    </row>
    <row r="880" ht="15.75" customHeight="1" s="1349">
      <c r="A880" s="1292" t="n"/>
      <c r="B880" s="904" t="n"/>
      <c r="C880" s="904" t="n"/>
      <c r="D880" s="904" t="n"/>
      <c r="E880" s="904" t="n"/>
      <c r="F880" s="856" t="n"/>
      <c r="G880" s="866" t="n"/>
      <c r="H880" s="833" t="n"/>
      <c r="I880" s="904" t="n"/>
      <c r="J880" s="867">
        <f>F880*18%</f>
        <v/>
      </c>
      <c r="K880" s="867">
        <f>(F880-J880)*1.65%</f>
        <v/>
      </c>
      <c r="L880" s="867" t="n"/>
      <c r="M880" s="863" t="n"/>
      <c r="N880" s="864">
        <f>(G880+I880)*(9.25%)</f>
        <v/>
      </c>
      <c r="O880" s="904" t="n"/>
      <c r="P880" s="866" t="n"/>
      <c r="Q880" s="651" t="n"/>
      <c r="R880" s="1206" t="n"/>
      <c r="S880" s="904" t="n"/>
      <c r="T880" s="569" t="n"/>
      <c r="U880" s="1030" t="n"/>
      <c r="V880" s="1030" t="n"/>
      <c r="W880" s="1030" t="n"/>
    </row>
    <row r="881" ht="15.75" customHeight="1" s="1349">
      <c r="A881" s="1292" t="n"/>
      <c r="B881" s="904" t="n"/>
      <c r="C881" s="904" t="n"/>
      <c r="D881" s="904" t="n"/>
      <c r="E881" s="904" t="n"/>
      <c r="F881" s="856" t="n"/>
      <c r="G881" s="866" t="n"/>
      <c r="H881" s="833" t="n"/>
      <c r="I881" s="904" t="n"/>
      <c r="J881" s="867">
        <f>F881*18%</f>
        <v/>
      </c>
      <c r="K881" s="867">
        <f>(F881-J881)*1.65%</f>
        <v/>
      </c>
      <c r="L881" s="867" t="n"/>
      <c r="M881" s="863" t="n"/>
      <c r="N881" s="864">
        <f>(G881+I881)*(9.25%)</f>
        <v/>
      </c>
      <c r="O881" s="904" t="n"/>
      <c r="P881" s="866" t="n"/>
      <c r="Q881" s="651" t="n"/>
      <c r="R881" s="1206" t="n"/>
      <c r="S881" s="904" t="n"/>
      <c r="T881" s="569" t="n"/>
      <c r="U881" s="1030" t="n"/>
      <c r="V881" s="1030" t="n"/>
      <c r="W881" s="1030" t="n"/>
    </row>
    <row r="882" ht="15.75" customHeight="1" s="1349">
      <c r="A882" s="1292" t="n"/>
      <c r="B882" s="904" t="n"/>
      <c r="C882" s="904" t="n"/>
      <c r="D882" s="904" t="n"/>
      <c r="E882" s="904" t="n"/>
      <c r="F882" s="856" t="n"/>
      <c r="G882" s="866" t="n"/>
      <c r="H882" s="833" t="n"/>
      <c r="I882" s="904" t="n"/>
      <c r="J882" s="867">
        <f>F882*18%</f>
        <v/>
      </c>
      <c r="K882" s="867">
        <f>(F882-J882)*1.65%</f>
        <v/>
      </c>
      <c r="L882" s="867" t="n"/>
      <c r="M882" s="863" t="n"/>
      <c r="N882" s="864">
        <f>(G882+I882)*(9.25%)</f>
        <v/>
      </c>
      <c r="O882" s="904" t="n"/>
      <c r="P882" s="866" t="n"/>
      <c r="Q882" s="651" t="n"/>
      <c r="R882" s="1206" t="n"/>
      <c r="S882" s="904" t="n"/>
      <c r="T882" s="569" t="n"/>
      <c r="U882" s="1030" t="n"/>
      <c r="V882" s="1030" t="n"/>
      <c r="W882" s="1030" t="n"/>
    </row>
    <row r="883" ht="15.75" customHeight="1" s="1349">
      <c r="A883" s="1292" t="n"/>
      <c r="B883" s="904" t="n"/>
      <c r="C883" s="904" t="n"/>
      <c r="D883" s="904" t="n"/>
      <c r="E883" s="904" t="n"/>
      <c r="F883" s="856" t="n"/>
      <c r="G883" s="866" t="n"/>
      <c r="H883" s="833" t="n"/>
      <c r="I883" s="904" t="n"/>
      <c r="J883" s="867">
        <f>F883*18%</f>
        <v/>
      </c>
      <c r="K883" s="867">
        <f>(F883-J883)*1.65%</f>
        <v/>
      </c>
      <c r="L883" s="867" t="n"/>
      <c r="M883" s="863" t="n"/>
      <c r="N883" s="864">
        <f>(G883+I883)*(9.25%)</f>
        <v/>
      </c>
      <c r="O883" s="904" t="n"/>
      <c r="P883" s="866" t="n"/>
      <c r="Q883" s="651" t="n"/>
      <c r="R883" s="1206" t="n"/>
      <c r="S883" s="904" t="n"/>
      <c r="T883" s="569" t="n"/>
      <c r="U883" s="1030" t="n"/>
      <c r="V883" s="1030" t="n"/>
      <c r="W883" s="1030" t="n"/>
    </row>
    <row r="884" ht="15.75" customHeight="1" s="1349">
      <c r="A884" s="1292" t="n"/>
      <c r="B884" s="904" t="n"/>
      <c r="C884" s="904" t="n"/>
      <c r="D884" s="904" t="n"/>
      <c r="E884" s="904" t="n"/>
      <c r="F884" s="856" t="n"/>
      <c r="G884" s="866" t="n"/>
      <c r="H884" s="833" t="n"/>
      <c r="I884" s="904" t="n"/>
      <c r="J884" s="867">
        <f>F884*18%</f>
        <v/>
      </c>
      <c r="K884" s="867">
        <f>(F884-J884)*1.65%</f>
        <v/>
      </c>
      <c r="L884" s="867" t="n"/>
      <c r="M884" s="863" t="n"/>
      <c r="N884" s="864">
        <f>(G884+I884)*(9.25%)</f>
        <v/>
      </c>
      <c r="O884" s="904" t="n"/>
      <c r="P884" s="866" t="n"/>
      <c r="Q884" s="651" t="n"/>
      <c r="R884" s="1206" t="n"/>
      <c r="S884" s="904" t="n"/>
      <c r="T884" s="569" t="n"/>
      <c r="U884" s="1030" t="n"/>
      <c r="V884" s="1030" t="n"/>
      <c r="W884" s="1030" t="n"/>
    </row>
    <row r="885" ht="15.75" customHeight="1" s="1349">
      <c r="A885" s="1292" t="n"/>
      <c r="B885" s="904" t="n"/>
      <c r="C885" s="904" t="n"/>
      <c r="D885" s="904" t="n"/>
      <c r="E885" s="904" t="n"/>
      <c r="F885" s="856" t="n"/>
      <c r="G885" s="866" t="n"/>
      <c r="H885" s="833" t="n"/>
      <c r="I885" s="904" t="n"/>
      <c r="J885" s="867">
        <f>F885*18%</f>
        <v/>
      </c>
      <c r="K885" s="867">
        <f>(F885-J885)*1.65%</f>
        <v/>
      </c>
      <c r="L885" s="867" t="n"/>
      <c r="M885" s="863" t="n"/>
      <c r="N885" s="864">
        <f>(G885+I885)*(9.25%)</f>
        <v/>
      </c>
      <c r="O885" s="904" t="n"/>
      <c r="P885" s="866" t="n"/>
      <c r="Q885" s="651" t="n"/>
      <c r="R885" s="1206" t="n"/>
      <c r="S885" s="904" t="n"/>
      <c r="T885" s="569" t="n"/>
      <c r="U885" s="1030" t="n"/>
      <c r="V885" s="1030" t="n"/>
      <c r="W885" s="1030" t="n"/>
    </row>
    <row r="886" ht="15.75" customHeight="1" s="1349">
      <c r="A886" s="1292" t="n"/>
      <c r="B886" s="904" t="n"/>
      <c r="C886" s="904" t="n"/>
      <c r="D886" s="904" t="n"/>
      <c r="E886" s="904" t="n"/>
      <c r="F886" s="856" t="n"/>
      <c r="G886" s="866" t="n"/>
      <c r="H886" s="833" t="n"/>
      <c r="I886" s="904" t="n"/>
      <c r="J886" s="867">
        <f>F886*18%</f>
        <v/>
      </c>
      <c r="K886" s="867">
        <f>(F886-J886)*1.65%</f>
        <v/>
      </c>
      <c r="L886" s="867" t="n"/>
      <c r="M886" s="863" t="n"/>
      <c r="N886" s="864">
        <f>(G886+I886)*(9.25%)</f>
        <v/>
      </c>
      <c r="O886" s="904" t="n"/>
      <c r="P886" s="866" t="n"/>
      <c r="Q886" s="651" t="n"/>
      <c r="R886" s="1206" t="n"/>
      <c r="S886" s="904" t="n"/>
      <c r="T886" s="569" t="n"/>
      <c r="U886" s="1030" t="n"/>
      <c r="V886" s="1030" t="n"/>
      <c r="W886" s="1030" t="n"/>
    </row>
    <row r="887" ht="15.75" customHeight="1" s="1349">
      <c r="A887" s="1292" t="n"/>
      <c r="B887" s="904" t="n"/>
      <c r="C887" s="904" t="n"/>
      <c r="D887" s="904" t="n"/>
      <c r="E887" s="904" t="n"/>
      <c r="F887" s="856" t="n"/>
      <c r="G887" s="866" t="n"/>
      <c r="H887" s="833" t="n"/>
      <c r="I887" s="904" t="n"/>
      <c r="J887" s="867">
        <f>F887*18%</f>
        <v/>
      </c>
      <c r="K887" s="867">
        <f>(F887-J887)*1.65%</f>
        <v/>
      </c>
      <c r="L887" s="867" t="n"/>
      <c r="M887" s="863" t="n"/>
      <c r="N887" s="864">
        <f>(G887+I887)*(9.25%)</f>
        <v/>
      </c>
      <c r="O887" s="904" t="n"/>
      <c r="P887" s="866" t="n"/>
      <c r="Q887" s="651" t="n"/>
      <c r="R887" s="1206" t="n"/>
      <c r="S887" s="904" t="n"/>
      <c r="T887" s="569" t="n"/>
      <c r="U887" s="1030" t="n"/>
      <c r="V887" s="1030" t="n"/>
      <c r="W887" s="1030" t="n"/>
    </row>
    <row r="888" ht="15.75" customHeight="1" s="1349">
      <c r="A888" s="1292" t="n"/>
      <c r="B888" s="904" t="n"/>
      <c r="C888" s="904" t="n"/>
      <c r="D888" s="904" t="n"/>
      <c r="E888" s="904" t="n"/>
      <c r="F888" s="856" t="n"/>
      <c r="G888" s="866" t="n"/>
      <c r="H888" s="833" t="n"/>
      <c r="I888" s="904" t="n"/>
      <c r="J888" s="867">
        <f>F888*18%</f>
        <v/>
      </c>
      <c r="K888" s="867">
        <f>(F888-J888)*1.65%</f>
        <v/>
      </c>
      <c r="L888" s="867" t="n"/>
      <c r="M888" s="863" t="n"/>
      <c r="N888" s="864">
        <f>(G888+I888)*(9.25%)</f>
        <v/>
      </c>
      <c r="O888" s="904" t="n"/>
      <c r="P888" s="866" t="n"/>
      <c r="Q888" s="651" t="n"/>
      <c r="R888" s="1206" t="n"/>
      <c r="S888" s="904" t="n"/>
      <c r="T888" s="569" t="n"/>
      <c r="U888" s="1030" t="n"/>
      <c r="V888" s="1030" t="n"/>
      <c r="W888" s="1030" t="n"/>
    </row>
    <row r="889" ht="15.75" customHeight="1" s="1349">
      <c r="A889" s="1292" t="n"/>
      <c r="B889" s="904" t="n"/>
      <c r="C889" s="904" t="n"/>
      <c r="D889" s="904" t="n"/>
      <c r="E889" s="904" t="n"/>
      <c r="F889" s="856" t="n"/>
      <c r="G889" s="866" t="n"/>
      <c r="H889" s="833" t="n"/>
      <c r="I889" s="904" t="n"/>
      <c r="J889" s="867">
        <f>F889*18%</f>
        <v/>
      </c>
      <c r="K889" s="867">
        <f>(F889-J889)*1.65%</f>
        <v/>
      </c>
      <c r="L889" s="867" t="n"/>
      <c r="M889" s="863" t="n"/>
      <c r="N889" s="864">
        <f>(G889+I889)*(9.25%)</f>
        <v/>
      </c>
      <c r="O889" s="904" t="n"/>
      <c r="P889" s="866" t="n"/>
      <c r="Q889" s="651" t="n"/>
      <c r="R889" s="1206" t="n"/>
      <c r="S889" s="904" t="n"/>
      <c r="T889" s="569" t="n"/>
      <c r="U889" s="1030" t="n"/>
      <c r="V889" s="1030" t="n"/>
      <c r="W889" s="1030" t="n"/>
    </row>
    <row r="890" ht="15.75" customHeight="1" s="1349">
      <c r="A890" s="1292" t="n"/>
      <c r="B890" s="904" t="n"/>
      <c r="C890" s="904" t="n"/>
      <c r="D890" s="904" t="n"/>
      <c r="E890" s="904" t="n"/>
      <c r="F890" s="856" t="n"/>
      <c r="G890" s="866" t="n"/>
      <c r="H890" s="833" t="n"/>
      <c r="I890" s="904" t="n"/>
      <c r="J890" s="867">
        <f>F890*18%</f>
        <v/>
      </c>
      <c r="K890" s="867">
        <f>(F890-J890)*1.65%</f>
        <v/>
      </c>
      <c r="L890" s="867" t="n"/>
      <c r="M890" s="863" t="n"/>
      <c r="N890" s="864">
        <f>(G890+I890)*(9.25%)</f>
        <v/>
      </c>
      <c r="O890" s="904" t="n"/>
      <c r="P890" s="866" t="n"/>
      <c r="Q890" s="651" t="n"/>
      <c r="R890" s="1206" t="n"/>
      <c r="S890" s="904" t="n"/>
      <c r="T890" s="569" t="n"/>
      <c r="U890" s="1030" t="n"/>
      <c r="V890" s="1030" t="n"/>
      <c r="W890" s="1030" t="n"/>
    </row>
    <row r="891" ht="15.75" customHeight="1" s="1349">
      <c r="A891" s="1292" t="n"/>
      <c r="B891" s="904" t="n"/>
      <c r="C891" s="904" t="n"/>
      <c r="D891" s="904" t="n"/>
      <c r="E891" s="904" t="n"/>
      <c r="F891" s="856" t="n"/>
      <c r="G891" s="866" t="n"/>
      <c r="H891" s="833" t="n"/>
      <c r="I891" s="904" t="n"/>
      <c r="J891" s="867">
        <f>F891*18%</f>
        <v/>
      </c>
      <c r="K891" s="867">
        <f>(F891-J891)*1.65%</f>
        <v/>
      </c>
      <c r="L891" s="867" t="n"/>
      <c r="M891" s="863" t="n"/>
      <c r="N891" s="864">
        <f>(G891+I891)*(9.25%)</f>
        <v/>
      </c>
      <c r="O891" s="904" t="n"/>
      <c r="P891" s="866" t="n"/>
      <c r="Q891" s="651" t="n"/>
      <c r="R891" s="1206" t="n"/>
      <c r="S891" s="904" t="n"/>
      <c r="T891" s="569" t="n"/>
      <c r="U891" s="1030" t="n"/>
      <c r="V891" s="1030" t="n"/>
      <c r="W891" s="1030" t="n"/>
    </row>
    <row r="892" ht="15.75" customHeight="1" s="1349">
      <c r="A892" s="1292" t="n"/>
      <c r="B892" s="904" t="n"/>
      <c r="C892" s="904" t="n"/>
      <c r="D892" s="904" t="n"/>
      <c r="E892" s="904" t="n"/>
      <c r="F892" s="856" t="n"/>
      <c r="G892" s="866" t="n"/>
      <c r="H892" s="833" t="n"/>
      <c r="I892" s="904" t="n"/>
      <c r="J892" s="867">
        <f>F892*18%</f>
        <v/>
      </c>
      <c r="K892" s="867">
        <f>(F892-J892)*1.65%</f>
        <v/>
      </c>
      <c r="L892" s="867" t="n"/>
      <c r="M892" s="863" t="n"/>
      <c r="N892" s="864">
        <f>(G892+I892)*(9.25%)</f>
        <v/>
      </c>
      <c r="O892" s="904" t="n"/>
      <c r="P892" s="866" t="n"/>
      <c r="Q892" s="651" t="n"/>
      <c r="R892" s="1206" t="n"/>
      <c r="S892" s="904" t="n"/>
      <c r="T892" s="569" t="n"/>
      <c r="U892" s="1030" t="n"/>
      <c r="V892" s="1030" t="n"/>
      <c r="W892" s="1030" t="n"/>
    </row>
    <row r="893" ht="15.75" customHeight="1" s="1349">
      <c r="A893" s="1292" t="n"/>
      <c r="B893" s="904" t="n"/>
      <c r="C893" s="904" t="n"/>
      <c r="D893" s="904" t="n"/>
      <c r="E893" s="904" t="n"/>
      <c r="F893" s="856" t="n"/>
      <c r="G893" s="866" t="n"/>
      <c r="H893" s="833" t="n"/>
      <c r="I893" s="904" t="n"/>
      <c r="J893" s="867">
        <f>F893*18%</f>
        <v/>
      </c>
      <c r="K893" s="867">
        <f>(F893-J893)*1.65%</f>
        <v/>
      </c>
      <c r="L893" s="867" t="n"/>
      <c r="M893" s="863" t="n"/>
      <c r="N893" s="864">
        <f>(G893+I893)*(9.25%)</f>
        <v/>
      </c>
      <c r="O893" s="904" t="n"/>
      <c r="P893" s="866" t="n"/>
      <c r="Q893" s="651" t="n"/>
      <c r="R893" s="1206" t="n"/>
      <c r="S893" s="904" t="n"/>
      <c r="T893" s="569" t="n"/>
      <c r="U893" s="1030" t="n"/>
      <c r="V893" s="1030" t="n"/>
      <c r="W893" s="1030" t="n"/>
    </row>
    <row r="894" ht="15.75" customHeight="1" s="1349">
      <c r="A894" s="1292" t="n"/>
      <c r="B894" s="904" t="n"/>
      <c r="C894" s="904" t="n"/>
      <c r="D894" s="904" t="n"/>
      <c r="E894" s="904" t="n"/>
      <c r="F894" s="856" t="n"/>
      <c r="G894" s="866" t="n"/>
      <c r="H894" s="833" t="n"/>
      <c r="I894" s="904" t="n"/>
      <c r="J894" s="867">
        <f>F894*18%</f>
        <v/>
      </c>
      <c r="K894" s="867">
        <f>(F894-J894)*1.65%</f>
        <v/>
      </c>
      <c r="L894" s="867" t="n"/>
      <c r="M894" s="863" t="n"/>
      <c r="N894" s="864">
        <f>(G894+I894)*(9.25%)</f>
        <v/>
      </c>
      <c r="O894" s="904" t="n"/>
      <c r="P894" s="866" t="n"/>
      <c r="Q894" s="651" t="n"/>
      <c r="R894" s="1206" t="n"/>
      <c r="S894" s="904" t="n"/>
      <c r="T894" s="569" t="n"/>
      <c r="U894" s="1030" t="n"/>
      <c r="V894" s="1030" t="n"/>
      <c r="W894" s="1030" t="n"/>
    </row>
    <row r="895" ht="15.75" customHeight="1" s="1349">
      <c r="A895" s="1292" t="n"/>
      <c r="B895" s="904" t="n"/>
      <c r="C895" s="904" t="n"/>
      <c r="D895" s="904" t="n"/>
      <c r="E895" s="904" t="n"/>
      <c r="F895" s="856" t="n"/>
      <c r="G895" s="866" t="n"/>
      <c r="H895" s="833" t="n"/>
      <c r="I895" s="904" t="n"/>
      <c r="J895" s="867">
        <f>F895*18%</f>
        <v/>
      </c>
      <c r="K895" s="867">
        <f>(F895-J895)*1.65%</f>
        <v/>
      </c>
      <c r="L895" s="867" t="n"/>
      <c r="M895" s="863" t="n"/>
      <c r="N895" s="864">
        <f>(G895+I895)*(9.25%)</f>
        <v/>
      </c>
      <c r="O895" s="904" t="n"/>
      <c r="P895" s="866" t="n"/>
      <c r="Q895" s="651" t="n"/>
      <c r="R895" s="1206" t="n"/>
      <c r="S895" s="904" t="n"/>
      <c r="T895" s="569" t="n"/>
      <c r="U895" s="1030" t="n"/>
      <c r="V895" s="1030" t="n"/>
      <c r="W895" s="1030" t="n"/>
    </row>
    <row r="896" ht="15.75" customHeight="1" s="1349">
      <c r="A896" s="1292" t="n"/>
      <c r="B896" s="904" t="n"/>
      <c r="C896" s="904" t="n"/>
      <c r="D896" s="904" t="n"/>
      <c r="E896" s="904" t="n"/>
      <c r="F896" s="856" t="n"/>
      <c r="G896" s="866" t="n"/>
      <c r="H896" s="833" t="n"/>
      <c r="I896" s="904" t="n"/>
      <c r="J896" s="867">
        <f>F896*18%</f>
        <v/>
      </c>
      <c r="K896" s="867">
        <f>(F896-J896)*1.65%</f>
        <v/>
      </c>
      <c r="L896" s="867" t="n"/>
      <c r="M896" s="863" t="n"/>
      <c r="N896" s="864">
        <f>(G896+I896)*(9.25%)</f>
        <v/>
      </c>
      <c r="O896" s="904" t="n"/>
      <c r="P896" s="866" t="n"/>
      <c r="Q896" s="651" t="n"/>
      <c r="R896" s="1206" t="n"/>
      <c r="S896" s="904" t="n"/>
      <c r="T896" s="569" t="n"/>
      <c r="U896" s="1030" t="n"/>
      <c r="V896" s="1030" t="n"/>
      <c r="W896" s="1030" t="n"/>
    </row>
    <row r="897" ht="15.75" customHeight="1" s="1349">
      <c r="A897" s="1292" t="n"/>
      <c r="B897" s="904" t="n"/>
      <c r="C897" s="904" t="n"/>
      <c r="D897" s="904" t="n"/>
      <c r="E897" s="904" t="n"/>
      <c r="F897" s="856" t="n"/>
      <c r="G897" s="866" t="n"/>
      <c r="H897" s="833" t="n"/>
      <c r="I897" s="904" t="n"/>
      <c r="J897" s="867">
        <f>F897*18%</f>
        <v/>
      </c>
      <c r="K897" s="867">
        <f>(F897-J897)*1.65%</f>
        <v/>
      </c>
      <c r="L897" s="867" t="n"/>
      <c r="M897" s="863" t="n"/>
      <c r="N897" s="864">
        <f>(G897+I897)*(9.25%)</f>
        <v/>
      </c>
      <c r="O897" s="904" t="n"/>
      <c r="P897" s="866" t="n"/>
      <c r="Q897" s="651" t="n"/>
      <c r="R897" s="1206" t="n"/>
      <c r="S897" s="904" t="n"/>
      <c r="T897" s="569" t="n"/>
      <c r="U897" s="1030" t="n"/>
      <c r="V897" s="1030" t="n"/>
      <c r="W897" s="1030" t="n"/>
    </row>
    <row r="898" ht="15.75" customHeight="1" s="1349">
      <c r="A898" s="1292" t="n"/>
      <c r="B898" s="904" t="n"/>
      <c r="C898" s="904" t="n"/>
      <c r="D898" s="904" t="n"/>
      <c r="E898" s="904" t="n"/>
      <c r="F898" s="856" t="n"/>
      <c r="G898" s="866" t="n"/>
      <c r="H898" s="833" t="n"/>
      <c r="I898" s="904" t="n"/>
      <c r="J898" s="867">
        <f>F898*18%</f>
        <v/>
      </c>
      <c r="K898" s="867">
        <f>(F898-J898)*1.65%</f>
        <v/>
      </c>
      <c r="L898" s="867" t="n"/>
      <c r="M898" s="863" t="n"/>
      <c r="N898" s="864">
        <f>(G898+I898)*(9.25%)</f>
        <v/>
      </c>
      <c r="O898" s="904" t="n"/>
      <c r="P898" s="866" t="n"/>
      <c r="Q898" s="651" t="n"/>
      <c r="R898" s="1206" t="n"/>
      <c r="S898" s="904" t="n"/>
      <c r="T898" s="569" t="n"/>
      <c r="U898" s="1030" t="n"/>
      <c r="V898" s="1030" t="n"/>
      <c r="W898" s="1030" t="n"/>
    </row>
    <row r="899" ht="15.75" customHeight="1" s="1349">
      <c r="A899" s="1292" t="n"/>
      <c r="B899" s="904" t="n"/>
      <c r="C899" s="904" t="n"/>
      <c r="D899" s="904" t="n"/>
      <c r="E899" s="904" t="n"/>
      <c r="F899" s="856" t="n"/>
      <c r="G899" s="866" t="n"/>
      <c r="H899" s="833" t="n"/>
      <c r="I899" s="904" t="n"/>
      <c r="J899" s="867">
        <f>F899*18%</f>
        <v/>
      </c>
      <c r="K899" s="867">
        <f>(F899-J899)*1.65%</f>
        <v/>
      </c>
      <c r="L899" s="867" t="n"/>
      <c r="M899" s="863" t="n"/>
      <c r="N899" s="864">
        <f>(G899+I899)*(9.25%)</f>
        <v/>
      </c>
      <c r="O899" s="904" t="n"/>
      <c r="P899" s="866" t="n"/>
      <c r="Q899" s="651" t="n"/>
      <c r="R899" s="1206" t="n"/>
      <c r="S899" s="904" t="n"/>
      <c r="T899" s="569" t="n"/>
      <c r="U899" s="1030" t="n"/>
      <c r="V899" s="1030" t="n"/>
      <c r="W899" s="1030" t="n"/>
    </row>
    <row r="900" ht="15.75" customHeight="1" s="1349">
      <c r="A900" s="1292" t="n"/>
      <c r="B900" s="904" t="n"/>
      <c r="C900" s="904" t="n"/>
      <c r="D900" s="904" t="n"/>
      <c r="E900" s="904" t="n"/>
      <c r="F900" s="856" t="n"/>
      <c r="G900" s="866" t="n"/>
      <c r="H900" s="833" t="n"/>
      <c r="I900" s="904" t="n"/>
      <c r="J900" s="867">
        <f>F900*18%</f>
        <v/>
      </c>
      <c r="K900" s="867">
        <f>(F900-J900)*1.65%</f>
        <v/>
      </c>
      <c r="L900" s="867" t="n"/>
      <c r="M900" s="863" t="n"/>
      <c r="N900" s="864">
        <f>(G900+I900)*(9.25%)</f>
        <v/>
      </c>
      <c r="O900" s="904" t="n"/>
      <c r="P900" s="866" t="n"/>
      <c r="Q900" s="651" t="n"/>
      <c r="R900" s="1206" t="n"/>
      <c r="S900" s="904" t="n"/>
      <c r="T900" s="569" t="n"/>
      <c r="U900" s="1030" t="n"/>
      <c r="V900" s="1030" t="n"/>
      <c r="W900" s="1030" t="n"/>
    </row>
    <row r="901" ht="15.75" customHeight="1" s="1349">
      <c r="A901" s="1292" t="n"/>
      <c r="B901" s="904" t="n"/>
      <c r="C901" s="904" t="n"/>
      <c r="D901" s="904" t="n"/>
      <c r="E901" s="904" t="n"/>
      <c r="F901" s="856" t="n"/>
      <c r="G901" s="866" t="n"/>
      <c r="H901" s="833" t="n"/>
      <c r="I901" s="904" t="n"/>
      <c r="J901" s="867">
        <f>F901*18%</f>
        <v/>
      </c>
      <c r="K901" s="867">
        <f>(F901-J901)*1.65%</f>
        <v/>
      </c>
      <c r="L901" s="867" t="n"/>
      <c r="M901" s="863" t="n"/>
      <c r="N901" s="864">
        <f>(G901+I901)*(9.25%)</f>
        <v/>
      </c>
      <c r="O901" s="904" t="n"/>
      <c r="P901" s="866" t="n"/>
      <c r="Q901" s="651" t="n"/>
      <c r="R901" s="1206" t="n"/>
      <c r="S901" s="904" t="n"/>
      <c r="T901" s="569" t="n"/>
      <c r="U901" s="1030" t="n"/>
      <c r="V901" s="1030" t="n"/>
      <c r="W901" s="1030" t="n"/>
    </row>
    <row r="902" ht="15.75" customHeight="1" s="1349">
      <c r="A902" s="1292" t="n"/>
      <c r="B902" s="904" t="n"/>
      <c r="C902" s="904" t="n"/>
      <c r="D902" s="904" t="n"/>
      <c r="E902" s="904" t="n"/>
      <c r="F902" s="856" t="n"/>
      <c r="G902" s="866" t="n"/>
      <c r="H902" s="833" t="n"/>
      <c r="I902" s="904" t="n"/>
      <c r="J902" s="867">
        <f>F902*18%</f>
        <v/>
      </c>
      <c r="K902" s="867">
        <f>(F902-J902)*1.65%</f>
        <v/>
      </c>
      <c r="L902" s="867" t="n"/>
      <c r="M902" s="863" t="n"/>
      <c r="N902" s="864">
        <f>(G902+I902)*(9.25%)</f>
        <v/>
      </c>
      <c r="O902" s="904" t="n"/>
      <c r="P902" s="866" t="n"/>
      <c r="Q902" s="651" t="n"/>
      <c r="R902" s="1206" t="n"/>
      <c r="S902" s="904" t="n"/>
      <c r="T902" s="569" t="n"/>
      <c r="U902" s="1030" t="n"/>
      <c r="V902" s="1030" t="n"/>
      <c r="W902" s="1030" t="n"/>
    </row>
    <row r="903" ht="15.75" customHeight="1" s="1349">
      <c r="A903" s="1292" t="n"/>
      <c r="B903" s="904" t="n"/>
      <c r="C903" s="904" t="n"/>
      <c r="D903" s="904" t="n"/>
      <c r="E903" s="904" t="n"/>
      <c r="F903" s="856" t="n"/>
      <c r="G903" s="866" t="n"/>
      <c r="H903" s="833" t="n"/>
      <c r="I903" s="904" t="n"/>
      <c r="J903" s="867">
        <f>F903*18%</f>
        <v/>
      </c>
      <c r="K903" s="867">
        <f>(F903-J903)*1.65%</f>
        <v/>
      </c>
      <c r="L903" s="867" t="n"/>
      <c r="M903" s="863" t="n"/>
      <c r="N903" s="864">
        <f>(G903+I903)*(9.25%)</f>
        <v/>
      </c>
      <c r="O903" s="904" t="n"/>
      <c r="P903" s="866" t="n"/>
      <c r="Q903" s="651" t="n"/>
      <c r="R903" s="1206" t="n"/>
      <c r="S903" s="904" t="n"/>
      <c r="T903" s="569" t="n"/>
      <c r="U903" s="1030" t="n"/>
      <c r="V903" s="1030" t="n"/>
      <c r="W903" s="1030" t="n"/>
    </row>
    <row r="904" ht="15.75" customHeight="1" s="1349">
      <c r="A904" s="1292" t="n"/>
      <c r="B904" s="904" t="n"/>
      <c r="C904" s="904" t="n"/>
      <c r="D904" s="904" t="n"/>
      <c r="E904" s="904" t="n"/>
      <c r="F904" s="856" t="n"/>
      <c r="G904" s="866" t="n"/>
      <c r="H904" s="833" t="n"/>
      <c r="I904" s="904" t="n"/>
      <c r="J904" s="867">
        <f>F904*18%</f>
        <v/>
      </c>
      <c r="K904" s="867">
        <f>(F904-J904)*1.65%</f>
        <v/>
      </c>
      <c r="L904" s="867" t="n"/>
      <c r="M904" s="863" t="n"/>
      <c r="N904" s="864">
        <f>(G904+I904)*(9.25%)</f>
        <v/>
      </c>
      <c r="O904" s="904" t="n"/>
      <c r="P904" s="866" t="n"/>
      <c r="Q904" s="651" t="n"/>
      <c r="R904" s="1206" t="n"/>
      <c r="S904" s="904" t="n"/>
      <c r="T904" s="569" t="n"/>
      <c r="U904" s="1030" t="n"/>
      <c r="V904" s="1030" t="n"/>
      <c r="W904" s="1030" t="n"/>
    </row>
    <row r="905" ht="15.75" customHeight="1" s="1349">
      <c r="A905" s="1292" t="n"/>
      <c r="B905" s="904" t="n"/>
      <c r="C905" s="904" t="n"/>
      <c r="D905" s="904" t="n"/>
      <c r="E905" s="904" t="n"/>
      <c r="F905" s="856" t="n"/>
      <c r="G905" s="866" t="n"/>
      <c r="H905" s="833" t="n"/>
      <c r="I905" s="904" t="n"/>
      <c r="J905" s="867">
        <f>F905*18%</f>
        <v/>
      </c>
      <c r="K905" s="867">
        <f>(F905-J905)*1.65%</f>
        <v/>
      </c>
      <c r="L905" s="867" t="n"/>
      <c r="M905" s="863" t="n"/>
      <c r="N905" s="864">
        <f>(G905+I905)*(9.25%)</f>
        <v/>
      </c>
      <c r="O905" s="904" t="n"/>
      <c r="P905" s="866" t="n"/>
      <c r="Q905" s="651" t="n"/>
      <c r="R905" s="1206" t="n"/>
      <c r="S905" s="904" t="n"/>
      <c r="T905" s="569" t="n"/>
      <c r="U905" s="1030" t="n"/>
      <c r="V905" s="1030" t="n"/>
      <c r="W905" s="1030" t="n"/>
    </row>
    <row r="906" ht="15.75" customHeight="1" s="1349">
      <c r="A906" s="1292" t="n"/>
      <c r="B906" s="904" t="n"/>
      <c r="C906" s="904" t="n"/>
      <c r="D906" s="904" t="n"/>
      <c r="E906" s="904" t="n"/>
      <c r="F906" s="856" t="n"/>
      <c r="G906" s="866" t="n"/>
      <c r="H906" s="833" t="n"/>
      <c r="I906" s="904" t="n"/>
      <c r="J906" s="867">
        <f>F906*18%</f>
        <v/>
      </c>
      <c r="K906" s="867">
        <f>(F906-J906)*1.65%</f>
        <v/>
      </c>
      <c r="L906" s="867" t="n"/>
      <c r="M906" s="863" t="n"/>
      <c r="N906" s="864">
        <f>(G906+I906)*(9.25%)</f>
        <v/>
      </c>
      <c r="O906" s="904" t="n"/>
      <c r="P906" s="866" t="n"/>
      <c r="Q906" s="651" t="n"/>
      <c r="R906" s="1206" t="n"/>
      <c r="S906" s="904" t="n"/>
      <c r="T906" s="569" t="n"/>
      <c r="U906" s="1030" t="n"/>
      <c r="V906" s="1030" t="n"/>
      <c r="W906" s="1030" t="n"/>
    </row>
    <row r="907" ht="15.75" customHeight="1" s="1349">
      <c r="A907" s="1292" t="n"/>
      <c r="B907" s="904" t="n"/>
      <c r="C907" s="904" t="n"/>
      <c r="D907" s="904" t="n"/>
      <c r="E907" s="904" t="n"/>
      <c r="F907" s="856" t="n"/>
      <c r="G907" s="866" t="n"/>
      <c r="H907" s="833" t="n"/>
      <c r="I907" s="904" t="n"/>
      <c r="J907" s="867">
        <f>F907*18%</f>
        <v/>
      </c>
      <c r="K907" s="867">
        <f>(F907-J907)*1.65%</f>
        <v/>
      </c>
      <c r="L907" s="867" t="n"/>
      <c r="M907" s="863" t="n"/>
      <c r="N907" s="864">
        <f>(G907+I907)*(9.25%)</f>
        <v/>
      </c>
      <c r="O907" s="904" t="n"/>
      <c r="P907" s="866" t="n"/>
      <c r="Q907" s="651" t="n"/>
      <c r="R907" s="1206" t="n"/>
      <c r="S907" s="904" t="n"/>
      <c r="T907" s="569" t="n"/>
      <c r="U907" s="1030" t="n"/>
      <c r="V907" s="1030" t="n"/>
      <c r="W907" s="1030" t="n"/>
    </row>
    <row r="908" ht="15.75" customHeight="1" s="1349">
      <c r="A908" s="1292" t="n"/>
      <c r="B908" s="904" t="n"/>
      <c r="C908" s="904" t="n"/>
      <c r="D908" s="904" t="n"/>
      <c r="E908" s="904" t="n"/>
      <c r="F908" s="856" t="n"/>
      <c r="G908" s="866" t="n"/>
      <c r="H908" s="833" t="n"/>
      <c r="I908" s="904" t="n"/>
      <c r="J908" s="867">
        <f>F908*18%</f>
        <v/>
      </c>
      <c r="K908" s="867">
        <f>(F908-J908)*1.65%</f>
        <v/>
      </c>
      <c r="L908" s="867" t="n"/>
      <c r="M908" s="863" t="n"/>
      <c r="N908" s="864">
        <f>(G908+I908)*(9.25%)</f>
        <v/>
      </c>
      <c r="O908" s="904" t="n"/>
      <c r="P908" s="866" t="n"/>
      <c r="Q908" s="651" t="n"/>
      <c r="R908" s="1206" t="n"/>
      <c r="S908" s="904" t="n"/>
      <c r="T908" s="569" t="n"/>
      <c r="U908" s="1030" t="n"/>
      <c r="V908" s="1030" t="n"/>
      <c r="W908" s="1030" t="n"/>
    </row>
    <row r="909" ht="15.75" customHeight="1" s="1349">
      <c r="A909" s="1292" t="n"/>
      <c r="B909" s="904" t="n"/>
      <c r="C909" s="904" t="n"/>
      <c r="D909" s="904" t="n"/>
      <c r="E909" s="904" t="n"/>
      <c r="F909" s="856" t="n"/>
      <c r="G909" s="866" t="n"/>
      <c r="H909" s="833" t="n"/>
      <c r="I909" s="904" t="n"/>
      <c r="J909" s="867">
        <f>F909*18%</f>
        <v/>
      </c>
      <c r="K909" s="867">
        <f>(F909-J909)*1.65%</f>
        <v/>
      </c>
      <c r="L909" s="867" t="n"/>
      <c r="M909" s="863" t="n"/>
      <c r="N909" s="864">
        <f>(G909+I909)*(9.25%)</f>
        <v/>
      </c>
      <c r="O909" s="904" t="n"/>
      <c r="P909" s="866" t="n"/>
      <c r="Q909" s="651" t="n"/>
      <c r="R909" s="1206" t="n"/>
      <c r="S909" s="904" t="n"/>
      <c r="T909" s="569" t="n"/>
      <c r="U909" s="1030" t="n"/>
      <c r="V909" s="1030" t="n"/>
      <c r="W909" s="1030" t="n"/>
    </row>
    <row r="910" ht="15.75" customHeight="1" s="1349">
      <c r="A910" s="1292" t="n"/>
      <c r="B910" s="904" t="n"/>
      <c r="C910" s="904" t="n"/>
      <c r="D910" s="904" t="n"/>
      <c r="E910" s="904" t="n"/>
      <c r="F910" s="856" t="n"/>
      <c r="G910" s="866" t="n"/>
      <c r="H910" s="833" t="n"/>
      <c r="I910" s="904" t="n"/>
      <c r="J910" s="867">
        <f>F910*18%</f>
        <v/>
      </c>
      <c r="K910" s="867">
        <f>(F910-J910)*1.65%</f>
        <v/>
      </c>
      <c r="L910" s="867" t="n"/>
      <c r="M910" s="863" t="n"/>
      <c r="N910" s="864">
        <f>(G910+I910)*(9.25%)</f>
        <v/>
      </c>
      <c r="O910" s="904" t="n"/>
      <c r="P910" s="866" t="n"/>
      <c r="Q910" s="651" t="n"/>
      <c r="R910" s="1206" t="n"/>
      <c r="S910" s="904" t="n"/>
      <c r="T910" s="569" t="n"/>
      <c r="U910" s="1030" t="n"/>
      <c r="V910" s="1030" t="n"/>
      <c r="W910" s="1030" t="n"/>
    </row>
    <row r="911" ht="15.75" customHeight="1" s="1349">
      <c r="A911" s="1292" t="n"/>
      <c r="B911" s="904" t="n"/>
      <c r="C911" s="904" t="n"/>
      <c r="D911" s="904" t="n"/>
      <c r="E911" s="904" t="n"/>
      <c r="F911" s="856" t="n"/>
      <c r="G911" s="866" t="n"/>
      <c r="H911" s="833" t="n"/>
      <c r="I911" s="904" t="n"/>
      <c r="J911" s="867">
        <f>F911*18%</f>
        <v/>
      </c>
      <c r="K911" s="867">
        <f>(F911-J911)*1.65%</f>
        <v/>
      </c>
      <c r="L911" s="867" t="n"/>
      <c r="M911" s="863" t="n"/>
      <c r="N911" s="864">
        <f>(G911+I911)*(9.25%)</f>
        <v/>
      </c>
      <c r="O911" s="904" t="n"/>
      <c r="P911" s="866" t="n"/>
      <c r="Q911" s="651" t="n"/>
      <c r="R911" s="1206" t="n"/>
      <c r="S911" s="904" t="n"/>
      <c r="T911" s="569" t="n"/>
      <c r="U911" s="1030" t="n"/>
      <c r="V911" s="1030" t="n"/>
      <c r="W911" s="1030" t="n"/>
    </row>
    <row r="912" ht="15.75" customHeight="1" s="1349">
      <c r="A912" s="1292" t="n"/>
      <c r="B912" s="904" t="n"/>
      <c r="C912" s="904" t="n"/>
      <c r="D912" s="904" t="n"/>
      <c r="E912" s="904" t="n"/>
      <c r="F912" s="856" t="n"/>
      <c r="G912" s="866" t="n"/>
      <c r="H912" s="833" t="n"/>
      <c r="I912" s="904" t="n"/>
      <c r="J912" s="867">
        <f>F912*18%</f>
        <v/>
      </c>
      <c r="K912" s="867">
        <f>(F912-J912)*1.65%</f>
        <v/>
      </c>
      <c r="L912" s="867" t="n"/>
      <c r="M912" s="863" t="n"/>
      <c r="N912" s="864">
        <f>(G912+I912)*(9.25%)</f>
        <v/>
      </c>
      <c r="O912" s="904" t="n"/>
      <c r="P912" s="866" t="n"/>
      <c r="Q912" s="651" t="n"/>
      <c r="R912" s="1206" t="n"/>
      <c r="S912" s="904" t="n"/>
      <c r="T912" s="569" t="n"/>
      <c r="U912" s="1030" t="n"/>
      <c r="V912" s="1030" t="n"/>
      <c r="W912" s="1030" t="n"/>
    </row>
    <row r="913" ht="15.75" customHeight="1" s="1349">
      <c r="A913" s="1292" t="n"/>
      <c r="B913" s="904" t="n"/>
      <c r="C913" s="904" t="n"/>
      <c r="D913" s="904" t="n"/>
      <c r="E913" s="904" t="n"/>
      <c r="F913" s="856" t="n"/>
      <c r="G913" s="866" t="n"/>
      <c r="H913" s="833" t="n"/>
      <c r="I913" s="904" t="n"/>
      <c r="J913" s="867">
        <f>F913*18%</f>
        <v/>
      </c>
      <c r="K913" s="867">
        <f>(F913-J913)*1.65%</f>
        <v/>
      </c>
      <c r="L913" s="867" t="n"/>
      <c r="M913" s="863" t="n"/>
      <c r="N913" s="864">
        <f>(G913+I913)*(9.25%)</f>
        <v/>
      </c>
      <c r="O913" s="904" t="n"/>
      <c r="P913" s="866" t="n"/>
      <c r="Q913" s="651" t="n"/>
      <c r="R913" s="1206" t="n"/>
      <c r="S913" s="904" t="n"/>
      <c r="T913" s="569" t="n"/>
      <c r="U913" s="1030" t="n"/>
      <c r="V913" s="1030" t="n"/>
      <c r="W913" s="1030" t="n"/>
    </row>
    <row r="914" ht="15.75" customHeight="1" s="1349">
      <c r="A914" s="1292" t="n"/>
      <c r="B914" s="904" t="n"/>
      <c r="C914" s="904" t="n"/>
      <c r="D914" s="904" t="n"/>
      <c r="E914" s="904" t="n"/>
      <c r="F914" s="856" t="n"/>
      <c r="G914" s="866" t="n"/>
      <c r="H914" s="833" t="n"/>
      <c r="I914" s="904" t="n"/>
      <c r="J914" s="867">
        <f>F914*18%</f>
        <v/>
      </c>
      <c r="K914" s="867">
        <f>(F914-J914)*1.65%</f>
        <v/>
      </c>
      <c r="L914" s="867" t="n"/>
      <c r="M914" s="863" t="n"/>
      <c r="N914" s="864">
        <f>(G914+I914)*(9.25%)</f>
        <v/>
      </c>
      <c r="O914" s="904" t="n"/>
      <c r="P914" s="866" t="n"/>
      <c r="Q914" s="651" t="n"/>
      <c r="R914" s="1206" t="n"/>
      <c r="S914" s="904" t="n"/>
      <c r="T914" s="569" t="n"/>
      <c r="U914" s="1030" t="n"/>
      <c r="V914" s="1030" t="n"/>
      <c r="W914" s="1030" t="n"/>
    </row>
    <row r="915" ht="15.75" customHeight="1" s="1349">
      <c r="A915" s="1292" t="n"/>
      <c r="B915" s="904" t="n"/>
      <c r="C915" s="904" t="n"/>
      <c r="D915" s="904" t="n"/>
      <c r="E915" s="904" t="n"/>
      <c r="F915" s="856" t="n"/>
      <c r="G915" s="866" t="n"/>
      <c r="H915" s="833" t="n"/>
      <c r="I915" s="904" t="n"/>
      <c r="J915" s="867">
        <f>F915*18%</f>
        <v/>
      </c>
      <c r="K915" s="867">
        <f>(F915-J915)*1.65%</f>
        <v/>
      </c>
      <c r="L915" s="867" t="n"/>
      <c r="M915" s="863" t="n"/>
      <c r="N915" s="864">
        <f>(G915+I915)*(9.25%)</f>
        <v/>
      </c>
      <c r="O915" s="904" t="n"/>
      <c r="P915" s="866" t="n"/>
      <c r="Q915" s="651" t="n"/>
      <c r="R915" s="1206" t="n"/>
      <c r="S915" s="904" t="n"/>
      <c r="T915" s="569" t="n"/>
      <c r="U915" s="1030" t="n"/>
      <c r="V915" s="1030" t="n"/>
      <c r="W915" s="1030" t="n"/>
    </row>
    <row r="916" ht="15.75" customHeight="1" s="1349">
      <c r="A916" s="1292" t="n"/>
      <c r="B916" s="904" t="n"/>
      <c r="C916" s="904" t="n"/>
      <c r="D916" s="904" t="n"/>
      <c r="E916" s="904" t="n"/>
      <c r="F916" s="856" t="n"/>
      <c r="G916" s="866" t="n"/>
      <c r="H916" s="833" t="n"/>
      <c r="I916" s="904" t="n"/>
      <c r="J916" s="867">
        <f>F916*18%</f>
        <v/>
      </c>
      <c r="K916" s="867">
        <f>(F916-J916)*1.65%</f>
        <v/>
      </c>
      <c r="L916" s="867" t="n"/>
      <c r="M916" s="863" t="n"/>
      <c r="N916" s="864">
        <f>(G916+I916)*(9.25%)</f>
        <v/>
      </c>
      <c r="O916" s="904" t="n"/>
      <c r="P916" s="866" t="n"/>
      <c r="Q916" s="651" t="n"/>
      <c r="R916" s="1206" t="n"/>
      <c r="S916" s="904" t="n"/>
      <c r="T916" s="569" t="n"/>
      <c r="U916" s="1030" t="n"/>
      <c r="V916" s="1030" t="n"/>
      <c r="W916" s="1030" t="n"/>
    </row>
    <row r="917" ht="15.75" customHeight="1" s="1349">
      <c r="A917" s="1292" t="n"/>
      <c r="B917" s="904" t="n"/>
      <c r="C917" s="904" t="n"/>
      <c r="D917" s="904" t="n"/>
      <c r="E917" s="904" t="n"/>
      <c r="F917" s="856" t="n"/>
      <c r="G917" s="866" t="n"/>
      <c r="H917" s="833" t="n"/>
      <c r="I917" s="904" t="n"/>
      <c r="J917" s="867">
        <f>F917*18%</f>
        <v/>
      </c>
      <c r="K917" s="867">
        <f>(F917-J917)*1.65%</f>
        <v/>
      </c>
      <c r="L917" s="867" t="n"/>
      <c r="M917" s="863" t="n"/>
      <c r="N917" s="864">
        <f>(G917+I917)*(9.25%)</f>
        <v/>
      </c>
      <c r="O917" s="904" t="n"/>
      <c r="P917" s="866" t="n"/>
      <c r="Q917" s="651" t="n"/>
      <c r="R917" s="1206" t="n"/>
      <c r="S917" s="904" t="n"/>
      <c r="T917" s="569" t="n"/>
      <c r="U917" s="1030" t="n"/>
      <c r="V917" s="1030" t="n"/>
      <c r="W917" s="1030" t="n"/>
    </row>
    <row r="918" ht="15.75" customHeight="1" s="1349">
      <c r="A918" s="1292" t="n"/>
      <c r="B918" s="904" t="n"/>
      <c r="C918" s="904" t="n"/>
      <c r="D918" s="904" t="n"/>
      <c r="E918" s="904" t="n"/>
      <c r="F918" s="856" t="n"/>
      <c r="G918" s="866" t="n"/>
      <c r="H918" s="833" t="n"/>
      <c r="I918" s="904" t="n"/>
      <c r="J918" s="867">
        <f>F918*18%</f>
        <v/>
      </c>
      <c r="K918" s="867">
        <f>(F918-J918)*1.65%</f>
        <v/>
      </c>
      <c r="L918" s="867" t="n"/>
      <c r="M918" s="863" t="n"/>
      <c r="N918" s="864">
        <f>(G918+I918)*(9.25%)</f>
        <v/>
      </c>
      <c r="O918" s="904" t="n"/>
      <c r="P918" s="866" t="n"/>
      <c r="Q918" s="651" t="n"/>
      <c r="R918" s="1206" t="n"/>
      <c r="S918" s="904" t="n"/>
      <c r="T918" s="569" t="n"/>
      <c r="U918" s="1030" t="n"/>
      <c r="V918" s="1030" t="n"/>
      <c r="W918" s="1030" t="n"/>
    </row>
    <row r="919" ht="15.75" customHeight="1" s="1349">
      <c r="A919" s="1292" t="n"/>
      <c r="B919" s="904" t="n"/>
      <c r="C919" s="904" t="n"/>
      <c r="D919" s="904" t="n"/>
      <c r="E919" s="904" t="n"/>
      <c r="F919" s="856" t="n"/>
      <c r="G919" s="866" t="n"/>
      <c r="H919" s="833" t="n"/>
      <c r="I919" s="904" t="n"/>
      <c r="J919" s="867">
        <f>F919*18%</f>
        <v/>
      </c>
      <c r="K919" s="867">
        <f>(F919-J919)*1.65%</f>
        <v/>
      </c>
      <c r="L919" s="867" t="n"/>
      <c r="M919" s="863" t="n"/>
      <c r="N919" s="864">
        <f>(G919+I919)*(9.25%)</f>
        <v/>
      </c>
      <c r="O919" s="904" t="n"/>
      <c r="P919" s="866" t="n"/>
      <c r="Q919" s="651" t="n"/>
      <c r="R919" s="1206" t="n"/>
      <c r="S919" s="904" t="n"/>
      <c r="T919" s="569" t="n"/>
      <c r="U919" s="1030" t="n"/>
      <c r="V919" s="1030" t="n"/>
      <c r="W919" s="1030" t="n"/>
    </row>
    <row r="920" ht="15.75" customHeight="1" s="1349">
      <c r="A920" s="1292" t="n"/>
      <c r="B920" s="904" t="n"/>
      <c r="C920" s="904" t="n"/>
      <c r="D920" s="904" t="n"/>
      <c r="E920" s="904" t="n"/>
      <c r="F920" s="856" t="n"/>
      <c r="G920" s="866" t="n"/>
      <c r="H920" s="833" t="n"/>
      <c r="I920" s="904" t="n"/>
      <c r="J920" s="867">
        <f>F920*18%</f>
        <v/>
      </c>
      <c r="K920" s="867">
        <f>(F920-J920)*1.65%</f>
        <v/>
      </c>
      <c r="L920" s="867" t="n"/>
      <c r="M920" s="863" t="n"/>
      <c r="N920" s="864">
        <f>(G920+I920)*(9.25%)</f>
        <v/>
      </c>
      <c r="O920" s="904" t="n"/>
      <c r="P920" s="866" t="n"/>
      <c r="Q920" s="651" t="n"/>
      <c r="R920" s="1206" t="n"/>
      <c r="S920" s="904" t="n"/>
      <c r="T920" s="569" t="n"/>
      <c r="U920" s="1030" t="n"/>
      <c r="V920" s="1030" t="n"/>
      <c r="W920" s="1030" t="n"/>
    </row>
    <row r="921" ht="15.75" customHeight="1" s="1349">
      <c r="A921" s="1292" t="n"/>
      <c r="B921" s="904" t="n"/>
      <c r="C921" s="904" t="n"/>
      <c r="D921" s="904" t="n"/>
      <c r="E921" s="904" t="n"/>
      <c r="F921" s="856" t="n"/>
      <c r="G921" s="866" t="n"/>
      <c r="H921" s="833" t="n"/>
      <c r="I921" s="904" t="n"/>
      <c r="J921" s="867">
        <f>F921*18%</f>
        <v/>
      </c>
      <c r="K921" s="867">
        <f>(F921-J921)*1.65%</f>
        <v/>
      </c>
      <c r="L921" s="867" t="n"/>
      <c r="M921" s="863" t="n"/>
      <c r="N921" s="864">
        <f>(G921+I921)*(9.25%)</f>
        <v/>
      </c>
      <c r="O921" s="904" t="n"/>
      <c r="P921" s="866" t="n"/>
      <c r="Q921" s="651" t="n"/>
      <c r="R921" s="1206" t="n"/>
      <c r="S921" s="904" t="n"/>
      <c r="T921" s="569" t="n"/>
      <c r="U921" s="1030" t="n"/>
      <c r="V921" s="1030" t="n"/>
      <c r="W921" s="1030" t="n"/>
    </row>
    <row r="922" ht="15.75" customHeight="1" s="1349">
      <c r="A922" s="1292" t="n"/>
      <c r="B922" s="904" t="n"/>
      <c r="C922" s="904" t="n"/>
      <c r="D922" s="904" t="n"/>
      <c r="E922" s="904" t="n"/>
      <c r="F922" s="856" t="n"/>
      <c r="G922" s="866" t="n"/>
      <c r="H922" s="833" t="n"/>
      <c r="I922" s="904" t="n"/>
      <c r="J922" s="867">
        <f>F922*18%</f>
        <v/>
      </c>
      <c r="K922" s="867">
        <f>(F922-J922)*1.65%</f>
        <v/>
      </c>
      <c r="L922" s="867" t="n"/>
      <c r="M922" s="863" t="n"/>
      <c r="N922" s="864">
        <f>(G922+I922)*(9.25%)</f>
        <v/>
      </c>
      <c r="O922" s="904" t="n"/>
      <c r="P922" s="866" t="n"/>
      <c r="Q922" s="651" t="n"/>
      <c r="R922" s="1206" t="n"/>
      <c r="S922" s="904" t="n"/>
      <c r="T922" s="569" t="n"/>
      <c r="U922" s="1030" t="n"/>
      <c r="V922" s="1030" t="n"/>
      <c r="W922" s="1030" t="n"/>
    </row>
    <row r="923" ht="15.75" customHeight="1" s="1349">
      <c r="A923" s="1292" t="n"/>
      <c r="B923" s="904" t="n"/>
      <c r="C923" s="904" t="n"/>
      <c r="D923" s="904" t="n"/>
      <c r="E923" s="904" t="n"/>
      <c r="F923" s="856" t="n"/>
      <c r="G923" s="866" t="n"/>
      <c r="H923" s="833" t="n"/>
      <c r="I923" s="904" t="n"/>
      <c r="J923" s="867">
        <f>F923*18%</f>
        <v/>
      </c>
      <c r="K923" s="867">
        <f>(F923-J923)*1.65%</f>
        <v/>
      </c>
      <c r="L923" s="867" t="n"/>
      <c r="M923" s="863" t="n"/>
      <c r="N923" s="864">
        <f>(G923+I923)*(9.25%)</f>
        <v/>
      </c>
      <c r="O923" s="904" t="n"/>
      <c r="P923" s="866" t="n"/>
      <c r="Q923" s="651" t="n"/>
      <c r="R923" s="1206" t="n"/>
      <c r="S923" s="904" t="n"/>
      <c r="T923" s="569" t="n"/>
      <c r="U923" s="1030" t="n"/>
      <c r="V923" s="1030" t="n"/>
      <c r="W923" s="1030" t="n"/>
    </row>
    <row r="924" ht="15.75" customHeight="1" s="1349">
      <c r="A924" s="1292" t="n"/>
      <c r="B924" s="904" t="n"/>
      <c r="C924" s="904" t="n"/>
      <c r="D924" s="904" t="n"/>
      <c r="E924" s="904" t="n"/>
      <c r="F924" s="856" t="n"/>
      <c r="G924" s="866" t="n"/>
      <c r="H924" s="833" t="n"/>
      <c r="I924" s="904" t="n"/>
      <c r="J924" s="867">
        <f>F924*18%</f>
        <v/>
      </c>
      <c r="K924" s="867">
        <f>(F924-J924)*1.65%</f>
        <v/>
      </c>
      <c r="L924" s="867" t="n"/>
      <c r="M924" s="863" t="n"/>
      <c r="N924" s="864">
        <f>(G924+I924)*(9.25%)</f>
        <v/>
      </c>
      <c r="O924" s="904" t="n"/>
      <c r="P924" s="866" t="n"/>
      <c r="Q924" s="651" t="n"/>
      <c r="R924" s="1206" t="n"/>
      <c r="S924" s="904" t="n"/>
      <c r="T924" s="569" t="n"/>
      <c r="U924" s="1030" t="n"/>
      <c r="V924" s="1030" t="n"/>
      <c r="W924" s="1030" t="n"/>
    </row>
    <row r="925" ht="15.75" customHeight="1" s="1349">
      <c r="A925" s="1292" t="n"/>
      <c r="B925" s="904" t="n"/>
      <c r="C925" s="904" t="n"/>
      <c r="D925" s="904" t="n"/>
      <c r="E925" s="904" t="n"/>
      <c r="F925" s="856" t="n"/>
      <c r="G925" s="866" t="n"/>
      <c r="H925" s="833" t="n"/>
      <c r="I925" s="904" t="n"/>
      <c r="J925" s="867">
        <f>F925*18%</f>
        <v/>
      </c>
      <c r="K925" s="867">
        <f>(F925-J925)*1.65%</f>
        <v/>
      </c>
      <c r="L925" s="867" t="n"/>
      <c r="M925" s="863" t="n"/>
      <c r="N925" s="864">
        <f>(G925+I925)*(9.25%)</f>
        <v/>
      </c>
      <c r="O925" s="904" t="n"/>
      <c r="P925" s="866" t="n"/>
      <c r="Q925" s="651" t="n"/>
      <c r="R925" s="1206" t="n"/>
      <c r="S925" s="904" t="n"/>
      <c r="T925" s="569" t="n"/>
      <c r="U925" s="1030" t="n"/>
      <c r="V925" s="1030" t="n"/>
      <c r="W925" s="1030" t="n"/>
    </row>
    <row r="926" ht="15.75" customHeight="1" s="1349">
      <c r="A926" s="1292" t="n"/>
      <c r="B926" s="904" t="n"/>
      <c r="C926" s="904" t="n"/>
      <c r="D926" s="904" t="n"/>
      <c r="E926" s="904" t="n"/>
      <c r="F926" s="856" t="n"/>
      <c r="G926" s="866" t="n"/>
      <c r="H926" s="833" t="n"/>
      <c r="I926" s="904" t="n"/>
      <c r="J926" s="867">
        <f>F926*18%</f>
        <v/>
      </c>
      <c r="K926" s="867">
        <f>(F926-J926)*1.65%</f>
        <v/>
      </c>
      <c r="L926" s="867" t="n"/>
      <c r="M926" s="863" t="n"/>
      <c r="N926" s="864">
        <f>(G926+I926)*(9.25%)</f>
        <v/>
      </c>
      <c r="O926" s="904" t="n"/>
      <c r="P926" s="866" t="n"/>
      <c r="Q926" s="651" t="n"/>
      <c r="R926" s="1206" t="n"/>
      <c r="S926" s="904" t="n"/>
      <c r="T926" s="569" t="n"/>
      <c r="U926" s="1030" t="n"/>
      <c r="V926" s="1030" t="n"/>
      <c r="W926" s="1030" t="n"/>
    </row>
    <row r="927" ht="15.75" customHeight="1" s="1349">
      <c r="A927" s="1292" t="n"/>
      <c r="B927" s="904" t="n"/>
      <c r="C927" s="904" t="n"/>
      <c r="D927" s="904" t="n"/>
      <c r="E927" s="904" t="n"/>
      <c r="F927" s="856" t="n"/>
      <c r="G927" s="866" t="n"/>
      <c r="H927" s="833" t="n"/>
      <c r="I927" s="904" t="n"/>
      <c r="J927" s="867">
        <f>F927*18%</f>
        <v/>
      </c>
      <c r="K927" s="867">
        <f>(F927-J927)*1.65%</f>
        <v/>
      </c>
      <c r="L927" s="867" t="n"/>
      <c r="M927" s="863" t="n"/>
      <c r="N927" s="864">
        <f>(G927+I927)*(9.25%)</f>
        <v/>
      </c>
      <c r="O927" s="904" t="n"/>
      <c r="P927" s="866" t="n"/>
      <c r="Q927" s="651" t="n"/>
      <c r="R927" s="1206" t="n"/>
      <c r="S927" s="904" t="n"/>
      <c r="T927" s="569" t="n"/>
      <c r="U927" s="1030" t="n"/>
      <c r="V927" s="1030" t="n"/>
      <c r="W927" s="1030" t="n"/>
    </row>
    <row r="928" ht="15.75" customHeight="1" s="1349">
      <c r="A928" s="1292" t="n"/>
      <c r="B928" s="904" t="n"/>
      <c r="C928" s="904" t="n"/>
      <c r="D928" s="904" t="n"/>
      <c r="E928" s="904" t="n"/>
      <c r="F928" s="856" t="n"/>
      <c r="G928" s="866" t="n"/>
      <c r="H928" s="833" t="n"/>
      <c r="I928" s="904" t="n"/>
      <c r="J928" s="867">
        <f>F928*18%</f>
        <v/>
      </c>
      <c r="K928" s="867">
        <f>(F928-J928)*1.65%</f>
        <v/>
      </c>
      <c r="L928" s="867" t="n"/>
      <c r="M928" s="863" t="n"/>
      <c r="N928" s="864">
        <f>(G928+I928)*(9.25%)</f>
        <v/>
      </c>
      <c r="O928" s="904" t="n"/>
      <c r="P928" s="866" t="n"/>
      <c r="Q928" s="651" t="n"/>
      <c r="R928" s="1206" t="n"/>
      <c r="S928" s="904" t="n"/>
      <c r="T928" s="569" t="n"/>
      <c r="U928" s="1030" t="n"/>
      <c r="V928" s="1030" t="n"/>
      <c r="W928" s="1030" t="n"/>
    </row>
    <row r="929" ht="15.75" customHeight="1" s="1349">
      <c r="A929" s="1292" t="n"/>
      <c r="B929" s="904" t="n"/>
      <c r="C929" s="904" t="n"/>
      <c r="D929" s="904" t="n"/>
      <c r="E929" s="904" t="n"/>
      <c r="F929" s="856" t="n"/>
      <c r="G929" s="866" t="n"/>
      <c r="H929" s="833" t="n"/>
      <c r="I929" s="904" t="n"/>
      <c r="J929" s="867">
        <f>F929*18%</f>
        <v/>
      </c>
      <c r="K929" s="867">
        <f>(F929-J929)*1.65%</f>
        <v/>
      </c>
      <c r="L929" s="867" t="n"/>
      <c r="M929" s="863" t="n"/>
      <c r="N929" s="864">
        <f>(G929+I929)*(9.25%)</f>
        <v/>
      </c>
      <c r="O929" s="904" t="n"/>
      <c r="P929" s="866" t="n"/>
      <c r="Q929" s="651" t="n"/>
      <c r="R929" s="1206" t="n"/>
      <c r="S929" s="904" t="n"/>
      <c r="T929" s="569" t="n"/>
      <c r="U929" s="1030" t="n"/>
      <c r="V929" s="1030" t="n"/>
      <c r="W929" s="1030" t="n"/>
    </row>
    <row r="930" ht="15.75" customHeight="1" s="1349">
      <c r="A930" s="1292" t="n"/>
      <c r="B930" s="904" t="n"/>
      <c r="C930" s="904" t="n"/>
      <c r="D930" s="904" t="n"/>
      <c r="E930" s="904" t="n"/>
      <c r="F930" s="856" t="n"/>
      <c r="G930" s="866" t="n"/>
      <c r="H930" s="833" t="n"/>
      <c r="I930" s="904" t="n"/>
      <c r="J930" s="867">
        <f>F930*18%</f>
        <v/>
      </c>
      <c r="K930" s="867">
        <f>(F930-J930)*1.65%</f>
        <v/>
      </c>
      <c r="L930" s="867" t="n"/>
      <c r="M930" s="863" t="n"/>
      <c r="N930" s="864">
        <f>(G930+I930)*(9.25%)</f>
        <v/>
      </c>
      <c r="O930" s="904" t="n"/>
      <c r="P930" s="866" t="n"/>
      <c r="Q930" s="651" t="n"/>
      <c r="R930" s="1206" t="n"/>
      <c r="S930" s="904" t="n"/>
      <c r="T930" s="569" t="n"/>
      <c r="U930" s="1030" t="n"/>
      <c r="V930" s="1030" t="n"/>
      <c r="W930" s="1030" t="n"/>
    </row>
    <row r="931" ht="15.75" customHeight="1" s="1349">
      <c r="A931" s="1292" t="n"/>
      <c r="B931" s="904" t="n"/>
      <c r="C931" s="904" t="n"/>
      <c r="D931" s="904" t="n"/>
      <c r="E931" s="904" t="n"/>
      <c r="F931" s="856" t="n"/>
      <c r="G931" s="866" t="n"/>
      <c r="H931" s="833" t="n"/>
      <c r="I931" s="904" t="n"/>
      <c r="J931" s="867">
        <f>F931*18%</f>
        <v/>
      </c>
      <c r="K931" s="867">
        <f>(F931-J931)*1.65%</f>
        <v/>
      </c>
      <c r="L931" s="867" t="n"/>
      <c r="M931" s="863" t="n"/>
      <c r="N931" s="864">
        <f>(G931+I931)*(9.25%)</f>
        <v/>
      </c>
      <c r="O931" s="904" t="n"/>
      <c r="P931" s="866" t="n"/>
      <c r="Q931" s="651" t="n"/>
      <c r="R931" s="1206" t="n"/>
      <c r="S931" s="904" t="n"/>
      <c r="T931" s="569" t="n"/>
      <c r="U931" s="1030" t="n"/>
      <c r="V931" s="1030" t="n"/>
      <c r="W931" s="1030" t="n"/>
    </row>
    <row r="932" ht="15.75" customHeight="1" s="1349">
      <c r="A932" s="1292" t="n"/>
      <c r="B932" s="904" t="n"/>
      <c r="C932" s="904" t="n"/>
      <c r="D932" s="904" t="n"/>
      <c r="E932" s="904" t="n"/>
      <c r="F932" s="856" t="n"/>
      <c r="G932" s="866" t="n"/>
      <c r="H932" s="833" t="n"/>
      <c r="I932" s="904" t="n"/>
      <c r="J932" s="867">
        <f>F932*18%</f>
        <v/>
      </c>
      <c r="K932" s="867">
        <f>(F932-J932)*1.65%</f>
        <v/>
      </c>
      <c r="L932" s="867" t="n"/>
      <c r="M932" s="863" t="n"/>
      <c r="N932" s="864">
        <f>(G932+I932)*(9.25%)</f>
        <v/>
      </c>
      <c r="O932" s="904" t="n"/>
      <c r="P932" s="866" t="n"/>
      <c r="Q932" s="651" t="n"/>
      <c r="R932" s="1206" t="n"/>
      <c r="S932" s="904" t="n"/>
      <c r="T932" s="569" t="n"/>
      <c r="U932" s="1030" t="n"/>
      <c r="V932" s="1030" t="n"/>
      <c r="W932" s="1030" t="n"/>
    </row>
    <row r="933" ht="15.75" customHeight="1" s="1349">
      <c r="A933" s="1292" t="n"/>
      <c r="B933" s="904" t="n"/>
      <c r="C933" s="904" t="n"/>
      <c r="D933" s="904" t="n"/>
      <c r="E933" s="904" t="n"/>
      <c r="F933" s="856" t="n"/>
      <c r="G933" s="866" t="n"/>
      <c r="H933" s="833" t="n"/>
      <c r="I933" s="904" t="n"/>
      <c r="J933" s="867">
        <f>F933*18%</f>
        <v/>
      </c>
      <c r="K933" s="867">
        <f>(F933-J933)*1.65%</f>
        <v/>
      </c>
      <c r="L933" s="867" t="n"/>
      <c r="M933" s="863" t="n"/>
      <c r="N933" s="864">
        <f>(G933+I933)*(9.25%)</f>
        <v/>
      </c>
      <c r="O933" s="904" t="n"/>
      <c r="P933" s="866" t="n"/>
      <c r="Q933" s="651" t="n"/>
      <c r="R933" s="1206" t="n"/>
      <c r="S933" s="904" t="n"/>
      <c r="T933" s="569" t="n"/>
      <c r="U933" s="1030" t="n"/>
      <c r="V933" s="1030" t="n"/>
      <c r="W933" s="1030" t="n"/>
    </row>
    <row r="934" ht="15.75" customHeight="1" s="1349">
      <c r="A934" s="1292" t="n"/>
      <c r="B934" s="904" t="n"/>
      <c r="C934" s="904" t="n"/>
      <c r="D934" s="904" t="n"/>
      <c r="E934" s="904" t="n"/>
      <c r="F934" s="856" t="n"/>
      <c r="G934" s="866" t="n"/>
      <c r="H934" s="833" t="n"/>
      <c r="I934" s="904" t="n"/>
      <c r="J934" s="867">
        <f>F934*18%</f>
        <v/>
      </c>
      <c r="K934" s="867">
        <f>(F934-J934)*1.65%</f>
        <v/>
      </c>
      <c r="L934" s="867" t="n"/>
      <c r="M934" s="863" t="n"/>
      <c r="N934" s="864">
        <f>(G934+I934)*(9.25%)</f>
        <v/>
      </c>
      <c r="O934" s="904" t="n"/>
      <c r="P934" s="866" t="n"/>
      <c r="Q934" s="651" t="n"/>
      <c r="R934" s="1206" t="n"/>
      <c r="S934" s="904" t="n"/>
      <c r="T934" s="569" t="n"/>
      <c r="U934" s="1030" t="n"/>
      <c r="V934" s="1030" t="n"/>
      <c r="W934" s="1030" t="n"/>
    </row>
    <row r="935" ht="15.75" customHeight="1" s="1349">
      <c r="A935" s="1292" t="n"/>
      <c r="B935" s="904" t="n"/>
      <c r="C935" s="904" t="n"/>
      <c r="D935" s="904" t="n"/>
      <c r="E935" s="904" t="n"/>
      <c r="F935" s="856" t="n"/>
      <c r="G935" s="866" t="n"/>
      <c r="H935" s="833" t="n"/>
      <c r="I935" s="904" t="n"/>
      <c r="J935" s="867">
        <f>F935*18%</f>
        <v/>
      </c>
      <c r="K935" s="867">
        <f>(F935-J935)*1.65%</f>
        <v/>
      </c>
      <c r="L935" s="867" t="n"/>
      <c r="M935" s="863" t="n"/>
      <c r="N935" s="864">
        <f>(G935+I935)*(9.25%)</f>
        <v/>
      </c>
      <c r="O935" s="904" t="n"/>
      <c r="P935" s="866" t="n"/>
      <c r="Q935" s="651" t="n"/>
      <c r="R935" s="1206" t="n"/>
      <c r="S935" s="904" t="n"/>
      <c r="T935" s="569" t="n"/>
      <c r="U935" s="1030" t="n"/>
      <c r="V935" s="1030" t="n"/>
      <c r="W935" s="1030" t="n"/>
    </row>
    <row r="936" ht="15.75" customHeight="1" s="1349">
      <c r="A936" s="1292" t="n"/>
      <c r="B936" s="904" t="n"/>
      <c r="C936" s="904" t="n"/>
      <c r="D936" s="904" t="n"/>
      <c r="E936" s="904" t="n"/>
      <c r="F936" s="856" t="n"/>
      <c r="G936" s="866" t="n"/>
      <c r="H936" s="833" t="n"/>
      <c r="I936" s="904" t="n"/>
      <c r="J936" s="867">
        <f>F936*18%</f>
        <v/>
      </c>
      <c r="K936" s="867">
        <f>(F936-J936)*1.65%</f>
        <v/>
      </c>
      <c r="L936" s="867" t="n"/>
      <c r="M936" s="863" t="n"/>
      <c r="N936" s="864">
        <f>(G936+I936)*(9.25%)</f>
        <v/>
      </c>
      <c r="O936" s="904" t="n"/>
      <c r="P936" s="866" t="n"/>
      <c r="Q936" s="651" t="n"/>
      <c r="R936" s="1206" t="n"/>
      <c r="S936" s="904" t="n"/>
      <c r="T936" s="569" t="n"/>
      <c r="U936" s="1030" t="n"/>
      <c r="V936" s="1030" t="n"/>
      <c r="W936" s="1030" t="n"/>
    </row>
    <row r="937" ht="15.75" customHeight="1" s="1349">
      <c r="A937" s="1292" t="n"/>
      <c r="B937" s="904" t="n"/>
      <c r="C937" s="904" t="n"/>
      <c r="D937" s="904" t="n"/>
      <c r="E937" s="904" t="n"/>
      <c r="F937" s="856" t="n"/>
      <c r="G937" s="866" t="n"/>
      <c r="H937" s="833" t="n"/>
      <c r="I937" s="904" t="n"/>
      <c r="J937" s="867">
        <f>F937*18%</f>
        <v/>
      </c>
      <c r="K937" s="867">
        <f>(F937-J937)*1.65%</f>
        <v/>
      </c>
      <c r="L937" s="867" t="n"/>
      <c r="M937" s="863" t="n"/>
      <c r="N937" s="864">
        <f>(G937+I937)*(9.25%)</f>
        <v/>
      </c>
      <c r="O937" s="904" t="n"/>
      <c r="P937" s="866" t="n"/>
      <c r="Q937" s="651" t="n"/>
      <c r="R937" s="1206" t="n"/>
      <c r="S937" s="904" t="n"/>
      <c r="T937" s="569" t="n"/>
      <c r="U937" s="1030" t="n"/>
      <c r="V937" s="1030" t="n"/>
      <c r="W937" s="1030" t="n"/>
    </row>
    <row r="938" ht="15.75" customHeight="1" s="1349">
      <c r="A938" s="1292" t="n"/>
      <c r="B938" s="904" t="n"/>
      <c r="C938" s="904" t="n"/>
      <c r="D938" s="904" t="n"/>
      <c r="E938" s="904" t="n"/>
      <c r="F938" s="856" t="n"/>
      <c r="G938" s="866" t="n"/>
      <c r="H938" s="833" t="n"/>
      <c r="I938" s="904" t="n"/>
      <c r="J938" s="867">
        <f>F938*18%</f>
        <v/>
      </c>
      <c r="K938" s="867">
        <f>(F938-J938)*1.65%</f>
        <v/>
      </c>
      <c r="L938" s="867" t="n"/>
      <c r="M938" s="863" t="n"/>
      <c r="N938" s="864">
        <f>(G938+I938)*(9.25%)</f>
        <v/>
      </c>
      <c r="O938" s="904" t="n"/>
      <c r="P938" s="866" t="n"/>
      <c r="Q938" s="651" t="n"/>
      <c r="R938" s="1206" t="n"/>
      <c r="S938" s="904" t="n"/>
      <c r="T938" s="569" t="n"/>
      <c r="U938" s="1030" t="n"/>
      <c r="V938" s="1030" t="n"/>
      <c r="W938" s="1030" t="n"/>
    </row>
    <row r="939" ht="15.75" customHeight="1" s="1349">
      <c r="A939" s="1292" t="n"/>
      <c r="B939" s="904" t="n"/>
      <c r="C939" s="904" t="n"/>
      <c r="D939" s="904" t="n"/>
      <c r="E939" s="904" t="n"/>
      <c r="F939" s="856" t="n"/>
      <c r="G939" s="866" t="n"/>
      <c r="H939" s="833" t="n"/>
      <c r="I939" s="904" t="n"/>
      <c r="J939" s="867">
        <f>F939*18%</f>
        <v/>
      </c>
      <c r="K939" s="867">
        <f>(F939-J939)*1.65%</f>
        <v/>
      </c>
      <c r="L939" s="867" t="n"/>
      <c r="M939" s="863" t="n"/>
      <c r="N939" s="864">
        <f>(G939+I939)*(9.25%)</f>
        <v/>
      </c>
      <c r="O939" s="904" t="n"/>
      <c r="P939" s="866" t="n"/>
      <c r="Q939" s="651" t="n"/>
      <c r="R939" s="1206" t="n"/>
      <c r="S939" s="904" t="n"/>
      <c r="T939" s="569" t="n"/>
      <c r="U939" s="1030" t="n"/>
      <c r="V939" s="1030" t="n"/>
      <c r="W939" s="1030" t="n"/>
    </row>
    <row r="940" ht="15.75" customHeight="1" s="1349">
      <c r="A940" s="1292" t="n"/>
      <c r="B940" s="904" t="n"/>
      <c r="C940" s="904" t="n"/>
      <c r="D940" s="904" t="n"/>
      <c r="E940" s="904" t="n"/>
      <c r="F940" s="856" t="n"/>
      <c r="G940" s="866" t="n"/>
      <c r="H940" s="833" t="n"/>
      <c r="I940" s="904" t="n"/>
      <c r="J940" s="867">
        <f>F940*18%</f>
        <v/>
      </c>
      <c r="K940" s="867">
        <f>(F940-J940)*1.65%</f>
        <v/>
      </c>
      <c r="L940" s="867" t="n"/>
      <c r="M940" s="863" t="n"/>
      <c r="N940" s="864">
        <f>(G940+I940)*(9.25%)</f>
        <v/>
      </c>
      <c r="O940" s="904" t="n"/>
      <c r="P940" s="866" t="n"/>
      <c r="Q940" s="651" t="n"/>
      <c r="R940" s="1206" t="n"/>
      <c r="S940" s="904" t="n"/>
      <c r="T940" s="569" t="n"/>
      <c r="U940" s="1030" t="n"/>
      <c r="V940" s="1030" t="n"/>
      <c r="W940" s="1030" t="n"/>
    </row>
    <row r="941" ht="15.75" customHeight="1" s="1349">
      <c r="A941" s="1292" t="n"/>
      <c r="B941" s="904" t="n"/>
      <c r="C941" s="904" t="n"/>
      <c r="D941" s="904" t="n"/>
      <c r="E941" s="904" t="n"/>
      <c r="F941" s="856" t="n"/>
      <c r="G941" s="866" t="n"/>
      <c r="H941" s="833" t="n"/>
      <c r="I941" s="904" t="n"/>
      <c r="J941" s="867">
        <f>F941*18%</f>
        <v/>
      </c>
      <c r="K941" s="867">
        <f>(F941-J941)*1.65%</f>
        <v/>
      </c>
      <c r="L941" s="867" t="n"/>
      <c r="M941" s="863" t="n"/>
      <c r="N941" s="864">
        <f>(G941+I941)*(9.25%)</f>
        <v/>
      </c>
      <c r="O941" s="904" t="n"/>
      <c r="P941" s="866" t="n"/>
      <c r="Q941" s="651" t="n"/>
      <c r="R941" s="1206" t="n"/>
      <c r="S941" s="904" t="n"/>
      <c r="T941" s="569" t="n"/>
      <c r="U941" s="1030" t="n"/>
      <c r="V941" s="1030" t="n"/>
      <c r="W941" s="1030" t="n"/>
    </row>
    <row r="942" ht="15.75" customHeight="1" s="1349">
      <c r="A942" s="1292" t="n"/>
      <c r="B942" s="904" t="n"/>
      <c r="C942" s="904" t="n"/>
      <c r="D942" s="904" t="n"/>
      <c r="E942" s="904" t="n"/>
      <c r="F942" s="856" t="n"/>
      <c r="G942" s="866" t="n"/>
      <c r="H942" s="833" t="n"/>
      <c r="I942" s="904" t="n"/>
      <c r="J942" s="867">
        <f>F942*18%</f>
        <v/>
      </c>
      <c r="K942" s="867">
        <f>(F942-J942)*1.65%</f>
        <v/>
      </c>
      <c r="L942" s="867" t="n"/>
      <c r="M942" s="863" t="n"/>
      <c r="N942" s="864">
        <f>(G942+I942)*(9.25%)</f>
        <v/>
      </c>
      <c r="O942" s="904" t="n"/>
      <c r="P942" s="866" t="n"/>
      <c r="Q942" s="651" t="n"/>
      <c r="R942" s="1206" t="n"/>
      <c r="S942" s="904" t="n"/>
      <c r="T942" s="569" t="n"/>
      <c r="U942" s="1030" t="n"/>
      <c r="V942" s="1030" t="n"/>
      <c r="W942" s="1030" t="n"/>
    </row>
    <row r="943" ht="15.75" customHeight="1" s="1349">
      <c r="A943" s="1292" t="n"/>
      <c r="B943" s="904" t="n"/>
      <c r="C943" s="904" t="n"/>
      <c r="D943" s="904" t="n"/>
      <c r="E943" s="904" t="n"/>
      <c r="F943" s="856" t="n"/>
      <c r="G943" s="866" t="n"/>
      <c r="H943" s="833" t="n"/>
      <c r="I943" s="904" t="n"/>
      <c r="J943" s="867">
        <f>F943*18%</f>
        <v/>
      </c>
      <c r="K943" s="867">
        <f>(F943-J943)*1.65%</f>
        <v/>
      </c>
      <c r="L943" s="867" t="n"/>
      <c r="M943" s="863" t="n"/>
      <c r="N943" s="864">
        <f>(G943+I943)*(9.25%)</f>
        <v/>
      </c>
      <c r="O943" s="904" t="n"/>
      <c r="P943" s="866" t="n"/>
      <c r="Q943" s="651" t="n"/>
      <c r="R943" s="1206" t="n"/>
      <c r="S943" s="904" t="n"/>
      <c r="T943" s="569" t="n"/>
      <c r="U943" s="1030" t="n"/>
      <c r="V943" s="1030" t="n"/>
      <c r="W943" s="1030" t="n"/>
    </row>
    <row r="944" ht="15.75" customHeight="1" s="1349">
      <c r="A944" s="1292" t="n"/>
      <c r="B944" s="904" t="n"/>
      <c r="C944" s="904" t="n"/>
      <c r="D944" s="904" t="n"/>
      <c r="E944" s="904" t="n"/>
      <c r="F944" s="856" t="n"/>
      <c r="G944" s="866" t="n"/>
      <c r="H944" s="833" t="n"/>
      <c r="I944" s="904" t="n"/>
      <c r="J944" s="867">
        <f>F944*18%</f>
        <v/>
      </c>
      <c r="K944" s="867">
        <f>(F944-J944)*1.65%</f>
        <v/>
      </c>
      <c r="L944" s="867" t="n"/>
      <c r="M944" s="863" t="n"/>
      <c r="N944" s="864">
        <f>(G944+I944)*(9.25%)</f>
        <v/>
      </c>
      <c r="O944" s="904" t="n"/>
      <c r="P944" s="866" t="n"/>
      <c r="Q944" s="651" t="n"/>
      <c r="R944" s="1206" t="n"/>
      <c r="S944" s="904" t="n"/>
      <c r="T944" s="569" t="n"/>
      <c r="U944" s="1030" t="n"/>
      <c r="V944" s="1030" t="n"/>
      <c r="W944" s="1030" t="n"/>
    </row>
    <row r="945" ht="15.75" customHeight="1" s="1349">
      <c r="A945" s="1292" t="n"/>
      <c r="B945" s="904" t="n"/>
      <c r="C945" s="904" t="n"/>
      <c r="D945" s="904" t="n"/>
      <c r="E945" s="904" t="n"/>
      <c r="F945" s="856" t="n"/>
      <c r="G945" s="866" t="n"/>
      <c r="H945" s="833" t="n"/>
      <c r="I945" s="904" t="n"/>
      <c r="J945" s="867">
        <f>F945*18%</f>
        <v/>
      </c>
      <c r="K945" s="867">
        <f>(F945-J945)*1.65%</f>
        <v/>
      </c>
      <c r="L945" s="867" t="n"/>
      <c r="M945" s="863" t="n"/>
      <c r="N945" s="864">
        <f>(G945+I945)*(9.25%)</f>
        <v/>
      </c>
      <c r="O945" s="904" t="n"/>
      <c r="P945" s="866" t="n"/>
      <c r="Q945" s="651" t="n"/>
      <c r="R945" s="1206" t="n"/>
      <c r="S945" s="904" t="n"/>
      <c r="T945" s="569" t="n"/>
      <c r="U945" s="1030" t="n"/>
      <c r="V945" s="1030" t="n"/>
      <c r="W945" s="1030" t="n"/>
    </row>
    <row r="946" ht="15.75" customHeight="1" s="1349">
      <c r="A946" s="1292" t="n"/>
      <c r="B946" s="904" t="n"/>
      <c r="C946" s="904" t="n"/>
      <c r="D946" s="904" t="n"/>
      <c r="E946" s="904" t="n"/>
      <c r="F946" s="856" t="n"/>
      <c r="G946" s="866" t="n"/>
      <c r="H946" s="833" t="n"/>
      <c r="I946" s="904" t="n"/>
      <c r="J946" s="867">
        <f>F946*18%</f>
        <v/>
      </c>
      <c r="K946" s="867">
        <f>(F946-J946)*1.65%</f>
        <v/>
      </c>
      <c r="L946" s="867" t="n"/>
      <c r="M946" s="863" t="n"/>
      <c r="N946" s="864">
        <f>(G946+I946)*(9.25%)</f>
        <v/>
      </c>
      <c r="O946" s="904" t="n"/>
      <c r="P946" s="866" t="n"/>
      <c r="Q946" s="651" t="n"/>
      <c r="R946" s="1206" t="n"/>
      <c r="S946" s="904" t="n"/>
      <c r="T946" s="569" t="n"/>
      <c r="U946" s="1030" t="n"/>
      <c r="V946" s="1030" t="n"/>
      <c r="W946" s="1030" t="n"/>
    </row>
    <row r="947" ht="15.75" customHeight="1" s="1349">
      <c r="A947" s="1292" t="n"/>
      <c r="B947" s="904" t="n"/>
      <c r="C947" s="904" t="n"/>
      <c r="D947" s="904" t="n"/>
      <c r="E947" s="904" t="n"/>
      <c r="F947" s="856" t="n"/>
      <c r="G947" s="866" t="n"/>
      <c r="H947" s="833" t="n"/>
      <c r="I947" s="904" t="n"/>
      <c r="J947" s="867">
        <f>F947*18%</f>
        <v/>
      </c>
      <c r="K947" s="867">
        <f>(F947-J947)*1.65%</f>
        <v/>
      </c>
      <c r="L947" s="867" t="n"/>
      <c r="M947" s="863" t="n"/>
      <c r="N947" s="864">
        <f>(G947+I947)*(9.25%)</f>
        <v/>
      </c>
      <c r="O947" s="904" t="n"/>
      <c r="P947" s="866" t="n"/>
      <c r="Q947" s="651" t="n"/>
      <c r="R947" s="1206" t="n"/>
      <c r="S947" s="904" t="n"/>
      <c r="T947" s="569" t="n"/>
      <c r="U947" s="1030" t="n"/>
      <c r="V947" s="1030" t="n"/>
      <c r="W947" s="1030" t="n"/>
    </row>
    <row r="948" ht="15.75" customHeight="1" s="1349">
      <c r="A948" s="1292" t="n"/>
      <c r="B948" s="904" t="n"/>
      <c r="C948" s="904" t="n"/>
      <c r="D948" s="904" t="n"/>
      <c r="E948" s="904" t="n"/>
      <c r="F948" s="856" t="n"/>
      <c r="G948" s="866" t="n"/>
      <c r="H948" s="833" t="n"/>
      <c r="I948" s="904" t="n"/>
      <c r="J948" s="867">
        <f>F948*18%</f>
        <v/>
      </c>
      <c r="K948" s="867">
        <f>(F948-J948)*1.65%</f>
        <v/>
      </c>
      <c r="L948" s="867" t="n"/>
      <c r="M948" s="863" t="n"/>
      <c r="N948" s="864">
        <f>(G948+I948)*(9.25%)</f>
        <v/>
      </c>
      <c r="O948" s="904" t="n"/>
      <c r="P948" s="866" t="n"/>
      <c r="Q948" s="651" t="n"/>
      <c r="R948" s="1206" t="n"/>
      <c r="S948" s="904" t="n"/>
      <c r="T948" s="569" t="n"/>
      <c r="U948" s="1030" t="n"/>
      <c r="V948" s="1030" t="n"/>
      <c r="W948" s="1030" t="n"/>
    </row>
    <row r="949" ht="15.75" customHeight="1" s="1349">
      <c r="A949" s="1292" t="n"/>
      <c r="B949" s="904" t="n"/>
      <c r="C949" s="904" t="n"/>
      <c r="D949" s="904" t="n"/>
      <c r="E949" s="904" t="n"/>
      <c r="F949" s="856" t="n"/>
      <c r="G949" s="866" t="n"/>
      <c r="H949" s="833" t="n"/>
      <c r="I949" s="904" t="n"/>
      <c r="J949" s="867">
        <f>F949*18%</f>
        <v/>
      </c>
      <c r="K949" s="867">
        <f>(F949-J949)*1.65%</f>
        <v/>
      </c>
      <c r="L949" s="867" t="n"/>
      <c r="M949" s="863" t="n"/>
      <c r="N949" s="864">
        <f>(G949+I949)*(9.25%)</f>
        <v/>
      </c>
      <c r="O949" s="904" t="n"/>
      <c r="P949" s="866" t="n"/>
      <c r="Q949" s="651" t="n"/>
      <c r="R949" s="1206" t="n"/>
      <c r="S949" s="904" t="n"/>
      <c r="T949" s="569" t="n"/>
      <c r="U949" s="1030" t="n"/>
      <c r="V949" s="1030" t="n"/>
      <c r="W949" s="1030" t="n"/>
    </row>
    <row r="950" ht="15.75" customHeight="1" s="1349">
      <c r="A950" s="1292" t="n"/>
      <c r="B950" s="904" t="n"/>
      <c r="C950" s="904" t="n"/>
      <c r="D950" s="904" t="n"/>
      <c r="E950" s="904" t="n"/>
      <c r="F950" s="856" t="n"/>
      <c r="G950" s="866" t="n"/>
      <c r="H950" s="833" t="n"/>
      <c r="I950" s="904" t="n"/>
      <c r="J950" s="867">
        <f>F950*18%</f>
        <v/>
      </c>
      <c r="K950" s="867">
        <f>(F950-J950)*1.65%</f>
        <v/>
      </c>
      <c r="L950" s="867" t="n"/>
      <c r="M950" s="863" t="n"/>
      <c r="N950" s="864">
        <f>(G950+I950)*(9.25%)</f>
        <v/>
      </c>
      <c r="O950" s="904" t="n"/>
      <c r="P950" s="866" t="n"/>
      <c r="Q950" s="651" t="n"/>
      <c r="R950" s="1206" t="n"/>
      <c r="S950" s="904" t="n"/>
      <c r="T950" s="569" t="n"/>
      <c r="U950" s="1030" t="n"/>
      <c r="V950" s="1030" t="n"/>
      <c r="W950" s="1030" t="n"/>
    </row>
    <row r="951" ht="15.75" customHeight="1" s="1349">
      <c r="A951" s="1292" t="n"/>
      <c r="B951" s="904" t="n"/>
      <c r="C951" s="904" t="n"/>
      <c r="D951" s="904" t="n"/>
      <c r="E951" s="904" t="n"/>
      <c r="F951" s="856" t="n"/>
      <c r="G951" s="866" t="n"/>
      <c r="H951" s="833" t="n"/>
      <c r="I951" s="904" t="n"/>
      <c r="J951" s="867">
        <f>F951*18%</f>
        <v/>
      </c>
      <c r="K951" s="867">
        <f>(F951-J951)*1.65%</f>
        <v/>
      </c>
      <c r="L951" s="867" t="n"/>
      <c r="M951" s="863" t="n"/>
      <c r="N951" s="864">
        <f>(G951+I951)*(9.25%)</f>
        <v/>
      </c>
      <c r="O951" s="904" t="n"/>
      <c r="P951" s="866" t="n"/>
      <c r="Q951" s="651" t="n"/>
      <c r="R951" s="1206" t="n"/>
      <c r="S951" s="904" t="n"/>
      <c r="T951" s="569" t="n"/>
      <c r="U951" s="1030" t="n"/>
      <c r="V951" s="1030" t="n"/>
      <c r="W951" s="1030" t="n"/>
    </row>
    <row r="952" ht="15.75" customHeight="1" s="1349">
      <c r="A952" s="1292" t="n"/>
      <c r="B952" s="904" t="n"/>
      <c r="C952" s="904" t="n"/>
      <c r="D952" s="904" t="n"/>
      <c r="E952" s="904" t="n"/>
      <c r="F952" s="856" t="n"/>
      <c r="G952" s="866" t="n"/>
      <c r="H952" s="833" t="n"/>
      <c r="I952" s="904" t="n"/>
      <c r="J952" s="867">
        <f>F952*18%</f>
        <v/>
      </c>
      <c r="K952" s="867">
        <f>(F952-J952)*1.65%</f>
        <v/>
      </c>
      <c r="L952" s="867" t="n"/>
      <c r="M952" s="863" t="n"/>
      <c r="N952" s="864">
        <f>(G952+I952)*(9.25%)</f>
        <v/>
      </c>
      <c r="O952" s="904" t="n"/>
      <c r="P952" s="866" t="n"/>
      <c r="Q952" s="651" t="n"/>
      <c r="R952" s="1206" t="n"/>
      <c r="S952" s="904" t="n"/>
      <c r="T952" s="569" t="n"/>
      <c r="U952" s="1030" t="n"/>
      <c r="V952" s="1030" t="n"/>
      <c r="W952" s="1030" t="n"/>
    </row>
    <row r="953" ht="15.75" customHeight="1" s="1349">
      <c r="A953" s="1292" t="n"/>
      <c r="B953" s="904" t="n"/>
      <c r="C953" s="904" t="n"/>
      <c r="D953" s="904" t="n"/>
      <c r="E953" s="904" t="n"/>
      <c r="F953" s="856" t="n"/>
      <c r="G953" s="866" t="n"/>
      <c r="H953" s="833" t="n"/>
      <c r="I953" s="904" t="n"/>
      <c r="J953" s="867">
        <f>F953*18%</f>
        <v/>
      </c>
      <c r="K953" s="867">
        <f>(F953-J953)*1.65%</f>
        <v/>
      </c>
      <c r="L953" s="867" t="n"/>
      <c r="M953" s="863" t="n"/>
      <c r="N953" s="864">
        <f>(G953+I953)*(9.25%)</f>
        <v/>
      </c>
      <c r="O953" s="904" t="n"/>
      <c r="P953" s="866" t="n"/>
      <c r="Q953" s="651" t="n"/>
      <c r="R953" s="1206" t="n"/>
      <c r="S953" s="904" t="n"/>
      <c r="T953" s="569" t="n"/>
      <c r="U953" s="1030" t="n"/>
      <c r="V953" s="1030" t="n"/>
      <c r="W953" s="1030" t="n"/>
    </row>
    <row r="954" ht="15.75" customHeight="1" s="1349">
      <c r="A954" s="1292" t="n"/>
      <c r="B954" s="904" t="n"/>
      <c r="C954" s="904" t="n"/>
      <c r="D954" s="904" t="n"/>
      <c r="E954" s="904" t="n"/>
      <c r="F954" s="856" t="n"/>
      <c r="G954" s="866" t="n"/>
      <c r="H954" s="833" t="n"/>
      <c r="I954" s="904" t="n"/>
      <c r="J954" s="867">
        <f>F954*18%</f>
        <v/>
      </c>
      <c r="K954" s="867">
        <f>(F954-J954)*1.65%</f>
        <v/>
      </c>
      <c r="L954" s="867" t="n"/>
      <c r="M954" s="863" t="n"/>
      <c r="N954" s="864">
        <f>(G954+I954)*(9.25%)</f>
        <v/>
      </c>
      <c r="O954" s="904" t="n"/>
      <c r="P954" s="866" t="n"/>
      <c r="Q954" s="651" t="n"/>
      <c r="R954" s="1206" t="n"/>
      <c r="S954" s="904" t="n"/>
      <c r="T954" s="569" t="n"/>
      <c r="U954" s="1030" t="n"/>
      <c r="V954" s="1030" t="n"/>
      <c r="W954" s="1030" t="n"/>
    </row>
    <row r="955" ht="15.75" customHeight="1" s="1349">
      <c r="A955" s="1292" t="n"/>
      <c r="B955" s="904" t="n"/>
      <c r="C955" s="904" t="n"/>
      <c r="D955" s="904" t="n"/>
      <c r="E955" s="904" t="n"/>
      <c r="F955" s="856" t="n"/>
      <c r="G955" s="866" t="n"/>
      <c r="H955" s="833" t="n"/>
      <c r="I955" s="904" t="n"/>
      <c r="J955" s="867">
        <f>F955*18%</f>
        <v/>
      </c>
      <c r="K955" s="867">
        <f>(F955-J955)*1.65%</f>
        <v/>
      </c>
      <c r="L955" s="867" t="n"/>
      <c r="M955" s="863" t="n"/>
      <c r="N955" s="864">
        <f>(G955+I955)*(9.25%)</f>
        <v/>
      </c>
      <c r="O955" s="904" t="n"/>
      <c r="P955" s="866" t="n"/>
      <c r="Q955" s="651" t="n"/>
      <c r="R955" s="1206" t="n"/>
      <c r="S955" s="904" t="n"/>
      <c r="T955" s="569" t="n"/>
      <c r="U955" s="1030" t="n"/>
      <c r="V955" s="1030" t="n"/>
      <c r="W955" s="1030" t="n"/>
    </row>
    <row r="956" ht="15.75" customHeight="1" s="1349">
      <c r="A956" s="1292" t="n"/>
      <c r="B956" s="904" t="n"/>
      <c r="C956" s="904" t="n"/>
      <c r="D956" s="904" t="n"/>
      <c r="E956" s="904" t="n"/>
      <c r="F956" s="856" t="n"/>
      <c r="G956" s="866" t="n"/>
      <c r="H956" s="833" t="n"/>
      <c r="I956" s="904" t="n"/>
      <c r="J956" s="867">
        <f>F956*18%</f>
        <v/>
      </c>
      <c r="K956" s="867">
        <f>(F956-J956)*1.65%</f>
        <v/>
      </c>
      <c r="L956" s="867" t="n"/>
      <c r="M956" s="863" t="n"/>
      <c r="N956" s="864">
        <f>(G956+I956)*(9.25%)</f>
        <v/>
      </c>
      <c r="O956" s="904" t="n"/>
      <c r="P956" s="866" t="n"/>
      <c r="Q956" s="651" t="n"/>
      <c r="R956" s="1206" t="n"/>
      <c r="S956" s="904" t="n"/>
      <c r="T956" s="569" t="n"/>
      <c r="U956" s="1030" t="n"/>
      <c r="V956" s="1030" t="n"/>
      <c r="W956" s="1030" t="n"/>
    </row>
    <row r="957" ht="15.75" customHeight="1" s="1349">
      <c r="A957" s="1292" t="n"/>
      <c r="B957" s="904" t="n"/>
      <c r="C957" s="904" t="n"/>
      <c r="D957" s="904" t="n"/>
      <c r="E957" s="904" t="n"/>
      <c r="F957" s="856" t="n"/>
      <c r="G957" s="866" t="n"/>
      <c r="H957" s="833" t="n"/>
      <c r="I957" s="904" t="n"/>
      <c r="J957" s="867">
        <f>F957*18%</f>
        <v/>
      </c>
      <c r="K957" s="867">
        <f>(F957-J957)*1.65%</f>
        <v/>
      </c>
      <c r="L957" s="867" t="n"/>
      <c r="M957" s="863" t="n"/>
      <c r="N957" s="864">
        <f>(G957+I957)*(9.25%)</f>
        <v/>
      </c>
      <c r="O957" s="904" t="n"/>
      <c r="P957" s="866" t="n"/>
      <c r="Q957" s="651" t="n"/>
      <c r="R957" s="1206" t="n"/>
      <c r="S957" s="904" t="n"/>
      <c r="T957" s="569" t="n"/>
      <c r="U957" s="1030" t="n"/>
      <c r="V957" s="1030" t="n"/>
      <c r="W957" s="1030" t="n"/>
    </row>
    <row r="958" ht="15.75" customHeight="1" s="1349">
      <c r="A958" s="1292" t="n"/>
      <c r="B958" s="904" t="n"/>
      <c r="C958" s="904" t="n"/>
      <c r="D958" s="904" t="n"/>
      <c r="E958" s="904" t="n"/>
      <c r="F958" s="856" t="n"/>
      <c r="G958" s="866" t="n"/>
      <c r="H958" s="833" t="n"/>
      <c r="I958" s="904" t="n"/>
      <c r="J958" s="867">
        <f>F958*18%</f>
        <v/>
      </c>
      <c r="K958" s="867">
        <f>(F958-J958)*1.65%</f>
        <v/>
      </c>
      <c r="L958" s="867" t="n"/>
      <c r="M958" s="863" t="n"/>
      <c r="N958" s="864">
        <f>(G958+I958)*(9.25%)</f>
        <v/>
      </c>
      <c r="O958" s="904" t="n"/>
      <c r="P958" s="866" t="n"/>
      <c r="Q958" s="651" t="n"/>
      <c r="R958" s="1206" t="n"/>
      <c r="S958" s="904" t="n"/>
      <c r="T958" s="569" t="n"/>
      <c r="U958" s="1030" t="n"/>
      <c r="V958" s="1030" t="n"/>
      <c r="W958" s="1030" t="n"/>
    </row>
    <row r="959" ht="15.75" customHeight="1" s="1349">
      <c r="A959" s="1292" t="n"/>
      <c r="B959" s="904" t="n"/>
      <c r="C959" s="904" t="n"/>
      <c r="D959" s="904" t="n"/>
      <c r="E959" s="904" t="n"/>
      <c r="F959" s="856" t="n"/>
      <c r="G959" s="866" t="n"/>
      <c r="H959" s="833" t="n"/>
      <c r="I959" s="904" t="n"/>
      <c r="J959" s="867">
        <f>F959*18%</f>
        <v/>
      </c>
      <c r="K959" s="867">
        <f>(F959-J959)*1.65%</f>
        <v/>
      </c>
      <c r="L959" s="867" t="n"/>
      <c r="M959" s="863" t="n"/>
      <c r="N959" s="864">
        <f>(G959+I959)*(9.25%)</f>
        <v/>
      </c>
      <c r="O959" s="904" t="n"/>
      <c r="P959" s="866" t="n"/>
      <c r="Q959" s="651" t="n"/>
      <c r="R959" s="1206" t="n"/>
      <c r="S959" s="904" t="n"/>
      <c r="T959" s="569" t="n"/>
      <c r="U959" s="1030" t="n"/>
      <c r="V959" s="1030" t="n"/>
      <c r="W959" s="1030" t="n"/>
    </row>
    <row r="960" ht="15.75" customHeight="1" s="1349">
      <c r="A960" s="1292" t="n"/>
      <c r="B960" s="904" t="n"/>
      <c r="C960" s="904" t="n"/>
      <c r="D960" s="904" t="n"/>
      <c r="E960" s="904" t="n"/>
      <c r="F960" s="856" t="n"/>
      <c r="G960" s="866" t="n"/>
      <c r="H960" s="833" t="n"/>
      <c r="I960" s="904" t="n"/>
      <c r="J960" s="867">
        <f>F960*18%</f>
        <v/>
      </c>
      <c r="K960" s="867">
        <f>(F960-J960)*1.65%</f>
        <v/>
      </c>
      <c r="L960" s="867" t="n"/>
      <c r="M960" s="863" t="n"/>
      <c r="N960" s="864">
        <f>(G960+I960)*(9.25%)</f>
        <v/>
      </c>
      <c r="O960" s="904" t="n"/>
      <c r="P960" s="866" t="n"/>
      <c r="Q960" s="651" t="n"/>
      <c r="R960" s="1206" t="n"/>
      <c r="S960" s="904" t="n"/>
      <c r="T960" s="569" t="n"/>
      <c r="U960" s="1030" t="n"/>
      <c r="V960" s="1030" t="n"/>
      <c r="W960" s="1030" t="n"/>
    </row>
    <row r="961" ht="15.75" customHeight="1" s="1349">
      <c r="A961" s="1292" t="n"/>
      <c r="B961" s="904" t="n"/>
      <c r="C961" s="904" t="n"/>
      <c r="D961" s="904" t="n"/>
      <c r="E961" s="904" t="n"/>
      <c r="F961" s="856" t="n"/>
      <c r="G961" s="866" t="n"/>
      <c r="H961" s="833" t="n"/>
      <c r="I961" s="904" t="n"/>
      <c r="J961" s="867">
        <f>F961*18%</f>
        <v/>
      </c>
      <c r="K961" s="867">
        <f>(F961-J961)*1.65%</f>
        <v/>
      </c>
      <c r="L961" s="867" t="n"/>
      <c r="M961" s="863" t="n"/>
      <c r="N961" s="864">
        <f>(G961+I961)*(9.25%)</f>
        <v/>
      </c>
      <c r="O961" s="904" t="n"/>
      <c r="P961" s="866" t="n"/>
      <c r="Q961" s="651" t="n"/>
      <c r="R961" s="1206" t="n"/>
      <c r="S961" s="904" t="n"/>
      <c r="T961" s="569" t="n"/>
      <c r="U961" s="1030" t="n"/>
      <c r="V961" s="1030" t="n"/>
      <c r="W961" s="1030" t="n"/>
    </row>
    <row r="962" ht="15.75" customHeight="1" s="1349">
      <c r="A962" s="1292" t="n"/>
      <c r="B962" s="904" t="n"/>
      <c r="C962" s="904" t="n"/>
      <c r="D962" s="904" t="n"/>
      <c r="E962" s="904" t="n"/>
      <c r="F962" s="856" t="n"/>
      <c r="G962" s="866" t="n"/>
      <c r="H962" s="833" t="n"/>
      <c r="I962" s="904" t="n"/>
      <c r="J962" s="867">
        <f>F962*18%</f>
        <v/>
      </c>
      <c r="K962" s="867">
        <f>(F962-J962)*1.65%</f>
        <v/>
      </c>
      <c r="L962" s="867" t="n"/>
      <c r="M962" s="863" t="n"/>
      <c r="N962" s="864">
        <f>(G962+I962)*(9.25%)</f>
        <v/>
      </c>
      <c r="O962" s="904" t="n"/>
      <c r="P962" s="866" t="n"/>
      <c r="Q962" s="651" t="n"/>
      <c r="R962" s="1206" t="n"/>
      <c r="S962" s="904" t="n"/>
      <c r="T962" s="569" t="n"/>
      <c r="U962" s="1030" t="n"/>
      <c r="V962" s="1030" t="n"/>
      <c r="W962" s="1030" t="n"/>
    </row>
    <row r="963" ht="15.75" customHeight="1" s="1349">
      <c r="A963" s="1292" t="n"/>
      <c r="B963" s="904" t="n"/>
      <c r="C963" s="904" t="n"/>
      <c r="D963" s="904" t="n"/>
      <c r="E963" s="904" t="n"/>
      <c r="F963" s="856" t="n"/>
      <c r="G963" s="866" t="n"/>
      <c r="H963" s="833" t="n"/>
      <c r="I963" s="904" t="n"/>
      <c r="J963" s="867">
        <f>F963*18%</f>
        <v/>
      </c>
      <c r="K963" s="867">
        <f>(F963-J963)*1.65%</f>
        <v/>
      </c>
      <c r="L963" s="867" t="n"/>
      <c r="M963" s="863" t="n"/>
      <c r="N963" s="864">
        <f>(G963+I963)*(9.25%)</f>
        <v/>
      </c>
      <c r="O963" s="904" t="n"/>
      <c r="P963" s="866" t="n"/>
      <c r="Q963" s="651" t="n"/>
      <c r="R963" s="1206" t="n"/>
      <c r="S963" s="904" t="n"/>
      <c r="T963" s="569" t="n"/>
      <c r="U963" s="1030" t="n"/>
      <c r="V963" s="1030" t="n"/>
      <c r="W963" s="1030" t="n"/>
    </row>
    <row r="964" ht="15.75" customHeight="1" s="1349">
      <c r="A964" s="1292" t="n"/>
      <c r="B964" s="904" t="n"/>
      <c r="C964" s="904" t="n"/>
      <c r="D964" s="904" t="n"/>
      <c r="E964" s="904" t="n"/>
      <c r="F964" s="856" t="n"/>
      <c r="G964" s="866" t="n"/>
      <c r="H964" s="833" t="n"/>
      <c r="I964" s="904" t="n"/>
      <c r="J964" s="867">
        <f>F964*18%</f>
        <v/>
      </c>
      <c r="K964" s="867">
        <f>(F964-J964)*1.65%</f>
        <v/>
      </c>
      <c r="L964" s="867" t="n"/>
      <c r="M964" s="863" t="n"/>
      <c r="N964" s="864">
        <f>(G964+I964)*(9.25%)</f>
        <v/>
      </c>
      <c r="O964" s="904" t="n"/>
      <c r="P964" s="866" t="n"/>
      <c r="Q964" s="651" t="n"/>
      <c r="R964" s="1206" t="n"/>
      <c r="S964" s="904" t="n"/>
      <c r="T964" s="569" t="n"/>
      <c r="U964" s="1030" t="n"/>
      <c r="V964" s="1030" t="n"/>
      <c r="W964" s="1030" t="n"/>
    </row>
    <row r="965" ht="15.75" customHeight="1" s="1349">
      <c r="A965" s="1292" t="n"/>
      <c r="B965" s="904" t="n"/>
      <c r="C965" s="904" t="n"/>
      <c r="D965" s="904" t="n"/>
      <c r="E965" s="904" t="n"/>
      <c r="F965" s="856" t="n"/>
      <c r="G965" s="866" t="n"/>
      <c r="H965" s="833" t="n"/>
      <c r="I965" s="904" t="n"/>
      <c r="J965" s="867">
        <f>F965*18%</f>
        <v/>
      </c>
      <c r="K965" s="867">
        <f>(F965-J965)*1.65%</f>
        <v/>
      </c>
      <c r="L965" s="867" t="n"/>
      <c r="M965" s="863" t="n"/>
      <c r="N965" s="864">
        <f>(G965+I965)*(9.25%)</f>
        <v/>
      </c>
      <c r="O965" s="904" t="n"/>
      <c r="P965" s="866" t="n"/>
      <c r="Q965" s="651" t="n"/>
      <c r="R965" s="1206" t="n"/>
      <c r="S965" s="904" t="n"/>
      <c r="T965" s="569" t="n"/>
      <c r="U965" s="1030" t="n"/>
      <c r="V965" s="1030" t="n"/>
      <c r="W965" s="1030" t="n"/>
    </row>
    <row r="966" ht="15.75" customHeight="1" s="1349">
      <c r="A966" s="1292" t="n"/>
      <c r="B966" s="904" t="n"/>
      <c r="C966" s="904" t="n"/>
      <c r="D966" s="904" t="n"/>
      <c r="E966" s="904" t="n"/>
      <c r="F966" s="856" t="n"/>
      <c r="G966" s="866" t="n"/>
      <c r="H966" s="833" t="n"/>
      <c r="I966" s="904" t="n"/>
      <c r="J966" s="867">
        <f>F966*18%</f>
        <v/>
      </c>
      <c r="K966" s="867">
        <f>(F966-J966)*1.65%</f>
        <v/>
      </c>
      <c r="L966" s="867" t="n"/>
      <c r="M966" s="863" t="n"/>
      <c r="N966" s="864">
        <f>(G966+I966)*(9.25%)</f>
        <v/>
      </c>
      <c r="O966" s="904" t="n"/>
      <c r="P966" s="866" t="n"/>
      <c r="Q966" s="651" t="n"/>
      <c r="R966" s="1206" t="n"/>
      <c r="S966" s="904" t="n"/>
      <c r="T966" s="569" t="n"/>
      <c r="U966" s="1030" t="n"/>
      <c r="V966" s="1030" t="n"/>
      <c r="W966" s="1030" t="n"/>
    </row>
    <row r="967" ht="15.75" customHeight="1" s="1349">
      <c r="A967" s="1292" t="n"/>
      <c r="B967" s="904" t="n"/>
      <c r="C967" s="904" t="n"/>
      <c r="D967" s="904" t="n"/>
      <c r="E967" s="904" t="n"/>
      <c r="F967" s="856" t="n"/>
      <c r="G967" s="866" t="n"/>
      <c r="H967" s="833" t="n"/>
      <c r="I967" s="904" t="n"/>
      <c r="J967" s="867">
        <f>F967*18%</f>
        <v/>
      </c>
      <c r="K967" s="867">
        <f>(F967-J967)*1.65%</f>
        <v/>
      </c>
      <c r="L967" s="867" t="n"/>
      <c r="M967" s="863" t="n"/>
      <c r="N967" s="864">
        <f>(G967+I967)*(9.25%)</f>
        <v/>
      </c>
      <c r="O967" s="904" t="n"/>
      <c r="P967" s="866" t="n"/>
      <c r="Q967" s="651" t="n"/>
      <c r="R967" s="1206" t="n"/>
      <c r="S967" s="904" t="n"/>
      <c r="T967" s="569" t="n"/>
      <c r="U967" s="1030" t="n"/>
      <c r="V967" s="1030" t="n"/>
      <c r="W967" s="1030" t="n"/>
    </row>
    <row r="968" ht="15.75" customHeight="1" s="1349">
      <c r="A968" s="1292" t="n"/>
      <c r="B968" s="904" t="n"/>
      <c r="C968" s="904" t="n"/>
      <c r="D968" s="904" t="n"/>
      <c r="E968" s="904" t="n"/>
      <c r="F968" s="856" t="n"/>
      <c r="G968" s="866" t="n"/>
      <c r="H968" s="833" t="n"/>
      <c r="I968" s="904" t="n"/>
      <c r="J968" s="867">
        <f>F968*18%</f>
        <v/>
      </c>
      <c r="K968" s="867">
        <f>(F968-J968)*1.65%</f>
        <v/>
      </c>
      <c r="L968" s="867" t="n"/>
      <c r="M968" s="863" t="n"/>
      <c r="N968" s="864">
        <f>(G968+I968)*(9.25%)</f>
        <v/>
      </c>
      <c r="O968" s="904" t="n"/>
      <c r="P968" s="866" t="n"/>
      <c r="Q968" s="651" t="n"/>
      <c r="R968" s="1206" t="n"/>
      <c r="S968" s="904" t="n"/>
      <c r="T968" s="569" t="n"/>
      <c r="U968" s="1030" t="n"/>
      <c r="V968" s="1030" t="n"/>
      <c r="W968" s="1030" t="n"/>
    </row>
    <row r="969" ht="15.75" customHeight="1" s="1349">
      <c r="A969" s="1292" t="n"/>
      <c r="B969" s="904" t="n"/>
      <c r="C969" s="904" t="n"/>
      <c r="D969" s="904" t="n"/>
      <c r="E969" s="904" t="n"/>
      <c r="F969" s="856" t="n"/>
      <c r="G969" s="866" t="n"/>
      <c r="H969" s="833" t="n"/>
      <c r="I969" s="904" t="n"/>
      <c r="J969" s="867">
        <f>F969*18%</f>
        <v/>
      </c>
      <c r="K969" s="867">
        <f>(F969-J969)*1.65%</f>
        <v/>
      </c>
      <c r="L969" s="867" t="n"/>
      <c r="M969" s="863" t="n"/>
      <c r="N969" s="864">
        <f>(G969+I969)*(9.25%)</f>
        <v/>
      </c>
      <c r="O969" s="904" t="n"/>
      <c r="P969" s="866" t="n"/>
      <c r="Q969" s="651" t="n"/>
      <c r="R969" s="1206" t="n"/>
      <c r="S969" s="904" t="n"/>
      <c r="T969" s="569" t="n"/>
      <c r="U969" s="1030" t="n"/>
      <c r="V969" s="1030" t="n"/>
      <c r="W969" s="1030" t="n"/>
    </row>
    <row r="970" ht="15.75" customHeight="1" s="1349">
      <c r="A970" s="1292" t="n"/>
      <c r="B970" s="904" t="n"/>
      <c r="C970" s="904" t="n"/>
      <c r="D970" s="904" t="n"/>
      <c r="E970" s="904" t="n"/>
      <c r="F970" s="856" t="n"/>
      <c r="G970" s="866" t="n"/>
      <c r="H970" s="833" t="n"/>
      <c r="I970" s="904" t="n"/>
      <c r="J970" s="867">
        <f>F970*18%</f>
        <v/>
      </c>
      <c r="K970" s="867">
        <f>(F970-J970)*1.65%</f>
        <v/>
      </c>
      <c r="L970" s="867" t="n"/>
      <c r="M970" s="863" t="n"/>
      <c r="N970" s="864">
        <f>(G970+I970)*(9.25%)</f>
        <v/>
      </c>
      <c r="O970" s="904" t="n"/>
      <c r="P970" s="866" t="n"/>
      <c r="Q970" s="651" t="n"/>
      <c r="R970" s="1206" t="n"/>
      <c r="S970" s="904" t="n"/>
      <c r="T970" s="569" t="n"/>
      <c r="U970" s="1030" t="n"/>
      <c r="V970" s="1030" t="n"/>
      <c r="W970" s="1030" t="n"/>
    </row>
    <row r="971" ht="15.75" customHeight="1" s="1349">
      <c r="A971" s="1292" t="n"/>
      <c r="B971" s="904" t="n"/>
      <c r="C971" s="904" t="n"/>
      <c r="D971" s="904" t="n"/>
      <c r="E971" s="904" t="n"/>
      <c r="F971" s="856" t="n"/>
      <c r="G971" s="866" t="n"/>
      <c r="H971" s="833" t="n"/>
      <c r="I971" s="904" t="n"/>
      <c r="J971" s="867">
        <f>F971*18%</f>
        <v/>
      </c>
      <c r="K971" s="867">
        <f>(F971-J971)*1.65%</f>
        <v/>
      </c>
      <c r="L971" s="867" t="n"/>
      <c r="M971" s="863" t="n"/>
      <c r="N971" s="864">
        <f>(G971+I971)*(9.25%)</f>
        <v/>
      </c>
      <c r="O971" s="904" t="n"/>
      <c r="P971" s="866" t="n"/>
      <c r="Q971" s="651" t="n"/>
      <c r="R971" s="1206" t="n"/>
      <c r="S971" s="904" t="n"/>
      <c r="T971" s="569" t="n"/>
      <c r="U971" s="1030" t="n"/>
      <c r="V971" s="1030" t="n"/>
      <c r="W971" s="1030" t="n"/>
    </row>
    <row r="972" ht="15.75" customHeight="1" s="1349">
      <c r="A972" s="1292" t="n"/>
      <c r="B972" s="904" t="n"/>
      <c r="C972" s="904" t="n"/>
      <c r="D972" s="904" t="n"/>
      <c r="E972" s="904" t="n"/>
      <c r="F972" s="856" t="n"/>
      <c r="G972" s="866" t="n"/>
      <c r="H972" s="833" t="n"/>
      <c r="I972" s="904" t="n"/>
      <c r="J972" s="867">
        <f>F972*18%</f>
        <v/>
      </c>
      <c r="K972" s="867">
        <f>(F972-J972)*1.65%</f>
        <v/>
      </c>
      <c r="L972" s="867" t="n"/>
      <c r="M972" s="863" t="n"/>
      <c r="N972" s="864">
        <f>(G972+I972)*(9.25%)</f>
        <v/>
      </c>
      <c r="O972" s="904" t="n"/>
      <c r="P972" s="866" t="n"/>
      <c r="Q972" s="651" t="n"/>
      <c r="R972" s="1206" t="n"/>
      <c r="S972" s="904" t="n"/>
      <c r="T972" s="569" t="n"/>
      <c r="U972" s="1030" t="n"/>
      <c r="V972" s="1030" t="n"/>
      <c r="W972" s="1030" t="n"/>
    </row>
    <row r="973" ht="15.75" customHeight="1" s="1349">
      <c r="A973" s="1292" t="n"/>
      <c r="B973" s="904" t="n"/>
      <c r="C973" s="904" t="n"/>
      <c r="D973" s="904" t="n"/>
      <c r="E973" s="904" t="n"/>
      <c r="F973" s="856" t="n"/>
      <c r="G973" s="866" t="n"/>
      <c r="H973" s="833" t="n"/>
      <c r="I973" s="904" t="n"/>
      <c r="J973" s="867">
        <f>F973*18%</f>
        <v/>
      </c>
      <c r="K973" s="867">
        <f>(F973-J973)*1.65%</f>
        <v/>
      </c>
      <c r="L973" s="867" t="n"/>
      <c r="M973" s="863" t="n"/>
      <c r="N973" s="864">
        <f>(G973+I973)*(9.25%)</f>
        <v/>
      </c>
      <c r="O973" s="904" t="n"/>
      <c r="P973" s="866" t="n"/>
      <c r="Q973" s="651" t="n"/>
      <c r="R973" s="1206" t="n"/>
      <c r="S973" s="904" t="n"/>
      <c r="T973" s="569" t="n"/>
      <c r="U973" s="1030" t="n"/>
      <c r="V973" s="1030" t="n"/>
      <c r="W973" s="1030" t="n"/>
    </row>
    <row r="974" ht="15.75" customHeight="1" s="1349">
      <c r="A974" s="1292" t="n"/>
      <c r="B974" s="904" t="n"/>
      <c r="C974" s="904" t="n"/>
      <c r="D974" s="904" t="n"/>
      <c r="E974" s="904" t="n"/>
      <c r="F974" s="856" t="n"/>
      <c r="G974" s="866" t="n"/>
      <c r="H974" s="833" t="n"/>
      <c r="I974" s="904" t="n"/>
      <c r="J974" s="867">
        <f>F974*18%</f>
        <v/>
      </c>
      <c r="K974" s="867">
        <f>(F974-J974)*1.65%</f>
        <v/>
      </c>
      <c r="L974" s="867" t="n"/>
      <c r="M974" s="863" t="n"/>
      <c r="N974" s="864">
        <f>(G974+I974)*(9.25%)</f>
        <v/>
      </c>
      <c r="O974" s="904" t="n"/>
      <c r="P974" s="866" t="n"/>
      <c r="Q974" s="651" t="n"/>
      <c r="R974" s="1206" t="n"/>
      <c r="S974" s="904" t="n"/>
      <c r="T974" s="569" t="n"/>
      <c r="U974" s="1030" t="n"/>
      <c r="V974" s="1030" t="n"/>
      <c r="W974" s="1030" t="n"/>
    </row>
    <row r="975" ht="15.75" customHeight="1" s="1349">
      <c r="A975" s="1292" t="n"/>
      <c r="B975" s="904" t="n"/>
      <c r="C975" s="904" t="n"/>
      <c r="D975" s="904" t="n"/>
      <c r="E975" s="904" t="n"/>
      <c r="F975" s="856" t="n"/>
      <c r="G975" s="866" t="n"/>
      <c r="H975" s="833" t="n"/>
      <c r="I975" s="904" t="n"/>
      <c r="J975" s="867">
        <f>F975*18%</f>
        <v/>
      </c>
      <c r="K975" s="867">
        <f>(F975-J975)*1.65%</f>
        <v/>
      </c>
      <c r="L975" s="867" t="n"/>
      <c r="M975" s="863" t="n"/>
      <c r="N975" s="864">
        <f>(G975+I975)*(9.25%)</f>
        <v/>
      </c>
      <c r="O975" s="904" t="n"/>
      <c r="P975" s="866" t="n"/>
      <c r="Q975" s="651" t="n"/>
      <c r="R975" s="1206" t="n"/>
      <c r="S975" s="904" t="n"/>
      <c r="T975" s="569" t="n"/>
      <c r="U975" s="1030" t="n"/>
      <c r="V975" s="1030" t="n"/>
      <c r="W975" s="1030" t="n"/>
    </row>
    <row r="976" ht="15.75" customHeight="1" s="1349">
      <c r="A976" s="1292" t="n"/>
      <c r="B976" s="904" t="n"/>
      <c r="C976" s="904" t="n"/>
      <c r="D976" s="904" t="n"/>
      <c r="E976" s="904" t="n"/>
      <c r="F976" s="856" t="n"/>
      <c r="G976" s="866" t="n"/>
      <c r="H976" s="833" t="n"/>
      <c r="I976" s="904" t="n"/>
      <c r="J976" s="867">
        <f>F976*18%</f>
        <v/>
      </c>
      <c r="K976" s="867">
        <f>(F976-J976)*1.65%</f>
        <v/>
      </c>
      <c r="L976" s="867" t="n"/>
      <c r="M976" s="863" t="n"/>
      <c r="N976" s="864">
        <f>(G976+I976)*(9.25%)</f>
        <v/>
      </c>
      <c r="O976" s="904" t="n"/>
      <c r="P976" s="866" t="n"/>
      <c r="Q976" s="651" t="n"/>
      <c r="R976" s="1206" t="n"/>
      <c r="S976" s="904" t="n"/>
      <c r="T976" s="569" t="n"/>
      <c r="U976" s="1030" t="n"/>
      <c r="V976" s="1030" t="n"/>
      <c r="W976" s="1030" t="n"/>
    </row>
    <row r="977" ht="15.75" customHeight="1" s="1349">
      <c r="A977" s="1292" t="n"/>
      <c r="B977" s="904" t="n"/>
      <c r="C977" s="904" t="n"/>
      <c r="D977" s="904" t="n"/>
      <c r="E977" s="904" t="n"/>
      <c r="F977" s="856" t="n"/>
      <c r="G977" s="866" t="n"/>
      <c r="H977" s="833" t="n"/>
      <c r="I977" s="904" t="n"/>
      <c r="J977" s="867">
        <f>F977*18%</f>
        <v/>
      </c>
      <c r="K977" s="867">
        <f>(F977-J977)*1.65%</f>
        <v/>
      </c>
      <c r="L977" s="867" t="n"/>
      <c r="M977" s="863" t="n"/>
      <c r="N977" s="864">
        <f>(G977+I977)*(9.25%)</f>
        <v/>
      </c>
      <c r="O977" s="904" t="n"/>
      <c r="P977" s="866" t="n"/>
      <c r="Q977" s="651" t="n"/>
      <c r="R977" s="1206" t="n"/>
      <c r="S977" s="904" t="n"/>
      <c r="T977" s="569" t="n"/>
      <c r="U977" s="1030" t="n"/>
      <c r="V977" s="1030" t="n"/>
      <c r="W977" s="1030" t="n"/>
    </row>
    <row r="978" ht="15.75" customHeight="1" s="1349">
      <c r="A978" s="1292" t="n"/>
      <c r="B978" s="904" t="n"/>
      <c r="C978" s="904" t="n"/>
      <c r="D978" s="904" t="n"/>
      <c r="E978" s="904" t="n"/>
      <c r="F978" s="856" t="n"/>
      <c r="G978" s="866" t="n"/>
      <c r="H978" s="833" t="n"/>
      <c r="I978" s="904" t="n"/>
      <c r="J978" s="867">
        <f>F978*18%</f>
        <v/>
      </c>
      <c r="K978" s="867">
        <f>(F978-J978)*1.65%</f>
        <v/>
      </c>
      <c r="L978" s="867" t="n"/>
      <c r="M978" s="863" t="n"/>
      <c r="N978" s="864">
        <f>(G978+I978)*(9.25%)</f>
        <v/>
      </c>
      <c r="O978" s="904" t="n"/>
      <c r="P978" s="866" t="n"/>
      <c r="Q978" s="651" t="n"/>
      <c r="R978" s="1206" t="n"/>
      <c r="S978" s="904" t="n"/>
      <c r="T978" s="569" t="n"/>
      <c r="U978" s="1030" t="n"/>
      <c r="V978" s="1030" t="n"/>
      <c r="W978" s="1030" t="n"/>
    </row>
    <row r="979" ht="15.75" customHeight="1" s="1349">
      <c r="A979" s="1292" t="n"/>
      <c r="B979" s="904" t="n"/>
      <c r="C979" s="904" t="n"/>
      <c r="D979" s="904" t="n"/>
      <c r="E979" s="904" t="n"/>
      <c r="F979" s="856" t="n"/>
      <c r="G979" s="866" t="n"/>
      <c r="H979" s="833" t="n"/>
      <c r="I979" s="904" t="n"/>
      <c r="J979" s="867">
        <f>F979*18%</f>
        <v/>
      </c>
      <c r="K979" s="867">
        <f>(F979-J979)*1.65%</f>
        <v/>
      </c>
      <c r="L979" s="867" t="n"/>
      <c r="M979" s="863" t="n"/>
      <c r="N979" s="864">
        <f>(G979+I979)*(9.25%)</f>
        <v/>
      </c>
      <c r="O979" s="904" t="n"/>
      <c r="P979" s="866" t="n"/>
      <c r="Q979" s="651" t="n"/>
      <c r="R979" s="1206" t="n"/>
      <c r="S979" s="904" t="n"/>
      <c r="T979" s="569" t="n"/>
      <c r="U979" s="1030" t="n"/>
      <c r="V979" s="1030" t="n"/>
      <c r="W979" s="1030" t="n"/>
    </row>
    <row r="980" ht="15.75" customHeight="1" s="1349">
      <c r="A980" s="1292" t="n"/>
      <c r="B980" s="904" t="n"/>
      <c r="C980" s="904" t="n"/>
      <c r="D980" s="904" t="n"/>
      <c r="E980" s="904" t="n"/>
      <c r="F980" s="856" t="n"/>
      <c r="G980" s="866" t="n"/>
      <c r="H980" s="833" t="n"/>
      <c r="I980" s="904" t="n"/>
      <c r="J980" s="867">
        <f>F980*18%</f>
        <v/>
      </c>
      <c r="K980" s="867">
        <f>(F980-J980)*1.65%</f>
        <v/>
      </c>
      <c r="L980" s="867" t="n"/>
      <c r="M980" s="863" t="n"/>
      <c r="N980" s="864">
        <f>(G980+I980)*(9.25%)</f>
        <v/>
      </c>
      <c r="O980" s="904" t="n"/>
      <c r="P980" s="866" t="n"/>
      <c r="Q980" s="651" t="n"/>
      <c r="R980" s="1206" t="n"/>
      <c r="S980" s="904" t="n"/>
      <c r="T980" s="569" t="n"/>
      <c r="U980" s="1030" t="n"/>
      <c r="V980" s="1030" t="n"/>
      <c r="W980" s="1030" t="n"/>
    </row>
    <row r="981" ht="15.75" customHeight="1" s="1349">
      <c r="A981" s="1292" t="n"/>
      <c r="B981" s="904" t="n"/>
      <c r="C981" s="904" t="n"/>
      <c r="D981" s="904" t="n"/>
      <c r="E981" s="904" t="n"/>
      <c r="F981" s="856" t="n"/>
      <c r="G981" s="866" t="n"/>
      <c r="H981" s="833" t="n"/>
      <c r="I981" s="904" t="n"/>
      <c r="J981" s="867">
        <f>F981*18%</f>
        <v/>
      </c>
      <c r="K981" s="867">
        <f>(F981-J981)*1.65%</f>
        <v/>
      </c>
      <c r="L981" s="867" t="n"/>
      <c r="M981" s="863" t="n"/>
      <c r="N981" s="864">
        <f>(G981+I981)*(9.25%)</f>
        <v/>
      </c>
      <c r="O981" s="904" t="n"/>
      <c r="P981" s="866" t="n"/>
      <c r="Q981" s="651" t="n"/>
      <c r="R981" s="1206" t="n"/>
      <c r="S981" s="904" t="n"/>
      <c r="T981" s="569" t="n"/>
      <c r="U981" s="1030" t="n"/>
      <c r="V981" s="1030" t="n"/>
      <c r="W981" s="1030" t="n"/>
    </row>
    <row r="982" ht="15.75" customHeight="1" s="1349">
      <c r="A982" s="1292" t="n"/>
      <c r="B982" s="904" t="n"/>
      <c r="C982" s="904" t="n"/>
      <c r="D982" s="904" t="n"/>
      <c r="E982" s="904" t="n"/>
      <c r="F982" s="856" t="n"/>
      <c r="G982" s="866" t="n"/>
      <c r="H982" s="833" t="n"/>
      <c r="I982" s="904" t="n"/>
      <c r="J982" s="867">
        <f>F982*18%</f>
        <v/>
      </c>
      <c r="K982" s="867">
        <f>(F982-J982)*1.65%</f>
        <v/>
      </c>
      <c r="L982" s="867" t="n"/>
      <c r="M982" s="863" t="n"/>
      <c r="N982" s="864">
        <f>(G982+I982)*(9.25%)</f>
        <v/>
      </c>
      <c r="O982" s="904" t="n"/>
      <c r="P982" s="866" t="n"/>
      <c r="Q982" s="651" t="n"/>
      <c r="R982" s="1206" t="n"/>
      <c r="S982" s="904" t="n"/>
      <c r="T982" s="569" t="n"/>
      <c r="U982" s="1030" t="n"/>
      <c r="V982" s="1030" t="n"/>
      <c r="W982" s="1030" t="n"/>
    </row>
    <row r="983" ht="15.75" customHeight="1" s="1349">
      <c r="A983" s="1292" t="n"/>
      <c r="B983" s="904" t="n"/>
      <c r="C983" s="904" t="n"/>
      <c r="D983" s="904" t="n"/>
      <c r="E983" s="904" t="n"/>
      <c r="F983" s="856" t="n"/>
      <c r="G983" s="866" t="n"/>
      <c r="H983" s="833" t="n"/>
      <c r="I983" s="904" t="n"/>
      <c r="J983" s="867">
        <f>F983*18%</f>
        <v/>
      </c>
      <c r="K983" s="867">
        <f>(F983-J983)*1.65%</f>
        <v/>
      </c>
      <c r="L983" s="867" t="n"/>
      <c r="M983" s="863" t="n"/>
      <c r="N983" s="864">
        <f>(G983+I983)*(9.25%)</f>
        <v/>
      </c>
      <c r="O983" s="904" t="n"/>
      <c r="P983" s="866" t="n"/>
      <c r="Q983" s="651" t="n"/>
      <c r="R983" s="1206" t="n"/>
      <c r="S983" s="904" t="n"/>
      <c r="T983" s="569" t="n"/>
      <c r="U983" s="1030" t="n"/>
      <c r="V983" s="1030" t="n"/>
      <c r="W983" s="1030" t="n"/>
    </row>
    <row r="984" ht="15.75" customHeight="1" s="1349">
      <c r="A984" s="1292" t="n"/>
      <c r="B984" s="904" t="n"/>
      <c r="C984" s="904" t="n"/>
      <c r="D984" s="904" t="n"/>
      <c r="E984" s="904" t="n"/>
      <c r="F984" s="856" t="n"/>
      <c r="G984" s="866" t="n"/>
      <c r="H984" s="833" t="n"/>
      <c r="I984" s="904" t="n"/>
      <c r="J984" s="867">
        <f>F984*18%</f>
        <v/>
      </c>
      <c r="K984" s="867">
        <f>(F984-J984)*1.65%</f>
        <v/>
      </c>
      <c r="L984" s="867" t="n"/>
      <c r="M984" s="863" t="n"/>
      <c r="N984" s="864">
        <f>(G984+I984)*(9.25%)</f>
        <v/>
      </c>
      <c r="O984" s="904" t="n"/>
      <c r="P984" s="866" t="n"/>
      <c r="Q984" s="651" t="n"/>
      <c r="R984" s="1206" t="n"/>
      <c r="S984" s="904" t="n"/>
      <c r="T984" s="569" t="n"/>
      <c r="U984" s="1030" t="n"/>
      <c r="V984" s="1030" t="n"/>
      <c r="W984" s="1030" t="n"/>
    </row>
    <row r="985" ht="15.75" customHeight="1" s="1349">
      <c r="A985" s="1292" t="n"/>
      <c r="B985" s="904" t="n"/>
      <c r="C985" s="904" t="n"/>
      <c r="D985" s="904" t="n"/>
      <c r="E985" s="904" t="n"/>
      <c r="F985" s="856" t="n"/>
      <c r="G985" s="866" t="n"/>
      <c r="H985" s="833" t="n"/>
      <c r="I985" s="904" t="n"/>
      <c r="J985" s="867">
        <f>F985*18%</f>
        <v/>
      </c>
      <c r="K985" s="867">
        <f>(F985-J985)*1.65%</f>
        <v/>
      </c>
      <c r="L985" s="867" t="n"/>
      <c r="M985" s="863" t="n"/>
      <c r="N985" s="864">
        <f>(G985+I985)*(9.25%)</f>
        <v/>
      </c>
      <c r="O985" s="904" t="n"/>
      <c r="P985" s="866" t="n"/>
      <c r="Q985" s="651" t="n"/>
      <c r="R985" s="1206" t="n"/>
      <c r="S985" s="904" t="n"/>
      <c r="T985" s="569" t="n"/>
      <c r="U985" s="1030" t="n"/>
      <c r="V985" s="1030" t="n"/>
      <c r="W985" s="1030" t="n"/>
    </row>
    <row r="986" ht="15.75" customHeight="1" s="1349">
      <c r="A986" s="1292" t="n"/>
      <c r="B986" s="904" t="n"/>
      <c r="C986" s="904" t="n"/>
      <c r="D986" s="904" t="n"/>
      <c r="E986" s="904" t="n"/>
      <c r="F986" s="856" t="n"/>
      <c r="G986" s="866" t="n"/>
      <c r="H986" s="833" t="n"/>
      <c r="I986" s="904" t="n"/>
      <c r="J986" s="867">
        <f>F986*18%</f>
        <v/>
      </c>
      <c r="K986" s="867">
        <f>(F986-J986)*1.65%</f>
        <v/>
      </c>
      <c r="L986" s="867" t="n"/>
      <c r="M986" s="863" t="n"/>
      <c r="N986" s="864">
        <f>(G986+I986)*(9.25%)</f>
        <v/>
      </c>
      <c r="O986" s="904" t="n"/>
      <c r="P986" s="866" t="n"/>
      <c r="Q986" s="651" t="n"/>
      <c r="R986" s="1206" t="n"/>
      <c r="S986" s="904" t="n"/>
      <c r="T986" s="569" t="n"/>
      <c r="U986" s="1030" t="n"/>
      <c r="V986" s="1030" t="n"/>
      <c r="W986" s="1030" t="n"/>
    </row>
    <row r="987" ht="15.75" customHeight="1" s="1349">
      <c r="A987" s="1292" t="n"/>
      <c r="B987" s="904" t="n"/>
      <c r="C987" s="904" t="n"/>
      <c r="D987" s="904" t="n"/>
      <c r="E987" s="904" t="n"/>
      <c r="F987" s="856" t="n"/>
      <c r="G987" s="866" t="n"/>
      <c r="H987" s="833" t="n"/>
      <c r="I987" s="904" t="n"/>
      <c r="J987" s="867">
        <f>F987*18%</f>
        <v/>
      </c>
      <c r="K987" s="867">
        <f>(F987-J987)*1.65%</f>
        <v/>
      </c>
      <c r="L987" s="867" t="n"/>
      <c r="M987" s="863" t="n"/>
      <c r="N987" s="864">
        <f>(G987+I987)*(9.25%)</f>
        <v/>
      </c>
      <c r="O987" s="904" t="n"/>
      <c r="P987" s="866" t="n"/>
      <c r="Q987" s="651" t="n"/>
      <c r="R987" s="1206" t="n"/>
      <c r="S987" s="904" t="n"/>
      <c r="T987" s="569" t="n"/>
      <c r="U987" s="1030" t="n"/>
      <c r="V987" s="1030" t="n"/>
      <c r="W987" s="1030" t="n"/>
    </row>
    <row r="988" ht="15.75" customHeight="1" s="1349">
      <c r="A988" s="1292" t="n"/>
      <c r="B988" s="904" t="n"/>
      <c r="C988" s="904" t="n"/>
      <c r="D988" s="904" t="n"/>
      <c r="E988" s="904" t="n"/>
      <c r="F988" s="856" t="n"/>
      <c r="G988" s="866" t="n"/>
      <c r="H988" s="833" t="n"/>
      <c r="I988" s="904" t="n"/>
      <c r="J988" s="867">
        <f>F988*18%</f>
        <v/>
      </c>
      <c r="K988" s="867">
        <f>(F988-J988)*1.65%</f>
        <v/>
      </c>
      <c r="L988" s="867" t="n"/>
      <c r="M988" s="863" t="n"/>
      <c r="N988" s="864">
        <f>(G988+I988)*(9.25%)</f>
        <v/>
      </c>
      <c r="O988" s="904" t="n"/>
      <c r="P988" s="866" t="n"/>
      <c r="Q988" s="651" t="n"/>
      <c r="R988" s="1206" t="n"/>
      <c r="S988" s="904" t="n"/>
      <c r="T988" s="569" t="n"/>
      <c r="U988" s="1030" t="n"/>
      <c r="V988" s="1030" t="n"/>
      <c r="W988" s="1030" t="n"/>
    </row>
    <row r="989" ht="15.75" customHeight="1" s="1349">
      <c r="A989" s="1292" t="n"/>
      <c r="B989" s="904" t="n"/>
      <c r="C989" s="904" t="n"/>
      <c r="D989" s="904" t="n"/>
      <c r="E989" s="904" t="n"/>
      <c r="F989" s="856" t="n"/>
      <c r="G989" s="866" t="n"/>
      <c r="H989" s="833" t="n"/>
      <c r="I989" s="904" t="n"/>
      <c r="J989" s="867">
        <f>F989*18%</f>
        <v/>
      </c>
      <c r="K989" s="867">
        <f>(F989-J989)*1.65%</f>
        <v/>
      </c>
      <c r="L989" s="867" t="n"/>
      <c r="M989" s="863" t="n"/>
      <c r="N989" s="864">
        <f>(G989+I989)*(9.25%)</f>
        <v/>
      </c>
      <c r="O989" s="904" t="n"/>
      <c r="P989" s="866" t="n"/>
      <c r="Q989" s="651" t="n"/>
      <c r="R989" s="1206" t="n"/>
      <c r="S989" s="904" t="n"/>
      <c r="T989" s="569" t="n"/>
      <c r="U989" s="1030" t="n"/>
      <c r="V989" s="1030" t="n"/>
      <c r="W989" s="1030" t="n"/>
    </row>
    <row r="990" ht="15.75" customHeight="1" s="1349">
      <c r="A990" s="1292" t="n"/>
      <c r="B990" s="904" t="n"/>
      <c r="C990" s="904" t="n"/>
      <c r="D990" s="904" t="n"/>
      <c r="E990" s="904" t="n"/>
      <c r="F990" s="856" t="n"/>
      <c r="G990" s="866" t="n"/>
      <c r="H990" s="833" t="n"/>
      <c r="I990" s="904" t="n"/>
      <c r="J990" s="867">
        <f>F990*18%</f>
        <v/>
      </c>
      <c r="K990" s="867">
        <f>(F990-J990)*1.65%</f>
        <v/>
      </c>
      <c r="L990" s="867" t="n"/>
      <c r="M990" s="863" t="n"/>
      <c r="N990" s="864">
        <f>(G990+I990)*(9.25%)</f>
        <v/>
      </c>
      <c r="O990" s="904" t="n"/>
      <c r="P990" s="866" t="n"/>
      <c r="Q990" s="651" t="n"/>
      <c r="R990" s="1206" t="n"/>
      <c r="S990" s="904" t="n"/>
      <c r="T990" s="569" t="n"/>
      <c r="U990" s="1030" t="n"/>
      <c r="V990" s="1030" t="n"/>
      <c r="W990" s="1030" t="n"/>
    </row>
    <row r="991" ht="15.75" customHeight="1" s="1349">
      <c r="A991" s="1292" t="n"/>
      <c r="B991" s="904" t="n"/>
      <c r="C991" s="904" t="n"/>
      <c r="D991" s="904" t="n"/>
      <c r="E991" s="904" t="n"/>
      <c r="F991" s="856" t="n"/>
      <c r="G991" s="866" t="n"/>
      <c r="H991" s="833" t="n"/>
      <c r="I991" s="904" t="n"/>
      <c r="J991" s="867">
        <f>F991*18%</f>
        <v/>
      </c>
      <c r="K991" s="867">
        <f>(F991-J991)*1.65%</f>
        <v/>
      </c>
      <c r="L991" s="867" t="n"/>
      <c r="M991" s="863" t="n"/>
      <c r="N991" s="864">
        <f>(G991+I991)*(9.25%)</f>
        <v/>
      </c>
      <c r="O991" s="904" t="n"/>
      <c r="P991" s="866" t="n"/>
      <c r="Q991" s="651" t="n"/>
      <c r="R991" s="1206" t="n"/>
      <c r="S991" s="904" t="n"/>
      <c r="T991" s="569" t="n"/>
      <c r="U991" s="1030" t="n"/>
      <c r="V991" s="1030" t="n"/>
      <c r="W991" s="1030" t="n"/>
    </row>
    <row r="992" ht="15.75" customHeight="1" s="1349">
      <c r="A992" s="1292" t="n"/>
      <c r="B992" s="904" t="n"/>
      <c r="C992" s="904" t="n"/>
      <c r="D992" s="904" t="n"/>
      <c r="E992" s="904" t="n"/>
      <c r="F992" s="856" t="n"/>
      <c r="G992" s="866" t="n"/>
      <c r="H992" s="833" t="n"/>
      <c r="I992" s="904" t="n"/>
      <c r="J992" s="867">
        <f>F992*18%</f>
        <v/>
      </c>
      <c r="K992" s="867">
        <f>(F992-J992)*1.65%</f>
        <v/>
      </c>
      <c r="L992" s="867" t="n"/>
      <c r="M992" s="863" t="n"/>
      <c r="N992" s="864">
        <f>(G992+I992)*(9.25%)</f>
        <v/>
      </c>
      <c r="O992" s="904" t="n"/>
      <c r="P992" s="866" t="n"/>
      <c r="Q992" s="651" t="n"/>
      <c r="R992" s="1206" t="n"/>
      <c r="S992" s="904" t="n"/>
      <c r="T992" s="569" t="n"/>
      <c r="U992" s="1030" t="n"/>
      <c r="V992" s="1030" t="n"/>
      <c r="W992" s="1030" t="n"/>
    </row>
    <row r="993" ht="15.75" customHeight="1" s="1349">
      <c r="A993" s="1292" t="n"/>
      <c r="B993" s="904" t="n"/>
      <c r="C993" s="904" t="n"/>
      <c r="D993" s="904" t="n"/>
      <c r="E993" s="904" t="n"/>
      <c r="F993" s="856" t="n"/>
      <c r="G993" s="866" t="n"/>
      <c r="H993" s="833" t="n"/>
      <c r="I993" s="904" t="n"/>
      <c r="J993" s="867">
        <f>F993*18%</f>
        <v/>
      </c>
      <c r="K993" s="867">
        <f>(F993-J993)*1.65%</f>
        <v/>
      </c>
      <c r="L993" s="867" t="n"/>
      <c r="M993" s="863" t="n"/>
      <c r="N993" s="864">
        <f>(G993+I993)*(9.25%)</f>
        <v/>
      </c>
      <c r="O993" s="904" t="n"/>
      <c r="P993" s="866" t="n"/>
      <c r="Q993" s="651" t="n"/>
      <c r="R993" s="1206" t="n"/>
      <c r="S993" s="904" t="n"/>
      <c r="T993" s="569" t="n"/>
      <c r="U993" s="1030" t="n"/>
      <c r="V993" s="1030" t="n"/>
      <c r="W993" s="1030" t="n"/>
    </row>
    <row r="994" ht="15.75" customHeight="1" s="1349">
      <c r="A994" s="1292" t="n"/>
      <c r="B994" s="904" t="n"/>
      <c r="C994" s="904" t="n"/>
      <c r="D994" s="904" t="n"/>
      <c r="E994" s="904" t="n"/>
      <c r="F994" s="856" t="n"/>
      <c r="G994" s="866" t="n"/>
      <c r="H994" s="833" t="n"/>
      <c r="I994" s="904" t="n"/>
      <c r="J994" s="867">
        <f>F994*18%</f>
        <v/>
      </c>
      <c r="K994" s="867">
        <f>(F994-J994)*1.65%</f>
        <v/>
      </c>
      <c r="L994" s="867" t="n"/>
      <c r="M994" s="863" t="n"/>
      <c r="N994" s="864">
        <f>(G994+I994)*(9.25%)</f>
        <v/>
      </c>
      <c r="O994" s="904" t="n"/>
      <c r="P994" s="866" t="n"/>
      <c r="Q994" s="651" t="n"/>
      <c r="R994" s="1206" t="n"/>
      <c r="S994" s="904" t="n"/>
      <c r="T994" s="569" t="n"/>
      <c r="U994" s="1030" t="n"/>
      <c r="V994" s="1030" t="n"/>
      <c r="W994" s="1030" t="n"/>
    </row>
    <row r="995" ht="15.75" customHeight="1" s="1349">
      <c r="A995" s="1292" t="n"/>
      <c r="B995" s="904" t="n"/>
      <c r="C995" s="904" t="n"/>
      <c r="D995" s="904" t="n"/>
      <c r="E995" s="904" t="n"/>
      <c r="F995" s="856" t="n"/>
      <c r="G995" s="866" t="n"/>
      <c r="H995" s="833" t="n"/>
      <c r="I995" s="904" t="n"/>
      <c r="J995" s="867">
        <f>F995*18%</f>
        <v/>
      </c>
      <c r="K995" s="867">
        <f>(F995-J995)*1.65%</f>
        <v/>
      </c>
      <c r="L995" s="867" t="n"/>
      <c r="M995" s="863" t="n"/>
      <c r="N995" s="864">
        <f>(G995+I995)*(9.25%)</f>
        <v/>
      </c>
      <c r="O995" s="904" t="n"/>
      <c r="P995" s="866" t="n"/>
      <c r="Q995" s="651" t="n"/>
      <c r="R995" s="1206" t="n"/>
      <c r="S995" s="904" t="n"/>
      <c r="T995" s="569" t="n"/>
      <c r="U995" s="1030" t="n"/>
      <c r="V995" s="1030" t="n"/>
      <c r="W995" s="1030" t="n"/>
    </row>
    <row r="996" ht="15.75" customHeight="1" s="1349">
      <c r="A996" s="1292" t="n"/>
      <c r="B996" s="904" t="n"/>
      <c r="C996" s="904" t="n"/>
      <c r="D996" s="904" t="n"/>
      <c r="E996" s="904" t="n"/>
      <c r="F996" s="856" t="n"/>
      <c r="G996" s="866" t="n"/>
      <c r="H996" s="833" t="n"/>
      <c r="I996" s="904" t="n"/>
      <c r="J996" s="867">
        <f>F996*18%</f>
        <v/>
      </c>
      <c r="K996" s="867">
        <f>(F996-J996)*1.65%</f>
        <v/>
      </c>
      <c r="L996" s="867" t="n"/>
      <c r="M996" s="863" t="n"/>
      <c r="N996" s="864">
        <f>(G996+I996)*(9.25%)</f>
        <v/>
      </c>
      <c r="O996" s="904" t="n"/>
      <c r="P996" s="866" t="n"/>
      <c r="Q996" s="651" t="n"/>
      <c r="R996" s="1206" t="n"/>
      <c r="S996" s="904" t="n"/>
      <c r="T996" s="569" t="n"/>
      <c r="U996" s="1030" t="n"/>
      <c r="V996" s="1030" t="n"/>
      <c r="W996" s="1030" t="n"/>
    </row>
    <row r="997" ht="15.75" customHeight="1" s="1349">
      <c r="A997" s="1292" t="n"/>
      <c r="B997" s="904" t="n"/>
      <c r="C997" s="904" t="n"/>
      <c r="D997" s="904" t="n"/>
      <c r="E997" s="904" t="n"/>
      <c r="F997" s="856" t="n"/>
      <c r="G997" s="866" t="n"/>
      <c r="H997" s="833" t="n"/>
      <c r="I997" s="904" t="n"/>
      <c r="J997" s="867">
        <f>F997*18%</f>
        <v/>
      </c>
      <c r="K997" s="867">
        <f>(F997-J997)*1.65%</f>
        <v/>
      </c>
      <c r="L997" s="867" t="n"/>
      <c r="M997" s="863" t="n"/>
      <c r="N997" s="864">
        <f>(G997+I997)*(9.25%)</f>
        <v/>
      </c>
      <c r="O997" s="904" t="n"/>
      <c r="P997" s="866" t="n"/>
      <c r="Q997" s="651" t="n"/>
      <c r="R997" s="1206" t="n"/>
      <c r="S997" s="904" t="n"/>
      <c r="T997" s="569" t="n"/>
      <c r="U997" s="1030" t="n"/>
      <c r="V997" s="1030" t="n"/>
      <c r="W997" s="1030" t="n"/>
    </row>
    <row r="998" ht="15.75" customHeight="1" s="1349">
      <c r="A998" s="1292" t="n"/>
      <c r="B998" s="904" t="n"/>
      <c r="C998" s="904" t="n"/>
      <c r="D998" s="904" t="n"/>
      <c r="E998" s="904" t="n"/>
      <c r="F998" s="856" t="n"/>
      <c r="G998" s="866" t="n"/>
      <c r="H998" s="833" t="n"/>
      <c r="I998" s="904" t="n"/>
      <c r="J998" s="867">
        <f>F998*18%</f>
        <v/>
      </c>
      <c r="K998" s="867">
        <f>(F998-J998)*1.65%</f>
        <v/>
      </c>
      <c r="L998" s="867" t="n"/>
      <c r="M998" s="863" t="n"/>
      <c r="N998" s="864">
        <f>(G998+I998)*(9.25%)</f>
        <v/>
      </c>
      <c r="O998" s="904" t="n"/>
      <c r="P998" s="866" t="n"/>
      <c r="Q998" s="651" t="n"/>
      <c r="R998" s="1206" t="n"/>
      <c r="S998" s="904" t="n"/>
      <c r="T998" s="569" t="n"/>
      <c r="U998" s="1030" t="n"/>
      <c r="V998" s="1030" t="n"/>
      <c r="W998" s="1030" t="n"/>
    </row>
    <row r="999" ht="15.75" customHeight="1" s="1349">
      <c r="A999" s="1292" t="n"/>
      <c r="B999" s="904" t="n"/>
      <c r="C999" s="904" t="n"/>
      <c r="D999" s="904" t="n"/>
      <c r="E999" s="904" t="n"/>
      <c r="F999" s="856" t="n"/>
      <c r="G999" s="866" t="n"/>
      <c r="H999" s="833" t="n"/>
      <c r="I999" s="904" t="n"/>
      <c r="J999" s="867">
        <f>F999*18%</f>
        <v/>
      </c>
      <c r="K999" s="867">
        <f>(F999-J999)*1.65%</f>
        <v/>
      </c>
      <c r="L999" s="867" t="n"/>
      <c r="M999" s="863" t="n"/>
      <c r="N999" s="864">
        <f>(G999+I999)*(9.25%)</f>
        <v/>
      </c>
      <c r="O999" s="904" t="n"/>
      <c r="P999" s="866" t="n"/>
      <c r="Q999" s="651" t="n"/>
      <c r="R999" s="1206" t="n"/>
      <c r="S999" s="904" t="n"/>
      <c r="T999" s="569" t="n"/>
      <c r="U999" s="1030" t="n"/>
      <c r="V999" s="1030" t="n"/>
      <c r="W999" s="1030" t="n"/>
    </row>
    <row r="1000" ht="15.75" customHeight="1" s="1349">
      <c r="A1000" s="1292" t="n"/>
      <c r="B1000" s="904" t="n"/>
      <c r="C1000" s="904" t="n"/>
      <c r="D1000" s="904" t="n"/>
      <c r="E1000" s="904" t="n"/>
      <c r="F1000" s="856" t="n"/>
      <c r="G1000" s="866" t="n"/>
      <c r="H1000" s="833" t="n"/>
      <c r="I1000" s="904" t="n"/>
      <c r="J1000" s="867">
        <f>F1000*18%</f>
        <v/>
      </c>
      <c r="K1000" s="867">
        <f>(F1000-J1000)*1.65%</f>
        <v/>
      </c>
      <c r="L1000" s="867" t="n"/>
      <c r="M1000" s="863" t="n"/>
      <c r="N1000" s="864">
        <f>(G1000+I1000)*(9.25%)</f>
        <v/>
      </c>
      <c r="O1000" s="904" t="n"/>
      <c r="P1000" s="866" t="n"/>
      <c r="Q1000" s="651" t="n"/>
      <c r="R1000" s="1206" t="n"/>
      <c r="S1000" s="904" t="n"/>
      <c r="T1000" s="569" t="n"/>
      <c r="U1000" s="1030" t="n"/>
      <c r="V1000" s="1030" t="n"/>
      <c r="W1000" s="1030" t="n"/>
    </row>
    <row r="1001" ht="15.75" customHeight="1" s="1349">
      <c r="A1001" s="1292" t="n"/>
      <c r="B1001" s="904" t="n"/>
      <c r="C1001" s="904" t="n"/>
      <c r="D1001" s="904" t="n"/>
      <c r="E1001" s="904" t="n"/>
      <c r="F1001" s="856" t="n"/>
      <c r="G1001" s="866" t="n"/>
      <c r="H1001" s="833" t="n"/>
      <c r="I1001" s="904" t="n"/>
      <c r="J1001" s="867">
        <f>F1001*18%</f>
        <v/>
      </c>
      <c r="K1001" s="867">
        <f>(F1001-J1001)*1.65%</f>
        <v/>
      </c>
      <c r="L1001" s="867" t="n"/>
      <c r="M1001" s="863" t="n"/>
      <c r="N1001" s="864">
        <f>(G1001+I1001)*(9.25%)</f>
        <v/>
      </c>
      <c r="O1001" s="904" t="n"/>
      <c r="P1001" s="866" t="n"/>
      <c r="Q1001" s="651" t="n"/>
      <c r="R1001" s="1206" t="n"/>
      <c r="S1001" s="904" t="n"/>
      <c r="T1001" s="569" t="n"/>
      <c r="U1001" s="1030" t="n"/>
      <c r="V1001" s="1030" t="n"/>
      <c r="W1001" s="1030" t="n"/>
    </row>
    <row r="1002" ht="15.75" customHeight="1" s="1349">
      <c r="A1002" s="1292" t="n"/>
      <c r="B1002" s="904" t="n"/>
      <c r="C1002" s="904" t="n"/>
      <c r="D1002" s="904" t="n"/>
      <c r="E1002" s="904" t="n"/>
      <c r="F1002" s="856" t="n"/>
      <c r="G1002" s="866" t="n"/>
      <c r="H1002" s="833" t="n"/>
      <c r="I1002" s="904" t="n"/>
      <c r="J1002" s="867">
        <f>F1002*18%</f>
        <v/>
      </c>
      <c r="K1002" s="867">
        <f>(F1002-J1002)*1.65%</f>
        <v/>
      </c>
      <c r="L1002" s="867" t="n"/>
      <c r="M1002" s="863" t="n"/>
      <c r="N1002" s="864">
        <f>(G1002+I1002)*(9.25%)</f>
        <v/>
      </c>
      <c r="O1002" s="904" t="n"/>
      <c r="P1002" s="866" t="n"/>
      <c r="Q1002" s="651" t="n"/>
      <c r="R1002" s="1206" t="n"/>
      <c r="S1002" s="904" t="n"/>
      <c r="T1002" s="569" t="n"/>
      <c r="U1002" s="1030" t="n"/>
      <c r="V1002" s="1030" t="n"/>
      <c r="W1002" s="1030" t="n"/>
    </row>
    <row r="1003" ht="15.75" customHeight="1" s="1349">
      <c r="A1003" s="1292" t="n"/>
      <c r="B1003" s="904" t="n"/>
      <c r="C1003" s="904" t="n"/>
      <c r="D1003" s="904" t="n"/>
      <c r="E1003" s="904" t="n"/>
      <c r="F1003" s="856" t="n"/>
      <c r="G1003" s="866" t="n"/>
      <c r="H1003" s="833" t="n"/>
      <c r="I1003" s="904" t="n"/>
      <c r="J1003" s="867">
        <f>F1003*18%</f>
        <v/>
      </c>
      <c r="K1003" s="867">
        <f>(F1003-J1003)*1.65%</f>
        <v/>
      </c>
      <c r="L1003" s="867" t="n"/>
      <c r="M1003" s="863" t="n"/>
      <c r="N1003" s="864">
        <f>(G1003+I1003)*(9.25%)</f>
        <v/>
      </c>
      <c r="O1003" s="904" t="n"/>
      <c r="P1003" s="866" t="n"/>
      <c r="Q1003" s="651" t="n"/>
      <c r="R1003" s="1206" t="n"/>
      <c r="S1003" s="904" t="n"/>
      <c r="T1003" s="569" t="n"/>
      <c r="U1003" s="1030" t="n"/>
      <c r="V1003" s="1030" t="n"/>
      <c r="W1003" s="1030" t="n"/>
    </row>
    <row r="1004" ht="15.75" customHeight="1" s="1349">
      <c r="A1004" s="1292" t="n"/>
      <c r="B1004" s="904" t="n"/>
      <c r="C1004" s="904" t="n"/>
      <c r="D1004" s="904" t="n"/>
      <c r="E1004" s="904" t="n"/>
      <c r="F1004" s="856" t="n"/>
      <c r="G1004" s="866" t="n"/>
      <c r="H1004" s="833" t="n"/>
      <c r="I1004" s="904" t="n"/>
      <c r="J1004" s="867">
        <f>F1004*18%</f>
        <v/>
      </c>
      <c r="K1004" s="867">
        <f>(F1004-J1004)*1.65%</f>
        <v/>
      </c>
      <c r="L1004" s="867" t="n"/>
      <c r="M1004" s="863" t="n"/>
      <c r="N1004" s="864">
        <f>(G1004+I1004)*(9.25%)</f>
        <v/>
      </c>
      <c r="O1004" s="904" t="n"/>
      <c r="P1004" s="866" t="n"/>
      <c r="Q1004" s="651" t="n"/>
      <c r="R1004" s="1206" t="n"/>
      <c r="S1004" s="904" t="n"/>
      <c r="T1004" s="569" t="n"/>
      <c r="U1004" s="1030" t="n"/>
      <c r="V1004" s="1030" t="n"/>
      <c r="W1004" s="1030" t="n"/>
    </row>
    <row r="1005" ht="15.75" customHeight="1" s="1349">
      <c r="A1005" s="1292" t="n"/>
      <c r="B1005" s="904" t="n"/>
      <c r="C1005" s="904" t="n"/>
      <c r="D1005" s="904" t="n"/>
      <c r="E1005" s="904" t="n"/>
      <c r="F1005" s="856" t="n"/>
      <c r="G1005" s="866" t="n"/>
      <c r="H1005" s="833" t="n"/>
      <c r="I1005" s="904" t="n"/>
      <c r="J1005" s="867">
        <f>F1005*18%</f>
        <v/>
      </c>
      <c r="K1005" s="867">
        <f>(F1005-J1005)*1.65%</f>
        <v/>
      </c>
      <c r="L1005" s="867" t="n"/>
      <c r="M1005" s="863" t="n"/>
      <c r="N1005" s="864">
        <f>(G1005+I1005)*(9.25%)</f>
        <v/>
      </c>
      <c r="O1005" s="904" t="n"/>
      <c r="P1005" s="866" t="n"/>
      <c r="Q1005" s="651" t="n"/>
      <c r="R1005" s="1206" t="n"/>
      <c r="S1005" s="904" t="n"/>
      <c r="T1005" s="569" t="n"/>
      <c r="U1005" s="1030" t="n"/>
      <c r="V1005" s="1030" t="n"/>
      <c r="W1005" s="1030" t="n"/>
    </row>
    <row r="1006" ht="15.75" customHeight="1" s="1349">
      <c r="A1006" s="1292" t="n"/>
      <c r="B1006" s="904" t="n"/>
      <c r="C1006" s="904" t="n"/>
      <c r="D1006" s="904" t="n"/>
      <c r="E1006" s="904" t="n"/>
      <c r="F1006" s="856" t="n"/>
      <c r="G1006" s="866" t="n"/>
      <c r="H1006" s="833" t="n"/>
      <c r="I1006" s="904" t="n"/>
      <c r="J1006" s="867">
        <f>F1006*18%</f>
        <v/>
      </c>
      <c r="K1006" s="867">
        <f>(F1006-J1006)*1.65%</f>
        <v/>
      </c>
      <c r="L1006" s="867" t="n"/>
      <c r="M1006" s="863" t="n"/>
      <c r="N1006" s="864">
        <f>(G1006+I1006)*(9.25%)</f>
        <v/>
      </c>
      <c r="O1006" s="904" t="n"/>
      <c r="P1006" s="866" t="n"/>
      <c r="Q1006" s="651" t="n"/>
      <c r="R1006" s="1206" t="n"/>
      <c r="S1006" s="904" t="n"/>
      <c r="T1006" s="569" t="n"/>
      <c r="U1006" s="1030" t="n"/>
      <c r="V1006" s="1030" t="n"/>
      <c r="W1006" s="1030" t="n"/>
    </row>
    <row r="1007" ht="15.75" customHeight="1" s="1349">
      <c r="A1007" s="1292" t="n"/>
      <c r="B1007" s="904" t="n"/>
      <c r="C1007" s="904" t="n"/>
      <c r="D1007" s="904" t="n"/>
      <c r="E1007" s="904" t="n"/>
      <c r="F1007" s="856" t="n"/>
      <c r="G1007" s="866" t="n"/>
      <c r="H1007" s="833" t="n"/>
      <c r="I1007" s="904" t="n"/>
      <c r="J1007" s="867">
        <f>F1007*18%</f>
        <v/>
      </c>
      <c r="K1007" s="867">
        <f>(F1007-J1007)*1.65%</f>
        <v/>
      </c>
      <c r="L1007" s="867" t="n"/>
      <c r="M1007" s="863" t="n"/>
      <c r="N1007" s="864">
        <f>(G1007+I1007)*(9.25%)</f>
        <v/>
      </c>
      <c r="O1007" s="904" t="n"/>
      <c r="P1007" s="866" t="n"/>
      <c r="Q1007" s="651" t="n"/>
      <c r="R1007" s="1206" t="n"/>
      <c r="S1007" s="904" t="n"/>
      <c r="T1007" s="569" t="n"/>
      <c r="U1007" s="1030" t="n"/>
      <c r="V1007" s="1030" t="n"/>
      <c r="W1007" s="1030" t="n"/>
    </row>
    <row r="1008" ht="15.75" customHeight="1" s="1349">
      <c r="A1008" s="1292" t="n"/>
      <c r="B1008" s="904" t="n"/>
      <c r="C1008" s="904" t="n"/>
      <c r="D1008" s="904" t="n"/>
      <c r="E1008" s="904" t="n"/>
      <c r="F1008" s="856" t="n"/>
      <c r="G1008" s="866" t="n"/>
      <c r="H1008" s="833" t="n"/>
      <c r="I1008" s="904" t="n"/>
      <c r="J1008" s="867">
        <f>F1008*18%</f>
        <v/>
      </c>
      <c r="K1008" s="867">
        <f>(F1008-J1008)*1.65%</f>
        <v/>
      </c>
      <c r="L1008" s="867" t="n"/>
      <c r="M1008" s="863" t="n"/>
      <c r="N1008" s="864">
        <f>(G1008+I1008)*(9.25%)</f>
        <v/>
      </c>
      <c r="O1008" s="904" t="n"/>
      <c r="P1008" s="866" t="n"/>
      <c r="Q1008" s="651" t="n"/>
      <c r="R1008" s="1206" t="n"/>
      <c r="S1008" s="904" t="n"/>
      <c r="T1008" s="569" t="n"/>
      <c r="U1008" s="1030" t="n"/>
      <c r="V1008" s="1030" t="n"/>
      <c r="W1008" s="1030" t="n"/>
    </row>
    <row r="1009" ht="15.75" customHeight="1" s="1349">
      <c r="A1009" s="1292" t="n"/>
      <c r="B1009" s="904" t="n"/>
      <c r="C1009" s="904" t="n"/>
      <c r="D1009" s="904" t="n"/>
      <c r="E1009" s="904" t="n"/>
      <c r="F1009" s="856" t="n"/>
      <c r="G1009" s="866" t="n"/>
      <c r="H1009" s="833" t="n"/>
      <c r="I1009" s="904" t="n"/>
      <c r="J1009" s="867">
        <f>F1009*18%</f>
        <v/>
      </c>
      <c r="K1009" s="867">
        <f>(F1009-J1009)*1.65%</f>
        <v/>
      </c>
      <c r="L1009" s="867" t="n"/>
      <c r="M1009" s="863" t="n"/>
      <c r="N1009" s="864">
        <f>(G1009+I1009)*(9.25%)</f>
        <v/>
      </c>
      <c r="O1009" s="904" t="n"/>
      <c r="P1009" s="866" t="n"/>
      <c r="Q1009" s="651" t="n"/>
      <c r="R1009" s="1206" t="n"/>
      <c r="S1009" s="904" t="n"/>
      <c r="T1009" s="569" t="n"/>
      <c r="U1009" s="1030" t="n"/>
      <c r="V1009" s="1030" t="n"/>
      <c r="W1009" s="1030" t="n"/>
    </row>
    <row r="1010" ht="15.75" customHeight="1" s="1349">
      <c r="A1010" s="1292" t="n"/>
      <c r="B1010" s="904" t="n"/>
      <c r="C1010" s="904" t="n"/>
      <c r="D1010" s="904" t="n"/>
      <c r="E1010" s="904" t="n"/>
      <c r="F1010" s="856" t="n"/>
      <c r="G1010" s="866" t="n"/>
      <c r="H1010" s="833" t="n"/>
      <c r="I1010" s="904" t="n"/>
      <c r="J1010" s="867">
        <f>F1010*18%</f>
        <v/>
      </c>
      <c r="K1010" s="867">
        <f>(F1010-J1010)*1.65%</f>
        <v/>
      </c>
      <c r="L1010" s="867" t="n"/>
      <c r="M1010" s="863" t="n"/>
      <c r="N1010" s="864">
        <f>(G1010+I1010)*(9.25%)</f>
        <v/>
      </c>
      <c r="O1010" s="904" t="n"/>
      <c r="P1010" s="866" t="n"/>
      <c r="Q1010" s="651" t="n"/>
      <c r="R1010" s="1206" t="n"/>
      <c r="S1010" s="904" t="n"/>
      <c r="T1010" s="569" t="n"/>
      <c r="U1010" s="1030" t="n"/>
      <c r="V1010" s="1030" t="n"/>
      <c r="W1010" s="1030" t="n"/>
    </row>
    <row r="1011" ht="15.75" customHeight="1" s="1349">
      <c r="A1011" s="1292" t="n"/>
      <c r="B1011" s="904" t="n"/>
      <c r="C1011" s="904" t="n"/>
      <c r="D1011" s="904" t="n"/>
      <c r="E1011" s="904" t="n"/>
      <c r="F1011" s="856" t="n"/>
      <c r="G1011" s="866" t="n"/>
      <c r="H1011" s="833" t="n"/>
      <c r="I1011" s="904" t="n"/>
      <c r="J1011" s="867">
        <f>F1011*18%</f>
        <v/>
      </c>
      <c r="K1011" s="867">
        <f>(F1011-J1011)*1.65%</f>
        <v/>
      </c>
      <c r="L1011" s="867" t="n"/>
      <c r="M1011" s="863" t="n"/>
      <c r="N1011" s="864">
        <f>(G1011+I1011)*(9.25%)</f>
        <v/>
      </c>
      <c r="O1011" s="904" t="n"/>
      <c r="P1011" s="866" t="n"/>
      <c r="Q1011" s="651" t="n"/>
      <c r="R1011" s="1206" t="n"/>
      <c r="S1011" s="904" t="n"/>
      <c r="T1011" s="569" t="n"/>
      <c r="U1011" s="1030" t="n"/>
      <c r="V1011" s="1030" t="n"/>
      <c r="W1011" s="1030" t="n"/>
    </row>
    <row r="1012" ht="15.75" customHeight="1" s="1349">
      <c r="A1012" s="1292" t="n"/>
      <c r="B1012" s="904" t="n"/>
      <c r="C1012" s="904" t="n"/>
      <c r="D1012" s="904" t="n"/>
      <c r="E1012" s="904" t="n"/>
      <c r="F1012" s="856" t="n"/>
      <c r="G1012" s="866" t="n"/>
      <c r="H1012" s="833" t="n"/>
      <c r="I1012" s="904" t="n"/>
      <c r="J1012" s="867">
        <f>F1012*18%</f>
        <v/>
      </c>
      <c r="K1012" s="867">
        <f>(F1012-J1012)*1.65%</f>
        <v/>
      </c>
      <c r="L1012" s="867" t="n"/>
      <c r="M1012" s="863" t="n"/>
      <c r="N1012" s="864">
        <f>(G1012+I1012)*(9.25%)</f>
        <v/>
      </c>
      <c r="O1012" s="904" t="n"/>
      <c r="P1012" s="866" t="n"/>
      <c r="Q1012" s="651" t="n"/>
      <c r="R1012" s="1206" t="n"/>
      <c r="S1012" s="904" t="n"/>
      <c r="T1012" s="569" t="n"/>
      <c r="U1012" s="1030" t="n"/>
      <c r="V1012" s="1030" t="n"/>
      <c r="W1012" s="1030" t="n"/>
    </row>
    <row r="1013" ht="15.75" customHeight="1" s="1349">
      <c r="A1013" s="1292" t="n"/>
      <c r="B1013" s="904" t="n"/>
      <c r="C1013" s="904" t="n"/>
      <c r="D1013" s="904" t="n"/>
      <c r="E1013" s="904" t="n"/>
      <c r="F1013" s="856" t="n"/>
      <c r="G1013" s="866" t="n"/>
      <c r="H1013" s="833" t="n"/>
      <c r="I1013" s="904" t="n"/>
      <c r="J1013" s="867">
        <f>F1013*18%</f>
        <v/>
      </c>
      <c r="K1013" s="867">
        <f>(F1013-J1013)*1.65%</f>
        <v/>
      </c>
      <c r="L1013" s="867" t="n"/>
      <c r="M1013" s="863" t="n"/>
      <c r="N1013" s="864">
        <f>(G1013+I1013)*(9.25%)</f>
        <v/>
      </c>
      <c r="O1013" s="904" t="n"/>
      <c r="P1013" s="866" t="n"/>
      <c r="Q1013" s="651" t="n"/>
      <c r="R1013" s="1206" t="n"/>
      <c r="S1013" s="904" t="n"/>
      <c r="T1013" s="569" t="n"/>
      <c r="U1013" s="1030" t="n"/>
      <c r="V1013" s="1030" t="n"/>
      <c r="W1013" s="1030" t="n"/>
    </row>
    <row r="1014" ht="15.75" customHeight="1" s="1349">
      <c r="A1014" s="1292" t="n"/>
      <c r="B1014" s="904" t="n"/>
      <c r="C1014" s="904" t="n"/>
      <c r="D1014" s="904" t="n"/>
      <c r="E1014" s="904" t="n"/>
      <c r="F1014" s="856" t="n"/>
      <c r="G1014" s="866" t="n"/>
      <c r="H1014" s="833" t="n"/>
      <c r="I1014" s="904" t="n"/>
      <c r="J1014" s="867">
        <f>F1014*18%</f>
        <v/>
      </c>
      <c r="K1014" s="867">
        <f>(F1014-J1014)*1.65%</f>
        <v/>
      </c>
      <c r="L1014" s="867" t="n"/>
      <c r="M1014" s="863" t="n"/>
      <c r="N1014" s="864">
        <f>(G1014+I1014)*(9.25%)</f>
        <v/>
      </c>
      <c r="O1014" s="904" t="n"/>
      <c r="P1014" s="866" t="n"/>
      <c r="Q1014" s="651" t="n"/>
      <c r="R1014" s="1206" t="n"/>
      <c r="S1014" s="904" t="n"/>
      <c r="T1014" s="569" t="n"/>
      <c r="U1014" s="1030" t="n"/>
      <c r="V1014" s="1030" t="n"/>
      <c r="W1014" s="1030" t="n"/>
    </row>
    <row r="1015" ht="15.75" customHeight="1" s="1349">
      <c r="A1015" s="1292" t="n"/>
      <c r="B1015" s="904" t="n"/>
      <c r="C1015" s="904" t="n"/>
      <c r="D1015" s="904" t="n"/>
      <c r="E1015" s="904" t="n"/>
      <c r="F1015" s="856" t="n"/>
      <c r="G1015" s="866" t="n"/>
      <c r="H1015" s="833" t="n"/>
      <c r="I1015" s="904" t="n"/>
      <c r="J1015" s="867">
        <f>F1015*18%</f>
        <v/>
      </c>
      <c r="K1015" s="867">
        <f>(F1015-J1015)*1.65%</f>
        <v/>
      </c>
      <c r="L1015" s="867" t="n"/>
      <c r="M1015" s="863" t="n"/>
      <c r="N1015" s="864">
        <f>(G1015+I1015)*(9.25%)</f>
        <v/>
      </c>
      <c r="O1015" s="904" t="n"/>
      <c r="P1015" s="866" t="n"/>
      <c r="Q1015" s="651" t="n"/>
      <c r="R1015" s="1206" t="n"/>
      <c r="S1015" s="904" t="n"/>
      <c r="T1015" s="569" t="n"/>
      <c r="U1015" s="1030" t="n"/>
      <c r="V1015" s="1030" t="n"/>
      <c r="W1015" s="1030" t="n"/>
    </row>
    <row r="1016" ht="15.75" customHeight="1" s="1349">
      <c r="A1016" s="1292" t="n"/>
      <c r="B1016" s="904" t="n"/>
      <c r="C1016" s="904" t="n"/>
      <c r="D1016" s="904" t="n"/>
      <c r="E1016" s="904" t="n"/>
      <c r="F1016" s="856" t="n"/>
      <c r="G1016" s="866" t="n"/>
      <c r="H1016" s="833" t="n"/>
      <c r="I1016" s="904" t="n"/>
      <c r="J1016" s="867">
        <f>F1016*18%</f>
        <v/>
      </c>
      <c r="K1016" s="867">
        <f>(F1016-J1016)*1.65%</f>
        <v/>
      </c>
      <c r="L1016" s="867" t="n"/>
      <c r="M1016" s="863" t="n"/>
      <c r="N1016" s="864">
        <f>(G1016+I1016)*(9.25%)</f>
        <v/>
      </c>
      <c r="O1016" s="904" t="n"/>
      <c r="P1016" s="866" t="n"/>
      <c r="Q1016" s="651" t="n"/>
      <c r="R1016" s="1206" t="n"/>
      <c r="S1016" s="904" t="n"/>
      <c r="T1016" s="569" t="n"/>
      <c r="U1016" s="1030" t="n"/>
      <c r="V1016" s="1030" t="n"/>
      <c r="W1016" s="1030" t="n"/>
    </row>
    <row r="1017" ht="15.75" customHeight="1" s="1349">
      <c r="A1017" s="1292" t="n"/>
      <c r="B1017" s="904" t="n"/>
      <c r="C1017" s="904" t="n"/>
      <c r="D1017" s="904" t="n"/>
      <c r="E1017" s="904" t="n"/>
      <c r="F1017" s="856" t="n"/>
      <c r="G1017" s="866" t="n"/>
      <c r="H1017" s="833" t="n"/>
      <c r="I1017" s="904" t="n"/>
      <c r="J1017" s="867">
        <f>F1017*18%</f>
        <v/>
      </c>
      <c r="K1017" s="867">
        <f>(F1017-J1017)*1.65%</f>
        <v/>
      </c>
      <c r="L1017" s="867" t="n"/>
      <c r="M1017" s="863" t="n"/>
      <c r="N1017" s="864">
        <f>(G1017+I1017)*(9.25%)</f>
        <v/>
      </c>
      <c r="O1017" s="904" t="n"/>
      <c r="P1017" s="866" t="n"/>
      <c r="Q1017" s="651" t="n"/>
      <c r="R1017" s="1206" t="n"/>
      <c r="S1017" s="904" t="n"/>
      <c r="T1017" s="569" t="n"/>
      <c r="U1017" s="1030" t="n"/>
      <c r="V1017" s="1030" t="n"/>
      <c r="W1017" s="1030" t="n"/>
    </row>
    <row r="1018" ht="15.75" customHeight="1" s="1349">
      <c r="A1018" s="1292" t="n"/>
      <c r="B1018" s="904" t="n"/>
      <c r="C1018" s="904" t="n"/>
      <c r="D1018" s="904" t="n"/>
      <c r="E1018" s="904" t="n"/>
      <c r="F1018" s="856" t="n"/>
      <c r="G1018" s="866" t="n"/>
      <c r="H1018" s="833" t="n"/>
      <c r="I1018" s="904" t="n"/>
      <c r="J1018" s="867">
        <f>F1018*18%</f>
        <v/>
      </c>
      <c r="K1018" s="867">
        <f>(F1018-J1018)*1.65%</f>
        <v/>
      </c>
      <c r="L1018" s="867" t="n"/>
      <c r="M1018" s="863" t="n"/>
      <c r="N1018" s="864">
        <f>(G1018+I1018)*(9.25%)</f>
        <v/>
      </c>
      <c r="O1018" s="904" t="n"/>
      <c r="P1018" s="866" t="n"/>
      <c r="Q1018" s="651" t="n"/>
      <c r="R1018" s="1206" t="n"/>
      <c r="S1018" s="904" t="n"/>
      <c r="T1018" s="569" t="n"/>
      <c r="U1018" s="1030" t="n"/>
      <c r="V1018" s="1030" t="n"/>
      <c r="W1018" s="1030" t="n"/>
    </row>
    <row r="1019" ht="15.75" customHeight="1" s="1349">
      <c r="A1019" s="1292" t="n"/>
      <c r="B1019" s="904" t="n"/>
      <c r="C1019" s="904" t="n"/>
      <c r="D1019" s="904" t="n"/>
      <c r="E1019" s="904" t="n"/>
      <c r="F1019" s="856" t="n"/>
      <c r="G1019" s="866" t="n"/>
      <c r="H1019" s="833" t="n"/>
      <c r="I1019" s="904" t="n"/>
      <c r="J1019" s="867">
        <f>F1019*18%</f>
        <v/>
      </c>
      <c r="K1019" s="867">
        <f>(F1019-J1019)*1.65%</f>
        <v/>
      </c>
      <c r="L1019" s="867" t="n"/>
      <c r="M1019" s="863" t="n"/>
      <c r="N1019" s="864">
        <f>(G1019+I1019)*(9.25%)</f>
        <v/>
      </c>
      <c r="O1019" s="904" t="n"/>
      <c r="P1019" s="866" t="n"/>
      <c r="Q1019" s="651" t="n"/>
      <c r="R1019" s="1206" t="n"/>
      <c r="S1019" s="904" t="n"/>
      <c r="T1019" s="569" t="n"/>
      <c r="U1019" s="1030" t="n"/>
      <c r="V1019" s="1030" t="n"/>
      <c r="W1019" s="1030" t="n"/>
    </row>
    <row r="1020" ht="15.75" customHeight="1" s="1349">
      <c r="A1020" s="1292" t="n"/>
      <c r="B1020" s="904" t="n"/>
      <c r="C1020" s="904" t="n"/>
      <c r="D1020" s="904" t="n"/>
      <c r="E1020" s="904" t="n"/>
      <c r="F1020" s="856" t="n"/>
      <c r="G1020" s="866" t="n"/>
      <c r="H1020" s="833" t="n"/>
      <c r="I1020" s="904" t="n"/>
      <c r="J1020" s="867">
        <f>F1020*18%</f>
        <v/>
      </c>
      <c r="K1020" s="867">
        <f>(F1020-J1020)*1.65%</f>
        <v/>
      </c>
      <c r="L1020" s="867" t="n"/>
      <c r="M1020" s="863" t="n"/>
      <c r="N1020" s="864">
        <f>(G1020+I1020)*(9.25%)</f>
        <v/>
      </c>
      <c r="O1020" s="904" t="n"/>
      <c r="P1020" s="866" t="n"/>
      <c r="Q1020" s="651" t="n"/>
      <c r="R1020" s="1206" t="n"/>
      <c r="S1020" s="904" t="n"/>
      <c r="T1020" s="569" t="n"/>
      <c r="U1020" s="1030" t="n"/>
      <c r="V1020" s="1030" t="n"/>
      <c r="W1020" s="1030" t="n"/>
    </row>
    <row r="1021" ht="15.75" customHeight="1" s="1349">
      <c r="A1021" s="1292" t="n"/>
      <c r="B1021" s="904" t="n"/>
      <c r="C1021" s="904" t="n"/>
      <c r="D1021" s="904" t="n"/>
      <c r="E1021" s="904" t="n"/>
      <c r="F1021" s="856" t="n"/>
      <c r="G1021" s="866" t="n"/>
      <c r="H1021" s="833" t="n"/>
      <c r="I1021" s="904" t="n"/>
      <c r="J1021" s="867">
        <f>F1021*18%</f>
        <v/>
      </c>
      <c r="K1021" s="867">
        <f>(F1021-J1021)*1.65%</f>
        <v/>
      </c>
      <c r="L1021" s="867" t="n"/>
      <c r="M1021" s="863" t="n"/>
      <c r="N1021" s="864">
        <f>(G1021+I1021)*(9.25%)</f>
        <v/>
      </c>
      <c r="O1021" s="904" t="n"/>
      <c r="P1021" s="866" t="n"/>
      <c r="Q1021" s="651" t="n"/>
      <c r="R1021" s="1206" t="n"/>
      <c r="S1021" s="904" t="n"/>
      <c r="T1021" s="569" t="n"/>
      <c r="U1021" s="1030" t="n"/>
      <c r="V1021" s="1030" t="n"/>
      <c r="W1021" s="1030" t="n"/>
    </row>
    <row r="1022" ht="15.75" customHeight="1" s="1349">
      <c r="A1022" s="1292" t="n"/>
      <c r="B1022" s="904" t="n"/>
      <c r="C1022" s="904" t="n"/>
      <c r="D1022" s="904" t="n"/>
      <c r="E1022" s="904" t="n"/>
      <c r="F1022" s="856" t="n"/>
      <c r="G1022" s="866" t="n"/>
      <c r="H1022" s="833" t="n"/>
      <c r="I1022" s="904" t="n"/>
      <c r="J1022" s="867">
        <f>F1022*18%</f>
        <v/>
      </c>
      <c r="K1022" s="867">
        <f>(F1022-J1022)*1.65%</f>
        <v/>
      </c>
      <c r="L1022" s="867" t="n"/>
      <c r="M1022" s="863" t="n"/>
      <c r="N1022" s="864">
        <f>(G1022+I1022)*(9.25%)</f>
        <v/>
      </c>
      <c r="O1022" s="904" t="n"/>
      <c r="P1022" s="866" t="n"/>
      <c r="Q1022" s="651" t="n"/>
      <c r="R1022" s="1206" t="n"/>
      <c r="S1022" s="904" t="n"/>
      <c r="T1022" s="569" t="n"/>
      <c r="U1022" s="1030" t="n"/>
      <c r="V1022" s="1030" t="n"/>
      <c r="W1022" s="1030" t="n"/>
    </row>
    <row r="1023" ht="15.75" customHeight="1" s="1349">
      <c r="A1023" s="1292" t="n"/>
      <c r="B1023" s="904" t="n"/>
      <c r="C1023" s="904" t="n"/>
      <c r="D1023" s="904" t="n"/>
      <c r="E1023" s="904" t="n"/>
      <c r="F1023" s="856" t="n"/>
      <c r="G1023" s="866" t="n"/>
      <c r="H1023" s="833" t="n"/>
      <c r="I1023" s="904" t="n"/>
      <c r="J1023" s="867">
        <f>F1023*18%</f>
        <v/>
      </c>
      <c r="K1023" s="867">
        <f>(F1023-J1023)*1.65%</f>
        <v/>
      </c>
      <c r="L1023" s="867" t="n"/>
      <c r="M1023" s="863" t="n"/>
      <c r="N1023" s="864">
        <f>(G1023+I1023)*(9.25%)</f>
        <v/>
      </c>
      <c r="O1023" s="904" t="n"/>
      <c r="P1023" s="866" t="n"/>
      <c r="Q1023" s="651" t="n"/>
      <c r="R1023" s="1206" t="n"/>
      <c r="S1023" s="904" t="n"/>
      <c r="T1023" s="569" t="n"/>
      <c r="U1023" s="1030" t="n"/>
      <c r="V1023" s="1030" t="n"/>
      <c r="W1023" s="1030" t="n"/>
    </row>
    <row r="1024" ht="15.75" customHeight="1" s="1349">
      <c r="A1024" s="1292" t="n"/>
      <c r="B1024" s="904" t="n"/>
      <c r="C1024" s="904" t="n"/>
      <c r="D1024" s="904" t="n"/>
      <c r="E1024" s="904" t="n"/>
      <c r="F1024" s="856" t="n"/>
      <c r="G1024" s="866" t="n"/>
      <c r="H1024" s="833" t="n"/>
      <c r="I1024" s="904" t="n"/>
      <c r="J1024" s="867">
        <f>F1024*18%</f>
        <v/>
      </c>
      <c r="K1024" s="867">
        <f>(F1024-J1024)*1.65%</f>
        <v/>
      </c>
      <c r="L1024" s="867" t="n"/>
      <c r="M1024" s="863" t="n"/>
      <c r="N1024" s="864">
        <f>(G1024+I1024)*(9.25%)</f>
        <v/>
      </c>
      <c r="O1024" s="904" t="n"/>
      <c r="P1024" s="866" t="n"/>
      <c r="Q1024" s="651" t="n"/>
      <c r="R1024" s="1206" t="n"/>
      <c r="S1024" s="904" t="n"/>
      <c r="T1024" s="569" t="n"/>
      <c r="U1024" s="1030" t="n"/>
      <c r="V1024" s="1030" t="n"/>
      <c r="W1024" s="1030" t="n"/>
    </row>
    <row r="1025" ht="15.75" customHeight="1" s="1349">
      <c r="A1025" s="1292" t="n"/>
      <c r="B1025" s="904" t="n"/>
      <c r="C1025" s="904" t="n"/>
      <c r="D1025" s="904" t="n"/>
      <c r="E1025" s="904" t="n"/>
      <c r="F1025" s="856" t="n"/>
      <c r="G1025" s="866" t="n"/>
      <c r="H1025" s="833" t="n"/>
      <c r="I1025" s="904" t="n"/>
      <c r="J1025" s="867">
        <f>F1025*18%</f>
        <v/>
      </c>
      <c r="K1025" s="867">
        <f>(F1025-J1025)*1.65%</f>
        <v/>
      </c>
      <c r="L1025" s="867" t="n"/>
      <c r="M1025" s="863" t="n"/>
      <c r="N1025" s="864">
        <f>(G1025+I1025)*(9.25%)</f>
        <v/>
      </c>
      <c r="O1025" s="904" t="n"/>
      <c r="P1025" s="866" t="n"/>
      <c r="Q1025" s="651" t="n"/>
      <c r="R1025" s="1206" t="n"/>
      <c r="S1025" s="904" t="n"/>
      <c r="T1025" s="569" t="n"/>
      <c r="U1025" s="1030" t="n"/>
      <c r="V1025" s="1030" t="n"/>
      <c r="W1025" s="1030" t="n"/>
    </row>
    <row r="1026" ht="15.75" customHeight="1" s="1349">
      <c r="A1026" s="1292" t="n"/>
      <c r="B1026" s="904" t="n"/>
      <c r="C1026" s="904" t="n"/>
      <c r="D1026" s="904" t="n"/>
      <c r="E1026" s="904" t="n"/>
      <c r="F1026" s="856" t="n"/>
      <c r="G1026" s="866" t="n"/>
      <c r="H1026" s="833" t="n"/>
      <c r="I1026" s="904" t="n"/>
      <c r="J1026" s="867">
        <f>F1026*18%</f>
        <v/>
      </c>
      <c r="K1026" s="867">
        <f>(F1026-J1026)*1.65%</f>
        <v/>
      </c>
      <c r="L1026" s="867" t="n"/>
      <c r="M1026" s="863" t="n"/>
      <c r="N1026" s="864">
        <f>(G1026+I1026)*(9.25%)</f>
        <v/>
      </c>
      <c r="O1026" s="904" t="n"/>
      <c r="P1026" s="866" t="n"/>
      <c r="Q1026" s="651" t="n"/>
      <c r="R1026" s="1206" t="n"/>
      <c r="S1026" s="904" t="n"/>
      <c r="T1026" s="569" t="n"/>
      <c r="U1026" s="1030" t="n"/>
      <c r="V1026" s="1030" t="n"/>
      <c r="W1026" s="1030" t="n"/>
    </row>
    <row r="1027" ht="15.75" customHeight="1" s="1349">
      <c r="A1027" s="1292" t="n"/>
      <c r="B1027" s="904" t="n"/>
      <c r="C1027" s="904" t="n"/>
      <c r="D1027" s="904" t="n"/>
      <c r="E1027" s="904" t="n"/>
      <c r="F1027" s="856" t="n"/>
      <c r="G1027" s="866" t="n"/>
      <c r="H1027" s="833" t="n"/>
      <c r="I1027" s="904" t="n"/>
      <c r="J1027" s="867">
        <f>F1027*18%</f>
        <v/>
      </c>
      <c r="K1027" s="867">
        <f>(F1027-J1027)*1.65%</f>
        <v/>
      </c>
      <c r="L1027" s="867" t="n"/>
      <c r="M1027" s="863" t="n"/>
      <c r="N1027" s="864">
        <f>(G1027+I1027)*(9.25%)</f>
        <v/>
      </c>
      <c r="O1027" s="904" t="n"/>
      <c r="P1027" s="866" t="n"/>
      <c r="Q1027" s="651" t="n"/>
      <c r="R1027" s="1206" t="n"/>
      <c r="S1027" s="904" t="n"/>
      <c r="T1027" s="569" t="n"/>
      <c r="U1027" s="1030" t="n"/>
      <c r="V1027" s="1030" t="n"/>
      <c r="W1027" s="1030" t="n"/>
    </row>
    <row r="1028" ht="15.75" customHeight="1" s="1349">
      <c r="A1028" s="1292" t="n"/>
      <c r="B1028" s="904" t="n"/>
      <c r="C1028" s="904" t="n"/>
      <c r="D1028" s="904" t="n"/>
      <c r="E1028" s="904" t="n"/>
      <c r="F1028" s="856" t="n"/>
      <c r="G1028" s="866" t="n"/>
      <c r="H1028" s="833" t="n"/>
      <c r="I1028" s="904" t="n"/>
      <c r="J1028" s="867">
        <f>F1028*18%</f>
        <v/>
      </c>
      <c r="K1028" s="867">
        <f>(F1028-J1028)*1.65%</f>
        <v/>
      </c>
      <c r="L1028" s="867" t="n"/>
      <c r="M1028" s="863" t="n"/>
      <c r="N1028" s="864">
        <f>(G1028+I1028)*(9.25%)</f>
        <v/>
      </c>
      <c r="O1028" s="904" t="n"/>
      <c r="P1028" s="866" t="n"/>
      <c r="Q1028" s="651" t="n"/>
      <c r="R1028" s="1206" t="n"/>
      <c r="S1028" s="904" t="n"/>
      <c r="T1028" s="569" t="n"/>
      <c r="U1028" s="1030" t="n"/>
      <c r="V1028" s="1030" t="n"/>
      <c r="W1028" s="1030" t="n"/>
    </row>
    <row r="1029" ht="15.75" customHeight="1" s="1349">
      <c r="A1029" s="1292" t="n"/>
      <c r="B1029" s="904" t="n"/>
      <c r="C1029" s="904" t="n"/>
      <c r="D1029" s="904" t="n"/>
      <c r="E1029" s="904" t="n"/>
      <c r="F1029" s="856" t="n"/>
      <c r="G1029" s="866" t="n"/>
      <c r="H1029" s="833" t="n"/>
      <c r="I1029" s="904" t="n"/>
      <c r="J1029" s="867">
        <f>F1029*18%</f>
        <v/>
      </c>
      <c r="K1029" s="867">
        <f>(F1029-J1029)*1.65%</f>
        <v/>
      </c>
      <c r="L1029" s="867" t="n"/>
      <c r="M1029" s="863" t="n"/>
      <c r="N1029" s="864">
        <f>(G1029+I1029)*(9.25%)</f>
        <v/>
      </c>
      <c r="O1029" s="904" t="n"/>
      <c r="P1029" s="866" t="n"/>
      <c r="Q1029" s="651" t="n"/>
      <c r="R1029" s="1206" t="n"/>
      <c r="S1029" s="904" t="n"/>
      <c r="T1029" s="569" t="n"/>
      <c r="U1029" s="1030" t="n"/>
      <c r="V1029" s="1030" t="n"/>
      <c r="W1029" s="1030" t="n"/>
    </row>
    <row r="1030" ht="15.75" customHeight="1" s="1349">
      <c r="A1030" s="1292" t="n"/>
      <c r="B1030" s="904" t="n"/>
      <c r="C1030" s="904" t="n"/>
      <c r="D1030" s="904" t="n"/>
      <c r="E1030" s="904" t="n"/>
      <c r="F1030" s="856" t="n"/>
      <c r="G1030" s="866" t="n"/>
      <c r="H1030" s="833" t="n"/>
      <c r="I1030" s="904" t="n"/>
      <c r="J1030" s="867">
        <f>F1030*18%</f>
        <v/>
      </c>
      <c r="K1030" s="867">
        <f>(F1030-J1030)*1.65%</f>
        <v/>
      </c>
      <c r="L1030" s="867" t="n"/>
      <c r="M1030" s="863" t="n"/>
      <c r="N1030" s="864">
        <f>(G1030+I1030)*(9.25%)</f>
        <v/>
      </c>
      <c r="O1030" s="904" t="n"/>
      <c r="P1030" s="866" t="n"/>
      <c r="Q1030" s="651" t="n"/>
      <c r="R1030" s="1206" t="n"/>
      <c r="S1030" s="904" t="n"/>
      <c r="T1030" s="569" t="n"/>
      <c r="U1030" s="1030" t="n"/>
      <c r="V1030" s="1030" t="n"/>
      <c r="W1030" s="1030" t="n"/>
    </row>
    <row r="1031" ht="15.75" customHeight="1" s="1349">
      <c r="A1031" s="1292" t="n"/>
      <c r="B1031" s="904" t="n"/>
      <c r="C1031" s="904" t="n"/>
      <c r="D1031" s="904" t="n"/>
      <c r="E1031" s="904" t="n"/>
      <c r="F1031" s="856" t="n"/>
      <c r="G1031" s="866" t="n"/>
      <c r="H1031" s="833" t="n"/>
      <c r="I1031" s="904" t="n"/>
      <c r="J1031" s="867">
        <f>F1031*18%</f>
        <v/>
      </c>
      <c r="K1031" s="867">
        <f>(F1031-J1031)*1.65%</f>
        <v/>
      </c>
      <c r="L1031" s="867" t="n"/>
      <c r="M1031" s="863" t="n"/>
      <c r="N1031" s="864">
        <f>(G1031+I1031)*(9.25%)</f>
        <v/>
      </c>
      <c r="O1031" s="904" t="n"/>
      <c r="P1031" s="866" t="n"/>
      <c r="Q1031" s="651" t="n"/>
      <c r="R1031" s="1206" t="n"/>
      <c r="S1031" s="904" t="n"/>
      <c r="T1031" s="569" t="n"/>
      <c r="U1031" s="1030" t="n"/>
      <c r="V1031" s="1030" t="n"/>
      <c r="W1031" s="1030" t="n"/>
    </row>
    <row r="1032" ht="15.75" customHeight="1" s="1349">
      <c r="A1032" s="1292" t="n"/>
      <c r="B1032" s="904" t="n"/>
      <c r="C1032" s="904" t="n"/>
      <c r="D1032" s="904" t="n"/>
      <c r="E1032" s="904" t="n"/>
      <c r="F1032" s="856" t="n"/>
      <c r="G1032" s="866" t="n"/>
      <c r="H1032" s="833" t="n"/>
      <c r="I1032" s="904" t="n"/>
      <c r="J1032" s="867">
        <f>F1032*18%</f>
        <v/>
      </c>
      <c r="K1032" s="867">
        <f>(F1032-J1032)*1.65%</f>
        <v/>
      </c>
      <c r="L1032" s="867" t="n"/>
      <c r="M1032" s="863" t="n"/>
      <c r="N1032" s="864">
        <f>(G1032+I1032)*(9.25%)</f>
        <v/>
      </c>
      <c r="O1032" s="904" t="n"/>
      <c r="P1032" s="866" t="n"/>
      <c r="Q1032" s="651" t="n"/>
      <c r="R1032" s="1206" t="n"/>
      <c r="S1032" s="904" t="n"/>
      <c r="T1032" s="569" t="n"/>
      <c r="U1032" s="1030" t="n"/>
      <c r="V1032" s="1030" t="n"/>
      <c r="W1032" s="1030" t="n"/>
    </row>
    <row r="1033" ht="15.75" customHeight="1" s="1349">
      <c r="A1033" s="1292" t="n"/>
      <c r="B1033" s="904" t="n"/>
      <c r="C1033" s="904" t="n"/>
      <c r="D1033" s="904" t="n"/>
      <c r="E1033" s="904" t="n"/>
      <c r="F1033" s="856" t="n"/>
      <c r="G1033" s="866" t="n"/>
      <c r="H1033" s="833" t="n"/>
      <c r="I1033" s="904" t="n"/>
      <c r="J1033" s="867">
        <f>F1033*18%</f>
        <v/>
      </c>
      <c r="K1033" s="867">
        <f>(F1033-J1033)*1.65%</f>
        <v/>
      </c>
      <c r="L1033" s="867" t="n"/>
      <c r="M1033" s="863" t="n"/>
      <c r="N1033" s="864">
        <f>(G1033+I1033)*(9.25%)</f>
        <v/>
      </c>
      <c r="O1033" s="904" t="n"/>
      <c r="P1033" s="866" t="n"/>
      <c r="Q1033" s="651" t="n"/>
      <c r="R1033" s="1206" t="n"/>
      <c r="S1033" s="904" t="n"/>
      <c r="T1033" s="569" t="n"/>
      <c r="U1033" s="1030" t="n"/>
      <c r="V1033" s="1030" t="n"/>
      <c r="W1033" s="1030" t="n"/>
    </row>
    <row r="1034" ht="15.75" customHeight="1" s="1349">
      <c r="A1034" s="1292" t="n"/>
      <c r="B1034" s="904" t="n"/>
      <c r="C1034" s="904" t="n"/>
      <c r="D1034" s="904" t="n"/>
      <c r="E1034" s="904" t="n"/>
      <c r="F1034" s="856" t="n"/>
      <c r="G1034" s="866" t="n"/>
      <c r="H1034" s="833" t="n"/>
      <c r="I1034" s="904" t="n"/>
      <c r="J1034" s="867">
        <f>F1034*18%</f>
        <v/>
      </c>
      <c r="K1034" s="867">
        <f>(F1034-J1034)*1.65%</f>
        <v/>
      </c>
      <c r="L1034" s="867" t="n"/>
      <c r="M1034" s="863" t="n"/>
      <c r="N1034" s="864">
        <f>(G1034+I1034)*(9.25%)</f>
        <v/>
      </c>
      <c r="O1034" s="904" t="n"/>
      <c r="P1034" s="866" t="n"/>
      <c r="Q1034" s="651" t="n"/>
      <c r="R1034" s="1206" t="n"/>
      <c r="S1034" s="904" t="n"/>
      <c r="T1034" s="569" t="n"/>
      <c r="U1034" s="1030" t="n"/>
      <c r="V1034" s="1030" t="n"/>
      <c r="W1034" s="1030" t="n"/>
    </row>
    <row r="1035" ht="15.75" customHeight="1" s="1349">
      <c r="A1035" s="1292" t="n"/>
      <c r="B1035" s="904" t="n"/>
      <c r="C1035" s="904" t="n"/>
      <c r="D1035" s="904" t="n"/>
      <c r="E1035" s="904" t="n"/>
      <c r="F1035" s="856" t="n"/>
      <c r="G1035" s="866" t="n"/>
      <c r="H1035" s="833" t="n"/>
      <c r="I1035" s="904" t="n"/>
      <c r="J1035" s="867">
        <f>F1035*18%</f>
        <v/>
      </c>
      <c r="K1035" s="867">
        <f>(F1035-J1035)*1.65%</f>
        <v/>
      </c>
      <c r="L1035" s="867" t="n"/>
      <c r="M1035" s="863" t="n"/>
      <c r="N1035" s="864">
        <f>(G1035+I1035)*(9.25%)</f>
        <v/>
      </c>
      <c r="O1035" s="904" t="n"/>
      <c r="P1035" s="866" t="n"/>
      <c r="Q1035" s="651" t="n"/>
      <c r="R1035" s="1206" t="n"/>
      <c r="S1035" s="904" t="n"/>
      <c r="T1035" s="569" t="n"/>
      <c r="U1035" s="1030" t="n"/>
      <c r="V1035" s="1030" t="n"/>
      <c r="W1035" s="1030" t="n"/>
    </row>
    <row r="1036" ht="15.75" customHeight="1" s="1349">
      <c r="A1036" s="1292" t="n"/>
      <c r="B1036" s="904" t="n"/>
      <c r="C1036" s="904" t="n"/>
      <c r="D1036" s="904" t="n"/>
      <c r="E1036" s="904" t="n"/>
      <c r="F1036" s="856" t="n"/>
      <c r="G1036" s="866" t="n"/>
      <c r="H1036" s="833" t="n"/>
      <c r="I1036" s="904" t="n"/>
      <c r="J1036" s="867">
        <f>F1036*18%</f>
        <v/>
      </c>
      <c r="K1036" s="867">
        <f>(F1036-J1036)*1.65%</f>
        <v/>
      </c>
      <c r="L1036" s="867" t="n"/>
      <c r="M1036" s="863" t="n"/>
      <c r="N1036" s="864">
        <f>(G1036+I1036)*(9.25%)</f>
        <v/>
      </c>
      <c r="O1036" s="904" t="n"/>
      <c r="P1036" s="866" t="n"/>
      <c r="Q1036" s="651" t="n"/>
      <c r="R1036" s="1206" t="n"/>
      <c r="S1036" s="904" t="n"/>
      <c r="T1036" s="569" t="n"/>
      <c r="U1036" s="1030" t="n"/>
      <c r="V1036" s="1030" t="n"/>
      <c r="W1036" s="1030" t="n"/>
    </row>
    <row r="1037" ht="15.75" customHeight="1" s="1349">
      <c r="A1037" s="1292" t="n"/>
      <c r="B1037" s="904" t="n"/>
      <c r="C1037" s="904" t="n"/>
      <c r="D1037" s="904" t="n"/>
      <c r="E1037" s="904" t="n"/>
      <c r="F1037" s="856" t="n"/>
      <c r="G1037" s="866" t="n"/>
      <c r="H1037" s="833" t="n"/>
      <c r="I1037" s="904" t="n"/>
      <c r="J1037" s="867">
        <f>F1037*18%</f>
        <v/>
      </c>
      <c r="K1037" s="867">
        <f>(F1037-J1037)*1.65%</f>
        <v/>
      </c>
      <c r="L1037" s="867" t="n"/>
      <c r="M1037" s="863" t="n"/>
      <c r="N1037" s="864">
        <f>(G1037+I1037)*(9.25%)</f>
        <v/>
      </c>
      <c r="O1037" s="904" t="n"/>
      <c r="P1037" s="866" t="n"/>
      <c r="Q1037" s="651" t="n"/>
      <c r="R1037" s="1206" t="n"/>
      <c r="S1037" s="904" t="n"/>
      <c r="T1037" s="569" t="n"/>
      <c r="U1037" s="1030" t="n"/>
      <c r="V1037" s="1030" t="n"/>
      <c r="W1037" s="1030" t="n"/>
    </row>
    <row r="1038" ht="15.75" customHeight="1" s="1349">
      <c r="A1038" s="1292" t="n"/>
      <c r="B1038" s="904" t="n"/>
      <c r="C1038" s="904" t="n"/>
      <c r="D1038" s="904" t="n"/>
      <c r="E1038" s="904" t="n"/>
      <c r="F1038" s="856" t="n"/>
      <c r="G1038" s="866" t="n"/>
      <c r="H1038" s="833" t="n"/>
      <c r="I1038" s="904" t="n"/>
      <c r="J1038" s="867">
        <f>F1038*18%</f>
        <v/>
      </c>
      <c r="K1038" s="867">
        <f>(F1038-J1038)*1.65%</f>
        <v/>
      </c>
      <c r="L1038" s="867" t="n"/>
      <c r="M1038" s="863" t="n"/>
      <c r="N1038" s="864">
        <f>(G1038+I1038)*(9.25%)</f>
        <v/>
      </c>
      <c r="O1038" s="904" t="n"/>
      <c r="P1038" s="866" t="n"/>
      <c r="Q1038" s="651" t="n"/>
      <c r="R1038" s="1206" t="n"/>
      <c r="S1038" s="904" t="n"/>
      <c r="T1038" s="569" t="n"/>
      <c r="U1038" s="1030" t="n"/>
      <c r="V1038" s="1030" t="n"/>
      <c r="W1038" s="1030" t="n"/>
    </row>
    <row r="1039" ht="15.75" customHeight="1" s="1349">
      <c r="A1039" s="1292" t="n"/>
      <c r="B1039" s="904" t="n"/>
      <c r="C1039" s="904" t="n"/>
      <c r="D1039" s="904" t="n"/>
      <c r="E1039" s="904" t="n"/>
      <c r="F1039" s="856" t="n"/>
      <c r="G1039" s="866" t="n"/>
      <c r="H1039" s="833" t="n"/>
      <c r="I1039" s="904" t="n"/>
      <c r="J1039" s="867">
        <f>F1039*18%</f>
        <v/>
      </c>
      <c r="K1039" s="867">
        <f>(F1039-J1039)*1.65%</f>
        <v/>
      </c>
      <c r="L1039" s="867" t="n"/>
      <c r="M1039" s="863" t="n"/>
      <c r="N1039" s="864">
        <f>(G1039+I1039)*(9.25%)</f>
        <v/>
      </c>
      <c r="O1039" s="904" t="n"/>
      <c r="P1039" s="866" t="n"/>
      <c r="Q1039" s="651" t="n"/>
      <c r="R1039" s="1206" t="n"/>
      <c r="S1039" s="904" t="n"/>
      <c r="T1039" s="569" t="n"/>
      <c r="U1039" s="1030" t="n"/>
      <c r="V1039" s="1030" t="n"/>
      <c r="W1039" s="1030" t="n"/>
    </row>
    <row r="1040" ht="15.75" customHeight="1" s="1349">
      <c r="A1040" s="1292" t="n"/>
      <c r="B1040" s="904" t="n"/>
      <c r="C1040" s="904" t="n"/>
      <c r="D1040" s="904" t="n"/>
      <c r="E1040" s="904" t="n"/>
      <c r="F1040" s="856" t="n"/>
      <c r="G1040" s="866" t="n"/>
      <c r="H1040" s="833" t="n"/>
      <c r="I1040" s="904" t="n"/>
      <c r="J1040" s="867">
        <f>F1040*18%</f>
        <v/>
      </c>
      <c r="K1040" s="867">
        <f>(F1040-J1040)*1.65%</f>
        <v/>
      </c>
      <c r="L1040" s="867" t="n"/>
      <c r="M1040" s="863" t="n"/>
      <c r="N1040" s="864">
        <f>(G1040+I1040)*(9.25%)</f>
        <v/>
      </c>
      <c r="O1040" s="904" t="n"/>
      <c r="P1040" s="866" t="n"/>
      <c r="Q1040" s="651" t="n"/>
      <c r="R1040" s="1206" t="n"/>
      <c r="S1040" s="904" t="n"/>
      <c r="T1040" s="569" t="n"/>
      <c r="U1040" s="1030" t="n"/>
      <c r="V1040" s="1030" t="n"/>
      <c r="W1040" s="1030" t="n"/>
    </row>
    <row r="1041" ht="15.75" customHeight="1" s="1349">
      <c r="A1041" s="1292" t="n"/>
      <c r="B1041" s="904" t="n"/>
      <c r="C1041" s="904" t="n"/>
      <c r="D1041" s="904" t="n"/>
      <c r="E1041" s="904" t="n"/>
      <c r="F1041" s="856" t="n"/>
      <c r="G1041" s="866" t="n"/>
      <c r="H1041" s="833" t="n"/>
      <c r="I1041" s="904" t="n"/>
      <c r="J1041" s="867">
        <f>F1041*18%</f>
        <v/>
      </c>
      <c r="K1041" s="867">
        <f>(F1041-J1041)*1.65%</f>
        <v/>
      </c>
      <c r="L1041" s="867" t="n"/>
      <c r="M1041" s="863" t="n"/>
      <c r="N1041" s="864">
        <f>(G1041+I1041)*(9.25%)</f>
        <v/>
      </c>
      <c r="O1041" s="904" t="n"/>
      <c r="P1041" s="866" t="n"/>
      <c r="Q1041" s="651" t="n"/>
      <c r="R1041" s="1206" t="n"/>
      <c r="S1041" s="904" t="n"/>
      <c r="T1041" s="569" t="n"/>
      <c r="U1041" s="1030" t="n"/>
      <c r="V1041" s="1030" t="n"/>
      <c r="W1041" s="1030" t="n"/>
    </row>
    <row r="1042" ht="15.75" customHeight="1" s="1349">
      <c r="A1042" s="1292" t="n"/>
      <c r="B1042" s="904" t="n"/>
      <c r="C1042" s="904" t="n"/>
      <c r="D1042" s="904" t="n"/>
      <c r="E1042" s="904" t="n"/>
      <c r="F1042" s="856" t="n"/>
      <c r="G1042" s="866" t="n"/>
      <c r="H1042" s="833" t="n"/>
      <c r="I1042" s="904" t="n"/>
      <c r="J1042" s="867">
        <f>F1042*18%</f>
        <v/>
      </c>
      <c r="K1042" s="867">
        <f>(F1042-J1042)*1.65%</f>
        <v/>
      </c>
      <c r="L1042" s="867" t="n"/>
      <c r="M1042" s="863" t="n"/>
      <c r="N1042" s="864">
        <f>(G1042+I1042)*(9.25%)</f>
        <v/>
      </c>
      <c r="O1042" s="904" t="n"/>
      <c r="P1042" s="866" t="n"/>
      <c r="Q1042" s="651" t="n"/>
      <c r="R1042" s="1206" t="n"/>
      <c r="S1042" s="904" t="n"/>
      <c r="T1042" s="569" t="n"/>
      <c r="U1042" s="1030" t="n"/>
      <c r="V1042" s="1030" t="n"/>
      <c r="W1042" s="1030" t="n"/>
    </row>
    <row r="1043" ht="15.75" customHeight="1" s="1349">
      <c r="A1043" s="1292" t="n"/>
      <c r="B1043" s="904" t="n"/>
      <c r="C1043" s="904" t="n"/>
      <c r="D1043" s="904" t="n"/>
      <c r="E1043" s="904" t="n"/>
      <c r="F1043" s="856" t="n"/>
      <c r="G1043" s="866" t="n"/>
      <c r="H1043" s="833" t="n"/>
      <c r="I1043" s="904" t="n"/>
      <c r="J1043" s="867">
        <f>F1043*18%</f>
        <v/>
      </c>
      <c r="K1043" s="867">
        <f>(F1043-J1043)*1.65%</f>
        <v/>
      </c>
      <c r="L1043" s="867" t="n"/>
      <c r="M1043" s="863" t="n"/>
      <c r="N1043" s="864">
        <f>(G1043+I1043)*(9.25%)</f>
        <v/>
      </c>
      <c r="O1043" s="904" t="n"/>
      <c r="P1043" s="866" t="n"/>
      <c r="Q1043" s="651" t="n"/>
      <c r="R1043" s="1206" t="n"/>
      <c r="S1043" s="904" t="n"/>
      <c r="T1043" s="569" t="n"/>
      <c r="U1043" s="1030" t="n"/>
      <c r="V1043" s="1030" t="n"/>
      <c r="W1043" s="1030" t="n"/>
    </row>
    <row r="1044" ht="15.75" customHeight="1" s="1349">
      <c r="A1044" s="1292" t="n"/>
      <c r="B1044" s="904" t="n"/>
      <c r="C1044" s="904" t="n"/>
      <c r="D1044" s="904" t="n"/>
      <c r="E1044" s="904" t="n"/>
      <c r="F1044" s="856" t="n"/>
      <c r="G1044" s="866" t="n"/>
      <c r="H1044" s="833" t="n"/>
      <c r="I1044" s="904" t="n"/>
      <c r="J1044" s="867">
        <f>F1044*18%</f>
        <v/>
      </c>
      <c r="K1044" s="867">
        <f>(F1044-J1044)*1.65%</f>
        <v/>
      </c>
      <c r="L1044" s="867" t="n"/>
      <c r="M1044" s="863" t="n"/>
      <c r="N1044" s="864">
        <f>(G1044+I1044)*(9.25%)</f>
        <v/>
      </c>
      <c r="O1044" s="904" t="n"/>
      <c r="P1044" s="866" t="n"/>
      <c r="Q1044" s="651" t="n"/>
      <c r="R1044" s="1206" t="n"/>
      <c r="S1044" s="904" t="n"/>
      <c r="T1044" s="569" t="n"/>
      <c r="U1044" s="1030" t="n"/>
      <c r="V1044" s="1030" t="n"/>
      <c r="W1044" s="1030" t="n"/>
    </row>
    <row r="1045" ht="15.75" customHeight="1" s="1349">
      <c r="A1045" s="1292" t="n"/>
      <c r="B1045" s="904" t="n"/>
      <c r="C1045" s="904" t="n"/>
      <c r="D1045" s="904" t="n"/>
      <c r="E1045" s="904" t="n"/>
      <c r="F1045" s="856" t="n"/>
      <c r="G1045" s="866" t="n"/>
      <c r="H1045" s="833" t="n"/>
      <c r="I1045" s="904" t="n"/>
      <c r="J1045" s="867">
        <f>F1045*18%</f>
        <v/>
      </c>
      <c r="K1045" s="867">
        <f>(F1045-J1045)*1.65%</f>
        <v/>
      </c>
      <c r="L1045" s="867" t="n"/>
      <c r="M1045" s="863" t="n"/>
      <c r="N1045" s="864">
        <f>(G1045+I1045)*(9.25%)</f>
        <v/>
      </c>
      <c r="O1045" s="904" t="n"/>
      <c r="P1045" s="866" t="n"/>
      <c r="Q1045" s="651" t="n"/>
      <c r="R1045" s="1206" t="n"/>
      <c r="S1045" s="904" t="n"/>
      <c r="T1045" s="569" t="n"/>
      <c r="U1045" s="1030" t="n"/>
      <c r="V1045" s="1030" t="n"/>
      <c r="W1045" s="1030" t="n"/>
    </row>
    <row r="1046" ht="15.75" customHeight="1" s="1349">
      <c r="A1046" s="1292" t="n"/>
      <c r="B1046" s="904" t="n"/>
      <c r="C1046" s="904" t="n"/>
      <c r="D1046" s="904" t="n"/>
      <c r="E1046" s="904" t="n"/>
      <c r="F1046" s="856" t="n"/>
      <c r="G1046" s="866" t="n"/>
      <c r="H1046" s="833" t="n"/>
      <c r="I1046" s="904" t="n"/>
      <c r="J1046" s="867">
        <f>F1046*18%</f>
        <v/>
      </c>
      <c r="K1046" s="867">
        <f>(F1046-J1046)*1.65%</f>
        <v/>
      </c>
      <c r="L1046" s="867" t="n"/>
      <c r="M1046" s="863" t="n"/>
      <c r="N1046" s="864">
        <f>(G1046+I1046)*(9.25%)</f>
        <v/>
      </c>
      <c r="O1046" s="904" t="n"/>
      <c r="P1046" s="866" t="n"/>
      <c r="Q1046" s="651" t="n"/>
      <c r="R1046" s="1206" t="n"/>
      <c r="S1046" s="904" t="n"/>
      <c r="T1046" s="569" t="n"/>
      <c r="U1046" s="1030" t="n"/>
      <c r="V1046" s="1030" t="n"/>
      <c r="W1046" s="1030" t="n"/>
    </row>
    <row r="1047" ht="15.75" customHeight="1" s="1349">
      <c r="A1047" s="1292" t="n"/>
      <c r="B1047" s="904" t="n"/>
      <c r="C1047" s="904" t="n"/>
      <c r="D1047" s="904" t="n"/>
      <c r="E1047" s="904" t="n"/>
      <c r="F1047" s="856" t="n"/>
      <c r="G1047" s="866" t="n"/>
      <c r="H1047" s="833" t="n"/>
      <c r="I1047" s="904" t="n"/>
      <c r="J1047" s="867">
        <f>F1047*18%</f>
        <v/>
      </c>
      <c r="K1047" s="867">
        <f>(F1047-J1047)*1.65%</f>
        <v/>
      </c>
      <c r="L1047" s="867" t="n"/>
      <c r="M1047" s="863" t="n"/>
      <c r="N1047" s="864">
        <f>(G1047+I1047)*(9.25%)</f>
        <v/>
      </c>
      <c r="O1047" s="904" t="n"/>
      <c r="P1047" s="866" t="n"/>
      <c r="Q1047" s="651" t="n"/>
      <c r="R1047" s="1206" t="n"/>
      <c r="S1047" s="904" t="n"/>
      <c r="T1047" s="569" t="n"/>
      <c r="U1047" s="1030" t="n"/>
      <c r="V1047" s="1030" t="n"/>
      <c r="W1047" s="1030" t="n"/>
    </row>
    <row r="1048" ht="15.75" customHeight="1" s="1349">
      <c r="A1048" s="1292" t="n"/>
      <c r="B1048" s="904" t="n"/>
      <c r="C1048" s="904" t="n"/>
      <c r="D1048" s="904" t="n"/>
      <c r="E1048" s="904" t="n"/>
      <c r="F1048" s="856" t="n"/>
      <c r="G1048" s="866" t="n"/>
      <c r="H1048" s="833" t="n"/>
      <c r="I1048" s="904" t="n"/>
      <c r="J1048" s="867">
        <f>F1048*18%</f>
        <v/>
      </c>
      <c r="K1048" s="867">
        <f>(F1048-J1048)*1.65%</f>
        <v/>
      </c>
      <c r="L1048" s="867" t="n"/>
      <c r="M1048" s="863" t="n"/>
      <c r="N1048" s="864">
        <f>(G1048+I1048)*(9.25%)</f>
        <v/>
      </c>
      <c r="O1048" s="904" t="n"/>
      <c r="P1048" s="866" t="n"/>
      <c r="Q1048" s="651" t="n"/>
      <c r="R1048" s="1206" t="n"/>
      <c r="S1048" s="904" t="n"/>
      <c r="T1048" s="569" t="n"/>
      <c r="U1048" s="1030" t="n"/>
      <c r="V1048" s="1030" t="n"/>
      <c r="W1048" s="1030" t="n"/>
    </row>
    <row r="1049" ht="15.75" customHeight="1" s="1349">
      <c r="A1049" s="1292" t="n"/>
      <c r="B1049" s="904" t="n"/>
      <c r="C1049" s="904" t="n"/>
      <c r="D1049" s="904" t="n"/>
      <c r="E1049" s="904" t="n"/>
      <c r="F1049" s="856" t="n"/>
      <c r="G1049" s="866" t="n"/>
      <c r="H1049" s="833" t="n"/>
      <c r="I1049" s="904" t="n"/>
      <c r="J1049" s="867">
        <f>F1049*18%</f>
        <v/>
      </c>
      <c r="K1049" s="867">
        <f>(F1049-J1049)*1.65%</f>
        <v/>
      </c>
      <c r="L1049" s="867" t="n"/>
      <c r="M1049" s="863" t="n"/>
      <c r="N1049" s="864">
        <f>(G1049+I1049)*(9.25%)</f>
        <v/>
      </c>
      <c r="O1049" s="904" t="n"/>
      <c r="P1049" s="866" t="n"/>
      <c r="Q1049" s="651" t="n"/>
      <c r="R1049" s="1206" t="n"/>
      <c r="S1049" s="904" t="n"/>
      <c r="T1049" s="569" t="n"/>
      <c r="U1049" s="1030" t="n"/>
      <c r="V1049" s="1030" t="n"/>
      <c r="W1049" s="1030" t="n"/>
    </row>
    <row r="1050" ht="15.75" customHeight="1" s="1349">
      <c r="A1050" s="1292" t="n"/>
      <c r="B1050" s="904" t="n"/>
      <c r="C1050" s="904" t="n"/>
      <c r="D1050" s="904" t="n"/>
      <c r="E1050" s="904" t="n"/>
      <c r="F1050" s="856" t="n"/>
      <c r="G1050" s="866" t="n"/>
      <c r="H1050" s="833" t="n"/>
      <c r="I1050" s="904" t="n"/>
      <c r="J1050" s="867">
        <f>F1050*18%</f>
        <v/>
      </c>
      <c r="K1050" s="867">
        <f>(F1050-J1050)*1.65%</f>
        <v/>
      </c>
      <c r="L1050" s="867" t="n"/>
      <c r="M1050" s="863" t="n"/>
      <c r="N1050" s="864">
        <f>(G1050+I1050)*(9.25%)</f>
        <v/>
      </c>
      <c r="O1050" s="904" t="n"/>
      <c r="P1050" s="866" t="n"/>
      <c r="Q1050" s="651" t="n"/>
      <c r="R1050" s="1206" t="n"/>
      <c r="S1050" s="904" t="n"/>
      <c r="T1050" s="569" t="n"/>
      <c r="U1050" s="1030" t="n"/>
      <c r="V1050" s="1030" t="n"/>
      <c r="W1050" s="1030" t="n"/>
    </row>
    <row r="1051" ht="15.75" customHeight="1" s="1349">
      <c r="A1051" s="1292" t="n"/>
      <c r="B1051" s="904" t="n"/>
      <c r="C1051" s="904" t="n"/>
      <c r="D1051" s="904" t="n"/>
      <c r="E1051" s="904" t="n"/>
      <c r="F1051" s="856" t="n"/>
      <c r="G1051" s="866" t="n"/>
      <c r="H1051" s="833" t="n"/>
      <c r="I1051" s="904" t="n"/>
      <c r="J1051" s="867">
        <f>F1051*18%</f>
        <v/>
      </c>
      <c r="K1051" s="867">
        <f>(F1051-J1051)*1.65%</f>
        <v/>
      </c>
      <c r="L1051" s="867" t="n"/>
      <c r="M1051" s="863" t="n"/>
      <c r="N1051" s="864">
        <f>(G1051+I1051)*(9.25%)</f>
        <v/>
      </c>
      <c r="O1051" s="904" t="n"/>
      <c r="P1051" s="866" t="n"/>
      <c r="Q1051" s="651" t="n"/>
      <c r="R1051" s="1206" t="n"/>
      <c r="S1051" s="904" t="n"/>
      <c r="T1051" s="569" t="n"/>
      <c r="U1051" s="1030" t="n"/>
      <c r="V1051" s="1030" t="n"/>
      <c r="W1051" s="1030" t="n"/>
    </row>
    <row r="1052" ht="15.75" customHeight="1" s="1349">
      <c r="A1052" s="1292" t="n"/>
      <c r="B1052" s="904" t="n"/>
      <c r="C1052" s="904" t="n"/>
      <c r="D1052" s="904" t="n"/>
      <c r="E1052" s="904" t="n"/>
      <c r="F1052" s="856" t="n"/>
      <c r="G1052" s="866" t="n"/>
      <c r="H1052" s="833" t="n"/>
      <c r="I1052" s="904" t="n"/>
      <c r="J1052" s="867">
        <f>F1052*18%</f>
        <v/>
      </c>
      <c r="K1052" s="867">
        <f>(F1052-J1052)*1.65%</f>
        <v/>
      </c>
      <c r="L1052" s="867" t="n"/>
      <c r="M1052" s="863" t="n"/>
      <c r="N1052" s="864">
        <f>(G1052+I1052)*(9.25%)</f>
        <v/>
      </c>
      <c r="O1052" s="904" t="n"/>
      <c r="P1052" s="866" t="n"/>
      <c r="Q1052" s="651" t="n"/>
      <c r="R1052" s="1206" t="n"/>
      <c r="S1052" s="904" t="n"/>
      <c r="T1052" s="569" t="n"/>
      <c r="U1052" s="1030" t="n"/>
      <c r="V1052" s="1030" t="n"/>
      <c r="W1052" s="1030" t="n"/>
    </row>
    <row r="1053" ht="15.75" customHeight="1" s="1349">
      <c r="A1053" s="1292" t="n"/>
      <c r="B1053" s="904" t="n"/>
      <c r="C1053" s="904" t="n"/>
      <c r="D1053" s="904" t="n"/>
      <c r="E1053" s="904" t="n"/>
      <c r="F1053" s="856" t="n"/>
      <c r="G1053" s="866" t="n"/>
      <c r="H1053" s="833" t="n"/>
      <c r="I1053" s="904" t="n"/>
      <c r="J1053" s="867">
        <f>F1053*18%</f>
        <v/>
      </c>
      <c r="K1053" s="867">
        <f>(F1053-J1053)*1.65%</f>
        <v/>
      </c>
      <c r="L1053" s="867" t="n"/>
      <c r="M1053" s="863" t="n"/>
      <c r="N1053" s="864">
        <f>(G1053+I1053)*(9.25%)</f>
        <v/>
      </c>
      <c r="O1053" s="904" t="n"/>
      <c r="P1053" s="866" t="n"/>
      <c r="Q1053" s="651" t="n"/>
      <c r="R1053" s="1206" t="n"/>
      <c r="S1053" s="904" t="n"/>
      <c r="T1053" s="569" t="n"/>
      <c r="U1053" s="1030" t="n"/>
      <c r="V1053" s="1030" t="n"/>
      <c r="W1053" s="1030" t="n"/>
    </row>
    <row r="1054" ht="15.75" customHeight="1" s="1349">
      <c r="A1054" s="1292" t="n"/>
      <c r="B1054" s="904" t="n"/>
      <c r="C1054" s="904" t="n"/>
      <c r="D1054" s="904" t="n"/>
      <c r="E1054" s="904" t="n"/>
      <c r="F1054" s="856" t="n"/>
      <c r="G1054" s="866" t="n"/>
      <c r="H1054" s="833" t="n"/>
      <c r="I1054" s="904" t="n"/>
      <c r="J1054" s="867">
        <f>F1054*18%</f>
        <v/>
      </c>
      <c r="K1054" s="867">
        <f>(F1054-J1054)*1.65%</f>
        <v/>
      </c>
      <c r="L1054" s="867" t="n"/>
      <c r="M1054" s="863" t="n"/>
      <c r="N1054" s="864">
        <f>(G1054+I1054)*(9.25%)</f>
        <v/>
      </c>
      <c r="O1054" s="904" t="n"/>
      <c r="P1054" s="866" t="n"/>
      <c r="Q1054" s="651" t="n"/>
      <c r="R1054" s="1206" t="n"/>
      <c r="S1054" s="904" t="n"/>
      <c r="T1054" s="569" t="n"/>
      <c r="U1054" s="1030" t="n"/>
      <c r="V1054" s="1030" t="n"/>
      <c r="W1054" s="1030" t="n"/>
    </row>
    <row r="1055" ht="15.75" customHeight="1" s="1349">
      <c r="A1055" s="1292" t="n"/>
      <c r="B1055" s="904" t="n"/>
      <c r="C1055" s="904" t="n"/>
      <c r="D1055" s="904" t="n"/>
      <c r="E1055" s="904" t="n"/>
      <c r="F1055" s="856" t="n"/>
      <c r="G1055" s="866" t="n"/>
      <c r="H1055" s="833" t="n"/>
      <c r="I1055" s="904" t="n"/>
      <c r="J1055" s="867">
        <f>F1055*18%</f>
        <v/>
      </c>
      <c r="K1055" s="867">
        <f>(F1055-J1055)*1.65%</f>
        <v/>
      </c>
      <c r="L1055" s="867" t="n"/>
      <c r="M1055" s="863" t="n"/>
      <c r="N1055" s="864">
        <f>(G1055+I1055)*(9.25%)</f>
        <v/>
      </c>
      <c r="O1055" s="904" t="n"/>
      <c r="P1055" s="866" t="n"/>
      <c r="Q1055" s="651" t="n"/>
      <c r="R1055" s="1206" t="n"/>
      <c r="S1055" s="904" t="n"/>
      <c r="T1055" s="569" t="n"/>
      <c r="U1055" s="1030" t="n"/>
      <c r="V1055" s="1030" t="n"/>
      <c r="W1055" s="1030" t="n"/>
    </row>
    <row r="1056" ht="15.75" customHeight="1" s="1349">
      <c r="A1056" s="1292" t="n"/>
      <c r="B1056" s="904" t="n"/>
      <c r="C1056" s="904" t="n"/>
      <c r="D1056" s="904" t="n"/>
      <c r="E1056" s="904" t="n"/>
      <c r="F1056" s="856" t="n"/>
      <c r="G1056" s="866" t="n"/>
      <c r="H1056" s="833" t="n"/>
      <c r="I1056" s="904" t="n"/>
      <c r="J1056" s="867">
        <f>F1056*18%</f>
        <v/>
      </c>
      <c r="K1056" s="867">
        <f>(F1056-J1056)*1.65%</f>
        <v/>
      </c>
      <c r="L1056" s="867" t="n"/>
      <c r="M1056" s="863" t="n"/>
      <c r="N1056" s="864">
        <f>(G1056+I1056)*(9.25%)</f>
        <v/>
      </c>
      <c r="O1056" s="904" t="n"/>
      <c r="P1056" s="866" t="n"/>
      <c r="Q1056" s="651" t="n"/>
      <c r="R1056" s="1206" t="n"/>
      <c r="S1056" s="904" t="n"/>
      <c r="T1056" s="569" t="n"/>
      <c r="U1056" s="1030" t="n"/>
      <c r="V1056" s="1030" t="n"/>
      <c r="W1056" s="1030" t="n"/>
    </row>
    <row r="1057" ht="15.75" customHeight="1" s="1349">
      <c r="A1057" s="1292" t="n"/>
      <c r="B1057" s="904" t="n"/>
      <c r="C1057" s="904" t="n"/>
      <c r="D1057" s="904" t="n"/>
      <c r="E1057" s="904" t="n"/>
      <c r="F1057" s="856" t="n"/>
      <c r="G1057" s="866" t="n"/>
      <c r="H1057" s="833" t="n"/>
      <c r="I1057" s="904" t="n"/>
      <c r="J1057" s="867">
        <f>F1057*18%</f>
        <v/>
      </c>
      <c r="K1057" s="867">
        <f>(F1057-J1057)*1.65%</f>
        <v/>
      </c>
      <c r="L1057" s="867" t="n"/>
      <c r="M1057" s="863" t="n"/>
      <c r="N1057" s="864">
        <f>(G1057+I1057)*(9.25%)</f>
        <v/>
      </c>
      <c r="O1057" s="904" t="n"/>
      <c r="P1057" s="866" t="n"/>
      <c r="Q1057" s="651" t="n"/>
      <c r="R1057" s="1206" t="n"/>
      <c r="S1057" s="904" t="n"/>
      <c r="T1057" s="569" t="n"/>
      <c r="U1057" s="1030" t="n"/>
      <c r="V1057" s="1030" t="n"/>
      <c r="W1057" s="1030" t="n"/>
    </row>
    <row r="1058" ht="15.75" customHeight="1" s="1349">
      <c r="A1058" s="1292" t="n"/>
      <c r="B1058" s="904" t="n"/>
      <c r="C1058" s="904" t="n"/>
      <c r="D1058" s="904" t="n"/>
      <c r="E1058" s="904" t="n"/>
      <c r="F1058" s="856" t="n"/>
      <c r="G1058" s="866" t="n"/>
      <c r="H1058" s="833" t="n"/>
      <c r="I1058" s="904" t="n"/>
      <c r="J1058" s="867">
        <f>F1058*18%</f>
        <v/>
      </c>
      <c r="K1058" s="867">
        <f>(F1058-J1058)*1.65%</f>
        <v/>
      </c>
      <c r="L1058" s="867" t="n"/>
      <c r="M1058" s="863" t="n"/>
      <c r="N1058" s="864">
        <f>(G1058+I1058)*(9.25%)</f>
        <v/>
      </c>
      <c r="O1058" s="904" t="n"/>
      <c r="P1058" s="866" t="n"/>
      <c r="Q1058" s="651" t="n"/>
      <c r="R1058" s="1206" t="n"/>
      <c r="S1058" s="904" t="n"/>
      <c r="T1058" s="569" t="n"/>
      <c r="U1058" s="1030" t="n"/>
      <c r="V1058" s="1030" t="n"/>
      <c r="W1058" s="1030" t="n"/>
    </row>
    <row r="1059" ht="15.75" customHeight="1" s="1349">
      <c r="A1059" s="1292" t="n"/>
      <c r="B1059" s="904" t="n"/>
      <c r="C1059" s="904" t="n"/>
      <c r="D1059" s="904" t="n"/>
      <c r="E1059" s="904" t="n"/>
      <c r="F1059" s="856" t="n"/>
      <c r="G1059" s="866" t="n"/>
      <c r="H1059" s="833" t="n"/>
      <c r="I1059" s="904" t="n"/>
      <c r="J1059" s="867">
        <f>F1059*18%</f>
        <v/>
      </c>
      <c r="K1059" s="867">
        <f>(F1059-J1059)*1.65%</f>
        <v/>
      </c>
      <c r="L1059" s="867" t="n"/>
      <c r="M1059" s="863" t="n"/>
      <c r="N1059" s="864">
        <f>(G1059+I1059)*(9.25%)</f>
        <v/>
      </c>
      <c r="O1059" s="904" t="n"/>
      <c r="P1059" s="866" t="n"/>
      <c r="Q1059" s="651" t="n"/>
      <c r="R1059" s="1206" t="n"/>
      <c r="S1059" s="904" t="n"/>
      <c r="T1059" s="569" t="n"/>
      <c r="U1059" s="1030" t="n"/>
      <c r="V1059" s="1030" t="n"/>
      <c r="W1059" s="1030" t="n"/>
    </row>
    <row r="1060" ht="15.75" customHeight="1" s="1349">
      <c r="A1060" s="1292" t="n"/>
      <c r="B1060" s="904" t="n"/>
      <c r="C1060" s="904" t="n"/>
      <c r="D1060" s="904" t="n"/>
      <c r="E1060" s="904" t="n"/>
      <c r="F1060" s="856" t="n"/>
      <c r="G1060" s="866" t="n"/>
      <c r="H1060" s="833" t="n"/>
      <c r="I1060" s="904" t="n"/>
      <c r="J1060" s="867">
        <f>F1060*18%</f>
        <v/>
      </c>
      <c r="K1060" s="867">
        <f>(F1060-J1060)*1.65%</f>
        <v/>
      </c>
      <c r="L1060" s="867" t="n"/>
      <c r="M1060" s="863" t="n"/>
      <c r="N1060" s="864">
        <f>(G1060+I1060)*(9.25%)</f>
        <v/>
      </c>
      <c r="O1060" s="904" t="n"/>
      <c r="P1060" s="866" t="n"/>
      <c r="Q1060" s="651" t="n"/>
      <c r="R1060" s="1206" t="n"/>
      <c r="S1060" s="904" t="n"/>
      <c r="T1060" s="569" t="n"/>
      <c r="U1060" s="1030" t="n"/>
      <c r="V1060" s="1030" t="n"/>
      <c r="W1060" s="1030" t="n"/>
    </row>
    <row r="1061" ht="15.75" customHeight="1" s="1349">
      <c r="A1061" s="1292" t="n"/>
      <c r="B1061" s="904" t="n"/>
      <c r="C1061" s="904" t="n"/>
      <c r="D1061" s="904" t="n"/>
      <c r="E1061" s="904" t="n"/>
      <c r="F1061" s="856" t="n"/>
      <c r="G1061" s="866" t="n"/>
      <c r="H1061" s="833" t="n"/>
      <c r="I1061" s="904" t="n"/>
      <c r="J1061" s="867">
        <f>F1061*18%</f>
        <v/>
      </c>
      <c r="K1061" s="867">
        <f>(F1061-J1061)*1.65%</f>
        <v/>
      </c>
      <c r="L1061" s="867" t="n"/>
      <c r="M1061" s="863" t="n"/>
      <c r="N1061" s="864">
        <f>(G1061+I1061)*(9.25%)</f>
        <v/>
      </c>
      <c r="O1061" s="904" t="n"/>
      <c r="P1061" s="866" t="n"/>
      <c r="Q1061" s="651" t="n"/>
      <c r="R1061" s="1206" t="n"/>
      <c r="S1061" s="904" t="n"/>
      <c r="T1061" s="569" t="n"/>
      <c r="U1061" s="1030" t="n"/>
      <c r="V1061" s="1030" t="n"/>
      <c r="W1061" s="1030" t="n"/>
    </row>
    <row r="1062" ht="15.75" customHeight="1" s="1349">
      <c r="A1062" s="1292" t="n"/>
      <c r="B1062" s="904" t="n"/>
      <c r="C1062" s="904" t="n"/>
      <c r="D1062" s="904" t="n"/>
      <c r="E1062" s="904" t="n"/>
      <c r="F1062" s="856" t="n"/>
      <c r="G1062" s="866" t="n"/>
      <c r="H1062" s="833" t="n"/>
      <c r="I1062" s="904" t="n"/>
      <c r="J1062" s="867">
        <f>F1062*18%</f>
        <v/>
      </c>
      <c r="K1062" s="867">
        <f>(F1062-J1062)*1.65%</f>
        <v/>
      </c>
      <c r="L1062" s="867" t="n"/>
      <c r="M1062" s="863" t="n"/>
      <c r="N1062" s="864">
        <f>(G1062+I1062)*(9.25%)</f>
        <v/>
      </c>
      <c r="O1062" s="904" t="n"/>
      <c r="P1062" s="866" t="n"/>
      <c r="Q1062" s="651" t="n"/>
      <c r="R1062" s="1206" t="n"/>
      <c r="S1062" s="904" t="n"/>
      <c r="T1062" s="569" t="n"/>
      <c r="U1062" s="1030" t="n"/>
      <c r="V1062" s="1030" t="n"/>
      <c r="W1062" s="1030" t="n"/>
    </row>
    <row r="1063" ht="15.75" customHeight="1" s="1349">
      <c r="A1063" s="1292" t="n"/>
      <c r="B1063" s="904" t="n"/>
      <c r="C1063" s="904" t="n"/>
      <c r="D1063" s="904" t="n"/>
      <c r="E1063" s="904" t="n"/>
      <c r="F1063" s="856" t="n"/>
      <c r="G1063" s="866" t="n"/>
      <c r="H1063" s="833" t="n"/>
      <c r="I1063" s="904" t="n"/>
      <c r="J1063" s="867">
        <f>F1063*18%</f>
        <v/>
      </c>
      <c r="K1063" s="867">
        <f>(F1063-J1063)*1.65%</f>
        <v/>
      </c>
      <c r="L1063" s="867" t="n"/>
      <c r="M1063" s="863" t="n"/>
      <c r="N1063" s="864">
        <f>(G1063+I1063)*(9.25%)</f>
        <v/>
      </c>
      <c r="O1063" s="904" t="n"/>
      <c r="P1063" s="866" t="n"/>
      <c r="Q1063" s="651" t="n"/>
      <c r="R1063" s="1206" t="n"/>
      <c r="S1063" s="904" t="n"/>
      <c r="T1063" s="569" t="n"/>
      <c r="U1063" s="1030" t="n"/>
      <c r="V1063" s="1030" t="n"/>
      <c r="W1063" s="1030" t="n"/>
    </row>
    <row r="1064" ht="15.75" customHeight="1" s="1349">
      <c r="A1064" s="1292" t="n"/>
      <c r="B1064" s="904" t="n"/>
      <c r="C1064" s="904" t="n"/>
      <c r="D1064" s="904" t="n"/>
      <c r="E1064" s="904" t="n"/>
      <c r="F1064" s="856" t="n"/>
      <c r="G1064" s="866" t="n"/>
      <c r="H1064" s="833" t="n"/>
      <c r="I1064" s="904" t="n"/>
      <c r="J1064" s="867">
        <f>F1064*18%</f>
        <v/>
      </c>
      <c r="K1064" s="867">
        <f>(F1064-J1064)*1.65%</f>
        <v/>
      </c>
      <c r="L1064" s="867" t="n"/>
      <c r="M1064" s="863" t="n"/>
      <c r="N1064" s="864">
        <f>(G1064+I1064)*(9.25%)</f>
        <v/>
      </c>
      <c r="O1064" s="904" t="n"/>
      <c r="P1064" s="866" t="n"/>
      <c r="Q1064" s="651" t="n"/>
      <c r="R1064" s="1206" t="n"/>
      <c r="S1064" s="904" t="n"/>
      <c r="T1064" s="569" t="n"/>
      <c r="U1064" s="1030" t="n"/>
      <c r="V1064" s="1030" t="n"/>
      <c r="W1064" s="1030" t="n"/>
    </row>
    <row r="1065" ht="15.75" customHeight="1" s="1349">
      <c r="A1065" s="1292" t="n"/>
      <c r="B1065" s="904" t="n"/>
      <c r="C1065" s="904" t="n"/>
      <c r="D1065" s="904" t="n"/>
      <c r="E1065" s="904" t="n"/>
      <c r="F1065" s="856" t="n"/>
      <c r="G1065" s="866" t="n"/>
      <c r="H1065" s="833" t="n"/>
      <c r="I1065" s="904" t="n"/>
      <c r="J1065" s="867">
        <f>F1065*18%</f>
        <v/>
      </c>
      <c r="K1065" s="867">
        <f>(F1065-J1065)*1.65%</f>
        <v/>
      </c>
      <c r="L1065" s="867" t="n"/>
      <c r="M1065" s="863" t="n"/>
      <c r="N1065" s="864">
        <f>(G1065+I1065)*(9.25%)</f>
        <v/>
      </c>
      <c r="O1065" s="904" t="n"/>
      <c r="P1065" s="866" t="n"/>
      <c r="Q1065" s="651" t="n"/>
      <c r="R1065" s="1206" t="n"/>
      <c r="S1065" s="904" t="n"/>
      <c r="T1065" s="569" t="n"/>
      <c r="U1065" s="1030" t="n"/>
      <c r="V1065" s="1030" t="n"/>
      <c r="W1065" s="1030" t="n"/>
    </row>
    <row r="1066" ht="15.75" customHeight="1" s="1349">
      <c r="A1066" s="1292" t="n"/>
      <c r="B1066" s="904" t="n"/>
      <c r="C1066" s="904" t="n"/>
      <c r="D1066" s="904" t="n"/>
      <c r="E1066" s="904" t="n"/>
      <c r="F1066" s="856" t="n"/>
      <c r="G1066" s="866" t="n"/>
      <c r="H1066" s="833" t="n"/>
      <c r="I1066" s="904" t="n"/>
      <c r="J1066" s="867">
        <f>F1066*18%</f>
        <v/>
      </c>
      <c r="K1066" s="867">
        <f>(F1066-J1066)*1.65%</f>
        <v/>
      </c>
      <c r="L1066" s="867" t="n"/>
      <c r="M1066" s="863" t="n"/>
      <c r="N1066" s="864">
        <f>(G1066+I1066)*(9.25%)</f>
        <v/>
      </c>
      <c r="O1066" s="904" t="n"/>
      <c r="P1066" s="866" t="n"/>
      <c r="Q1066" s="651" t="n"/>
      <c r="R1066" s="1206" t="n"/>
      <c r="S1066" s="904" t="n"/>
      <c r="T1066" s="569" t="n"/>
      <c r="U1066" s="1030" t="n"/>
      <c r="V1066" s="1030" t="n"/>
      <c r="W1066" s="1030" t="n"/>
    </row>
    <row r="1067" ht="15.75" customHeight="1" s="1349">
      <c r="A1067" s="1292" t="n"/>
      <c r="B1067" s="904" t="n"/>
      <c r="C1067" s="904" t="n"/>
      <c r="D1067" s="904" t="n"/>
      <c r="E1067" s="904" t="n"/>
      <c r="F1067" s="856" t="n"/>
      <c r="G1067" s="866" t="n"/>
      <c r="H1067" s="833" t="n"/>
      <c r="I1067" s="904" t="n"/>
      <c r="J1067" s="867">
        <f>F1067*18%</f>
        <v/>
      </c>
      <c r="K1067" s="867">
        <f>(F1067-J1067)*1.65%</f>
        <v/>
      </c>
      <c r="L1067" s="867" t="n"/>
      <c r="M1067" s="863" t="n"/>
      <c r="N1067" s="864">
        <f>(G1067+I1067)*(9.25%)</f>
        <v/>
      </c>
      <c r="O1067" s="904" t="n"/>
      <c r="P1067" s="866" t="n"/>
      <c r="Q1067" s="651" t="n"/>
      <c r="R1067" s="1206" t="n"/>
      <c r="S1067" s="904" t="n"/>
      <c r="T1067" s="569" t="n"/>
      <c r="U1067" s="1030" t="n"/>
      <c r="V1067" s="1030" t="n"/>
      <c r="W1067" s="1030" t="n"/>
    </row>
    <row r="1068" ht="15.75" customHeight="1" s="1349">
      <c r="A1068" s="1292" t="n"/>
      <c r="B1068" s="904" t="n"/>
      <c r="C1068" s="904" t="n"/>
      <c r="D1068" s="904" t="n"/>
      <c r="E1068" s="904" t="n"/>
      <c r="F1068" s="856" t="n"/>
      <c r="G1068" s="866" t="n"/>
      <c r="H1068" s="833" t="n"/>
      <c r="I1068" s="904" t="n"/>
      <c r="J1068" s="867">
        <f>F1068*18%</f>
        <v/>
      </c>
      <c r="K1068" s="867">
        <f>(F1068-J1068)*1.65%</f>
        <v/>
      </c>
      <c r="L1068" s="867" t="n"/>
      <c r="M1068" s="863" t="n"/>
      <c r="N1068" s="864">
        <f>(G1068+I1068)*(9.25%)</f>
        <v/>
      </c>
      <c r="O1068" s="904" t="n"/>
      <c r="P1068" s="866" t="n"/>
      <c r="Q1068" s="651" t="n"/>
      <c r="R1068" s="1206" t="n"/>
      <c r="S1068" s="904" t="n"/>
      <c r="T1068" s="569" t="n"/>
      <c r="U1068" s="1030" t="n"/>
      <c r="V1068" s="1030" t="n"/>
      <c r="W1068" s="1030" t="n"/>
    </row>
    <row r="1069" ht="15.75" customHeight="1" s="1349">
      <c r="A1069" s="1292" t="n"/>
      <c r="B1069" s="904" t="n"/>
      <c r="C1069" s="904" t="n"/>
      <c r="D1069" s="904" t="n"/>
      <c r="E1069" s="904" t="n"/>
      <c r="F1069" s="856" t="n"/>
      <c r="G1069" s="866" t="n"/>
      <c r="H1069" s="833" t="n"/>
      <c r="I1069" s="904" t="n"/>
      <c r="J1069" s="867">
        <f>F1069*18%</f>
        <v/>
      </c>
      <c r="K1069" s="867">
        <f>(F1069-J1069)*1.65%</f>
        <v/>
      </c>
      <c r="L1069" s="867" t="n"/>
      <c r="M1069" s="863" t="n"/>
      <c r="N1069" s="864">
        <f>(G1069+I1069)*(9.25%)</f>
        <v/>
      </c>
      <c r="O1069" s="904" t="n"/>
      <c r="P1069" s="866" t="n"/>
      <c r="Q1069" s="651" t="n"/>
      <c r="R1069" s="1206" t="n"/>
      <c r="S1069" s="904" t="n"/>
      <c r="T1069" s="569" t="n"/>
      <c r="U1069" s="1030" t="n"/>
      <c r="V1069" s="1030" t="n"/>
      <c r="W1069" s="1030" t="n"/>
    </row>
    <row r="1070" ht="15.75" customHeight="1" s="1349">
      <c r="A1070" s="1292" t="n"/>
      <c r="B1070" s="904" t="n"/>
      <c r="C1070" s="904" t="n"/>
      <c r="D1070" s="904" t="n"/>
      <c r="E1070" s="904" t="n"/>
      <c r="F1070" s="856" t="n"/>
      <c r="G1070" s="866" t="n"/>
      <c r="H1070" s="833" t="n"/>
      <c r="I1070" s="904" t="n"/>
      <c r="J1070" s="867">
        <f>F1070*18%</f>
        <v/>
      </c>
      <c r="K1070" s="867">
        <f>(F1070-J1070)*1.65%</f>
        <v/>
      </c>
      <c r="L1070" s="867" t="n"/>
      <c r="M1070" s="863" t="n"/>
      <c r="N1070" s="864">
        <f>(G1070+I1070)*(9.25%)</f>
        <v/>
      </c>
      <c r="O1070" s="904" t="n"/>
      <c r="P1070" s="866" t="n"/>
      <c r="Q1070" s="651" t="n"/>
      <c r="R1070" s="1206" t="n"/>
      <c r="S1070" s="904" t="n"/>
      <c r="T1070" s="569" t="n"/>
      <c r="U1070" s="1030" t="n"/>
      <c r="V1070" s="1030" t="n"/>
      <c r="W1070" s="1030" t="n"/>
    </row>
    <row r="1071" ht="15.75" customHeight="1" s="1349">
      <c r="A1071" s="1292" t="n"/>
      <c r="B1071" s="904" t="n"/>
      <c r="C1071" s="904" t="n"/>
      <c r="D1071" s="904" t="n"/>
      <c r="E1071" s="904" t="n"/>
      <c r="F1071" s="856" t="n"/>
      <c r="G1071" s="866" t="n"/>
      <c r="H1071" s="833" t="n"/>
      <c r="I1071" s="904" t="n"/>
      <c r="J1071" s="867">
        <f>F1071*18%</f>
        <v/>
      </c>
      <c r="K1071" s="867">
        <f>(F1071-J1071)*1.65%</f>
        <v/>
      </c>
      <c r="L1071" s="867" t="n"/>
      <c r="M1071" s="863" t="n"/>
      <c r="N1071" s="864">
        <f>(G1071+I1071)*(9.25%)</f>
        <v/>
      </c>
      <c r="O1071" s="904" t="n"/>
      <c r="P1071" s="866" t="n"/>
      <c r="Q1071" s="651" t="n"/>
      <c r="R1071" s="1206" t="n"/>
      <c r="S1071" s="904" t="n"/>
      <c r="T1071" s="569" t="n"/>
      <c r="U1071" s="1030" t="n"/>
      <c r="V1071" s="1030" t="n"/>
      <c r="W1071" s="1030" t="n"/>
    </row>
    <row r="1072" ht="15.75" customHeight="1" s="1349">
      <c r="A1072" s="1292" t="n"/>
      <c r="B1072" s="904" t="n"/>
      <c r="C1072" s="904" t="n"/>
      <c r="D1072" s="904" t="n"/>
      <c r="E1072" s="904" t="n"/>
      <c r="F1072" s="856" t="n"/>
      <c r="G1072" s="866" t="n"/>
      <c r="H1072" s="833" t="n"/>
      <c r="I1072" s="904" t="n"/>
      <c r="J1072" s="867">
        <f>F1072*18%</f>
        <v/>
      </c>
      <c r="K1072" s="867">
        <f>(F1072-J1072)*1.65%</f>
        <v/>
      </c>
      <c r="L1072" s="867" t="n"/>
      <c r="M1072" s="863" t="n"/>
      <c r="N1072" s="864">
        <f>(G1072+I1072)*(9.25%)</f>
        <v/>
      </c>
      <c r="O1072" s="904" t="n"/>
      <c r="P1072" s="866" t="n"/>
      <c r="Q1072" s="651" t="n"/>
      <c r="R1072" s="1206" t="n"/>
      <c r="S1072" s="904" t="n"/>
      <c r="T1072" s="569" t="n"/>
      <c r="U1072" s="1030" t="n"/>
      <c r="V1072" s="1030" t="n"/>
      <c r="W1072" s="1030" t="n"/>
    </row>
    <row r="1073" ht="15.75" customHeight="1" s="1349">
      <c r="A1073" s="1292" t="n"/>
      <c r="B1073" s="904" t="n"/>
      <c r="C1073" s="904" t="n"/>
      <c r="D1073" s="904" t="n"/>
      <c r="E1073" s="904" t="n"/>
      <c r="F1073" s="856" t="n"/>
      <c r="G1073" s="866" t="n"/>
      <c r="H1073" s="833" t="n"/>
      <c r="I1073" s="904" t="n"/>
      <c r="J1073" s="867">
        <f>F1073*18%</f>
        <v/>
      </c>
      <c r="K1073" s="867">
        <f>(F1073-J1073)*1.65%</f>
        <v/>
      </c>
      <c r="L1073" s="867" t="n"/>
      <c r="M1073" s="863" t="n"/>
      <c r="N1073" s="864">
        <f>(G1073+I1073)*(9.25%)</f>
        <v/>
      </c>
      <c r="O1073" s="904" t="n"/>
      <c r="P1073" s="866" t="n"/>
      <c r="Q1073" s="651" t="n"/>
      <c r="R1073" s="1206" t="n"/>
      <c r="S1073" s="904" t="n"/>
      <c r="T1073" s="569" t="n"/>
      <c r="U1073" s="1030" t="n"/>
      <c r="V1073" s="1030" t="n"/>
      <c r="W1073" s="1030" t="n"/>
    </row>
    <row r="1074" ht="15.75" customHeight="1" s="1349">
      <c r="A1074" s="1292" t="n"/>
      <c r="B1074" s="904" t="n"/>
      <c r="C1074" s="904" t="n"/>
      <c r="D1074" s="904" t="n"/>
      <c r="E1074" s="904" t="n"/>
      <c r="F1074" s="856" t="n"/>
      <c r="G1074" s="866" t="n"/>
      <c r="H1074" s="833" t="n"/>
      <c r="I1074" s="904" t="n"/>
      <c r="J1074" s="867">
        <f>F1074*18%</f>
        <v/>
      </c>
      <c r="K1074" s="867">
        <f>(F1074-J1074)*1.65%</f>
        <v/>
      </c>
      <c r="L1074" s="867" t="n"/>
      <c r="M1074" s="863" t="n"/>
      <c r="N1074" s="864">
        <f>(G1074+I1074)*(9.25%)</f>
        <v/>
      </c>
      <c r="O1074" s="904" t="n"/>
      <c r="P1074" s="866" t="n"/>
      <c r="Q1074" s="651" t="n"/>
      <c r="R1074" s="1206" t="n"/>
      <c r="S1074" s="904" t="n"/>
      <c r="T1074" s="569" t="n"/>
      <c r="U1074" s="1030" t="n"/>
      <c r="V1074" s="1030" t="n"/>
      <c r="W1074" s="1030" t="n"/>
    </row>
    <row r="1075" ht="15.75" customHeight="1" s="1349">
      <c r="A1075" s="1292" t="n"/>
      <c r="B1075" s="904" t="n"/>
      <c r="C1075" s="904" t="n"/>
      <c r="D1075" s="904" t="n"/>
      <c r="E1075" s="904" t="n"/>
      <c r="F1075" s="856" t="n"/>
      <c r="G1075" s="866" t="n"/>
      <c r="H1075" s="833" t="n"/>
      <c r="I1075" s="904" t="n"/>
      <c r="J1075" s="867">
        <f>F1075*18%</f>
        <v/>
      </c>
      <c r="K1075" s="867">
        <f>(F1075-J1075)*1.65%</f>
        <v/>
      </c>
      <c r="L1075" s="867" t="n"/>
      <c r="M1075" s="863" t="n"/>
      <c r="N1075" s="864">
        <f>(G1075+I1075)*(9.25%)</f>
        <v/>
      </c>
      <c r="O1075" s="904" t="n"/>
      <c r="P1075" s="866" t="n"/>
      <c r="Q1075" s="651" t="n"/>
      <c r="R1075" s="1206" t="n"/>
      <c r="S1075" s="904" t="n"/>
      <c r="T1075" s="569" t="n"/>
      <c r="U1075" s="1030" t="n"/>
      <c r="V1075" s="1030" t="n"/>
      <c r="W1075" s="1030" t="n"/>
    </row>
    <row r="1076" ht="15.75" customHeight="1" s="1349">
      <c r="A1076" s="1292" t="n"/>
      <c r="B1076" s="904" t="n"/>
      <c r="C1076" s="904" t="n"/>
      <c r="D1076" s="904" t="n"/>
      <c r="E1076" s="904" t="n"/>
      <c r="F1076" s="856" t="n"/>
      <c r="G1076" s="866" t="n"/>
      <c r="H1076" s="833" t="n"/>
      <c r="I1076" s="904" t="n"/>
      <c r="J1076" s="867">
        <f>F1076*18%</f>
        <v/>
      </c>
      <c r="K1076" s="867">
        <f>(F1076-J1076)*1.65%</f>
        <v/>
      </c>
      <c r="L1076" s="867" t="n"/>
      <c r="M1076" s="863" t="n"/>
      <c r="N1076" s="864">
        <f>(G1076+I1076)*(9.25%)</f>
        <v/>
      </c>
      <c r="O1076" s="904" t="n"/>
      <c r="P1076" s="866" t="n"/>
      <c r="Q1076" s="651" t="n"/>
      <c r="R1076" s="1206" t="n"/>
      <c r="S1076" s="904" t="n"/>
      <c r="T1076" s="569" t="n"/>
      <c r="U1076" s="1030" t="n"/>
      <c r="V1076" s="1030" t="n"/>
      <c r="W1076" s="1030" t="n"/>
    </row>
    <row r="1077" ht="15.75" customHeight="1" s="1349">
      <c r="A1077" s="1292" t="n"/>
      <c r="B1077" s="904" t="n"/>
      <c r="C1077" s="904" t="n"/>
      <c r="D1077" s="904" t="n"/>
      <c r="E1077" s="904" t="n"/>
      <c r="F1077" s="856" t="n"/>
      <c r="G1077" s="866" t="n"/>
      <c r="H1077" s="833" t="n"/>
      <c r="I1077" s="904" t="n"/>
      <c r="J1077" s="867">
        <f>F1077*18%</f>
        <v/>
      </c>
      <c r="K1077" s="867">
        <f>(F1077-J1077)*1.65%</f>
        <v/>
      </c>
      <c r="L1077" s="867" t="n"/>
      <c r="M1077" s="863" t="n"/>
      <c r="N1077" s="864">
        <f>(G1077+I1077)*(9.25%)</f>
        <v/>
      </c>
      <c r="O1077" s="904" t="n"/>
      <c r="P1077" s="866" t="n"/>
      <c r="Q1077" s="651" t="n"/>
      <c r="R1077" s="1206" t="n"/>
      <c r="S1077" s="904" t="n"/>
      <c r="T1077" s="569" t="n"/>
      <c r="U1077" s="1030" t="n"/>
      <c r="V1077" s="1030" t="n"/>
      <c r="W1077" s="1030" t="n"/>
    </row>
    <row r="1078" ht="15.75" customHeight="1" s="1349">
      <c r="A1078" s="1292" t="n"/>
      <c r="B1078" s="904" t="n"/>
      <c r="C1078" s="904" t="n"/>
      <c r="D1078" s="904" t="n"/>
      <c r="E1078" s="904" t="n"/>
      <c r="F1078" s="856" t="n"/>
      <c r="G1078" s="866" t="n"/>
      <c r="H1078" s="833" t="n"/>
      <c r="I1078" s="904" t="n"/>
      <c r="J1078" s="867">
        <f>F1078*18%</f>
        <v/>
      </c>
      <c r="K1078" s="867">
        <f>(F1078-J1078)*1.65%</f>
        <v/>
      </c>
      <c r="L1078" s="867" t="n"/>
      <c r="M1078" s="863" t="n"/>
      <c r="N1078" s="864">
        <f>(G1078+I1078)*(9.25%)</f>
        <v/>
      </c>
      <c r="O1078" s="904" t="n"/>
      <c r="P1078" s="866" t="n"/>
      <c r="Q1078" s="651" t="n"/>
      <c r="R1078" s="1206" t="n"/>
      <c r="S1078" s="904" t="n"/>
      <c r="T1078" s="569" t="n"/>
      <c r="U1078" s="1030" t="n"/>
      <c r="V1078" s="1030" t="n"/>
      <c r="W1078" s="1030" t="n"/>
    </row>
    <row r="1079" ht="15.75" customHeight="1" s="1349">
      <c r="A1079" s="1292" t="n"/>
      <c r="B1079" s="904" t="n"/>
      <c r="C1079" s="904" t="n"/>
      <c r="D1079" s="904" t="n"/>
      <c r="E1079" s="904" t="n"/>
      <c r="F1079" s="856" t="n"/>
      <c r="G1079" s="866" t="n"/>
      <c r="H1079" s="833" t="n"/>
      <c r="I1079" s="904" t="n"/>
      <c r="J1079" s="867">
        <f>F1079*18%</f>
        <v/>
      </c>
      <c r="K1079" s="867">
        <f>(F1079-J1079)*1.65%</f>
        <v/>
      </c>
      <c r="L1079" s="867" t="n"/>
      <c r="M1079" s="863" t="n"/>
      <c r="N1079" s="864">
        <f>(G1079+I1079)*(9.25%)</f>
        <v/>
      </c>
      <c r="O1079" s="904" t="n"/>
      <c r="P1079" s="866" t="n"/>
      <c r="Q1079" s="651" t="n"/>
      <c r="R1079" s="1206" t="n"/>
      <c r="S1079" s="904" t="n"/>
      <c r="T1079" s="569" t="n"/>
      <c r="U1079" s="1030" t="n"/>
      <c r="V1079" s="1030" t="n"/>
      <c r="W1079" s="1030" t="n"/>
    </row>
    <row r="1080" ht="15.75" customHeight="1" s="1349">
      <c r="A1080" s="1292" t="n"/>
      <c r="B1080" s="904" t="n"/>
      <c r="C1080" s="904" t="n"/>
      <c r="D1080" s="904" t="n"/>
      <c r="E1080" s="904" t="n"/>
      <c r="F1080" s="856" t="n"/>
      <c r="G1080" s="866" t="n"/>
      <c r="H1080" s="833" t="n"/>
      <c r="I1080" s="904" t="n"/>
      <c r="J1080" s="867">
        <f>F1080*18%</f>
        <v/>
      </c>
      <c r="K1080" s="867">
        <f>(F1080-J1080)*1.65%</f>
        <v/>
      </c>
      <c r="L1080" s="867" t="n"/>
      <c r="M1080" s="863" t="n"/>
      <c r="N1080" s="864">
        <f>(G1080+I1080)*(9.25%)</f>
        <v/>
      </c>
      <c r="O1080" s="904" t="n"/>
      <c r="P1080" s="866" t="n"/>
      <c r="Q1080" s="651" t="n"/>
      <c r="R1080" s="1206" t="n"/>
      <c r="S1080" s="904" t="n"/>
      <c r="T1080" s="569" t="n"/>
      <c r="U1080" s="1030" t="n"/>
      <c r="V1080" s="1030" t="n"/>
      <c r="W1080" s="1030" t="n"/>
    </row>
    <row r="1081" ht="15.75" customHeight="1" s="1349">
      <c r="A1081" s="1292" t="n"/>
      <c r="B1081" s="904" t="n"/>
      <c r="C1081" s="904" t="n"/>
      <c r="D1081" s="904" t="n"/>
      <c r="E1081" s="904" t="n"/>
      <c r="F1081" s="856" t="n"/>
      <c r="G1081" s="866" t="n"/>
      <c r="H1081" s="833" t="n"/>
      <c r="I1081" s="904" t="n"/>
      <c r="J1081" s="867">
        <f>F1081*18%</f>
        <v/>
      </c>
      <c r="K1081" s="867">
        <f>(F1081-J1081)*1.65%</f>
        <v/>
      </c>
      <c r="L1081" s="867" t="n"/>
      <c r="M1081" s="863" t="n"/>
      <c r="N1081" s="864">
        <f>(G1081+I1081)*(9.25%)</f>
        <v/>
      </c>
      <c r="O1081" s="904" t="n"/>
      <c r="P1081" s="866" t="n"/>
      <c r="Q1081" s="651" t="n"/>
      <c r="R1081" s="1206" t="n"/>
      <c r="S1081" s="904" t="n"/>
      <c r="T1081" s="569" t="n"/>
      <c r="U1081" s="1030" t="n"/>
      <c r="V1081" s="1030" t="n"/>
      <c r="W1081" s="1030" t="n"/>
    </row>
  </sheetData>
  <conditionalFormatting sqref="A1:R277 A279:R1013">
    <cfRule type="expression" priority="1" dxfId="9">
      <formula>$R1="Estoque encalhado"</formula>
    </cfRule>
  </conditionalFormatting>
  <conditionalFormatting sqref="A1:R277 A279:R1013 A1065:R1081 T334:T344">
    <cfRule type="expression" priority="2" dxfId="5">
      <formula>$R1="sem estoque"</formula>
    </cfRule>
  </conditionalFormatting>
  <conditionalFormatting sqref="Q1:Q277 Q279:Q714 Q1065:Q1081">
    <cfRule type="cellIs" priority="3" operator="greaterThan" dxfId="7">
      <formula>"10%"</formula>
    </cfRule>
    <cfRule type="cellIs" priority="4" operator="lessThan" dxfId="12">
      <formula>9.99%</formula>
    </cfRule>
  </conditionalFormatting>
  <conditionalFormatting sqref="G2:G277 G279:G1081">
    <cfRule type="expression" priority="5" dxfId="11">
      <formula>ROUND(G2/F2,2)&lt;=0.149</formula>
    </cfRule>
    <cfRule type="expression" priority="6" dxfId="10">
      <formula>AND(ROUND(G2/F2,2)&gt;=0.149, ROUND(G2/F2,2)&lt;=0.3)</formula>
    </cfRule>
  </conditionalFormatting>
  <dataValidations count="4">
    <dataValidation sqref="R2:R1081" showDropDown="0" showInputMessage="0" showErrorMessage="0" allowBlank="1" type="list">
      <formula1>"Ativo,Desativado,Ajustar Envio,sem estoque,Estoque encalhado,TRAVADO,Oferta Relâmpago,Temporário,DELETAR,revitalizado,ALTO CUSTO"</formula1>
    </dataValidation>
    <dataValidation sqref="H2:H1081" showDropDown="1" showInputMessage="0" showErrorMessage="0" allowBlank="1" type="custom">
      <formula1>AND(ISNUMBER(H2),(NOT(OR(NOT(ISERROR(DATEVALUE(H2))), AND(ISNUMBER(H2), LEFT(CELL("format", H2))="D")))))</formula1>
    </dataValidation>
    <dataValidation sqref="C2:C1081" showDropDown="0" showInputMessage="0" showErrorMessage="0" allowBlank="1" type="list">
      <formula1>"EPI,EPC,ÂNCORA,MARLUVAS,VOLK,Bracol,Camper,Delta plus,GERDAU,Vonder,FRESAL,MUCAMBO,Carbografite,Irwin,Danny,Plastcor,Nutriex,Avant,Vinilseg,TekBond,Calfor,Innpro,Koretech,Atlas,Outros,Walsywa,Kalipso,Jomarca,Norton,Toralf,Bosch,Athenas,Super Safety,Medix,"&amp;"Valcan,New Lacre,Crival,Handex,Tramontina,Thecom,Trevira"</formula1>
    </dataValidation>
    <dataValidation sqref="E2:G1081 I2:I1081 L2:Q1081 T2:T1081" showDropDown="1" showInputMessage="0" showErrorMessage="0" allowBlank="1" type="custom">
      <formula1>AND(ISNUMBER(E2),(NOT(OR(NOT(ISERROR(DATEVALUE(E2))), AND(ISNUMBER(E2), LEFT(CELL("format", E2))="D")))))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3" r:id="rId19"/>
    <hyperlink xmlns:r="http://schemas.openxmlformats.org/officeDocument/2006/relationships" ref="D25" r:id="rId20"/>
    <hyperlink xmlns:r="http://schemas.openxmlformats.org/officeDocument/2006/relationships" ref="D27" r:id="rId21"/>
    <hyperlink xmlns:r="http://schemas.openxmlformats.org/officeDocument/2006/relationships" ref="D28" r:id="rId22"/>
    <hyperlink xmlns:r="http://schemas.openxmlformats.org/officeDocument/2006/relationships" ref="D29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4" r:id="rId27"/>
    <hyperlink xmlns:r="http://schemas.openxmlformats.org/officeDocument/2006/relationships" ref="D35" r:id="rId28"/>
    <hyperlink xmlns:r="http://schemas.openxmlformats.org/officeDocument/2006/relationships" ref="D37" r:id="rId29"/>
    <hyperlink xmlns:r="http://schemas.openxmlformats.org/officeDocument/2006/relationships" ref="D38" r:id="rId30"/>
    <hyperlink xmlns:r="http://schemas.openxmlformats.org/officeDocument/2006/relationships" ref="D40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6" r:id="rId34"/>
    <hyperlink xmlns:r="http://schemas.openxmlformats.org/officeDocument/2006/relationships" ref="D47" r:id="rId35"/>
    <hyperlink xmlns:r="http://schemas.openxmlformats.org/officeDocument/2006/relationships" ref="D48" r:id="rId36"/>
    <hyperlink xmlns:r="http://schemas.openxmlformats.org/officeDocument/2006/relationships" ref="D49" r:id="rId37"/>
    <hyperlink xmlns:r="http://schemas.openxmlformats.org/officeDocument/2006/relationships" ref="D51" r:id="rId38"/>
    <hyperlink xmlns:r="http://schemas.openxmlformats.org/officeDocument/2006/relationships" ref="D52" r:id="rId39"/>
    <hyperlink xmlns:r="http://schemas.openxmlformats.org/officeDocument/2006/relationships" ref="D53" r:id="rId40"/>
    <hyperlink xmlns:r="http://schemas.openxmlformats.org/officeDocument/2006/relationships" ref="D54" r:id="rId41"/>
    <hyperlink xmlns:r="http://schemas.openxmlformats.org/officeDocument/2006/relationships" ref="D55" r:id="rId42"/>
    <hyperlink xmlns:r="http://schemas.openxmlformats.org/officeDocument/2006/relationships" ref="D56" r:id="rId43"/>
    <hyperlink xmlns:r="http://schemas.openxmlformats.org/officeDocument/2006/relationships" ref="D57" r:id="rId44"/>
    <hyperlink xmlns:r="http://schemas.openxmlformats.org/officeDocument/2006/relationships" ref="D58" r:id="rId45"/>
    <hyperlink xmlns:r="http://schemas.openxmlformats.org/officeDocument/2006/relationships" ref="D59" r:id="rId46"/>
    <hyperlink xmlns:r="http://schemas.openxmlformats.org/officeDocument/2006/relationships" ref="D60" r:id="rId47"/>
    <hyperlink xmlns:r="http://schemas.openxmlformats.org/officeDocument/2006/relationships" ref="D61" r:id="rId48"/>
    <hyperlink xmlns:r="http://schemas.openxmlformats.org/officeDocument/2006/relationships" ref="D62" r:id="rId49"/>
    <hyperlink xmlns:r="http://schemas.openxmlformats.org/officeDocument/2006/relationships" ref="D64" r:id="rId50"/>
    <hyperlink xmlns:r="http://schemas.openxmlformats.org/officeDocument/2006/relationships" ref="D65" r:id="rId51"/>
    <hyperlink xmlns:r="http://schemas.openxmlformats.org/officeDocument/2006/relationships" ref="D66" r:id="rId52"/>
    <hyperlink xmlns:r="http://schemas.openxmlformats.org/officeDocument/2006/relationships" ref="D67" r:id="rId53"/>
    <hyperlink xmlns:r="http://schemas.openxmlformats.org/officeDocument/2006/relationships" ref="D72" r:id="rId54"/>
    <hyperlink xmlns:r="http://schemas.openxmlformats.org/officeDocument/2006/relationships" ref="D73" r:id="rId55"/>
    <hyperlink xmlns:r="http://schemas.openxmlformats.org/officeDocument/2006/relationships" ref="D74" r:id="rId56"/>
    <hyperlink xmlns:r="http://schemas.openxmlformats.org/officeDocument/2006/relationships" ref="D76" r:id="rId57"/>
    <hyperlink xmlns:r="http://schemas.openxmlformats.org/officeDocument/2006/relationships" ref="D81" r:id="rId58"/>
    <hyperlink xmlns:r="http://schemas.openxmlformats.org/officeDocument/2006/relationships" ref="D84" r:id="rId59"/>
    <hyperlink xmlns:r="http://schemas.openxmlformats.org/officeDocument/2006/relationships" ref="D86" r:id="rId60"/>
    <hyperlink xmlns:r="http://schemas.openxmlformats.org/officeDocument/2006/relationships" ref="D87" r:id="rId61"/>
    <hyperlink xmlns:r="http://schemas.openxmlformats.org/officeDocument/2006/relationships" ref="D88" r:id="rId62"/>
    <hyperlink xmlns:r="http://schemas.openxmlformats.org/officeDocument/2006/relationships" ref="D89" r:id="rId63"/>
    <hyperlink xmlns:r="http://schemas.openxmlformats.org/officeDocument/2006/relationships" ref="D91" r:id="rId64"/>
    <hyperlink xmlns:r="http://schemas.openxmlformats.org/officeDocument/2006/relationships" ref="D92" r:id="rId65"/>
    <hyperlink xmlns:r="http://schemas.openxmlformats.org/officeDocument/2006/relationships" ref="D93" r:id="rId66"/>
    <hyperlink xmlns:r="http://schemas.openxmlformats.org/officeDocument/2006/relationships" ref="D94" r:id="rId67"/>
    <hyperlink xmlns:r="http://schemas.openxmlformats.org/officeDocument/2006/relationships" ref="D95" r:id="rId68"/>
    <hyperlink xmlns:r="http://schemas.openxmlformats.org/officeDocument/2006/relationships" ref="D97" r:id="rId69"/>
    <hyperlink xmlns:r="http://schemas.openxmlformats.org/officeDocument/2006/relationships" ref="D98" r:id="rId70"/>
    <hyperlink xmlns:r="http://schemas.openxmlformats.org/officeDocument/2006/relationships" ref="D99" r:id="rId71"/>
    <hyperlink xmlns:r="http://schemas.openxmlformats.org/officeDocument/2006/relationships" ref="D100" r:id="rId72"/>
    <hyperlink xmlns:r="http://schemas.openxmlformats.org/officeDocument/2006/relationships" ref="D101" r:id="rId73"/>
    <hyperlink xmlns:r="http://schemas.openxmlformats.org/officeDocument/2006/relationships" ref="D102" r:id="rId74"/>
    <hyperlink xmlns:r="http://schemas.openxmlformats.org/officeDocument/2006/relationships" ref="D103" r:id="rId75"/>
    <hyperlink xmlns:r="http://schemas.openxmlformats.org/officeDocument/2006/relationships" ref="D104" r:id="rId76"/>
    <hyperlink xmlns:r="http://schemas.openxmlformats.org/officeDocument/2006/relationships" ref="D105" r:id="rId77"/>
    <hyperlink xmlns:r="http://schemas.openxmlformats.org/officeDocument/2006/relationships" ref="D106" r:id="rId78"/>
    <hyperlink xmlns:r="http://schemas.openxmlformats.org/officeDocument/2006/relationships" ref="D107" r:id="rId79"/>
    <hyperlink xmlns:r="http://schemas.openxmlformats.org/officeDocument/2006/relationships" ref="D108" r:id="rId80"/>
    <hyperlink xmlns:r="http://schemas.openxmlformats.org/officeDocument/2006/relationships" ref="D109" r:id="rId81"/>
    <hyperlink xmlns:r="http://schemas.openxmlformats.org/officeDocument/2006/relationships" ref="D110" r:id="rId82"/>
    <hyperlink xmlns:r="http://schemas.openxmlformats.org/officeDocument/2006/relationships" ref="D111" r:id="rId83"/>
    <hyperlink xmlns:r="http://schemas.openxmlformats.org/officeDocument/2006/relationships" ref="D112" r:id="rId84"/>
    <hyperlink xmlns:r="http://schemas.openxmlformats.org/officeDocument/2006/relationships" ref="D113" r:id="rId85"/>
    <hyperlink xmlns:r="http://schemas.openxmlformats.org/officeDocument/2006/relationships" ref="D114" r:id="rId86"/>
    <hyperlink xmlns:r="http://schemas.openxmlformats.org/officeDocument/2006/relationships" ref="D116" r:id="rId87"/>
    <hyperlink xmlns:r="http://schemas.openxmlformats.org/officeDocument/2006/relationships" ref="D117" r:id="rId88"/>
    <hyperlink xmlns:r="http://schemas.openxmlformats.org/officeDocument/2006/relationships" ref="D118" r:id="rId89"/>
    <hyperlink xmlns:r="http://schemas.openxmlformats.org/officeDocument/2006/relationships" ref="D119" r:id="rId90"/>
    <hyperlink xmlns:r="http://schemas.openxmlformats.org/officeDocument/2006/relationships" ref="D120" r:id="rId91"/>
    <hyperlink xmlns:r="http://schemas.openxmlformats.org/officeDocument/2006/relationships" ref="D121" r:id="rId92"/>
    <hyperlink xmlns:r="http://schemas.openxmlformats.org/officeDocument/2006/relationships" ref="D122" r:id="rId93"/>
    <hyperlink xmlns:r="http://schemas.openxmlformats.org/officeDocument/2006/relationships" ref="D123" r:id="rId94"/>
    <hyperlink xmlns:r="http://schemas.openxmlformats.org/officeDocument/2006/relationships" ref="D124" r:id="rId95"/>
    <hyperlink xmlns:r="http://schemas.openxmlformats.org/officeDocument/2006/relationships" ref="D125" r:id="rId96"/>
    <hyperlink xmlns:r="http://schemas.openxmlformats.org/officeDocument/2006/relationships" ref="D126" r:id="rId97"/>
    <hyperlink xmlns:r="http://schemas.openxmlformats.org/officeDocument/2006/relationships" ref="D127" r:id="rId98"/>
    <hyperlink xmlns:r="http://schemas.openxmlformats.org/officeDocument/2006/relationships" ref="D129" r:id="rId99"/>
    <hyperlink xmlns:r="http://schemas.openxmlformats.org/officeDocument/2006/relationships" ref="D130" r:id="rId100"/>
    <hyperlink xmlns:r="http://schemas.openxmlformats.org/officeDocument/2006/relationships" ref="D131" r:id="rId101"/>
    <hyperlink xmlns:r="http://schemas.openxmlformats.org/officeDocument/2006/relationships" ref="D132" r:id="rId102"/>
    <hyperlink xmlns:r="http://schemas.openxmlformats.org/officeDocument/2006/relationships" ref="D133" r:id="rId103"/>
    <hyperlink xmlns:r="http://schemas.openxmlformats.org/officeDocument/2006/relationships" ref="D134" r:id="rId104"/>
    <hyperlink xmlns:r="http://schemas.openxmlformats.org/officeDocument/2006/relationships" ref="D136" r:id="rId105"/>
    <hyperlink xmlns:r="http://schemas.openxmlformats.org/officeDocument/2006/relationships" ref="D137" r:id="rId106"/>
    <hyperlink xmlns:r="http://schemas.openxmlformats.org/officeDocument/2006/relationships" ref="D139" r:id="rId107"/>
    <hyperlink xmlns:r="http://schemas.openxmlformats.org/officeDocument/2006/relationships" ref="D140" r:id="rId108"/>
    <hyperlink xmlns:r="http://schemas.openxmlformats.org/officeDocument/2006/relationships" ref="D141" r:id="rId109"/>
    <hyperlink xmlns:r="http://schemas.openxmlformats.org/officeDocument/2006/relationships" ref="D142" r:id="rId110"/>
    <hyperlink xmlns:r="http://schemas.openxmlformats.org/officeDocument/2006/relationships" ref="D143" r:id="rId111"/>
    <hyperlink xmlns:r="http://schemas.openxmlformats.org/officeDocument/2006/relationships" ref="D144" r:id="rId112"/>
    <hyperlink xmlns:r="http://schemas.openxmlformats.org/officeDocument/2006/relationships" ref="D145" r:id="rId113"/>
    <hyperlink xmlns:r="http://schemas.openxmlformats.org/officeDocument/2006/relationships" ref="D146" r:id="rId114"/>
    <hyperlink xmlns:r="http://schemas.openxmlformats.org/officeDocument/2006/relationships" ref="D147" r:id="rId115"/>
    <hyperlink xmlns:r="http://schemas.openxmlformats.org/officeDocument/2006/relationships" ref="D148" r:id="rId116"/>
    <hyperlink xmlns:r="http://schemas.openxmlformats.org/officeDocument/2006/relationships" ref="D150" r:id="rId117"/>
    <hyperlink xmlns:r="http://schemas.openxmlformats.org/officeDocument/2006/relationships" ref="D151" r:id="rId118"/>
    <hyperlink xmlns:r="http://schemas.openxmlformats.org/officeDocument/2006/relationships" ref="D152" r:id="rId119"/>
    <hyperlink xmlns:r="http://schemas.openxmlformats.org/officeDocument/2006/relationships" ref="D153" r:id="rId120"/>
    <hyperlink xmlns:r="http://schemas.openxmlformats.org/officeDocument/2006/relationships" ref="D154" r:id="rId121"/>
    <hyperlink xmlns:r="http://schemas.openxmlformats.org/officeDocument/2006/relationships" ref="D155" r:id="rId122"/>
    <hyperlink xmlns:r="http://schemas.openxmlformats.org/officeDocument/2006/relationships" ref="D156" r:id="rId123"/>
    <hyperlink xmlns:r="http://schemas.openxmlformats.org/officeDocument/2006/relationships" ref="D157" r:id="rId124"/>
    <hyperlink xmlns:r="http://schemas.openxmlformats.org/officeDocument/2006/relationships" ref="D158" r:id="rId125"/>
    <hyperlink xmlns:r="http://schemas.openxmlformats.org/officeDocument/2006/relationships" ref="D159" r:id="rId126"/>
    <hyperlink xmlns:r="http://schemas.openxmlformats.org/officeDocument/2006/relationships" ref="D160" r:id="rId127"/>
    <hyperlink xmlns:r="http://schemas.openxmlformats.org/officeDocument/2006/relationships" ref="D161" r:id="rId128"/>
    <hyperlink xmlns:r="http://schemas.openxmlformats.org/officeDocument/2006/relationships" ref="D162" r:id="rId129"/>
    <hyperlink xmlns:r="http://schemas.openxmlformats.org/officeDocument/2006/relationships" ref="D163" r:id="rId130"/>
    <hyperlink xmlns:r="http://schemas.openxmlformats.org/officeDocument/2006/relationships" ref="D164" r:id="rId131"/>
    <hyperlink xmlns:r="http://schemas.openxmlformats.org/officeDocument/2006/relationships" ref="D165" r:id="rId132"/>
    <hyperlink xmlns:r="http://schemas.openxmlformats.org/officeDocument/2006/relationships" ref="D166" r:id="rId133"/>
    <hyperlink xmlns:r="http://schemas.openxmlformats.org/officeDocument/2006/relationships" ref="D167" r:id="rId134"/>
    <hyperlink xmlns:r="http://schemas.openxmlformats.org/officeDocument/2006/relationships" ref="D171" r:id="rId135"/>
    <hyperlink xmlns:r="http://schemas.openxmlformats.org/officeDocument/2006/relationships" ref="D172" r:id="rId136"/>
    <hyperlink xmlns:r="http://schemas.openxmlformats.org/officeDocument/2006/relationships" ref="D175" r:id="rId137"/>
    <hyperlink xmlns:r="http://schemas.openxmlformats.org/officeDocument/2006/relationships" ref="D176" r:id="rId138"/>
    <hyperlink xmlns:r="http://schemas.openxmlformats.org/officeDocument/2006/relationships" ref="D178" r:id="rId139"/>
    <hyperlink xmlns:r="http://schemas.openxmlformats.org/officeDocument/2006/relationships" ref="D179" r:id="rId140"/>
    <hyperlink xmlns:r="http://schemas.openxmlformats.org/officeDocument/2006/relationships" ref="D180" r:id="rId141"/>
    <hyperlink xmlns:r="http://schemas.openxmlformats.org/officeDocument/2006/relationships" ref="D181" r:id="rId142"/>
    <hyperlink xmlns:r="http://schemas.openxmlformats.org/officeDocument/2006/relationships" ref="D182" r:id="rId143"/>
    <hyperlink xmlns:r="http://schemas.openxmlformats.org/officeDocument/2006/relationships" ref="D183" r:id="rId144"/>
    <hyperlink xmlns:r="http://schemas.openxmlformats.org/officeDocument/2006/relationships" ref="D184" r:id="rId145"/>
    <hyperlink xmlns:r="http://schemas.openxmlformats.org/officeDocument/2006/relationships" ref="D185" r:id="rId146"/>
    <hyperlink xmlns:r="http://schemas.openxmlformats.org/officeDocument/2006/relationships" ref="D188" r:id="rId147"/>
    <hyperlink xmlns:r="http://schemas.openxmlformats.org/officeDocument/2006/relationships" ref="D191" r:id="rId148"/>
    <hyperlink xmlns:r="http://schemas.openxmlformats.org/officeDocument/2006/relationships" ref="D194" r:id="rId149"/>
    <hyperlink xmlns:r="http://schemas.openxmlformats.org/officeDocument/2006/relationships" ref="D195" r:id="rId150"/>
    <hyperlink xmlns:r="http://schemas.openxmlformats.org/officeDocument/2006/relationships" ref="D197" r:id="rId151"/>
    <hyperlink xmlns:r="http://schemas.openxmlformats.org/officeDocument/2006/relationships" ref="D200" r:id="rId152"/>
    <hyperlink xmlns:r="http://schemas.openxmlformats.org/officeDocument/2006/relationships" ref="D202" r:id="rId153"/>
    <hyperlink xmlns:r="http://schemas.openxmlformats.org/officeDocument/2006/relationships" ref="D203" r:id="rId154"/>
    <hyperlink xmlns:r="http://schemas.openxmlformats.org/officeDocument/2006/relationships" ref="D205" r:id="rId155"/>
    <hyperlink xmlns:r="http://schemas.openxmlformats.org/officeDocument/2006/relationships" ref="D206" r:id="rId156"/>
    <hyperlink xmlns:r="http://schemas.openxmlformats.org/officeDocument/2006/relationships" ref="D207" r:id="rId157"/>
    <hyperlink xmlns:r="http://schemas.openxmlformats.org/officeDocument/2006/relationships" ref="D208" r:id="rId158"/>
    <hyperlink xmlns:r="http://schemas.openxmlformats.org/officeDocument/2006/relationships" ref="D209" r:id="rId159"/>
    <hyperlink xmlns:r="http://schemas.openxmlformats.org/officeDocument/2006/relationships" ref="D210" r:id="rId160"/>
    <hyperlink xmlns:r="http://schemas.openxmlformats.org/officeDocument/2006/relationships" ref="D211" r:id="rId161"/>
    <hyperlink xmlns:r="http://schemas.openxmlformats.org/officeDocument/2006/relationships" ref="D212" r:id="rId162"/>
    <hyperlink xmlns:r="http://schemas.openxmlformats.org/officeDocument/2006/relationships" ref="D213" r:id="rId163"/>
    <hyperlink xmlns:r="http://schemas.openxmlformats.org/officeDocument/2006/relationships" ref="D214" r:id="rId164"/>
    <hyperlink xmlns:r="http://schemas.openxmlformats.org/officeDocument/2006/relationships" ref="D215" r:id="rId165"/>
    <hyperlink xmlns:r="http://schemas.openxmlformats.org/officeDocument/2006/relationships" ref="D216" r:id="rId166"/>
    <hyperlink xmlns:r="http://schemas.openxmlformats.org/officeDocument/2006/relationships" ref="D219" r:id="rId167"/>
    <hyperlink xmlns:r="http://schemas.openxmlformats.org/officeDocument/2006/relationships" ref="D220" r:id="rId168"/>
    <hyperlink xmlns:r="http://schemas.openxmlformats.org/officeDocument/2006/relationships" ref="D221" r:id="rId169"/>
    <hyperlink xmlns:r="http://schemas.openxmlformats.org/officeDocument/2006/relationships" ref="D222" r:id="rId170"/>
    <hyperlink xmlns:r="http://schemas.openxmlformats.org/officeDocument/2006/relationships" ref="D223" r:id="rId171"/>
    <hyperlink xmlns:r="http://schemas.openxmlformats.org/officeDocument/2006/relationships" ref="D224" r:id="rId172"/>
    <hyperlink xmlns:r="http://schemas.openxmlformats.org/officeDocument/2006/relationships" ref="D225" r:id="rId173"/>
    <hyperlink xmlns:r="http://schemas.openxmlformats.org/officeDocument/2006/relationships" ref="D226" r:id="rId174"/>
    <hyperlink xmlns:r="http://schemas.openxmlformats.org/officeDocument/2006/relationships" ref="D227" r:id="rId175"/>
    <hyperlink xmlns:r="http://schemas.openxmlformats.org/officeDocument/2006/relationships" ref="D228" r:id="rId176"/>
    <hyperlink xmlns:r="http://schemas.openxmlformats.org/officeDocument/2006/relationships" ref="D229" r:id="rId177"/>
    <hyperlink xmlns:r="http://schemas.openxmlformats.org/officeDocument/2006/relationships" ref="D230" r:id="rId178"/>
    <hyperlink xmlns:r="http://schemas.openxmlformats.org/officeDocument/2006/relationships" ref="D232" r:id="rId179"/>
    <hyperlink xmlns:r="http://schemas.openxmlformats.org/officeDocument/2006/relationships" ref="D233" r:id="rId180"/>
    <hyperlink xmlns:r="http://schemas.openxmlformats.org/officeDocument/2006/relationships" ref="D234" r:id="rId181"/>
    <hyperlink xmlns:r="http://schemas.openxmlformats.org/officeDocument/2006/relationships" ref="D235" r:id="rId182"/>
    <hyperlink xmlns:r="http://schemas.openxmlformats.org/officeDocument/2006/relationships" ref="D236" r:id="rId183"/>
    <hyperlink xmlns:r="http://schemas.openxmlformats.org/officeDocument/2006/relationships" ref="D237" r:id="rId184"/>
    <hyperlink xmlns:r="http://schemas.openxmlformats.org/officeDocument/2006/relationships" ref="D240" r:id="rId185"/>
    <hyperlink xmlns:r="http://schemas.openxmlformats.org/officeDocument/2006/relationships" ref="D241" r:id="rId186"/>
    <hyperlink xmlns:r="http://schemas.openxmlformats.org/officeDocument/2006/relationships" ref="D242" r:id="rId187"/>
    <hyperlink xmlns:r="http://schemas.openxmlformats.org/officeDocument/2006/relationships" ref="D243" r:id="rId188"/>
    <hyperlink xmlns:r="http://schemas.openxmlformats.org/officeDocument/2006/relationships" ref="D244" r:id="rId189"/>
    <hyperlink xmlns:r="http://schemas.openxmlformats.org/officeDocument/2006/relationships" ref="D245" r:id="rId190"/>
    <hyperlink xmlns:r="http://schemas.openxmlformats.org/officeDocument/2006/relationships" ref="D246" r:id="rId191"/>
    <hyperlink xmlns:r="http://schemas.openxmlformats.org/officeDocument/2006/relationships" ref="D247" r:id="rId192"/>
    <hyperlink xmlns:r="http://schemas.openxmlformats.org/officeDocument/2006/relationships" ref="D248" r:id="rId193"/>
    <hyperlink xmlns:r="http://schemas.openxmlformats.org/officeDocument/2006/relationships" ref="D250" r:id="rId194"/>
    <hyperlink xmlns:r="http://schemas.openxmlformats.org/officeDocument/2006/relationships" ref="D251" r:id="rId195"/>
    <hyperlink xmlns:r="http://schemas.openxmlformats.org/officeDocument/2006/relationships" ref="D254" r:id="rId196"/>
    <hyperlink xmlns:r="http://schemas.openxmlformats.org/officeDocument/2006/relationships" ref="D255" r:id="rId197"/>
    <hyperlink xmlns:r="http://schemas.openxmlformats.org/officeDocument/2006/relationships" ref="D256" r:id="rId198"/>
    <hyperlink xmlns:r="http://schemas.openxmlformats.org/officeDocument/2006/relationships" ref="D257" r:id="rId199"/>
    <hyperlink xmlns:r="http://schemas.openxmlformats.org/officeDocument/2006/relationships" ref="D258" r:id="rId200"/>
    <hyperlink xmlns:r="http://schemas.openxmlformats.org/officeDocument/2006/relationships" ref="D259" r:id="rId201"/>
    <hyperlink xmlns:r="http://schemas.openxmlformats.org/officeDocument/2006/relationships" ref="D261" r:id="rId202"/>
    <hyperlink xmlns:r="http://schemas.openxmlformats.org/officeDocument/2006/relationships" ref="D262" r:id="rId203"/>
    <hyperlink xmlns:r="http://schemas.openxmlformats.org/officeDocument/2006/relationships" ref="D263" r:id="rId204"/>
    <hyperlink xmlns:r="http://schemas.openxmlformats.org/officeDocument/2006/relationships" ref="D264" r:id="rId205"/>
    <hyperlink xmlns:r="http://schemas.openxmlformats.org/officeDocument/2006/relationships" ref="D265" r:id="rId206"/>
    <hyperlink xmlns:r="http://schemas.openxmlformats.org/officeDocument/2006/relationships" ref="D266" r:id="rId207"/>
    <hyperlink xmlns:r="http://schemas.openxmlformats.org/officeDocument/2006/relationships" ref="D267" r:id="rId208"/>
    <hyperlink xmlns:r="http://schemas.openxmlformats.org/officeDocument/2006/relationships" ref="D269" r:id="rId209"/>
    <hyperlink xmlns:r="http://schemas.openxmlformats.org/officeDocument/2006/relationships" ref="D270" r:id="rId210"/>
    <hyperlink xmlns:r="http://schemas.openxmlformats.org/officeDocument/2006/relationships" ref="D271" r:id="rId211"/>
    <hyperlink xmlns:r="http://schemas.openxmlformats.org/officeDocument/2006/relationships" ref="D272" r:id="rId212"/>
    <hyperlink xmlns:r="http://schemas.openxmlformats.org/officeDocument/2006/relationships" ref="D273" r:id="rId213"/>
    <hyperlink xmlns:r="http://schemas.openxmlformats.org/officeDocument/2006/relationships" ref="D274" r:id="rId214"/>
    <hyperlink xmlns:r="http://schemas.openxmlformats.org/officeDocument/2006/relationships" ref="D275" r:id="rId215"/>
    <hyperlink xmlns:r="http://schemas.openxmlformats.org/officeDocument/2006/relationships" ref="D276" r:id="rId216"/>
    <hyperlink xmlns:r="http://schemas.openxmlformats.org/officeDocument/2006/relationships" ref="D277" r:id="rId217"/>
    <hyperlink xmlns:r="http://schemas.openxmlformats.org/officeDocument/2006/relationships" ref="D279" r:id="rId218"/>
    <hyperlink xmlns:r="http://schemas.openxmlformats.org/officeDocument/2006/relationships" ref="D280" r:id="rId219"/>
    <hyperlink xmlns:r="http://schemas.openxmlformats.org/officeDocument/2006/relationships" ref="D281" r:id="rId220"/>
    <hyperlink xmlns:r="http://schemas.openxmlformats.org/officeDocument/2006/relationships" ref="D282" r:id="rId221"/>
    <hyperlink xmlns:r="http://schemas.openxmlformats.org/officeDocument/2006/relationships" ref="D283" r:id="rId222"/>
    <hyperlink xmlns:r="http://schemas.openxmlformats.org/officeDocument/2006/relationships" ref="D284" r:id="rId223"/>
    <hyperlink xmlns:r="http://schemas.openxmlformats.org/officeDocument/2006/relationships" ref="D285" r:id="rId224"/>
    <hyperlink xmlns:r="http://schemas.openxmlformats.org/officeDocument/2006/relationships" ref="D287" r:id="rId225"/>
    <hyperlink xmlns:r="http://schemas.openxmlformats.org/officeDocument/2006/relationships" ref="D288" r:id="rId226"/>
    <hyperlink xmlns:r="http://schemas.openxmlformats.org/officeDocument/2006/relationships" ref="D289" r:id="rId227"/>
    <hyperlink xmlns:r="http://schemas.openxmlformats.org/officeDocument/2006/relationships" ref="D290" r:id="rId228"/>
    <hyperlink xmlns:r="http://schemas.openxmlformats.org/officeDocument/2006/relationships" ref="D291" r:id="rId229"/>
    <hyperlink xmlns:r="http://schemas.openxmlformats.org/officeDocument/2006/relationships" ref="D292" r:id="rId230"/>
    <hyperlink xmlns:r="http://schemas.openxmlformats.org/officeDocument/2006/relationships" ref="D293" r:id="rId231"/>
    <hyperlink xmlns:r="http://schemas.openxmlformats.org/officeDocument/2006/relationships" ref="D294" r:id="rId232"/>
    <hyperlink xmlns:r="http://schemas.openxmlformats.org/officeDocument/2006/relationships" ref="D295" r:id="rId233"/>
    <hyperlink xmlns:r="http://schemas.openxmlformats.org/officeDocument/2006/relationships" ref="D296" r:id="rId234"/>
    <hyperlink xmlns:r="http://schemas.openxmlformats.org/officeDocument/2006/relationships" ref="D297" r:id="rId235"/>
    <hyperlink xmlns:r="http://schemas.openxmlformats.org/officeDocument/2006/relationships" ref="D300" r:id="rId236"/>
    <hyperlink xmlns:r="http://schemas.openxmlformats.org/officeDocument/2006/relationships" ref="D301" r:id="rId237"/>
    <hyperlink xmlns:r="http://schemas.openxmlformats.org/officeDocument/2006/relationships" ref="D303" r:id="rId238"/>
    <hyperlink xmlns:r="http://schemas.openxmlformats.org/officeDocument/2006/relationships" ref="D304" r:id="rId239"/>
    <hyperlink xmlns:r="http://schemas.openxmlformats.org/officeDocument/2006/relationships" ref="D305" r:id="rId240"/>
    <hyperlink xmlns:r="http://schemas.openxmlformats.org/officeDocument/2006/relationships" ref="D306" r:id="rId241"/>
    <hyperlink xmlns:r="http://schemas.openxmlformats.org/officeDocument/2006/relationships" ref="D307" r:id="rId242"/>
    <hyperlink xmlns:r="http://schemas.openxmlformats.org/officeDocument/2006/relationships" ref="D308" r:id="rId243"/>
    <hyperlink xmlns:r="http://schemas.openxmlformats.org/officeDocument/2006/relationships" ref="D309" r:id="rId244"/>
    <hyperlink xmlns:r="http://schemas.openxmlformats.org/officeDocument/2006/relationships" ref="D310" r:id="rId245"/>
    <hyperlink xmlns:r="http://schemas.openxmlformats.org/officeDocument/2006/relationships" ref="D311" r:id="rId246"/>
    <hyperlink xmlns:r="http://schemas.openxmlformats.org/officeDocument/2006/relationships" ref="D313" r:id="rId247"/>
    <hyperlink xmlns:r="http://schemas.openxmlformats.org/officeDocument/2006/relationships" ref="D314" r:id="rId248"/>
    <hyperlink xmlns:r="http://schemas.openxmlformats.org/officeDocument/2006/relationships" ref="D315" r:id="rId249"/>
    <hyperlink xmlns:r="http://schemas.openxmlformats.org/officeDocument/2006/relationships" ref="D316" r:id="rId250"/>
    <hyperlink xmlns:r="http://schemas.openxmlformats.org/officeDocument/2006/relationships" ref="D317" r:id="rId251"/>
    <hyperlink xmlns:r="http://schemas.openxmlformats.org/officeDocument/2006/relationships" ref="D318" r:id="rId252"/>
    <hyperlink xmlns:r="http://schemas.openxmlformats.org/officeDocument/2006/relationships" ref="D319" r:id="rId253"/>
    <hyperlink xmlns:r="http://schemas.openxmlformats.org/officeDocument/2006/relationships" ref="D320" r:id="rId254"/>
    <hyperlink xmlns:r="http://schemas.openxmlformats.org/officeDocument/2006/relationships" ref="D321" r:id="rId255"/>
    <hyperlink xmlns:r="http://schemas.openxmlformats.org/officeDocument/2006/relationships" ref="D322" r:id="rId256"/>
    <hyperlink xmlns:r="http://schemas.openxmlformats.org/officeDocument/2006/relationships" ref="D323" r:id="rId257"/>
    <hyperlink xmlns:r="http://schemas.openxmlformats.org/officeDocument/2006/relationships" ref="D324" r:id="rId258"/>
    <hyperlink xmlns:r="http://schemas.openxmlformats.org/officeDocument/2006/relationships" ref="D325" r:id="rId259"/>
    <hyperlink xmlns:r="http://schemas.openxmlformats.org/officeDocument/2006/relationships" ref="D326" r:id="rId260"/>
    <hyperlink xmlns:r="http://schemas.openxmlformats.org/officeDocument/2006/relationships" ref="D327" r:id="rId261"/>
    <hyperlink xmlns:r="http://schemas.openxmlformats.org/officeDocument/2006/relationships" ref="D328" r:id="rId262"/>
    <hyperlink xmlns:r="http://schemas.openxmlformats.org/officeDocument/2006/relationships" ref="D329" r:id="rId263"/>
    <hyperlink xmlns:r="http://schemas.openxmlformats.org/officeDocument/2006/relationships" ref="D330" r:id="rId264"/>
    <hyperlink xmlns:r="http://schemas.openxmlformats.org/officeDocument/2006/relationships" ref="D331" r:id="rId265"/>
    <hyperlink xmlns:r="http://schemas.openxmlformats.org/officeDocument/2006/relationships" ref="D332" r:id="rId266"/>
    <hyperlink xmlns:r="http://schemas.openxmlformats.org/officeDocument/2006/relationships" ref="D333" r:id="rId267"/>
    <hyperlink xmlns:r="http://schemas.openxmlformats.org/officeDocument/2006/relationships" ref="D334" r:id="rId268"/>
    <hyperlink xmlns:r="http://schemas.openxmlformats.org/officeDocument/2006/relationships" ref="D335" r:id="rId269"/>
    <hyperlink xmlns:r="http://schemas.openxmlformats.org/officeDocument/2006/relationships" ref="D336" r:id="rId270"/>
    <hyperlink xmlns:r="http://schemas.openxmlformats.org/officeDocument/2006/relationships" ref="D337" r:id="rId271"/>
    <hyperlink xmlns:r="http://schemas.openxmlformats.org/officeDocument/2006/relationships" ref="D338" r:id="rId272"/>
    <hyperlink xmlns:r="http://schemas.openxmlformats.org/officeDocument/2006/relationships" ref="D339" r:id="rId273"/>
    <hyperlink xmlns:r="http://schemas.openxmlformats.org/officeDocument/2006/relationships" ref="D340" r:id="rId274"/>
    <hyperlink xmlns:r="http://schemas.openxmlformats.org/officeDocument/2006/relationships" ref="D341" r:id="rId275"/>
    <hyperlink xmlns:r="http://schemas.openxmlformats.org/officeDocument/2006/relationships" ref="D343" r:id="rId276"/>
    <hyperlink xmlns:r="http://schemas.openxmlformats.org/officeDocument/2006/relationships" ref="D345" r:id="rId277"/>
    <hyperlink xmlns:r="http://schemas.openxmlformats.org/officeDocument/2006/relationships" ref="D346" r:id="rId278"/>
    <hyperlink xmlns:r="http://schemas.openxmlformats.org/officeDocument/2006/relationships" ref="D347" r:id="rId279"/>
    <hyperlink xmlns:r="http://schemas.openxmlformats.org/officeDocument/2006/relationships" ref="D350" r:id="rId280"/>
    <hyperlink xmlns:r="http://schemas.openxmlformats.org/officeDocument/2006/relationships" ref="D351" r:id="rId281"/>
    <hyperlink xmlns:r="http://schemas.openxmlformats.org/officeDocument/2006/relationships" ref="D352" r:id="rId282"/>
    <hyperlink xmlns:r="http://schemas.openxmlformats.org/officeDocument/2006/relationships" ref="D353" r:id="rId283"/>
    <hyperlink xmlns:r="http://schemas.openxmlformats.org/officeDocument/2006/relationships" ref="D354" r:id="rId284"/>
    <hyperlink xmlns:r="http://schemas.openxmlformats.org/officeDocument/2006/relationships" ref="D356" r:id="rId285"/>
    <hyperlink xmlns:r="http://schemas.openxmlformats.org/officeDocument/2006/relationships" ref="D357" r:id="rId286"/>
    <hyperlink xmlns:r="http://schemas.openxmlformats.org/officeDocument/2006/relationships" ref="D358" r:id="rId287"/>
    <hyperlink xmlns:r="http://schemas.openxmlformats.org/officeDocument/2006/relationships" ref="D359" r:id="rId288"/>
    <hyperlink xmlns:r="http://schemas.openxmlformats.org/officeDocument/2006/relationships" ref="D360" r:id="rId289"/>
    <hyperlink xmlns:r="http://schemas.openxmlformats.org/officeDocument/2006/relationships" ref="D361" r:id="rId290"/>
    <hyperlink xmlns:r="http://schemas.openxmlformats.org/officeDocument/2006/relationships" ref="D362" r:id="rId291"/>
    <hyperlink xmlns:r="http://schemas.openxmlformats.org/officeDocument/2006/relationships" ref="D363" r:id="rId292"/>
    <hyperlink xmlns:r="http://schemas.openxmlformats.org/officeDocument/2006/relationships" ref="D364" r:id="rId293"/>
    <hyperlink xmlns:r="http://schemas.openxmlformats.org/officeDocument/2006/relationships" ref="D366" r:id="rId294"/>
    <hyperlink xmlns:r="http://schemas.openxmlformats.org/officeDocument/2006/relationships" ref="D367" r:id="rId295"/>
    <hyperlink xmlns:r="http://schemas.openxmlformats.org/officeDocument/2006/relationships" ref="D368" r:id="rId296"/>
    <hyperlink xmlns:r="http://schemas.openxmlformats.org/officeDocument/2006/relationships" ref="D369" r:id="rId297"/>
    <hyperlink xmlns:r="http://schemas.openxmlformats.org/officeDocument/2006/relationships" ref="D370" r:id="rId298"/>
    <hyperlink xmlns:r="http://schemas.openxmlformats.org/officeDocument/2006/relationships" ref="D371" r:id="rId299"/>
    <hyperlink xmlns:r="http://schemas.openxmlformats.org/officeDocument/2006/relationships" ref="D372" r:id="rId300"/>
    <hyperlink xmlns:r="http://schemas.openxmlformats.org/officeDocument/2006/relationships" ref="D373" r:id="rId301"/>
    <hyperlink xmlns:r="http://schemas.openxmlformats.org/officeDocument/2006/relationships" ref="D374" r:id="rId302"/>
    <hyperlink xmlns:r="http://schemas.openxmlformats.org/officeDocument/2006/relationships" ref="D375" r:id="rId303"/>
    <hyperlink xmlns:r="http://schemas.openxmlformats.org/officeDocument/2006/relationships" ref="D376" r:id="rId304"/>
    <hyperlink xmlns:r="http://schemas.openxmlformats.org/officeDocument/2006/relationships" ref="D377" r:id="rId305"/>
    <hyperlink xmlns:r="http://schemas.openxmlformats.org/officeDocument/2006/relationships" ref="D378" r:id="rId306"/>
    <hyperlink xmlns:r="http://schemas.openxmlformats.org/officeDocument/2006/relationships" ref="D379" r:id="rId307"/>
    <hyperlink xmlns:r="http://schemas.openxmlformats.org/officeDocument/2006/relationships" ref="D380" r:id="rId308"/>
    <hyperlink xmlns:r="http://schemas.openxmlformats.org/officeDocument/2006/relationships" ref="D381" r:id="rId309"/>
    <hyperlink xmlns:r="http://schemas.openxmlformats.org/officeDocument/2006/relationships" ref="D382" r:id="rId310"/>
    <hyperlink xmlns:r="http://schemas.openxmlformats.org/officeDocument/2006/relationships" ref="D383" r:id="rId311"/>
    <hyperlink xmlns:r="http://schemas.openxmlformats.org/officeDocument/2006/relationships" ref="D384" r:id="rId312"/>
    <hyperlink xmlns:r="http://schemas.openxmlformats.org/officeDocument/2006/relationships" ref="D385" r:id="rId313"/>
    <hyperlink xmlns:r="http://schemas.openxmlformats.org/officeDocument/2006/relationships" ref="D386" r:id="rId314"/>
    <hyperlink xmlns:r="http://schemas.openxmlformats.org/officeDocument/2006/relationships" ref="D387" r:id="rId315"/>
    <hyperlink xmlns:r="http://schemas.openxmlformats.org/officeDocument/2006/relationships" ref="D388" r:id="rId316"/>
    <hyperlink xmlns:r="http://schemas.openxmlformats.org/officeDocument/2006/relationships" ref="D390" r:id="rId317"/>
    <hyperlink xmlns:r="http://schemas.openxmlformats.org/officeDocument/2006/relationships" ref="D391" r:id="rId318"/>
    <hyperlink xmlns:r="http://schemas.openxmlformats.org/officeDocument/2006/relationships" ref="D392" r:id="rId319"/>
    <hyperlink xmlns:r="http://schemas.openxmlformats.org/officeDocument/2006/relationships" ref="D393" r:id="rId320"/>
    <hyperlink xmlns:r="http://schemas.openxmlformats.org/officeDocument/2006/relationships" ref="D394" r:id="rId321"/>
    <hyperlink xmlns:r="http://schemas.openxmlformats.org/officeDocument/2006/relationships" ref="D395" r:id="rId322"/>
    <hyperlink xmlns:r="http://schemas.openxmlformats.org/officeDocument/2006/relationships" ref="D396" r:id="rId323"/>
    <hyperlink xmlns:r="http://schemas.openxmlformats.org/officeDocument/2006/relationships" ref="D397" r:id="rId324"/>
    <hyperlink xmlns:r="http://schemas.openxmlformats.org/officeDocument/2006/relationships" ref="D398" r:id="rId325"/>
    <hyperlink xmlns:r="http://schemas.openxmlformats.org/officeDocument/2006/relationships" ref="D399" r:id="rId326"/>
    <hyperlink xmlns:r="http://schemas.openxmlformats.org/officeDocument/2006/relationships" ref="D400" r:id="rId327"/>
    <hyperlink xmlns:r="http://schemas.openxmlformats.org/officeDocument/2006/relationships" ref="D401" r:id="rId328"/>
    <hyperlink xmlns:r="http://schemas.openxmlformats.org/officeDocument/2006/relationships" ref="D402" r:id="rId329"/>
    <hyperlink xmlns:r="http://schemas.openxmlformats.org/officeDocument/2006/relationships" ref="D403" r:id="rId330"/>
    <hyperlink xmlns:r="http://schemas.openxmlformats.org/officeDocument/2006/relationships" ref="D404" r:id="rId331"/>
    <hyperlink xmlns:r="http://schemas.openxmlformats.org/officeDocument/2006/relationships" ref="D405" r:id="rId332"/>
    <hyperlink xmlns:r="http://schemas.openxmlformats.org/officeDocument/2006/relationships" ref="D406" r:id="rId333"/>
    <hyperlink xmlns:r="http://schemas.openxmlformats.org/officeDocument/2006/relationships" ref="D407" r:id="rId334"/>
    <hyperlink xmlns:r="http://schemas.openxmlformats.org/officeDocument/2006/relationships" ref="D408" r:id="rId335"/>
    <hyperlink xmlns:r="http://schemas.openxmlformats.org/officeDocument/2006/relationships" ref="D409" r:id="rId336"/>
    <hyperlink xmlns:r="http://schemas.openxmlformats.org/officeDocument/2006/relationships" ref="D410" r:id="rId337"/>
    <hyperlink xmlns:r="http://schemas.openxmlformats.org/officeDocument/2006/relationships" ref="D411" r:id="rId338"/>
    <hyperlink xmlns:r="http://schemas.openxmlformats.org/officeDocument/2006/relationships" ref="D412" r:id="rId339"/>
    <hyperlink xmlns:r="http://schemas.openxmlformats.org/officeDocument/2006/relationships" ref="D413" r:id="rId340"/>
    <hyperlink xmlns:r="http://schemas.openxmlformats.org/officeDocument/2006/relationships" ref="D414" r:id="rId341"/>
    <hyperlink xmlns:r="http://schemas.openxmlformats.org/officeDocument/2006/relationships" ref="D415" r:id="rId342"/>
    <hyperlink xmlns:r="http://schemas.openxmlformats.org/officeDocument/2006/relationships" ref="D416" r:id="rId343"/>
    <hyperlink xmlns:r="http://schemas.openxmlformats.org/officeDocument/2006/relationships" ref="D417" r:id="rId344"/>
    <hyperlink xmlns:r="http://schemas.openxmlformats.org/officeDocument/2006/relationships" ref="D418" r:id="rId345"/>
    <hyperlink xmlns:r="http://schemas.openxmlformats.org/officeDocument/2006/relationships" ref="D419" r:id="rId346"/>
    <hyperlink xmlns:r="http://schemas.openxmlformats.org/officeDocument/2006/relationships" ref="D423" r:id="rId347"/>
    <hyperlink xmlns:r="http://schemas.openxmlformats.org/officeDocument/2006/relationships" ref="D424" r:id="rId348"/>
    <hyperlink xmlns:r="http://schemas.openxmlformats.org/officeDocument/2006/relationships" ref="D425" r:id="rId349"/>
    <hyperlink xmlns:r="http://schemas.openxmlformats.org/officeDocument/2006/relationships" ref="D427" r:id="rId350"/>
    <hyperlink xmlns:r="http://schemas.openxmlformats.org/officeDocument/2006/relationships" ref="D428" r:id="rId351"/>
    <hyperlink xmlns:r="http://schemas.openxmlformats.org/officeDocument/2006/relationships" ref="D429" r:id="rId352"/>
    <hyperlink xmlns:r="http://schemas.openxmlformats.org/officeDocument/2006/relationships" ref="D430" r:id="rId353"/>
    <hyperlink xmlns:r="http://schemas.openxmlformats.org/officeDocument/2006/relationships" ref="D431" r:id="rId354"/>
    <hyperlink xmlns:r="http://schemas.openxmlformats.org/officeDocument/2006/relationships" ref="D432" r:id="rId355"/>
    <hyperlink xmlns:r="http://schemas.openxmlformats.org/officeDocument/2006/relationships" ref="D433" r:id="rId356"/>
    <hyperlink xmlns:r="http://schemas.openxmlformats.org/officeDocument/2006/relationships" ref="D434" r:id="rId357"/>
    <hyperlink xmlns:r="http://schemas.openxmlformats.org/officeDocument/2006/relationships" ref="D435" r:id="rId358"/>
    <hyperlink xmlns:r="http://schemas.openxmlformats.org/officeDocument/2006/relationships" ref="D436" r:id="rId359"/>
    <hyperlink xmlns:r="http://schemas.openxmlformats.org/officeDocument/2006/relationships" ref="D437" r:id="rId360"/>
    <hyperlink xmlns:r="http://schemas.openxmlformats.org/officeDocument/2006/relationships" ref="D438" r:id="rId361"/>
    <hyperlink xmlns:r="http://schemas.openxmlformats.org/officeDocument/2006/relationships" ref="D439" r:id="rId362"/>
    <hyperlink xmlns:r="http://schemas.openxmlformats.org/officeDocument/2006/relationships" ref="D443" r:id="rId363"/>
    <hyperlink xmlns:r="http://schemas.openxmlformats.org/officeDocument/2006/relationships" ref="D444" r:id="rId364"/>
    <hyperlink xmlns:r="http://schemas.openxmlformats.org/officeDocument/2006/relationships" ref="D445" r:id="rId365"/>
    <hyperlink xmlns:r="http://schemas.openxmlformats.org/officeDocument/2006/relationships" ref="D446" r:id="rId366"/>
    <hyperlink xmlns:r="http://schemas.openxmlformats.org/officeDocument/2006/relationships" ref="D447" r:id="rId367"/>
    <hyperlink xmlns:r="http://schemas.openxmlformats.org/officeDocument/2006/relationships" ref="D448" r:id="rId368"/>
    <hyperlink xmlns:r="http://schemas.openxmlformats.org/officeDocument/2006/relationships" ref="D449" r:id="rId369"/>
    <hyperlink xmlns:r="http://schemas.openxmlformats.org/officeDocument/2006/relationships" ref="D450" r:id="rId370"/>
    <hyperlink xmlns:r="http://schemas.openxmlformats.org/officeDocument/2006/relationships" ref="D451" r:id="rId371"/>
    <hyperlink xmlns:r="http://schemas.openxmlformats.org/officeDocument/2006/relationships" ref="D452" r:id="rId372"/>
    <hyperlink xmlns:r="http://schemas.openxmlformats.org/officeDocument/2006/relationships" ref="D453" r:id="rId373"/>
    <hyperlink xmlns:r="http://schemas.openxmlformats.org/officeDocument/2006/relationships" ref="D454" r:id="rId374"/>
    <hyperlink xmlns:r="http://schemas.openxmlformats.org/officeDocument/2006/relationships" ref="D455" r:id="rId375"/>
    <hyperlink xmlns:r="http://schemas.openxmlformats.org/officeDocument/2006/relationships" ref="D456" r:id="rId376"/>
    <hyperlink xmlns:r="http://schemas.openxmlformats.org/officeDocument/2006/relationships" ref="D457" r:id="rId377"/>
    <hyperlink xmlns:r="http://schemas.openxmlformats.org/officeDocument/2006/relationships" ref="D458" r:id="rId378"/>
    <hyperlink xmlns:r="http://schemas.openxmlformats.org/officeDocument/2006/relationships" ref="D459" r:id="rId379"/>
    <hyperlink xmlns:r="http://schemas.openxmlformats.org/officeDocument/2006/relationships" ref="D460" r:id="rId380"/>
    <hyperlink xmlns:r="http://schemas.openxmlformats.org/officeDocument/2006/relationships" ref="D461" r:id="rId381"/>
    <hyperlink xmlns:r="http://schemas.openxmlformats.org/officeDocument/2006/relationships" ref="D462" r:id="rId382"/>
    <hyperlink xmlns:r="http://schemas.openxmlformats.org/officeDocument/2006/relationships" ref="D463" r:id="rId383"/>
    <hyperlink xmlns:r="http://schemas.openxmlformats.org/officeDocument/2006/relationships" ref="D464" r:id="rId384"/>
    <hyperlink xmlns:r="http://schemas.openxmlformats.org/officeDocument/2006/relationships" ref="D465" r:id="rId385"/>
    <hyperlink xmlns:r="http://schemas.openxmlformats.org/officeDocument/2006/relationships" ref="D466" r:id="rId386"/>
    <hyperlink xmlns:r="http://schemas.openxmlformats.org/officeDocument/2006/relationships" ref="D467" r:id="rId387"/>
    <hyperlink xmlns:r="http://schemas.openxmlformats.org/officeDocument/2006/relationships" ref="D468" r:id="rId388"/>
    <hyperlink xmlns:r="http://schemas.openxmlformats.org/officeDocument/2006/relationships" ref="D469" r:id="rId389"/>
    <hyperlink xmlns:r="http://schemas.openxmlformats.org/officeDocument/2006/relationships" ref="D470" r:id="rId390"/>
    <hyperlink xmlns:r="http://schemas.openxmlformats.org/officeDocument/2006/relationships" ref="D471" r:id="rId391"/>
    <hyperlink xmlns:r="http://schemas.openxmlformats.org/officeDocument/2006/relationships" ref="D472" r:id="rId392"/>
    <hyperlink xmlns:r="http://schemas.openxmlformats.org/officeDocument/2006/relationships" ref="D473" r:id="rId393"/>
    <hyperlink xmlns:r="http://schemas.openxmlformats.org/officeDocument/2006/relationships" ref="D474" r:id="rId394"/>
    <hyperlink xmlns:r="http://schemas.openxmlformats.org/officeDocument/2006/relationships" ref="D475" r:id="rId395"/>
    <hyperlink xmlns:r="http://schemas.openxmlformats.org/officeDocument/2006/relationships" ref="D476" r:id="rId396"/>
    <hyperlink xmlns:r="http://schemas.openxmlformats.org/officeDocument/2006/relationships" ref="D477" r:id="rId397"/>
    <hyperlink xmlns:r="http://schemas.openxmlformats.org/officeDocument/2006/relationships" ref="D479" r:id="rId398"/>
    <hyperlink xmlns:r="http://schemas.openxmlformats.org/officeDocument/2006/relationships" ref="D480" r:id="rId399"/>
    <hyperlink xmlns:r="http://schemas.openxmlformats.org/officeDocument/2006/relationships" ref="D481" r:id="rId400"/>
    <hyperlink xmlns:r="http://schemas.openxmlformats.org/officeDocument/2006/relationships" ref="D482" r:id="rId401"/>
    <hyperlink xmlns:r="http://schemas.openxmlformats.org/officeDocument/2006/relationships" ref="D483" r:id="rId402"/>
    <hyperlink xmlns:r="http://schemas.openxmlformats.org/officeDocument/2006/relationships" ref="D484" r:id="rId403"/>
    <hyperlink xmlns:r="http://schemas.openxmlformats.org/officeDocument/2006/relationships" ref="D485" r:id="rId404"/>
    <hyperlink xmlns:r="http://schemas.openxmlformats.org/officeDocument/2006/relationships" ref="D486" r:id="rId405"/>
    <hyperlink xmlns:r="http://schemas.openxmlformats.org/officeDocument/2006/relationships" ref="D487" r:id="rId406"/>
    <hyperlink xmlns:r="http://schemas.openxmlformats.org/officeDocument/2006/relationships" ref="D488" r:id="rId407"/>
    <hyperlink xmlns:r="http://schemas.openxmlformats.org/officeDocument/2006/relationships" ref="D489" r:id="rId408"/>
    <hyperlink xmlns:r="http://schemas.openxmlformats.org/officeDocument/2006/relationships" ref="D490" r:id="rId409"/>
    <hyperlink xmlns:r="http://schemas.openxmlformats.org/officeDocument/2006/relationships" ref="D491" r:id="rId410"/>
    <hyperlink xmlns:r="http://schemas.openxmlformats.org/officeDocument/2006/relationships" ref="D492" r:id="rId411"/>
    <hyperlink xmlns:r="http://schemas.openxmlformats.org/officeDocument/2006/relationships" ref="D493" r:id="rId412"/>
    <hyperlink xmlns:r="http://schemas.openxmlformats.org/officeDocument/2006/relationships" ref="D494" r:id="rId413"/>
    <hyperlink xmlns:r="http://schemas.openxmlformats.org/officeDocument/2006/relationships" ref="D495" r:id="rId414"/>
    <hyperlink xmlns:r="http://schemas.openxmlformats.org/officeDocument/2006/relationships" ref="D496" r:id="rId415"/>
    <hyperlink xmlns:r="http://schemas.openxmlformats.org/officeDocument/2006/relationships" ref="D497" r:id="rId416"/>
    <hyperlink xmlns:r="http://schemas.openxmlformats.org/officeDocument/2006/relationships" ref="D498" r:id="rId417"/>
    <hyperlink xmlns:r="http://schemas.openxmlformats.org/officeDocument/2006/relationships" ref="D499" r:id="rId418"/>
    <hyperlink xmlns:r="http://schemas.openxmlformats.org/officeDocument/2006/relationships" ref="D500" r:id="rId419"/>
    <hyperlink xmlns:r="http://schemas.openxmlformats.org/officeDocument/2006/relationships" ref="D501" r:id="rId420"/>
    <hyperlink xmlns:r="http://schemas.openxmlformats.org/officeDocument/2006/relationships" ref="D502" r:id="rId421"/>
    <hyperlink xmlns:r="http://schemas.openxmlformats.org/officeDocument/2006/relationships" ref="D503" r:id="rId422"/>
    <hyperlink xmlns:r="http://schemas.openxmlformats.org/officeDocument/2006/relationships" ref="D504" r:id="rId423"/>
    <hyperlink xmlns:r="http://schemas.openxmlformats.org/officeDocument/2006/relationships" ref="D505" r:id="rId424"/>
    <hyperlink xmlns:r="http://schemas.openxmlformats.org/officeDocument/2006/relationships" ref="D506" r:id="rId425"/>
    <hyperlink xmlns:r="http://schemas.openxmlformats.org/officeDocument/2006/relationships" ref="D507" r:id="rId426"/>
    <hyperlink xmlns:r="http://schemas.openxmlformats.org/officeDocument/2006/relationships" ref="D508" r:id="rId427"/>
    <hyperlink xmlns:r="http://schemas.openxmlformats.org/officeDocument/2006/relationships" ref="D509" r:id="rId428"/>
    <hyperlink xmlns:r="http://schemas.openxmlformats.org/officeDocument/2006/relationships" ref="D510" r:id="rId429"/>
    <hyperlink xmlns:r="http://schemas.openxmlformats.org/officeDocument/2006/relationships" ref="D514" r:id="rId430"/>
    <hyperlink xmlns:r="http://schemas.openxmlformats.org/officeDocument/2006/relationships" ref="D515" r:id="rId431"/>
    <hyperlink xmlns:r="http://schemas.openxmlformats.org/officeDocument/2006/relationships" ref="D516" r:id="rId432"/>
    <hyperlink xmlns:r="http://schemas.openxmlformats.org/officeDocument/2006/relationships" ref="D517" r:id="rId433"/>
    <hyperlink xmlns:r="http://schemas.openxmlformats.org/officeDocument/2006/relationships" ref="D518" r:id="rId434"/>
    <hyperlink xmlns:r="http://schemas.openxmlformats.org/officeDocument/2006/relationships" ref="D519" r:id="rId435"/>
    <hyperlink xmlns:r="http://schemas.openxmlformats.org/officeDocument/2006/relationships" ref="D520" r:id="rId436"/>
    <hyperlink xmlns:r="http://schemas.openxmlformats.org/officeDocument/2006/relationships" ref="D521" r:id="rId437"/>
    <hyperlink xmlns:r="http://schemas.openxmlformats.org/officeDocument/2006/relationships" ref="D522" r:id="rId438"/>
    <hyperlink xmlns:r="http://schemas.openxmlformats.org/officeDocument/2006/relationships" ref="D523" r:id="rId439"/>
    <hyperlink xmlns:r="http://schemas.openxmlformats.org/officeDocument/2006/relationships" ref="D524" r:id="rId440"/>
    <hyperlink xmlns:r="http://schemas.openxmlformats.org/officeDocument/2006/relationships" ref="D525" r:id="rId441"/>
    <hyperlink xmlns:r="http://schemas.openxmlformats.org/officeDocument/2006/relationships" ref="D526" r:id="rId442"/>
    <hyperlink xmlns:r="http://schemas.openxmlformats.org/officeDocument/2006/relationships" ref="D527" r:id="rId443"/>
    <hyperlink xmlns:r="http://schemas.openxmlformats.org/officeDocument/2006/relationships" ref="D528" r:id="rId444"/>
    <hyperlink xmlns:r="http://schemas.openxmlformats.org/officeDocument/2006/relationships" ref="D536" r:id="rId445"/>
    <hyperlink xmlns:r="http://schemas.openxmlformats.org/officeDocument/2006/relationships" ref="D537" r:id="rId446"/>
    <hyperlink xmlns:r="http://schemas.openxmlformats.org/officeDocument/2006/relationships" ref="D538" r:id="rId447"/>
    <hyperlink xmlns:r="http://schemas.openxmlformats.org/officeDocument/2006/relationships" ref="D539" r:id="rId448"/>
    <hyperlink xmlns:r="http://schemas.openxmlformats.org/officeDocument/2006/relationships" ref="D540" r:id="rId449"/>
    <hyperlink xmlns:r="http://schemas.openxmlformats.org/officeDocument/2006/relationships" ref="D541" r:id="rId450"/>
    <hyperlink xmlns:r="http://schemas.openxmlformats.org/officeDocument/2006/relationships" ref="D542" r:id="rId451"/>
    <hyperlink xmlns:r="http://schemas.openxmlformats.org/officeDocument/2006/relationships" ref="D543" r:id="rId452"/>
    <hyperlink xmlns:r="http://schemas.openxmlformats.org/officeDocument/2006/relationships" ref="D544" r:id="rId453"/>
    <hyperlink xmlns:r="http://schemas.openxmlformats.org/officeDocument/2006/relationships" ref="D545" r:id="rId454"/>
    <hyperlink xmlns:r="http://schemas.openxmlformats.org/officeDocument/2006/relationships" ref="D546" r:id="rId455"/>
    <hyperlink xmlns:r="http://schemas.openxmlformats.org/officeDocument/2006/relationships" ref="D547" r:id="rId456"/>
    <hyperlink xmlns:r="http://schemas.openxmlformats.org/officeDocument/2006/relationships" ref="D548" r:id="rId457"/>
    <hyperlink xmlns:r="http://schemas.openxmlformats.org/officeDocument/2006/relationships" ref="D549" r:id="rId458"/>
    <hyperlink xmlns:r="http://schemas.openxmlformats.org/officeDocument/2006/relationships" ref="D550" r:id="rId459"/>
    <hyperlink xmlns:r="http://schemas.openxmlformats.org/officeDocument/2006/relationships" ref="D551" r:id="rId460"/>
    <hyperlink xmlns:r="http://schemas.openxmlformats.org/officeDocument/2006/relationships" ref="D552" r:id="rId461"/>
    <hyperlink xmlns:r="http://schemas.openxmlformats.org/officeDocument/2006/relationships" ref="D554" r:id="rId462"/>
    <hyperlink xmlns:r="http://schemas.openxmlformats.org/officeDocument/2006/relationships" ref="D555" r:id="rId463"/>
    <hyperlink xmlns:r="http://schemas.openxmlformats.org/officeDocument/2006/relationships" ref="D556" r:id="rId464"/>
    <hyperlink xmlns:r="http://schemas.openxmlformats.org/officeDocument/2006/relationships" ref="D557" r:id="rId465"/>
    <hyperlink xmlns:r="http://schemas.openxmlformats.org/officeDocument/2006/relationships" ref="D558" r:id="rId466"/>
    <hyperlink xmlns:r="http://schemas.openxmlformats.org/officeDocument/2006/relationships" ref="D559" r:id="rId467"/>
    <hyperlink xmlns:r="http://schemas.openxmlformats.org/officeDocument/2006/relationships" ref="D560" r:id="rId468"/>
    <hyperlink xmlns:r="http://schemas.openxmlformats.org/officeDocument/2006/relationships" ref="D561" r:id="rId469"/>
    <hyperlink xmlns:r="http://schemas.openxmlformats.org/officeDocument/2006/relationships" ref="D562" r:id="rId470"/>
    <hyperlink xmlns:r="http://schemas.openxmlformats.org/officeDocument/2006/relationships" ref="D563" r:id="rId471"/>
    <hyperlink xmlns:r="http://schemas.openxmlformats.org/officeDocument/2006/relationships" ref="D564" r:id="rId472"/>
    <hyperlink xmlns:r="http://schemas.openxmlformats.org/officeDocument/2006/relationships" ref="D566" r:id="rId473"/>
    <hyperlink xmlns:r="http://schemas.openxmlformats.org/officeDocument/2006/relationships" ref="D567" r:id="rId474"/>
    <hyperlink xmlns:r="http://schemas.openxmlformats.org/officeDocument/2006/relationships" ref="D568" r:id="rId475"/>
    <hyperlink xmlns:r="http://schemas.openxmlformats.org/officeDocument/2006/relationships" ref="D570" r:id="rId476"/>
    <hyperlink xmlns:r="http://schemas.openxmlformats.org/officeDocument/2006/relationships" ref="D571" r:id="rId477"/>
    <hyperlink xmlns:r="http://schemas.openxmlformats.org/officeDocument/2006/relationships" ref="D572" r:id="rId478"/>
    <hyperlink xmlns:r="http://schemas.openxmlformats.org/officeDocument/2006/relationships" ref="D573" r:id="rId479"/>
    <hyperlink xmlns:r="http://schemas.openxmlformats.org/officeDocument/2006/relationships" ref="D574" r:id="rId480"/>
    <hyperlink xmlns:r="http://schemas.openxmlformats.org/officeDocument/2006/relationships" ref="D575" r:id="rId481"/>
    <hyperlink xmlns:r="http://schemas.openxmlformats.org/officeDocument/2006/relationships" ref="D582" r:id="rId482"/>
    <hyperlink xmlns:r="http://schemas.openxmlformats.org/officeDocument/2006/relationships" ref="D583" r:id="rId483"/>
    <hyperlink xmlns:r="http://schemas.openxmlformats.org/officeDocument/2006/relationships" ref="D590" r:id="rId484"/>
    <hyperlink xmlns:r="http://schemas.openxmlformats.org/officeDocument/2006/relationships" ref="D591" r:id="rId485"/>
    <hyperlink xmlns:r="http://schemas.openxmlformats.org/officeDocument/2006/relationships" ref="D592" r:id="rId486"/>
    <hyperlink xmlns:r="http://schemas.openxmlformats.org/officeDocument/2006/relationships" ref="D594" r:id="rId487"/>
    <hyperlink xmlns:r="http://schemas.openxmlformats.org/officeDocument/2006/relationships" ref="D595" r:id="rId488"/>
    <hyperlink xmlns:r="http://schemas.openxmlformats.org/officeDocument/2006/relationships" ref="D596" r:id="rId489"/>
    <hyperlink xmlns:r="http://schemas.openxmlformats.org/officeDocument/2006/relationships" ref="D601" r:id="rId490"/>
    <hyperlink xmlns:r="http://schemas.openxmlformats.org/officeDocument/2006/relationships" ref="D602" r:id="rId491"/>
    <hyperlink xmlns:r="http://schemas.openxmlformats.org/officeDocument/2006/relationships" ref="D605" r:id="rId492"/>
    <hyperlink xmlns:r="http://schemas.openxmlformats.org/officeDocument/2006/relationships" ref="D606" r:id="rId493"/>
    <hyperlink xmlns:r="http://schemas.openxmlformats.org/officeDocument/2006/relationships" ref="D607" r:id="rId494"/>
    <hyperlink xmlns:r="http://schemas.openxmlformats.org/officeDocument/2006/relationships" ref="D613" r:id="rId495"/>
    <hyperlink xmlns:r="http://schemas.openxmlformats.org/officeDocument/2006/relationships" ref="D630" r:id="rId496"/>
    <hyperlink xmlns:r="http://schemas.openxmlformats.org/officeDocument/2006/relationships" ref="D659" r:id="rId497"/>
    <hyperlink xmlns:r="http://schemas.openxmlformats.org/officeDocument/2006/relationships" ref="D660" r:id="rId498"/>
    <hyperlink xmlns:r="http://schemas.openxmlformats.org/officeDocument/2006/relationships" ref="D672" r:id="rId499"/>
    <hyperlink xmlns:r="http://schemas.openxmlformats.org/officeDocument/2006/relationships" ref="D673" r:id="rId500"/>
    <hyperlink xmlns:r="http://schemas.openxmlformats.org/officeDocument/2006/relationships" ref="D674" r:id="rId501"/>
    <hyperlink xmlns:r="http://schemas.openxmlformats.org/officeDocument/2006/relationships" ref="D675" r:id="rId502"/>
    <hyperlink xmlns:r="http://schemas.openxmlformats.org/officeDocument/2006/relationships" ref="D676" r:id="rId503"/>
    <hyperlink xmlns:r="http://schemas.openxmlformats.org/officeDocument/2006/relationships" ref="D677" r:id="rId504"/>
    <hyperlink xmlns:r="http://schemas.openxmlformats.org/officeDocument/2006/relationships" ref="D678" r:id="rId505"/>
    <hyperlink xmlns:r="http://schemas.openxmlformats.org/officeDocument/2006/relationships" ref="D679" r:id="rId506"/>
    <hyperlink xmlns:r="http://schemas.openxmlformats.org/officeDocument/2006/relationships" ref="D680" r:id="rId507"/>
    <hyperlink xmlns:r="http://schemas.openxmlformats.org/officeDocument/2006/relationships" ref="D681" r:id="rId508"/>
    <hyperlink xmlns:r="http://schemas.openxmlformats.org/officeDocument/2006/relationships" ref="D682" r:id="rId509"/>
    <hyperlink xmlns:r="http://schemas.openxmlformats.org/officeDocument/2006/relationships" ref="D683" r:id="rId510"/>
    <hyperlink xmlns:r="http://schemas.openxmlformats.org/officeDocument/2006/relationships" ref="D684" r:id="rId511"/>
    <hyperlink xmlns:r="http://schemas.openxmlformats.org/officeDocument/2006/relationships" ref="D685" r:id="rId512"/>
    <hyperlink xmlns:r="http://schemas.openxmlformats.org/officeDocument/2006/relationships" ref="D686" r:id="rId513"/>
    <hyperlink xmlns:r="http://schemas.openxmlformats.org/officeDocument/2006/relationships" ref="D693" r:id="rId514"/>
    <hyperlink xmlns:r="http://schemas.openxmlformats.org/officeDocument/2006/relationships" ref="D694" r:id="rId515"/>
    <hyperlink xmlns:r="http://schemas.openxmlformats.org/officeDocument/2006/relationships" ref="D695" r:id="rId516"/>
    <hyperlink xmlns:r="http://schemas.openxmlformats.org/officeDocument/2006/relationships" ref="D696" r:id="rId517"/>
    <hyperlink xmlns:r="http://schemas.openxmlformats.org/officeDocument/2006/relationships" ref="D697" r:id="rId518"/>
    <hyperlink xmlns:r="http://schemas.openxmlformats.org/officeDocument/2006/relationships" ref="D709" r:id="rId519"/>
    <hyperlink xmlns:r="http://schemas.openxmlformats.org/officeDocument/2006/relationships" ref="D712" r:id="rId520"/>
  </hyperlinks>
  <pageMargins left="0.25" right="0.25" top="0.75" bottom="0.75" header="0" footer="0"/>
  <pageSetup orientation="landscape" paperSize="9"/>
  <legacyDrawing xmlns:r="http://schemas.openxmlformats.org/officeDocument/2006/relationships" r:id="anysvml"/>
  <tableParts count="1">
    <tablePart xmlns:r="http://schemas.openxmlformats.org/officeDocument/2006/relationships" r:id="rId52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51.67" customWidth="1" style="1349" min="1" max="1"/>
    <col width="15.56" customWidth="1" style="1349" min="2" max="2"/>
    <col width="13.44" customWidth="1" style="1349" min="3" max="3"/>
    <col hidden="1" width="9.779999999999999" customWidth="1" style="1349" min="4" max="4"/>
    <col width="13.67" customWidth="1" style="1349" min="5" max="5"/>
    <col width="15.89" customWidth="1" style="1349" min="6" max="6"/>
    <col width="9.109999999999999" customWidth="1" style="1349" min="7" max="7"/>
    <col width="15" customWidth="1" style="1349" min="8" max="9"/>
  </cols>
  <sheetData>
    <row r="1" ht="22.5" customHeight="1" s="1349">
      <c r="A1" s="868" t="inlineStr">
        <is>
          <t>Nome</t>
        </is>
      </c>
      <c r="B1" s="869" t="inlineStr">
        <is>
          <t>Variação</t>
        </is>
      </c>
      <c r="C1" s="868" t="inlineStr">
        <is>
          <t>SKU</t>
        </is>
      </c>
      <c r="D1" s="868" t="inlineStr">
        <is>
          <t>Depósito - Loja</t>
        </is>
      </c>
      <c r="E1" s="869" t="inlineStr">
        <is>
          <t>Preço Original</t>
        </is>
      </c>
      <c r="F1" s="869" t="inlineStr">
        <is>
          <t>Desconto</t>
        </is>
      </c>
      <c r="G1" s="869" t="inlineStr">
        <is>
          <t>Full - Estoque</t>
        </is>
      </c>
      <c r="H1" s="869" t="inlineStr">
        <is>
          <t>Custo</t>
        </is>
      </c>
      <c r="I1" s="868" t="inlineStr">
        <is>
          <t>TIPO</t>
        </is>
      </c>
    </row>
    <row r="2" ht="22.5" customHeight="1" s="1349">
      <c r="A2" s="880" t="inlineStr">
        <is>
          <t>Bota Botina Nobuck Couro Cadarço Impermeável Bico Pvc Com Ca</t>
        </is>
      </c>
      <c r="B2" s="880" t="inlineStr">
        <is>
          <t>CASTOR 45</t>
        </is>
      </c>
      <c r="C2" s="880" t="n">
        <v>912075</v>
      </c>
      <c r="D2" s="880" t="n">
        <v>21</v>
      </c>
      <c r="E2" s="880" t="n">
        <v>139.9</v>
      </c>
      <c r="F2" s="881" t="n">
        <v>122.3</v>
      </c>
      <c r="G2" s="880" t="n">
        <v>14</v>
      </c>
      <c r="H2" s="762" t="n">
        <v>342.4</v>
      </c>
      <c r="I2" s="874" t="inlineStr">
        <is>
          <t>Evitar Descarte</t>
        </is>
      </c>
    </row>
    <row r="3" ht="22.5" customHeight="1" s="1349">
      <c r="A3" s="875" t="inlineStr">
        <is>
          <t>Capa De Chuva Reforçada Soft Pvc Construção Capuz Resistente</t>
        </is>
      </c>
      <c r="B3" s="884" t="inlineStr">
        <is>
          <t>M</t>
        </is>
      </c>
      <c r="C3" s="884" t="n"/>
      <c r="D3" s="884" t="n"/>
      <c r="E3" s="884" t="n"/>
      <c r="F3" s="885" t="n"/>
      <c r="G3" s="884" t="n">
        <v>11</v>
      </c>
      <c r="H3" s="904" t="n">
        <v>171.4</v>
      </c>
      <c r="I3" s="878" t="inlineStr">
        <is>
          <t>Evitar Descarte</t>
        </is>
      </c>
      <c r="J3" s="579" t="n"/>
      <c r="K3" s="579" t="n"/>
      <c r="L3" s="579" t="n"/>
      <c r="M3" s="579" t="n"/>
      <c r="N3" s="579" t="n"/>
      <c r="O3" s="579" t="n"/>
      <c r="P3" s="579" t="n"/>
      <c r="Q3" s="579" t="n"/>
      <c r="R3" s="579" t="n"/>
      <c r="S3" s="579" t="n"/>
      <c r="T3" s="579" t="n"/>
      <c r="U3" s="579" t="n"/>
      <c r="V3" s="579" t="n"/>
      <c r="W3" s="579" t="n"/>
      <c r="X3" s="579" t="n"/>
      <c r="Y3" s="579" t="n"/>
      <c r="Z3" s="579" t="n"/>
      <c r="AA3" s="579" t="n"/>
      <c r="AB3" s="579" t="n"/>
      <c r="AC3" s="579" t="n"/>
      <c r="AD3" s="579" t="n"/>
    </row>
    <row r="4" ht="22.5" customHeight="1" s="1349">
      <c r="A4" s="884" t="inlineStr">
        <is>
          <t>Macacão Proteção Pintura Quimico Impermeável C/ Capuz Volk</t>
        </is>
      </c>
      <c r="B4" s="884" t="inlineStr">
        <is>
          <t>EG</t>
        </is>
      </c>
      <c r="C4" s="884" t="n">
        <v>299</v>
      </c>
      <c r="D4" s="884" t="n">
        <v>4</v>
      </c>
      <c r="E4" s="884" t="n">
        <v>29.9</v>
      </c>
      <c r="F4" s="885" t="n">
        <v>24.9</v>
      </c>
      <c r="G4" s="884" t="n">
        <v>10</v>
      </c>
      <c r="H4" s="904" t="n">
        <v>159</v>
      </c>
      <c r="I4" s="1206" t="inlineStr">
        <is>
          <t>Evitar Descarte</t>
        </is>
      </c>
    </row>
    <row r="5" ht="22.5" customHeight="1" s="1349">
      <c r="A5" s="897" t="inlineStr">
        <is>
          <t>kit 5 abafador c200</t>
        </is>
      </c>
      <c r="B5" s="880" t="inlineStr">
        <is>
          <t>NÃO</t>
        </is>
      </c>
      <c r="C5" s="880" t="n"/>
      <c r="D5" s="880" t="n"/>
      <c r="E5" s="880" t="n"/>
      <c r="F5" s="881" t="n"/>
      <c r="G5" s="880" t="n">
        <v>13</v>
      </c>
      <c r="H5" s="762" t="n">
        <v>41.8</v>
      </c>
      <c r="I5" s="874" t="inlineStr">
        <is>
          <t>Evitar Descarte</t>
        </is>
      </c>
    </row>
    <row r="6" ht="22.5" customHeight="1" s="1349">
      <c r="A6" s="884" t="inlineStr">
        <is>
          <t>Botina Impermeável Composite Antiperfurante Eletricista C/ca</t>
        </is>
      </c>
      <c r="B6" s="884" t="inlineStr">
        <is>
          <t>TAM 36</t>
        </is>
      </c>
      <c r="C6" s="884" t="n">
        <v>10034034166248</v>
      </c>
      <c r="D6" s="884" t="n">
        <v>5</v>
      </c>
      <c r="E6" s="884" t="n">
        <v>241.53</v>
      </c>
      <c r="F6" s="885" t="n">
        <v>232</v>
      </c>
      <c r="G6" s="884" t="n">
        <v>4</v>
      </c>
      <c r="H6" s="904" t="n">
        <v>115.3</v>
      </c>
      <c r="I6" s="1206" t="inlineStr">
        <is>
          <t>Evitar Descarte</t>
        </is>
      </c>
    </row>
    <row r="7" ht="22.5" customHeight="1" s="1349">
      <c r="A7" s="884" t="inlineStr">
        <is>
          <t>Botina Londrina Bota Segurança Amarrar Couro Nobuck Com Ca</t>
        </is>
      </c>
      <c r="B7" s="884" t="inlineStr">
        <is>
          <t>PR 38</t>
        </is>
      </c>
      <c r="C7" s="884" t="n"/>
      <c r="D7" s="884" t="n">
        <v>6</v>
      </c>
      <c r="E7" s="884" t="n">
        <v>162.08</v>
      </c>
      <c r="F7" s="885" t="n">
        <v>159.9</v>
      </c>
      <c r="G7" s="884" t="n">
        <v>7</v>
      </c>
      <c r="H7" s="904" t="n">
        <v>111.3</v>
      </c>
      <c r="I7" s="1206" t="inlineStr">
        <is>
          <t>Evitar Descarte</t>
        </is>
      </c>
      <c r="J7" s="579" t="n"/>
      <c r="K7" s="579" t="n"/>
      <c r="L7" s="579" t="n"/>
      <c r="M7" s="579" t="n"/>
      <c r="N7" s="579" t="n"/>
      <c r="O7" s="579" t="n"/>
      <c r="P7" s="579" t="n"/>
      <c r="Q7" s="579" t="n"/>
      <c r="R7" s="579" t="n"/>
      <c r="S7" s="579" t="n"/>
      <c r="T7" s="579" t="n"/>
      <c r="U7" s="579" t="n"/>
      <c r="V7" s="579" t="n"/>
      <c r="W7" s="579" t="n"/>
      <c r="X7" s="579" t="n"/>
      <c r="Y7" s="579" t="n"/>
      <c r="Z7" s="579" t="n"/>
      <c r="AA7" s="579" t="n"/>
      <c r="AB7" s="579" t="n"/>
      <c r="AC7" s="579" t="n"/>
      <c r="AD7" s="579" t="n"/>
    </row>
    <row r="8" ht="22.5" customHeight="1" s="1349">
      <c r="A8" s="884" t="inlineStr">
        <is>
          <t>Bota Botina Nobuck Couro Cadarço Impermeável Bico Pvc Com Ca</t>
        </is>
      </c>
      <c r="B8" s="884" t="inlineStr">
        <is>
          <t>PR 37</t>
        </is>
      </c>
      <c r="C8" s="884" t="n"/>
      <c r="D8" s="884" t="n"/>
      <c r="E8" s="884" t="n"/>
      <c r="F8" s="885" t="n"/>
      <c r="G8" s="884" t="n">
        <v>4</v>
      </c>
      <c r="H8" s="904" t="n">
        <v>82.7</v>
      </c>
      <c r="I8" s="1206" t="inlineStr">
        <is>
          <t>Evitar Descarte</t>
        </is>
      </c>
      <c r="J8" s="882" t="n"/>
      <c r="K8" s="882" t="n"/>
      <c r="L8" s="882" t="n"/>
      <c r="M8" s="882" t="n"/>
      <c r="N8" s="882" t="n"/>
      <c r="O8" s="882" t="n"/>
      <c r="P8" s="882" t="n"/>
      <c r="Q8" s="882" t="n"/>
      <c r="R8" s="882" t="n"/>
      <c r="S8" s="882" t="n"/>
      <c r="T8" s="882" t="n"/>
      <c r="U8" s="882" t="n"/>
      <c r="V8" s="882" t="n"/>
      <c r="W8" s="882" t="n"/>
      <c r="X8" s="882" t="n"/>
      <c r="Y8" s="882" t="n"/>
      <c r="Z8" s="882" t="n"/>
      <c r="AA8" s="882" t="n"/>
      <c r="AB8" s="882" t="n"/>
      <c r="AC8" s="882" t="n"/>
      <c r="AD8" s="882" t="n"/>
    </row>
    <row r="9" ht="22.5" customHeight="1" s="1349">
      <c r="A9" s="880" t="inlineStr">
        <is>
          <t>Bota De Segurança Marluvas Vulcaflex Bico De Pvc - Ca 43377</t>
        </is>
      </c>
      <c r="B9" s="880" t="inlineStr">
        <is>
          <t>PRETO 37</t>
        </is>
      </c>
      <c r="C9" s="880" t="n"/>
      <c r="D9" s="880" t="n"/>
      <c r="E9" s="880" t="n">
        <v>77.90000000000001</v>
      </c>
      <c r="F9" s="881" t="n">
        <v>69.90000000000001</v>
      </c>
      <c r="G9" s="880" t="n">
        <v>6</v>
      </c>
      <c r="H9" s="762" t="n">
        <v>81.5</v>
      </c>
      <c r="I9" s="874" t="inlineStr">
        <is>
          <t>Evitar Descarte</t>
        </is>
      </c>
      <c r="J9" s="882" t="n"/>
      <c r="K9" s="882" t="n"/>
      <c r="L9" s="882" t="n"/>
      <c r="M9" s="882" t="n"/>
      <c r="N9" s="882" t="n"/>
      <c r="O9" s="882" t="n"/>
      <c r="P9" s="882" t="n"/>
      <c r="Q9" s="882" t="n"/>
      <c r="R9" s="882" t="n"/>
      <c r="S9" s="882" t="n"/>
      <c r="T9" s="882" t="n"/>
      <c r="U9" s="882" t="n"/>
      <c r="V9" s="882" t="n"/>
      <c r="W9" s="882" t="n"/>
      <c r="X9" s="882" t="n"/>
      <c r="Y9" s="882" t="n"/>
      <c r="Z9" s="882" t="n"/>
      <c r="AA9" s="882" t="n"/>
      <c r="AB9" s="882" t="n"/>
      <c r="AC9" s="882" t="n"/>
      <c r="AD9" s="882" t="n"/>
    </row>
    <row r="10" ht="22.5" customHeight="1" s="1349">
      <c r="A10" s="884" t="inlineStr">
        <is>
          <t>Capa De Chuva Reforçada Soft Pvc Construção Capuz Resistente</t>
        </is>
      </c>
      <c r="B10" s="884" t="inlineStr">
        <is>
          <t>GG</t>
        </is>
      </c>
      <c r="C10" s="884" t="n"/>
      <c r="D10" s="884" t="n"/>
      <c r="E10" s="884" t="n"/>
      <c r="F10" s="885" t="n"/>
      <c r="G10" s="884" t="n">
        <v>3</v>
      </c>
      <c r="H10" s="904" t="n">
        <v>47.7</v>
      </c>
      <c r="I10" s="878" t="inlineStr">
        <is>
          <t>Evitar Descarte</t>
        </is>
      </c>
    </row>
    <row r="11" ht="22.5" customHeight="1" s="1349">
      <c r="A11" s="884" t="inlineStr">
        <is>
          <t>Motosafe</t>
        </is>
      </c>
      <c r="B11" s="884" t="inlineStr">
        <is>
          <t>PR 39</t>
        </is>
      </c>
      <c r="C11" s="884" t="n"/>
      <c r="D11" s="884" t="n"/>
      <c r="E11" s="884" t="n"/>
      <c r="F11" s="885" t="n"/>
      <c r="G11" s="884" t="n">
        <v>3</v>
      </c>
      <c r="H11" s="904" t="n">
        <v>33.8</v>
      </c>
      <c r="I11" s="1206" t="inlineStr">
        <is>
          <t>Evitar Descarte</t>
        </is>
      </c>
    </row>
    <row r="12" ht="22.5" customHeight="1" s="1349">
      <c r="A12" s="880" t="inlineStr">
        <is>
          <t>Bota De Segurança Marluvas Vulcaflex Bico De Pvc - Ca 43377</t>
        </is>
      </c>
      <c r="B12" s="880" t="inlineStr">
        <is>
          <t>PRETO 36</t>
        </is>
      </c>
      <c r="C12" s="880" t="n"/>
      <c r="D12" s="880" t="n"/>
      <c r="E12" s="880" t="n">
        <v>77.90000000000001</v>
      </c>
      <c r="F12" s="881" t="n">
        <v>69.90000000000001</v>
      </c>
      <c r="G12" s="880" t="n">
        <v>2</v>
      </c>
      <c r="H12" s="762" t="n">
        <v>31.8</v>
      </c>
      <c r="I12" s="874" t="inlineStr">
        <is>
          <t>Evitar Descarte</t>
        </is>
      </c>
    </row>
    <row r="13" ht="22.5" customHeight="1" s="1349">
      <c r="A13" s="880" t="inlineStr">
        <is>
          <t>detroit pro</t>
        </is>
      </c>
      <c r="B13" s="880" t="n">
        <v>36</v>
      </c>
      <c r="C13" s="880" t="n"/>
      <c r="D13" s="880" t="n"/>
      <c r="E13" s="880" t="n"/>
      <c r="F13" s="881" t="n"/>
      <c r="G13" s="880" t="n">
        <v>2</v>
      </c>
      <c r="H13" s="762" t="n">
        <v>31.8</v>
      </c>
      <c r="I13" s="886" t="inlineStr">
        <is>
          <t>Evitar Descarte</t>
        </is>
      </c>
    </row>
    <row r="14" ht="22.5" customHeight="1" s="1349">
      <c r="A14" s="884" t="inlineStr">
        <is>
          <t>Bota Pvc Galocha Cano Médio Conforto Impermeável Resistente</t>
        </is>
      </c>
      <c r="B14" s="884" t="inlineStr">
        <is>
          <t>PRETO 35</t>
        </is>
      </c>
      <c r="C14" s="884" t="n">
        <v>10034034166558</v>
      </c>
      <c r="D14" s="884" t="n">
        <v>6</v>
      </c>
      <c r="E14" s="884" t="n">
        <v>55.9</v>
      </c>
      <c r="F14" s="885" t="n">
        <v>31.8</v>
      </c>
      <c r="G14" s="884" t="n">
        <v>2</v>
      </c>
      <c r="H14" s="904" t="n">
        <v>31.8</v>
      </c>
      <c r="I14" s="1206" t="inlineStr">
        <is>
          <t>Evitar Descarte</t>
        </is>
      </c>
    </row>
    <row r="15" ht="22.5" customHeight="1" s="1349">
      <c r="A15" s="884" t="inlineStr">
        <is>
          <t>Botina Impermeável Composite Antiperfurante Eletricista C/ca</t>
        </is>
      </c>
      <c r="B15" s="884" t="inlineStr">
        <is>
          <t>TAM 35</t>
        </is>
      </c>
      <c r="C15" s="884" t="n">
        <v>10034034166248</v>
      </c>
      <c r="D15" s="884" t="n">
        <v>5</v>
      </c>
      <c r="E15" s="884" t="n">
        <v>241.53</v>
      </c>
      <c r="F15" s="885" t="n">
        <v>232</v>
      </c>
      <c r="G15" s="884" t="n">
        <v>2</v>
      </c>
      <c r="H15" s="904" t="n">
        <v>31.8</v>
      </c>
      <c r="I15" s="1206" t="inlineStr">
        <is>
          <t>Evitar Descarte</t>
        </is>
      </c>
      <c r="J15" s="579" t="n"/>
      <c r="K15" s="579" t="n"/>
      <c r="L15" s="579" t="n"/>
      <c r="M15" s="579" t="n"/>
      <c r="N15" s="579" t="n"/>
      <c r="O15" s="579" t="n"/>
      <c r="P15" s="579" t="n"/>
      <c r="Q15" s="579" t="n"/>
      <c r="R15" s="579" t="n"/>
      <c r="S15" s="579" t="n"/>
      <c r="T15" s="579" t="n"/>
      <c r="U15" s="579" t="n"/>
      <c r="V15" s="579" t="n"/>
      <c r="W15" s="579" t="n"/>
      <c r="X15" s="579" t="n"/>
      <c r="Y15" s="579" t="n"/>
      <c r="Z15" s="579" t="n"/>
      <c r="AA15" s="579" t="n"/>
      <c r="AB15" s="579" t="n"/>
      <c r="AC15" s="579" t="n"/>
      <c r="AD15" s="579" t="n"/>
    </row>
    <row r="16" ht="22.5" customHeight="1" s="1349">
      <c r="A16" s="880" t="inlineStr">
        <is>
          <t>Bota Galocha Pvc Calfor Supermax Longo Ca28489 Impermeável</t>
        </is>
      </c>
      <c r="B16" s="880" t="inlineStr">
        <is>
          <t>PR 34/35</t>
        </is>
      </c>
      <c r="C16" s="880" t="n"/>
      <c r="D16" s="880" t="n"/>
      <c r="E16" s="880" t="n"/>
      <c r="F16" s="881" t="n"/>
      <c r="G16" s="880" t="n">
        <v>2</v>
      </c>
      <c r="H16" s="762" t="n">
        <v>31.8</v>
      </c>
      <c r="I16" s="886" t="inlineStr">
        <is>
          <t>Evitar Descarte</t>
        </is>
      </c>
      <c r="J16" s="579" t="n"/>
      <c r="K16" s="579" t="n"/>
      <c r="L16" s="579" t="n"/>
      <c r="M16" s="579" t="n"/>
      <c r="N16" s="579" t="n"/>
      <c r="O16" s="579" t="n"/>
      <c r="P16" s="579" t="n"/>
      <c r="Q16" s="579" t="n"/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  <c r="AA16" s="579" t="n"/>
      <c r="AB16" s="579" t="n"/>
      <c r="AC16" s="579" t="n"/>
      <c r="AD16" s="579" t="n"/>
    </row>
    <row r="17" ht="22.5" customHeight="1" s="1349">
      <c r="A17" s="884" t="inlineStr">
        <is>
          <t>Botina Londrina Bota Segurança Amarrar Couro Nobuck Com Ca</t>
        </is>
      </c>
      <c r="B17" s="884" t="inlineStr">
        <is>
          <t>PR 39</t>
        </is>
      </c>
      <c r="C17" s="884" t="n">
        <v>10034034166214</v>
      </c>
      <c r="D17" s="884" t="n">
        <v>6</v>
      </c>
      <c r="E17" s="884" t="n">
        <v>162.08</v>
      </c>
      <c r="F17" s="885" t="n">
        <v>159.9</v>
      </c>
      <c r="G17" s="884" t="n">
        <v>3</v>
      </c>
      <c r="H17" s="904" t="n">
        <v>19.9</v>
      </c>
      <c r="I17" s="1206" t="inlineStr">
        <is>
          <t>Evitar Descarte</t>
        </is>
      </c>
      <c r="J17" s="579" t="n"/>
      <c r="K17" s="579" t="n"/>
      <c r="L17" s="579" t="n"/>
      <c r="M17" s="579" t="n"/>
      <c r="N17" s="579" t="n"/>
      <c r="O17" s="579" t="n"/>
      <c r="P17" s="579" t="n"/>
      <c r="Q17" s="579" t="n"/>
      <c r="R17" s="579" t="n"/>
      <c r="S17" s="579" t="n"/>
      <c r="T17" s="579" t="n"/>
      <c r="U17" s="579" t="n"/>
      <c r="V17" s="579" t="n"/>
      <c r="W17" s="579" t="n"/>
      <c r="X17" s="579" t="n"/>
      <c r="Y17" s="579" t="n"/>
      <c r="Z17" s="579" t="n"/>
      <c r="AA17" s="579" t="n"/>
      <c r="AB17" s="579" t="n"/>
      <c r="AC17" s="579" t="n"/>
      <c r="AD17" s="579" t="n"/>
    </row>
    <row r="18" ht="22.5" customHeight="1" s="1349">
      <c r="A18" s="835" t="inlineStr">
        <is>
          <t>Bota Pvc Galocha Cano Médio Conforto Impermeável Resistente</t>
        </is>
      </c>
      <c r="B18" s="835" t="inlineStr">
        <is>
          <t>PRETO 38</t>
        </is>
      </c>
      <c r="C18" s="835" t="n"/>
      <c r="D18" s="880" t="n">
        <v>6</v>
      </c>
      <c r="E18" s="880" t="n">
        <v>55.9</v>
      </c>
      <c r="F18" s="881" t="n">
        <v>15.9</v>
      </c>
      <c r="G18" s="880" t="n">
        <v>1</v>
      </c>
      <c r="H18" s="887" t="n">
        <v>15.9</v>
      </c>
      <c r="I18" s="889" t="inlineStr">
        <is>
          <t>Evitar Descarte</t>
        </is>
      </c>
    </row>
    <row r="19" ht="22.5" customHeight="1" s="1349">
      <c r="A19" s="835" t="inlineStr">
        <is>
          <t>Macacão Proteção Pintura Quimico Impermeável C/ Capuz Volk</t>
        </is>
      </c>
      <c r="B19" s="880" t="inlineStr">
        <is>
          <t>G</t>
        </is>
      </c>
      <c r="C19" s="880" t="n">
        <v>299</v>
      </c>
      <c r="D19" s="880" t="n">
        <v>4</v>
      </c>
      <c r="E19" s="880" t="n">
        <v>29.9</v>
      </c>
      <c r="F19" s="881" t="n">
        <v>24.9</v>
      </c>
      <c r="G19" s="880" t="n">
        <v>1</v>
      </c>
      <c r="H19" s="835" t="n">
        <v>15.9</v>
      </c>
      <c r="I19" s="889" t="inlineStr">
        <is>
          <t>Evitar Descarte</t>
        </is>
      </c>
    </row>
    <row r="20" ht="22.5" customHeight="1" s="1349">
      <c r="A20" s="884" t="inlineStr">
        <is>
          <t>Bota Pvc Antiderrapante Impermeável Cano Longo Conforto Ca</t>
        </is>
      </c>
      <c r="B20" s="884" t="inlineStr">
        <is>
          <t>PRETO 34</t>
        </is>
      </c>
      <c r="C20" s="884" t="n">
        <v>10034034166540</v>
      </c>
      <c r="D20" s="884" t="n">
        <v>0</v>
      </c>
      <c r="E20" s="884" t="n">
        <v>59.9</v>
      </c>
      <c r="F20" s="885" t="n">
        <v>56.7</v>
      </c>
      <c r="G20" s="884" t="n">
        <v>1</v>
      </c>
      <c r="H20" s="904" t="n">
        <v>15.9</v>
      </c>
      <c r="I20" s="1206" t="inlineStr">
        <is>
          <t>Evitar Descarte</t>
        </is>
      </c>
    </row>
    <row r="21" ht="22.5" customHeight="1" s="1349">
      <c r="A21" s="884" t="inlineStr">
        <is>
          <t>Bota Pvc Antiderrapante Impermeável Cano Longo Conforto Ca</t>
        </is>
      </c>
      <c r="B21" s="884" t="inlineStr">
        <is>
          <t>PRETO 42</t>
        </is>
      </c>
      <c r="C21" s="884" t="n">
        <v>10034034166533</v>
      </c>
      <c r="D21" s="884" t="n">
        <v>24</v>
      </c>
      <c r="E21" s="884" t="n">
        <v>59.9</v>
      </c>
      <c r="F21" s="885" t="n">
        <v>56.7</v>
      </c>
      <c r="G21" s="884" t="n">
        <v>1</v>
      </c>
      <c r="H21" s="904" t="n">
        <v>15.9</v>
      </c>
      <c r="I21" s="1206" t="inlineStr">
        <is>
          <t>Vendido</t>
        </is>
      </c>
    </row>
    <row r="22" ht="22.5" customHeight="1" s="1349">
      <c r="A22" s="884" t="inlineStr">
        <is>
          <t>Bota Pvc Antiderrapante Impermeável Cano Longo Conforto Ca</t>
        </is>
      </c>
      <c r="B22" s="884" t="inlineStr">
        <is>
          <t>PRETO 35</t>
        </is>
      </c>
      <c r="C22" s="884" t="n">
        <v>10034034166539</v>
      </c>
      <c r="D22" s="884" t="n">
        <v>13</v>
      </c>
      <c r="E22" s="884" t="n">
        <v>59.9</v>
      </c>
      <c r="F22" s="885" t="n">
        <v>56.7</v>
      </c>
      <c r="G22" s="884" t="n">
        <v>3</v>
      </c>
      <c r="H22" s="904" t="n">
        <v>6</v>
      </c>
      <c r="I22" s="878" t="inlineStr">
        <is>
          <t>Vendido</t>
        </is>
      </c>
    </row>
    <row r="23" ht="22.5" customHeight="1" s="1349">
      <c r="A23" s="902" t="inlineStr">
        <is>
          <t>Sapato Botina Trabalho Epi Segurança Bico Pvc Ocupacional Ca</t>
        </is>
      </c>
      <c r="B23" s="902" t="inlineStr">
        <is>
          <t>TAM 44</t>
        </is>
      </c>
      <c r="C23" s="902" t="n"/>
      <c r="D23" s="893" t="n">
        <v>15</v>
      </c>
      <c r="E23" s="893" t="n">
        <v>88.90000000000001</v>
      </c>
      <c r="F23" s="894" t="n">
        <v>79.90000000000001</v>
      </c>
      <c r="G23" s="893" t="n">
        <v>1</v>
      </c>
      <c r="H23" s="894" t="n">
        <v>2</v>
      </c>
      <c r="I23" s="895" t="inlineStr">
        <is>
          <t>Evitar Descarte</t>
        </is>
      </c>
    </row>
    <row r="24" ht="22.5" customHeight="1" s="1349">
      <c r="A24" s="884" t="inlineStr">
        <is>
          <t>Bota Pvc Antiderrapante Impermeável Cano Longo Conforto Ca</t>
        </is>
      </c>
      <c r="B24" s="884" t="inlineStr">
        <is>
          <t>PRETO 36</t>
        </is>
      </c>
      <c r="C24" s="884" t="n">
        <v>10034034166540</v>
      </c>
      <c r="D24" s="884" t="n">
        <v>0</v>
      </c>
      <c r="E24" s="884" t="n">
        <v>59.9</v>
      </c>
      <c r="F24" s="885" t="n">
        <v>56.7</v>
      </c>
      <c r="G24" s="884" t="n">
        <v>1</v>
      </c>
      <c r="H24" s="904" t="n">
        <v>2</v>
      </c>
      <c r="I24" s="1206" t="inlineStr">
        <is>
          <t>Vendido</t>
        </is>
      </c>
    </row>
    <row r="25" ht="22.5" customHeight="1" s="1349">
      <c r="A25" s="884" t="inlineStr">
        <is>
          <t>Bota Pvc Galocha Cano Médio Conforto Impermeável Resistente</t>
        </is>
      </c>
      <c r="B25" s="884" t="inlineStr">
        <is>
          <t>BRANCA 40</t>
        </is>
      </c>
      <c r="C25" s="884" t="n"/>
      <c r="D25" s="884" t="n">
        <v>6</v>
      </c>
      <c r="E25" s="906" t="n">
        <v>55.9</v>
      </c>
      <c r="F25" s="885" t="n">
        <v>31.8</v>
      </c>
      <c r="G25" s="884" t="n">
        <v>2</v>
      </c>
      <c r="H25" s="904" t="n">
        <v>0</v>
      </c>
      <c r="I25" s="1206" t="inlineStr">
        <is>
          <t>Evitar Descarte</t>
        </is>
      </c>
    </row>
    <row r="26" ht="22.5" customHeight="1" s="1349">
      <c r="A26" s="835" t="inlineStr">
        <is>
          <t>Bota Pvc Antiderrapante Impermeável Cano Longo Conforto Ca</t>
        </is>
      </c>
      <c r="B26" s="835" t="inlineStr">
        <is>
          <t>PRETO 45</t>
        </is>
      </c>
      <c r="C26" s="835" t="n"/>
      <c r="D26" s="835" t="n">
        <v>0</v>
      </c>
      <c r="E26" s="897" t="n">
        <v>59.9</v>
      </c>
      <c r="F26" s="885" t="n">
        <v>48.4</v>
      </c>
      <c r="G26" s="880" t="n">
        <v>1</v>
      </c>
      <c r="H26" s="887" t="n">
        <v>0</v>
      </c>
      <c r="I26" s="889" t="inlineStr">
        <is>
          <t>Vendido</t>
        </is>
      </c>
    </row>
    <row r="27" ht="22.5" customHeight="1" s="1349">
      <c r="A27" s="880" t="inlineStr">
        <is>
          <t>Bota Pvc Antiderrapante Impermeável Cano Longo Conforto Ca</t>
        </is>
      </c>
      <c r="B27" s="880" t="inlineStr">
        <is>
          <t>PRETO 37</t>
        </is>
      </c>
      <c r="C27" s="880" t="n">
        <v>10034034166540</v>
      </c>
      <c r="D27" s="880" t="n">
        <v>0</v>
      </c>
      <c r="E27" s="897" t="n">
        <v>59.9</v>
      </c>
      <c r="F27" s="885" t="n">
        <v>56.7</v>
      </c>
      <c r="G27" s="880" t="n">
        <v>1</v>
      </c>
      <c r="H27" s="898" t="n">
        <v>0</v>
      </c>
      <c r="I27" s="874" t="inlineStr">
        <is>
          <t>Vendido</t>
        </is>
      </c>
    </row>
    <row r="28" ht="22.5" customHeight="1" s="1349">
      <c r="A28" s="884" t="inlineStr">
        <is>
          <t>Chumbador Químico 410 Ancora Aqi380pro C/ Aplicador Original Com Bico</t>
        </is>
      </c>
      <c r="B28" s="884" t="inlineStr">
        <is>
          <t>NÃO</t>
        </is>
      </c>
      <c r="C28" s="884" t="n">
        <v>10034034166748</v>
      </c>
      <c r="D28" s="884" t="n">
        <v>28</v>
      </c>
      <c r="E28" s="884" t="n">
        <v>135.9</v>
      </c>
      <c r="F28" s="885" t="n"/>
      <c r="G28" s="884" t="n">
        <v>1</v>
      </c>
      <c r="H28" s="904" t="n"/>
      <c r="I28" s="1206" t="inlineStr">
        <is>
          <t>Evitar Descarte</t>
        </is>
      </c>
    </row>
    <row r="29" ht="22.5" customHeight="1" s="1349">
      <c r="A29" s="884" t="inlineStr">
        <is>
          <t>Bota Botina Nobuck Couro Velcro Impermeável Br</t>
        </is>
      </c>
      <c r="B29" s="884" t="inlineStr">
        <is>
          <t>MR TAM 45</t>
        </is>
      </c>
      <c r="C29" s="884" t="n">
        <v>10034034166207</v>
      </c>
      <c r="D29" s="884" t="n">
        <v>11</v>
      </c>
      <c r="E29" s="884" t="n">
        <v>179</v>
      </c>
      <c r="F29" s="885" t="n">
        <v>149</v>
      </c>
      <c r="G29" s="884" t="n">
        <v>3</v>
      </c>
      <c r="H29" s="1320" t="n"/>
      <c r="I29" s="1206" t="inlineStr">
        <is>
          <t>Evitar Descarte</t>
        </is>
      </c>
    </row>
    <row r="30" ht="22.5" customHeight="1" s="1349">
      <c r="A30" s="884" t="inlineStr">
        <is>
          <t>Bota Botina Nobuck Couro Velcro Impermeável Br</t>
        </is>
      </c>
      <c r="B30" s="884" t="inlineStr">
        <is>
          <t>MR TAM 38</t>
        </is>
      </c>
      <c r="C30" s="884" t="n">
        <v>912285</v>
      </c>
      <c r="D30" s="884" t="n">
        <v>59</v>
      </c>
      <c r="E30" s="884" t="n">
        <v>179</v>
      </c>
      <c r="F30" s="885" t="n">
        <v>149</v>
      </c>
      <c r="G30" s="884" t="n">
        <v>17</v>
      </c>
      <c r="H30" s="1320" t="n"/>
      <c r="I30" s="1206" t="inlineStr">
        <is>
          <t>Evitar Descarte</t>
        </is>
      </c>
    </row>
    <row r="31" ht="22.5" customHeight="1" s="1349">
      <c r="A31" s="884" t="inlineStr">
        <is>
          <t>Sapato Ocupacional Segurança Limpeza Cozinha Industria C/ Ca</t>
        </is>
      </c>
      <c r="B31" s="884" t="inlineStr">
        <is>
          <t>PR TAM 44</t>
        </is>
      </c>
      <c r="C31" s="884" t="n">
        <v>912262</v>
      </c>
      <c r="D31" s="884" t="n">
        <v>32</v>
      </c>
      <c r="E31" s="884" t="n">
        <v>74.95</v>
      </c>
      <c r="F31" s="885" t="n">
        <v>69.90000000000001</v>
      </c>
      <c r="G31" s="884" t="n">
        <v>1</v>
      </c>
      <c r="H31" s="904" t="n"/>
      <c r="I31" s="900" t="inlineStr">
        <is>
          <t>Evitar Descarte</t>
        </is>
      </c>
    </row>
    <row r="32" ht="22.5" customHeight="1" s="1349">
      <c r="A32" s="902" t="inlineStr">
        <is>
          <t>Sapato Ocupacional Segurança Limpeza Cozinha Industria C/ Ca</t>
        </is>
      </c>
      <c r="B32" s="902" t="inlineStr">
        <is>
          <t>PR TAM 45/6</t>
        </is>
      </c>
      <c r="C32" s="893" t="n">
        <v>912262</v>
      </c>
      <c r="D32" s="893" t="n">
        <v>32</v>
      </c>
      <c r="E32" s="884" t="n">
        <v>74.95</v>
      </c>
      <c r="F32" s="901" t="n">
        <v>69.90000000000001</v>
      </c>
      <c r="G32" s="893" t="n">
        <v>1</v>
      </c>
      <c r="H32" s="902" t="n"/>
      <c r="I32" s="1206" t="inlineStr">
        <is>
          <t>Evitar Descarte</t>
        </is>
      </c>
    </row>
    <row r="33" ht="22.5" customHeight="1" s="1349">
      <c r="A33" s="884" t="inlineStr">
        <is>
          <t>Bota Botina Nobuck Couro Cadarço Impermeável Bico Pvc Com Ca</t>
        </is>
      </c>
      <c r="B33" s="884" t="inlineStr">
        <is>
          <t>CASTOR 36</t>
        </is>
      </c>
      <c r="C33" s="884" t="n">
        <v>912075</v>
      </c>
      <c r="D33" s="884" t="n">
        <v>21</v>
      </c>
      <c r="E33" s="884" t="n">
        <v>139.9</v>
      </c>
      <c r="F33" s="885" t="n">
        <v>125</v>
      </c>
      <c r="G33" s="884" t="n">
        <v>4</v>
      </c>
      <c r="H33" s="904" t="n"/>
      <c r="I33" s="1206" t="inlineStr">
        <is>
          <t>Vendido</t>
        </is>
      </c>
    </row>
    <row r="34" ht="22.5" customHeight="1" s="1349">
      <c r="A34" s="884" t="inlineStr">
        <is>
          <t>Luva Latex Ranhadura Limpeza Quimico Resistente 40cm Rosa</t>
        </is>
      </c>
      <c r="B34" s="884" t="inlineStr">
        <is>
          <t>NÃO</t>
        </is>
      </c>
      <c r="C34" s="884" t="n">
        <v>335</v>
      </c>
      <c r="D34" s="884" t="n">
        <v>7</v>
      </c>
      <c r="E34" s="884" t="n">
        <v>22.61</v>
      </c>
      <c r="F34" s="885" t="n">
        <v>21.9</v>
      </c>
      <c r="G34" s="884" t="n">
        <v>14</v>
      </c>
      <c r="H34" s="904" t="n"/>
      <c r="I34" s="1206" t="inlineStr">
        <is>
          <t>Vendido</t>
        </is>
      </c>
    </row>
    <row r="35" ht="22.5" customHeight="1" s="1349">
      <c r="A35" s="884" t="inlineStr">
        <is>
          <t>Sapato Botina Trabalho Epi Segurança Bico Pvc Ocupacional Ca</t>
        </is>
      </c>
      <c r="B35" s="884" t="inlineStr">
        <is>
          <t>TAM 43</t>
        </is>
      </c>
      <c r="C35" s="884" t="n">
        <v>10034034166600</v>
      </c>
      <c r="D35" s="884" t="n">
        <v>15</v>
      </c>
      <c r="E35" s="884" t="n">
        <v>88.90000000000001</v>
      </c>
      <c r="F35" s="885" t="n"/>
      <c r="G35" s="884" t="n">
        <v>1</v>
      </c>
      <c r="H35" s="904" t="n"/>
      <c r="I35" s="1206" t="inlineStr">
        <is>
          <t>Vendido</t>
        </is>
      </c>
    </row>
    <row r="36" ht="22.5" customHeight="1" s="1349">
      <c r="A36" s="884" t="inlineStr">
        <is>
          <t>Bota Tênis Segurança Tridensidade Bico Pvc Br</t>
        </is>
      </c>
      <c r="B36" s="884" t="inlineStr">
        <is>
          <t>TAM 46</t>
        </is>
      </c>
      <c r="C36" s="884" t="n">
        <v>10034034166632</v>
      </c>
      <c r="D36" s="884" t="n">
        <v>7</v>
      </c>
      <c r="E36" s="884" t="n">
        <v>249.2</v>
      </c>
      <c r="F36" s="1043" t="n"/>
      <c r="G36" s="884" t="n">
        <v>2</v>
      </c>
      <c r="H36" s="904" t="n"/>
      <c r="I36" s="1206" t="inlineStr">
        <is>
          <t>Vendido</t>
        </is>
      </c>
    </row>
    <row r="37" ht="22.5" customHeight="1" s="1349">
      <c r="A37" s="884" t="n"/>
      <c r="B37" s="884" t="n"/>
      <c r="C37" s="884" t="n"/>
      <c r="D37" s="884" t="n"/>
      <c r="E37" s="884" t="n"/>
      <c r="F37" s="885" t="n"/>
      <c r="G37" s="884" t="n"/>
      <c r="H37" s="904" t="n"/>
      <c r="I37" s="1206" t="n"/>
    </row>
    <row r="38" ht="22.5" customHeight="1" s="1349">
      <c r="A38" s="884" t="n"/>
      <c r="B38" s="884" t="n"/>
      <c r="C38" s="884" t="n"/>
      <c r="D38" s="884" t="n"/>
      <c r="E38" s="884" t="n"/>
      <c r="F38" s="885" t="n"/>
      <c r="G38" s="884" t="n"/>
      <c r="H38" s="904" t="n"/>
      <c r="I38" s="1206" t="n"/>
    </row>
    <row r="39" ht="22.5" customHeight="1" s="1349">
      <c r="A39" s="884" t="n"/>
      <c r="B39" s="884" t="n"/>
      <c r="C39" s="884" t="n"/>
      <c r="D39" s="884" t="n"/>
      <c r="E39" s="884" t="n"/>
      <c r="F39" s="885" t="n"/>
      <c r="G39" s="884" t="n"/>
      <c r="H39" s="904" t="n"/>
      <c r="I39" s="1206" t="n"/>
    </row>
    <row r="40" ht="22.5" customHeight="1" s="1349">
      <c r="A40" s="884" t="n"/>
      <c r="B40" s="884" t="n"/>
      <c r="C40" s="884" t="n"/>
      <c r="D40" s="884" t="n"/>
      <c r="E40" s="884" t="n"/>
      <c r="F40" s="885" t="n"/>
      <c r="G40" s="884" t="n"/>
      <c r="H40" s="904" t="n"/>
      <c r="I40" s="1206" t="n"/>
    </row>
    <row r="41" ht="22.5" customHeight="1" s="1349">
      <c r="A41" s="884" t="n"/>
      <c r="B41" s="884" t="n"/>
      <c r="C41" s="884" t="n"/>
      <c r="D41" s="884" t="n"/>
      <c r="E41" s="884" t="n"/>
      <c r="F41" s="885" t="n"/>
      <c r="G41" s="884" t="n"/>
      <c r="H41" s="904" t="n"/>
      <c r="I41" s="1206" t="n"/>
    </row>
    <row r="42" ht="22.5" customHeight="1" s="1349">
      <c r="A42" s="884" t="n"/>
      <c r="B42" s="884" t="n"/>
      <c r="C42" s="884" t="n"/>
      <c r="D42" s="884" t="n"/>
      <c r="E42" s="884" t="n"/>
      <c r="F42" s="885" t="n"/>
      <c r="G42" s="884" t="n"/>
      <c r="H42" s="904" t="n"/>
      <c r="I42" s="1206" t="n"/>
    </row>
    <row r="43" ht="22.5" customHeight="1" s="1349">
      <c r="A43" s="884" t="n"/>
      <c r="B43" s="884" t="n"/>
      <c r="C43" s="884" t="n"/>
      <c r="D43" s="884" t="n"/>
      <c r="E43" s="884" t="n"/>
      <c r="F43" s="885" t="n"/>
      <c r="G43" s="884" t="n"/>
      <c r="H43" s="904" t="n"/>
      <c r="I43" s="1206" t="n"/>
    </row>
    <row r="44" ht="22.5" customHeight="1" s="1349">
      <c r="A44" s="884" t="n"/>
      <c r="B44" s="884" t="n"/>
      <c r="C44" s="884" t="n"/>
      <c r="D44" s="884" t="n"/>
      <c r="E44" s="884" t="n"/>
      <c r="F44" s="885" t="n"/>
      <c r="G44" s="884" t="n"/>
      <c r="H44" s="904" t="n"/>
      <c r="I44" s="1206" t="n"/>
    </row>
    <row r="45" ht="22.5" customHeight="1" s="1349">
      <c r="A45" s="884" t="n"/>
      <c r="B45" s="884" t="n"/>
      <c r="C45" s="884" t="n"/>
      <c r="D45" s="884" t="n"/>
      <c r="E45" s="884" t="n"/>
      <c r="F45" s="885" t="n"/>
      <c r="G45" s="884" t="n"/>
      <c r="H45" s="904" t="n"/>
      <c r="I45" s="1206" t="n"/>
    </row>
    <row r="46" ht="22.5" customHeight="1" s="1349">
      <c r="A46" s="884" t="n"/>
      <c r="B46" s="884" t="n"/>
      <c r="C46" s="884" t="n"/>
      <c r="D46" s="884" t="n"/>
      <c r="E46" s="884" t="n"/>
      <c r="F46" s="885" t="n"/>
      <c r="G46" s="884" t="n"/>
      <c r="H46" s="904" t="n"/>
      <c r="I46" s="1206" t="n"/>
    </row>
    <row r="47" ht="22.5" customHeight="1" s="1349">
      <c r="A47" s="884" t="n"/>
      <c r="B47" s="884" t="n"/>
      <c r="C47" s="884" t="n"/>
      <c r="D47" s="884" t="n"/>
      <c r="E47" s="884" t="n"/>
      <c r="F47" s="885" t="n"/>
      <c r="G47" s="884" t="n"/>
      <c r="H47" s="904" t="n"/>
      <c r="I47" s="1206" t="n"/>
    </row>
    <row r="48" ht="22.5" customHeight="1" s="1349">
      <c r="A48" s="884" t="n"/>
      <c r="B48" s="884" t="n"/>
      <c r="C48" s="884" t="n"/>
      <c r="D48" s="884" t="n"/>
      <c r="E48" s="884" t="n"/>
      <c r="F48" s="885" t="n"/>
      <c r="G48" s="884" t="n"/>
      <c r="H48" s="904" t="n"/>
      <c r="I48" s="1206" t="n"/>
    </row>
    <row r="49" ht="22.5" customHeight="1" s="1349">
      <c r="A49" s="884" t="n"/>
      <c r="B49" s="884" t="n"/>
      <c r="C49" s="884" t="n"/>
      <c r="D49" s="884" t="n"/>
      <c r="E49" s="884" t="n"/>
      <c r="F49" s="885" t="n"/>
      <c r="G49" s="884" t="n"/>
      <c r="H49" s="904" t="n"/>
      <c r="I49" s="1206" t="n"/>
    </row>
    <row r="50" ht="22.5" customHeight="1" s="1349">
      <c r="A50" s="884" t="n"/>
      <c r="B50" s="884" t="n"/>
      <c r="C50" s="884" t="n"/>
      <c r="D50" s="884" t="n"/>
      <c r="E50" s="884" t="n"/>
      <c r="F50" s="885" t="n"/>
      <c r="G50" s="884" t="n"/>
      <c r="H50" s="904" t="n"/>
      <c r="I50" s="1206" t="n"/>
    </row>
    <row r="51" ht="22.5" customHeight="1" s="1349">
      <c r="A51" s="906" t="n"/>
      <c r="B51" s="906" t="n"/>
      <c r="C51" s="906" t="n"/>
      <c r="D51" s="906" t="n"/>
      <c r="E51" s="906" t="n"/>
      <c r="F51" s="907" t="n"/>
      <c r="G51" s="906" t="n"/>
      <c r="H51" s="1206" t="n"/>
      <c r="I51" s="1206" t="n"/>
    </row>
    <row r="52" ht="22.5" customHeight="1" s="1349">
      <c r="A52" s="906" t="n"/>
      <c r="B52" s="906" t="n"/>
      <c r="C52" s="906" t="n"/>
      <c r="D52" s="906" t="n"/>
      <c r="E52" s="906" t="n"/>
      <c r="F52" s="907" t="n"/>
      <c r="G52" s="906" t="n"/>
      <c r="H52" s="1206" t="n"/>
      <c r="I52" s="1206" t="n"/>
    </row>
    <row r="53" ht="22.5" customHeight="1" s="1349">
      <c r="A53" s="906" t="n"/>
      <c r="B53" s="906" t="n"/>
      <c r="C53" s="906" t="n"/>
      <c r="D53" s="906" t="n"/>
      <c r="E53" s="906" t="n"/>
      <c r="F53" s="907" t="n"/>
      <c r="G53" s="906" t="n"/>
      <c r="H53" s="1206" t="n"/>
      <c r="I53" s="1206" t="n"/>
    </row>
    <row r="54" ht="22.5" customHeight="1" s="1349">
      <c r="A54" s="906" t="n"/>
      <c r="B54" s="906" t="n"/>
      <c r="C54" s="906" t="n"/>
      <c r="D54" s="906" t="n"/>
      <c r="E54" s="906" t="n"/>
      <c r="F54" s="907" t="n"/>
      <c r="G54" s="906" t="n"/>
      <c r="H54" s="1206" t="n"/>
      <c r="I54" s="1206" t="n"/>
    </row>
    <row r="55" ht="22.5" customHeight="1" s="1349">
      <c r="A55" s="906" t="n"/>
      <c r="B55" s="906" t="n"/>
      <c r="C55" s="906" t="n"/>
      <c r="D55" s="906" t="n"/>
      <c r="E55" s="906" t="n"/>
      <c r="F55" s="907" t="n"/>
      <c r="G55" s="906" t="n"/>
      <c r="H55" s="1206" t="n"/>
      <c r="I55" s="1206" t="n"/>
    </row>
    <row r="56" ht="22.5" customHeight="1" s="1349">
      <c r="A56" s="906" t="n"/>
      <c r="B56" s="906" t="n"/>
      <c r="C56" s="906" t="n"/>
      <c r="D56" s="906" t="n"/>
      <c r="E56" s="906" t="n"/>
      <c r="F56" s="907" t="n"/>
      <c r="G56" s="906" t="n"/>
      <c r="H56" s="1206" t="n"/>
      <c r="I56" s="1206" t="n"/>
    </row>
    <row r="57" ht="22.5" customHeight="1" s="1349">
      <c r="A57" s="906" t="n"/>
      <c r="B57" s="906" t="n"/>
      <c r="C57" s="906" t="n"/>
      <c r="D57" s="906" t="n"/>
      <c r="E57" s="906" t="n"/>
      <c r="F57" s="907" t="n"/>
      <c r="G57" s="906" t="n"/>
      <c r="H57" s="1206" t="n"/>
      <c r="I57" s="1206" t="n"/>
    </row>
    <row r="58" ht="22.5" customHeight="1" s="1349">
      <c r="A58" s="906" t="n"/>
      <c r="B58" s="906" t="n"/>
      <c r="C58" s="906" t="n"/>
      <c r="D58" s="906" t="n"/>
      <c r="E58" s="906" t="n"/>
      <c r="F58" s="907" t="n"/>
      <c r="G58" s="906" t="n"/>
      <c r="H58" s="1206" t="n"/>
      <c r="I58" s="1206" t="n"/>
    </row>
    <row r="59" ht="22.5" customHeight="1" s="1349">
      <c r="A59" s="906" t="n"/>
      <c r="B59" s="906" t="n"/>
      <c r="C59" s="906" t="n"/>
      <c r="D59" s="906" t="n"/>
      <c r="E59" s="906" t="n"/>
      <c r="F59" s="907" t="n"/>
      <c r="G59" s="906" t="n"/>
      <c r="H59" s="1206" t="n"/>
      <c r="I59" s="1206" t="n"/>
    </row>
    <row r="60" ht="22.5" customHeight="1" s="1349">
      <c r="A60" s="906" t="n"/>
      <c r="B60" s="906" t="n"/>
      <c r="C60" s="906" t="n"/>
      <c r="D60" s="906" t="n"/>
      <c r="E60" s="906" t="n"/>
      <c r="F60" s="907" t="n"/>
      <c r="G60" s="906" t="n"/>
      <c r="H60" s="1206" t="n"/>
      <c r="I60" s="1206" t="n"/>
    </row>
    <row r="61" ht="22.5" customHeight="1" s="1349">
      <c r="A61" s="906" t="n"/>
      <c r="B61" s="906" t="n"/>
      <c r="C61" s="906" t="n"/>
      <c r="D61" s="906" t="n"/>
      <c r="E61" s="906" t="n"/>
      <c r="F61" s="907" t="n"/>
      <c r="G61" s="906" t="n"/>
      <c r="H61" s="1206" t="n"/>
      <c r="I61" s="1206" t="n"/>
    </row>
    <row r="62" ht="22.5" customHeight="1" s="1349">
      <c r="A62" s="906" t="n"/>
      <c r="B62" s="906" t="n"/>
      <c r="C62" s="906" t="n"/>
      <c r="D62" s="906" t="n"/>
      <c r="E62" s="906" t="n"/>
      <c r="F62" s="907" t="n"/>
      <c r="G62" s="906" t="n"/>
      <c r="H62" s="1206" t="n"/>
      <c r="I62" s="1206" t="n"/>
    </row>
    <row r="63" ht="22.5" customHeight="1" s="1349">
      <c r="A63" s="906" t="n"/>
      <c r="B63" s="906" t="n"/>
      <c r="C63" s="906" t="n"/>
      <c r="D63" s="906" t="n"/>
      <c r="E63" s="906" t="n"/>
      <c r="F63" s="907" t="n"/>
      <c r="G63" s="906" t="n"/>
      <c r="H63" s="1206" t="n"/>
      <c r="I63" s="1206" t="n"/>
    </row>
    <row r="64" ht="22.5" customHeight="1" s="1349">
      <c r="A64" s="906" t="n"/>
      <c r="B64" s="906" t="n"/>
      <c r="C64" s="906" t="n"/>
      <c r="D64" s="906" t="n"/>
      <c r="E64" s="906" t="n"/>
      <c r="F64" s="907" t="n"/>
      <c r="G64" s="906" t="n"/>
      <c r="H64" s="1206" t="n"/>
      <c r="I64" s="1206" t="n"/>
    </row>
    <row r="65" ht="22.5" customHeight="1" s="1349">
      <c r="A65" s="906" t="n"/>
      <c r="B65" s="906" t="n"/>
      <c r="C65" s="906" t="n"/>
      <c r="D65" s="906" t="n"/>
      <c r="E65" s="906" t="n"/>
      <c r="F65" s="907" t="n"/>
      <c r="G65" s="906" t="n"/>
      <c r="H65" s="1206" t="n"/>
      <c r="I65" s="1206" t="n"/>
    </row>
    <row r="66" ht="22.5" customHeight="1" s="1349">
      <c r="A66" s="906" t="n"/>
      <c r="B66" s="906" t="n"/>
      <c r="C66" s="906" t="n"/>
      <c r="D66" s="906" t="n"/>
      <c r="E66" s="906" t="n"/>
      <c r="F66" s="907" t="n"/>
      <c r="G66" s="906" t="n"/>
      <c r="H66" s="1206" t="n"/>
      <c r="I66" s="1206" t="n"/>
    </row>
    <row r="67" ht="22.5" customHeight="1" s="1349">
      <c r="A67" s="906" t="n"/>
      <c r="B67" s="906" t="n"/>
      <c r="C67" s="906" t="n"/>
      <c r="D67" s="906" t="n"/>
      <c r="E67" s="906" t="n"/>
      <c r="F67" s="907" t="n"/>
      <c r="G67" s="906" t="n"/>
      <c r="H67" s="1206" t="n"/>
      <c r="I67" s="1206" t="n"/>
    </row>
    <row r="68" ht="22.5" customHeight="1" s="1349">
      <c r="A68" s="906" t="n"/>
      <c r="B68" s="906" t="n"/>
      <c r="C68" s="906" t="n"/>
      <c r="D68" s="906" t="n"/>
      <c r="E68" s="906" t="n"/>
      <c r="F68" s="907" t="n"/>
      <c r="G68" s="906" t="n"/>
      <c r="H68" s="1206" t="n"/>
      <c r="I68" s="1206" t="n"/>
    </row>
    <row r="69" ht="22.5" customHeight="1" s="1349">
      <c r="E69" s="1206" t="n"/>
      <c r="F69" s="907" t="n"/>
      <c r="H69" s="1206" t="n"/>
      <c r="I69" s="1206" t="n"/>
    </row>
    <row r="70" ht="22.5" customHeight="1" s="1349">
      <c r="E70" s="1206" t="n"/>
      <c r="F70" s="907" t="n"/>
      <c r="H70" s="1206" t="n"/>
      <c r="I70" s="1206" t="n"/>
    </row>
    <row r="71" ht="22.5" customHeight="1" s="1349">
      <c r="E71" s="1206" t="n"/>
      <c r="F71" s="907" t="n"/>
      <c r="H71" s="1206" t="n"/>
      <c r="I71" s="1206" t="n"/>
    </row>
    <row r="72" ht="22.5" customHeight="1" s="1349">
      <c r="E72" s="1206" t="n"/>
      <c r="F72" s="907" t="n"/>
      <c r="H72" s="1206" t="n"/>
      <c r="I72" s="1206" t="n"/>
    </row>
    <row r="73" ht="22.5" customHeight="1" s="1349">
      <c r="E73" s="1206" t="n"/>
      <c r="F73" s="907" t="n"/>
      <c r="H73" s="1206" t="n"/>
      <c r="I73" s="1206" t="n"/>
    </row>
    <row r="74" ht="22.5" customHeight="1" s="1349">
      <c r="E74" s="1206" t="n"/>
      <c r="F74" s="907" t="n"/>
      <c r="H74" s="1206" t="n"/>
      <c r="I74" s="1206" t="n"/>
    </row>
    <row r="75" ht="22.5" customHeight="1" s="1349">
      <c r="E75" s="1206" t="n"/>
      <c r="F75" s="907" t="n"/>
      <c r="H75" s="1206" t="n"/>
      <c r="I75" s="1206" t="n"/>
    </row>
    <row r="76" ht="22.5" customHeight="1" s="1349">
      <c r="E76" s="1206" t="n"/>
      <c r="F76" s="907" t="n"/>
      <c r="H76" s="1206" t="n"/>
      <c r="I76" s="1206" t="n"/>
    </row>
    <row r="77" ht="22.5" customHeight="1" s="1349">
      <c r="E77" s="1206" t="n"/>
      <c r="F77" s="907" t="n"/>
      <c r="H77" s="1206" t="n"/>
      <c r="I77" s="1206" t="n"/>
    </row>
    <row r="78" ht="22.5" customHeight="1" s="1349">
      <c r="E78" s="1206" t="n"/>
      <c r="F78" s="907" t="n"/>
      <c r="H78" s="1206" t="n"/>
      <c r="I78" s="1206" t="n"/>
    </row>
    <row r="79" ht="22.5" customHeight="1" s="1349">
      <c r="E79" s="1206" t="n"/>
      <c r="F79" s="907" t="n"/>
      <c r="H79" s="1206" t="n"/>
      <c r="I79" s="1206" t="n"/>
    </row>
    <row r="80" ht="22.5" customHeight="1" s="1349">
      <c r="E80" s="1206" t="n"/>
      <c r="F80" s="907" t="n"/>
      <c r="H80" s="1206" t="n"/>
      <c r="I80" s="1206" t="n"/>
    </row>
    <row r="81" ht="22.5" customHeight="1" s="1349">
      <c r="E81" s="1206" t="n"/>
      <c r="F81" s="1206" t="n"/>
      <c r="H81" s="1206" t="n"/>
      <c r="I81" s="1206" t="n"/>
    </row>
    <row r="82" ht="22.5" customHeight="1" s="1349">
      <c r="E82" s="1206" t="n"/>
      <c r="F82" s="1206" t="n"/>
      <c r="H82" s="1206" t="n"/>
      <c r="I82" s="1206" t="n"/>
    </row>
    <row r="83" ht="22.5" customHeight="1" s="1349">
      <c r="E83" s="1206" t="n"/>
      <c r="F83" s="1206" t="n"/>
      <c r="H83" s="1206" t="n"/>
      <c r="I83" s="1206" t="n"/>
    </row>
    <row r="84" ht="22.5" customHeight="1" s="1349">
      <c r="E84" s="1206" t="n"/>
      <c r="F84" s="1206" t="n"/>
      <c r="H84" s="1206" t="n"/>
      <c r="I84" s="1206" t="n"/>
    </row>
    <row r="85" ht="22.5" customHeight="1" s="1349">
      <c r="E85" s="1206" t="n"/>
      <c r="F85" s="1206" t="n"/>
      <c r="H85" s="1206" t="n"/>
      <c r="I85" s="1206" t="n"/>
    </row>
    <row r="86" ht="22.5" customHeight="1" s="1349">
      <c r="E86" s="1206" t="n"/>
      <c r="F86" s="1206" t="n"/>
      <c r="H86" s="1206" t="n"/>
      <c r="I86" s="1206" t="n"/>
    </row>
    <row r="87" ht="22.5" customHeight="1" s="1349">
      <c r="E87" s="1206" t="n"/>
      <c r="F87" s="1206" t="n"/>
      <c r="H87" s="1206" t="n"/>
      <c r="I87" s="1206" t="n"/>
    </row>
    <row r="88" ht="22.5" customHeight="1" s="1349">
      <c r="E88" s="1206" t="n"/>
      <c r="F88" s="1206" t="n"/>
      <c r="H88" s="1206" t="n"/>
      <c r="I88" s="1206" t="n"/>
    </row>
    <row r="89" ht="22.5" customHeight="1" s="1349">
      <c r="E89" s="1206" t="n"/>
      <c r="F89" s="1206" t="n"/>
      <c r="H89" s="1206" t="n"/>
      <c r="I89" s="1206" t="n"/>
    </row>
    <row r="90" ht="22.5" customHeight="1" s="1349">
      <c r="E90" s="1206" t="n"/>
      <c r="F90" s="1206" t="n"/>
      <c r="H90" s="1206" t="n"/>
      <c r="I90" s="1206" t="n"/>
    </row>
    <row r="91" ht="22.5" customHeight="1" s="1349">
      <c r="E91" s="1206" t="n"/>
      <c r="F91" s="1206" t="n"/>
      <c r="H91" s="1206" t="n"/>
      <c r="I91" s="1206" t="n"/>
    </row>
    <row r="92" ht="22.5" customHeight="1" s="1349">
      <c r="E92" s="1206" t="n"/>
      <c r="F92" s="1206" t="n"/>
      <c r="H92" s="1206" t="n"/>
      <c r="I92" s="1206" t="n"/>
    </row>
    <row r="93" ht="22.5" customHeight="1" s="1349">
      <c r="E93" s="1206" t="n"/>
      <c r="F93" s="1206" t="n"/>
      <c r="H93" s="1206" t="n"/>
      <c r="I93" s="1206" t="n"/>
    </row>
    <row r="94" ht="22.5" customHeight="1" s="1349">
      <c r="E94" s="1206" t="n"/>
      <c r="F94" s="1206" t="n"/>
      <c r="H94" s="1206" t="n"/>
      <c r="I94" s="1206" t="n"/>
    </row>
    <row r="95" ht="22.5" customHeight="1" s="1349">
      <c r="E95" s="1206" t="n"/>
      <c r="F95" s="1206" t="n"/>
      <c r="H95" s="1206" t="n"/>
      <c r="I95" s="1206" t="n"/>
    </row>
    <row r="96" ht="22.5" customHeight="1" s="1349">
      <c r="E96" s="1206" t="n"/>
      <c r="F96" s="1206" t="n"/>
      <c r="H96" s="1206" t="n"/>
      <c r="I96" s="1206" t="n"/>
    </row>
    <row r="97" ht="22.5" customHeight="1" s="1349">
      <c r="E97" s="1206" t="n"/>
      <c r="F97" s="1206" t="n"/>
      <c r="H97" s="1206" t="n"/>
      <c r="I97" s="1206" t="n"/>
    </row>
    <row r="98" ht="22.5" customHeight="1" s="1349">
      <c r="E98" s="1206" t="n"/>
      <c r="F98" s="1206" t="n"/>
      <c r="H98" s="1206" t="n"/>
      <c r="I98" s="1206" t="n"/>
    </row>
    <row r="99" ht="22.5" customHeight="1" s="1349">
      <c r="E99" s="1206" t="n"/>
      <c r="F99" s="1206" t="n"/>
      <c r="H99" s="1206" t="n"/>
      <c r="I99" s="1206" t="n"/>
    </row>
    <row r="100" ht="22.5" customHeight="1" s="1349">
      <c r="E100" s="1206" t="n"/>
      <c r="F100" s="1206" t="n"/>
      <c r="H100" s="1206" t="n"/>
      <c r="I100" s="1206" t="n"/>
    </row>
    <row r="101" ht="22.5" customHeight="1" s="1349">
      <c r="E101" s="1206" t="n"/>
      <c r="F101" s="1206" t="n"/>
      <c r="H101" s="1206" t="n"/>
      <c r="I101" s="1206" t="n"/>
    </row>
    <row r="102" ht="22.5" customHeight="1" s="1349">
      <c r="E102" s="1206" t="n"/>
      <c r="F102" s="1206" t="n"/>
      <c r="H102" s="1206" t="n"/>
      <c r="I102" s="1206" t="n"/>
    </row>
    <row r="103" ht="22.5" customHeight="1" s="1349">
      <c r="E103" s="1206" t="n"/>
      <c r="F103" s="1206" t="n"/>
      <c r="H103" s="1206" t="n"/>
      <c r="I103" s="1206" t="n"/>
    </row>
    <row r="104" ht="22.5" customHeight="1" s="1349">
      <c r="E104" s="1206" t="n"/>
      <c r="F104" s="1206" t="n"/>
      <c r="H104" s="1206" t="n"/>
      <c r="I104" s="1206" t="n"/>
    </row>
    <row r="105" ht="22.5" customHeight="1" s="1349">
      <c r="E105" s="1206" t="n"/>
      <c r="F105" s="1206" t="n"/>
      <c r="H105" s="1206" t="n"/>
      <c r="I105" s="1206" t="n"/>
    </row>
    <row r="106" ht="22.5" customHeight="1" s="1349">
      <c r="E106" s="1206" t="n"/>
      <c r="F106" s="1206" t="n"/>
      <c r="H106" s="1206" t="n"/>
      <c r="I106" s="1206" t="n"/>
    </row>
    <row r="107" ht="22.5" customHeight="1" s="1349">
      <c r="E107" s="1206" t="n"/>
      <c r="F107" s="1206" t="n"/>
      <c r="H107" s="1206" t="n"/>
      <c r="I107" s="1206" t="n"/>
    </row>
    <row r="108" ht="22.5" customHeight="1" s="1349">
      <c r="E108" s="1206" t="n"/>
      <c r="F108" s="1206" t="n"/>
      <c r="H108" s="1206" t="n"/>
      <c r="I108" s="1206" t="n"/>
    </row>
  </sheetData>
  <dataValidations count="2">
    <dataValidation sqref="I2:I108" showDropDown="0" showInputMessage="0" showErrorMessage="0" allowBlank="1" type="list">
      <formula1>"Evitar Descarte,Estoque Antigo,Oferta Relâmpago,Vendido"</formula1>
    </dataValidation>
    <dataValidation sqref="E2:F108 H2:H108" showDropDown="1" showInputMessage="0" showErrorMessage="0" allowBlank="1" type="custom">
      <formula1>AND(ISNUMBER(E2),(NOT(OR(NOT(ISERROR(DATEVALUE(E2))), AND(ISNUMBER(E2), LEFT(CELL("format", E2))="D")))))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O186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349" min="1" max="1"/>
    <col width="22.89" customWidth="1" style="1349" min="2" max="2"/>
    <col width="20.56" customWidth="1" style="1349" min="3" max="3"/>
    <col width="19.11" customWidth="1" style="1349" min="4" max="4"/>
    <col width="16" customWidth="1" style="1349" min="5" max="5"/>
    <col width="17.67" customWidth="1" style="1349" min="6" max="6"/>
    <col width="10.56" customWidth="1" style="1349" min="7" max="11"/>
    <col width="16.11" customWidth="1" style="1349" min="12" max="12"/>
    <col width="10.56" customWidth="1" style="1349" min="13" max="13"/>
    <col width="17.56" customWidth="1" style="1349" min="14" max="14"/>
    <col width="10.56" customWidth="1" style="1349" min="15" max="30"/>
  </cols>
  <sheetData>
    <row r="1" ht="15.75" customHeight="1" s="1349"/>
    <row r="2" ht="15.75" customHeight="1" s="1349"/>
    <row r="3" ht="15.75" customHeight="1" s="1349">
      <c r="B3" s="1350" t="inlineStr">
        <is>
          <t>CALCULO DE CUSTO</t>
        </is>
      </c>
      <c r="C3" s="1351" t="n"/>
      <c r="D3" s="1351" t="n"/>
      <c r="E3" s="1351" t="n"/>
      <c r="F3" s="1351" t="n"/>
      <c r="G3" s="1351" t="n"/>
      <c r="H3" s="1351" t="n"/>
      <c r="I3" s="1351" t="n"/>
      <c r="J3" s="1351" t="n"/>
      <c r="K3" s="1351" t="n"/>
      <c r="L3" s="1351" t="n"/>
      <c r="M3" s="1351" t="n"/>
      <c r="N3" s="1352" t="n"/>
    </row>
    <row r="4" ht="15.75" customHeight="1" s="1349">
      <c r="B4" s="911" t="inlineStr">
        <is>
          <t>total</t>
        </is>
      </c>
      <c r="C4" s="911" t="inlineStr">
        <is>
          <t>quantidade</t>
        </is>
      </c>
      <c r="D4" s="911" t="inlineStr">
        <is>
          <t>unitário</t>
        </is>
      </c>
      <c r="E4" s="911" t="inlineStr">
        <is>
          <t>ICMS (sobre total)</t>
        </is>
      </c>
      <c r="F4" s="912" t="inlineStr">
        <is>
          <t>ICMS</t>
        </is>
      </c>
      <c r="G4" s="912" t="inlineStr">
        <is>
          <t>ICMS ST</t>
        </is>
      </c>
      <c r="H4" s="912" t="inlineStr">
        <is>
          <t>PIS</t>
        </is>
      </c>
      <c r="I4" s="912" t="inlineStr">
        <is>
          <t>COFINS</t>
        </is>
      </c>
      <c r="J4" s="912" t="inlineStr">
        <is>
          <t>IPI</t>
        </is>
      </c>
      <c r="K4" s="911" t="inlineStr">
        <is>
          <t>PIS / COFFINS / ICMS (CE)</t>
        </is>
      </c>
      <c r="L4" s="913" t="inlineStr">
        <is>
          <t>Credito</t>
        </is>
      </c>
      <c r="M4" s="914" t="inlineStr">
        <is>
          <t>CUSTO</t>
        </is>
      </c>
      <c r="N4" s="915" t="inlineStr">
        <is>
          <t>custo - créditos</t>
        </is>
      </c>
      <c r="O4" s="753" t="n"/>
    </row>
    <row r="5" ht="15.75" customHeight="1" s="1349">
      <c r="B5" s="916" t="n">
        <v>972</v>
      </c>
      <c r="C5" s="917" t="n">
        <v>240</v>
      </c>
      <c r="D5" s="918">
        <f>B5/C5</f>
        <v/>
      </c>
      <c r="E5" s="918">
        <f>B5*C8</f>
        <v/>
      </c>
      <c r="F5" s="919">
        <f>D5*C8</f>
        <v/>
      </c>
      <c r="G5" s="920">
        <f>(C12)/C5</f>
        <v/>
      </c>
      <c r="H5" s="921">
        <f>((B5-E5)/C5)*C10</f>
        <v/>
      </c>
      <c r="I5" s="919">
        <f>((B5-E5)/C5)*C11</f>
        <v/>
      </c>
      <c r="J5" s="922">
        <f>D5*C9</f>
        <v/>
      </c>
      <c r="K5" s="923">
        <f>E14+E15+E16</f>
        <v/>
      </c>
      <c r="L5" s="924">
        <f>F5+H5+I5</f>
        <v/>
      </c>
      <c r="M5" s="925">
        <f>D5+J5+G5</f>
        <v/>
      </c>
      <c r="N5" s="926">
        <f>M5-L5</f>
        <v/>
      </c>
    </row>
    <row r="6" ht="15.75" customHeight="1" s="1349">
      <c r="B6" s="928" t="n"/>
      <c r="C6" s="928" t="n"/>
      <c r="D6" s="928" t="n"/>
      <c r="E6" s="928" t="n"/>
      <c r="F6" s="928" t="n"/>
      <c r="G6" s="928" t="n"/>
      <c r="H6" s="928" t="n"/>
      <c r="I6" s="928" t="n"/>
      <c r="J6" s="928" t="n"/>
      <c r="K6" s="928" t="n"/>
      <c r="L6" s="928" t="n"/>
      <c r="M6" s="928" t="n"/>
      <c r="N6" s="928" t="n"/>
    </row>
    <row r="7" ht="15.75" customHeight="1" s="1349">
      <c r="B7" s="912" t="inlineStr">
        <is>
          <t>IMPOSTOS</t>
        </is>
      </c>
      <c r="C7" s="1352" t="n"/>
      <c r="D7" s="911" t="inlineStr">
        <is>
          <t>CREDITOS COMISSÃO</t>
        </is>
      </c>
      <c r="E7" s="1352" t="n"/>
      <c r="F7" s="938" t="n"/>
      <c r="G7" s="928" t="n"/>
      <c r="H7" s="938" t="n"/>
      <c r="I7" s="938" t="n"/>
      <c r="J7" s="938" t="n"/>
      <c r="K7" s="938" t="n"/>
      <c r="L7" s="938" t="n"/>
      <c r="M7" s="938" t="n"/>
      <c r="N7" s="938" t="n"/>
    </row>
    <row r="8" ht="15.75" customHeight="1" s="1349">
      <c r="B8" s="932" t="inlineStr">
        <is>
          <t>ICMS</t>
        </is>
      </c>
      <c r="C8" s="933" t="n">
        <v>0.04</v>
      </c>
      <c r="D8" s="934" t="inlineStr">
        <is>
          <t>COMISSÃO</t>
        </is>
      </c>
      <c r="E8" s="935" t="n">
        <v>0.12</v>
      </c>
      <c r="G8" s="928" t="n"/>
      <c r="H8" s="938" t="n"/>
      <c r="I8" s="938" t="n"/>
      <c r="J8" s="938" t="n"/>
      <c r="K8" s="938" t="n"/>
      <c r="L8" s="938" t="n"/>
      <c r="M8" s="938" t="n"/>
      <c r="N8" s="938" t="n"/>
    </row>
    <row r="9" ht="15.75" customHeight="1" s="1349">
      <c r="B9" s="932" t="inlineStr">
        <is>
          <t>IPI</t>
        </is>
      </c>
      <c r="C9" s="936" t="n">
        <v>0</v>
      </c>
      <c r="D9" s="934" t="inlineStr">
        <is>
          <t>PREÇO DE VENDA</t>
        </is>
      </c>
      <c r="E9" s="937" t="n">
        <v>179</v>
      </c>
      <c r="F9" s="938" t="n"/>
      <c r="G9" s="912" t="inlineStr">
        <is>
          <t>ATUALIZADO 2025</t>
        </is>
      </c>
      <c r="H9" s="1351" t="n"/>
      <c r="I9" s="1351" t="n"/>
      <c r="J9" s="1351" t="n"/>
      <c r="K9" s="1351" t="n"/>
      <c r="L9" s="1351" t="n"/>
      <c r="M9" s="1351" t="n"/>
      <c r="N9" s="1351" t="n"/>
      <c r="O9" s="1352" t="n"/>
    </row>
    <row r="10" ht="15.75" customHeight="1" s="1349">
      <c r="B10" s="932" t="inlineStr">
        <is>
          <t>PIS</t>
        </is>
      </c>
      <c r="C10" s="939" t="n">
        <v>0.0165</v>
      </c>
      <c r="D10" s="940" t="inlineStr">
        <is>
          <t>RT</t>
        </is>
      </c>
      <c r="E10" s="941" t="n"/>
      <c r="G10" s="928" t="n"/>
      <c r="H10" s="938" t="n"/>
      <c r="I10" s="938" t="n"/>
      <c r="J10" s="938" t="n"/>
      <c r="K10" s="938" t="n"/>
      <c r="L10" s="938" t="n"/>
      <c r="M10" s="938" t="n"/>
      <c r="N10" s="938" t="n"/>
    </row>
    <row r="11" ht="15.75" customHeight="1" s="1349">
      <c r="B11" s="932" t="inlineStr">
        <is>
          <t>COFINS</t>
        </is>
      </c>
      <c r="C11" s="942" t="n">
        <v>0.076</v>
      </c>
      <c r="D11" s="934" t="inlineStr">
        <is>
          <t>COMISSAO ECOMMERCE</t>
        </is>
      </c>
      <c r="E11" s="943">
        <f>(E9*E8)-E10</f>
        <v/>
      </c>
      <c r="F11" s="938" t="n"/>
      <c r="G11" s="928" t="n"/>
      <c r="H11" s="938" t="n"/>
      <c r="I11" s="938" t="n"/>
      <c r="J11" s="938" t="n"/>
      <c r="K11" s="938" t="n"/>
      <c r="L11" s="938" t="n"/>
      <c r="M11" s="938" t="n"/>
      <c r="N11" s="938" t="n"/>
    </row>
    <row r="12" ht="15.75" customHeight="1" s="1349">
      <c r="B12" s="944" t="inlineStr">
        <is>
          <t>ICMS ST</t>
        </is>
      </c>
      <c r="C12" s="945" t="n"/>
      <c r="D12" s="940" t="inlineStr">
        <is>
          <t>FRETE / CUSTO FIXO</t>
        </is>
      </c>
      <c r="E12" s="941" t="n">
        <v>28.55</v>
      </c>
      <c r="F12" s="928" t="n"/>
      <c r="G12" s="928" t="n"/>
      <c r="H12" s="928" t="n"/>
      <c r="I12" s="928" t="n"/>
      <c r="J12" s="928" t="n"/>
      <c r="K12" s="928" t="n"/>
      <c r="L12" s="928" t="n"/>
      <c r="M12" s="928" t="n"/>
      <c r="N12" s="928" t="n"/>
    </row>
    <row r="13" ht="15.75" customHeight="1" s="1349">
      <c r="D13" s="940" t="inlineStr">
        <is>
          <t>COMISSAO TOTAL</t>
        </is>
      </c>
      <c r="E13" s="946">
        <f>E11+E12</f>
        <v/>
      </c>
    </row>
    <row r="14" ht="15.75" customHeight="1" s="1349">
      <c r="D14" s="934" t="inlineStr">
        <is>
          <t>pis</t>
        </is>
      </c>
      <c r="E14" s="947">
        <f>(E11+E12)*C10</f>
        <v/>
      </c>
      <c r="F14" s="753" t="n"/>
    </row>
    <row r="15" ht="15.75" customHeight="1" s="1349">
      <c r="D15" s="948" t="inlineStr">
        <is>
          <t>cofins</t>
        </is>
      </c>
      <c r="E15" s="947">
        <f>(E11+E12)*C11</f>
        <v/>
      </c>
    </row>
    <row r="16" ht="15.75" customHeight="1" s="1349">
      <c r="D16" s="940" t="inlineStr">
        <is>
          <t>ICMS</t>
        </is>
      </c>
      <c r="E16" s="949">
        <f>E12*C8</f>
        <v/>
      </c>
      <c r="F16" s="950" t="n"/>
    </row>
    <row r="17" ht="15.75" customHeight="1" s="1349">
      <c r="E17" s="753" t="n"/>
      <c r="F17" s="950" t="n"/>
    </row>
    <row r="18" ht="15.75" customHeight="1" s="1349">
      <c r="B18" s="1353" t="inlineStr">
        <is>
          <t>RATEIO ITEM</t>
        </is>
      </c>
      <c r="C18" s="1352" t="n"/>
    </row>
    <row r="19" ht="15.75" customHeight="1" s="1349">
      <c r="B19" s="940" t="inlineStr">
        <is>
          <t>valor</t>
        </is>
      </c>
      <c r="C19" s="941" t="n">
        <v>0</v>
      </c>
    </row>
    <row r="20" ht="15.75" customHeight="1" s="1349">
      <c r="B20" s="940" t="inlineStr">
        <is>
          <t>proporcão</t>
        </is>
      </c>
      <c r="C20" s="946">
        <f>C19/E9</f>
        <v/>
      </c>
    </row>
    <row r="21" ht="15.75" customHeight="1" s="1349">
      <c r="B21" s="940" t="inlineStr">
        <is>
          <t>taxa proporcao</t>
        </is>
      </c>
      <c r="C21" s="946">
        <f>(C19/E9)*E13</f>
        <v/>
      </c>
    </row>
    <row r="22" ht="15.75" customHeight="1" s="1349"/>
    <row r="23" ht="15.75" customHeight="1" s="1349">
      <c r="C23" s="753" t="n"/>
    </row>
    <row r="24" ht="15.75" customHeight="1" s="1349">
      <c r="B24" s="930" t="inlineStr">
        <is>
          <t>Simulação difal</t>
        </is>
      </c>
      <c r="C24" s="1351" t="n"/>
      <c r="D24" s="952" t="inlineStr">
        <is>
          <t>OBS</t>
        </is>
      </c>
    </row>
    <row r="25" ht="15.75" customHeight="1" s="1349">
      <c r="B25" s="941" t="inlineStr">
        <is>
          <t>valor da nf TOTAL</t>
        </is>
      </c>
      <c r="C25" s="941" t="n">
        <v>53.08</v>
      </c>
      <c r="D25" s="953" t="n"/>
    </row>
    <row r="26" ht="15.75" customHeight="1" s="1349">
      <c r="B26" s="941" t="inlineStr">
        <is>
          <t>taxa interestadual</t>
        </is>
      </c>
      <c r="C26" s="954" t="n">
        <v>0.12</v>
      </c>
      <c r="D26" s="955" t="inlineStr">
        <is>
          <t>SP</t>
        </is>
      </c>
    </row>
    <row r="27" ht="15.75" customHeight="1" s="1349">
      <c r="B27" s="941" t="inlineStr">
        <is>
          <t>interna</t>
        </is>
      </c>
      <c r="C27" s="956" t="n">
        <v>0.22</v>
      </c>
      <c r="D27" s="955" t="inlineStr">
        <is>
          <t>RJ</t>
        </is>
      </c>
    </row>
    <row r="28" ht="15.75" customHeight="1" s="1349">
      <c r="B28" s="941" t="inlineStr">
        <is>
          <t>diffal</t>
        </is>
      </c>
      <c r="C28" s="957">
        <f>C27-C26</f>
        <v/>
      </c>
      <c r="D28" s="958" t="n"/>
    </row>
    <row r="29" ht="15.75" customHeight="1" s="1349">
      <c r="B29" s="941" t="inlineStr">
        <is>
          <t>pis</t>
        </is>
      </c>
      <c r="C29" s="959">
        <f>(C25-C31)*C10</f>
        <v/>
      </c>
      <c r="D29" s="958" t="n"/>
    </row>
    <row r="30" ht="15.75" customHeight="1" s="1349">
      <c r="B30" s="941" t="inlineStr">
        <is>
          <t>cofins</t>
        </is>
      </c>
      <c r="C30" s="959">
        <f>(C25-C31)*C11</f>
        <v/>
      </c>
      <c r="D30" s="958" t="n"/>
    </row>
    <row r="31" ht="15.75" customHeight="1" s="1349">
      <c r="B31" s="941" t="inlineStr">
        <is>
          <t>origem</t>
        </is>
      </c>
      <c r="C31" s="960">
        <f>C25*C26</f>
        <v/>
      </c>
      <c r="D31" s="955" t="n"/>
    </row>
    <row r="32" ht="15.75" customHeight="1" s="1349">
      <c r="B32" s="941" t="inlineStr">
        <is>
          <t>destino</t>
        </is>
      </c>
      <c r="C32" s="960">
        <f>C25*C28</f>
        <v/>
      </c>
      <c r="D32" s="955" t="inlineStr">
        <is>
          <t>repartição para o estado de destino</t>
        </is>
      </c>
    </row>
    <row r="33" ht="15.75" customHeight="1" s="1349">
      <c r="B33" s="941" t="inlineStr">
        <is>
          <t>ICMS final</t>
        </is>
      </c>
      <c r="C33" s="961">
        <f>C32+C31</f>
        <v/>
      </c>
      <c r="D33" s="958" t="n"/>
    </row>
    <row r="34" ht="15.75" customHeight="1" s="1349">
      <c r="B34" s="941" t="inlineStr">
        <is>
          <t>total</t>
        </is>
      </c>
      <c r="C34" s="962">
        <f>C33+C30+C29</f>
        <v/>
      </c>
      <c r="D34" s="958" t="n"/>
    </row>
    <row r="35" ht="15.75" customHeight="1" s="1349">
      <c r="B35" s="963" t="n"/>
      <c r="C35" s="963" t="n"/>
      <c r="D35" s="958" t="n"/>
    </row>
    <row r="36" ht="15.75" customHeight="1" s="1349">
      <c r="B36" s="941" t="inlineStr">
        <is>
          <t>com desconto de credito</t>
        </is>
      </c>
      <c r="C36" s="964">
        <f>C34-K5</f>
        <v/>
      </c>
      <c r="D36" s="965" t="inlineStr">
        <is>
          <t>créditos da taxa do ec</t>
        </is>
      </c>
    </row>
    <row r="37" ht="15.75" customHeight="1" s="1349"/>
    <row r="38" ht="15.75" customHeight="1" s="1349">
      <c r="B38" s="941" t="inlineStr">
        <is>
          <t>quantidade</t>
        </is>
      </c>
      <c r="C38" s="941" t="n">
        <v>2</v>
      </c>
      <c r="D38" s="966" t="inlineStr">
        <is>
          <t>custo calculado</t>
        </is>
      </c>
      <c r="E38" s="967">
        <f>D5*C38</f>
        <v/>
      </c>
    </row>
    <row r="39" ht="15.75" customHeight="1" s="1349">
      <c r="B39" s="941" t="inlineStr">
        <is>
          <t>liquido</t>
        </is>
      </c>
      <c r="C39" s="968">
        <f>C25-(E39+C36+E13)</f>
        <v/>
      </c>
      <c r="D39" s="966" t="inlineStr">
        <is>
          <t>custo com crédito</t>
        </is>
      </c>
      <c r="E39" s="967">
        <f>E38-(L5*C38)</f>
        <v/>
      </c>
    </row>
    <row r="40" ht="15.75" customHeight="1" s="1349">
      <c r="B40" s="941" t="inlineStr">
        <is>
          <t>margem</t>
        </is>
      </c>
      <c r="C40" s="969">
        <f>C39/C25</f>
        <v/>
      </c>
    </row>
    <row r="41" ht="15.75" customHeight="1" s="1349"/>
    <row r="42" ht="15.75" customHeight="1" s="1349"/>
    <row r="43" ht="15.75" customHeight="1" s="1349"/>
    <row r="44" ht="15.75" customHeight="1" s="1349"/>
    <row r="45" ht="15.75" customHeight="1" s="1349">
      <c r="B45" s="1350" t="inlineStr">
        <is>
          <t>CALCULO DE CUSTO</t>
        </is>
      </c>
      <c r="C45" s="1351" t="n"/>
      <c r="D45" s="1351" t="n"/>
      <c r="E45" s="1351" t="n"/>
      <c r="F45" s="1351" t="n"/>
      <c r="G45" s="1351" t="n"/>
      <c r="H45" s="1351" t="n"/>
      <c r="I45" s="1351" t="n"/>
      <c r="J45" s="1351" t="n"/>
      <c r="K45" s="1351" t="n"/>
      <c r="L45" s="1351" t="n"/>
      <c r="M45" s="1351" t="n"/>
      <c r="N45" s="1352" t="n"/>
    </row>
    <row r="46" ht="15.75" customHeight="1" s="1349">
      <c r="B46" s="911" t="inlineStr">
        <is>
          <t>total</t>
        </is>
      </c>
      <c r="C46" s="911" t="inlineStr">
        <is>
          <t>quantidade</t>
        </is>
      </c>
      <c r="D46" s="911" t="inlineStr">
        <is>
          <t>unitário</t>
        </is>
      </c>
      <c r="E46" s="911" t="inlineStr">
        <is>
          <t>ICMS (sobre total)</t>
        </is>
      </c>
      <c r="F46" s="912" t="inlineStr">
        <is>
          <t>ICMS</t>
        </is>
      </c>
      <c r="G46" s="912" t="inlineStr">
        <is>
          <t>ICMS ST</t>
        </is>
      </c>
      <c r="H46" s="912" t="inlineStr">
        <is>
          <t>PIS</t>
        </is>
      </c>
      <c r="I46" s="912" t="inlineStr">
        <is>
          <t>COFINS</t>
        </is>
      </c>
      <c r="J46" s="912" t="inlineStr">
        <is>
          <t>IPI</t>
        </is>
      </c>
      <c r="K46" s="911" t="inlineStr">
        <is>
          <t>PIS / COFFINS / ICMS (CE)</t>
        </is>
      </c>
      <c r="L46" s="913" t="inlineStr">
        <is>
          <t>Credito</t>
        </is>
      </c>
      <c r="M46" s="914" t="inlineStr">
        <is>
          <t>CUSTO</t>
        </is>
      </c>
      <c r="N46" s="915" t="inlineStr">
        <is>
          <t>custo - créditos</t>
        </is>
      </c>
      <c r="O46" s="753" t="n"/>
    </row>
    <row r="47" ht="15.75" customHeight="1" s="1349">
      <c r="B47" s="916" t="n">
        <v>146</v>
      </c>
      <c r="C47" s="917" t="n">
        <v>5</v>
      </c>
      <c r="D47" s="918">
        <f>B47/C47</f>
        <v/>
      </c>
      <c r="E47" s="918">
        <f>B47*C50</f>
        <v/>
      </c>
      <c r="F47" s="919">
        <f>D47*C50</f>
        <v/>
      </c>
      <c r="G47" s="920">
        <f>(C54)/C47</f>
        <v/>
      </c>
      <c r="H47" s="921">
        <f>((B47-E47)/C47)*C52</f>
        <v/>
      </c>
      <c r="I47" s="919">
        <f>((B47-E47)/C47)*C53</f>
        <v/>
      </c>
      <c r="J47" s="922">
        <f>D47*C51</f>
        <v/>
      </c>
      <c r="K47" s="923">
        <f>E56+E57+E58</f>
        <v/>
      </c>
      <c r="L47" s="924">
        <f>F47+H47+I47</f>
        <v/>
      </c>
      <c r="M47" s="925">
        <f>D47+J47+G47</f>
        <v/>
      </c>
      <c r="N47" s="926">
        <f>M47-L47</f>
        <v/>
      </c>
    </row>
    <row r="48" ht="15.75" customHeight="1" s="1349">
      <c r="B48" s="928" t="n"/>
      <c r="C48" s="928" t="n"/>
      <c r="D48" s="928" t="n"/>
      <c r="E48" s="928" t="n"/>
      <c r="F48" s="928" t="n"/>
      <c r="G48" s="928" t="n"/>
      <c r="H48" s="928" t="n"/>
      <c r="I48" s="928" t="n"/>
      <c r="J48" s="928" t="n"/>
      <c r="K48" s="928" t="n"/>
      <c r="L48" s="928" t="n"/>
      <c r="M48" s="928" t="n"/>
      <c r="N48" s="928" t="n"/>
    </row>
    <row r="49" ht="15.75" customHeight="1" s="1349">
      <c r="B49" s="912" t="inlineStr">
        <is>
          <t>IMPOSTOS</t>
        </is>
      </c>
      <c r="C49" s="1352" t="n"/>
      <c r="D49" s="911" t="inlineStr">
        <is>
          <t>CREDITOS COMISSÃO</t>
        </is>
      </c>
      <c r="E49" s="1352" t="n"/>
      <c r="F49" s="938" t="n"/>
      <c r="G49" s="928" t="n"/>
      <c r="H49" s="938" t="n"/>
      <c r="I49" s="938" t="n"/>
      <c r="J49" s="938" t="n"/>
      <c r="K49" s="938" t="n"/>
      <c r="L49" s="938" t="n"/>
      <c r="M49" s="938" t="n"/>
      <c r="N49" s="938" t="n"/>
    </row>
    <row r="50" ht="15.75" customHeight="1" s="1349">
      <c r="B50" s="932" t="inlineStr">
        <is>
          <t>ICMS</t>
        </is>
      </c>
      <c r="C50" s="933" t="n">
        <v>0.04</v>
      </c>
      <c r="D50" s="934" t="inlineStr">
        <is>
          <t>COMISSÃO</t>
        </is>
      </c>
      <c r="E50" s="935" t="n">
        <v>0.12</v>
      </c>
      <c r="G50" s="928" t="n"/>
      <c r="H50" s="938" t="n"/>
      <c r="I50" s="938" t="n"/>
      <c r="J50" s="938" t="n"/>
      <c r="K50" s="938" t="n"/>
      <c r="L50" s="938" t="n"/>
      <c r="M50" s="938" t="n"/>
      <c r="N50" s="938" t="n"/>
    </row>
    <row r="51" ht="15.75" customHeight="1" s="1349">
      <c r="B51" s="932" t="inlineStr">
        <is>
          <t>IPI</t>
        </is>
      </c>
      <c r="C51" s="936" t="n">
        <v>0.065</v>
      </c>
      <c r="D51" s="934" t="inlineStr">
        <is>
          <t>PREÇO DE VENDA</t>
        </is>
      </c>
      <c r="E51" s="937" t="n">
        <v>26.84</v>
      </c>
      <c r="F51" s="938" t="n"/>
      <c r="G51" s="912" t="inlineStr">
        <is>
          <t>ATUALIZADO 2025</t>
        </is>
      </c>
      <c r="H51" s="1351" t="n"/>
      <c r="I51" s="1351" t="n"/>
      <c r="J51" s="1351" t="n"/>
      <c r="K51" s="1351" t="n"/>
      <c r="L51" s="1351" t="n"/>
      <c r="M51" s="1351" t="n"/>
      <c r="N51" s="1351" t="n"/>
      <c r="O51" s="1352" t="n"/>
    </row>
    <row r="52" ht="15.75" customHeight="1" s="1349">
      <c r="B52" s="932" t="inlineStr">
        <is>
          <t>PIS</t>
        </is>
      </c>
      <c r="C52" s="939" t="n">
        <v>0.0165</v>
      </c>
      <c r="D52" s="940" t="inlineStr">
        <is>
          <t>RT</t>
        </is>
      </c>
      <c r="E52" s="941" t="n">
        <v>0</v>
      </c>
      <c r="G52" s="928" t="n"/>
      <c r="H52" s="938" t="n"/>
      <c r="I52" s="938" t="n"/>
      <c r="J52" s="938" t="n"/>
      <c r="K52" s="938" t="n"/>
      <c r="L52" s="938" t="n"/>
      <c r="M52" s="938" t="n"/>
      <c r="N52" s="938" t="n"/>
    </row>
    <row r="53" ht="15.75" customHeight="1" s="1349">
      <c r="B53" s="932" t="inlineStr">
        <is>
          <t>COFINS</t>
        </is>
      </c>
      <c r="C53" s="942" t="n">
        <v>0.076</v>
      </c>
      <c r="D53" s="934" t="inlineStr">
        <is>
          <t>COMISSAO ECOMMERCE</t>
        </is>
      </c>
      <c r="E53" s="943">
        <f>(E51*E50)-E52</f>
        <v/>
      </c>
      <c r="F53" s="938" t="n"/>
      <c r="G53" s="928" t="n"/>
      <c r="H53" s="938" t="n"/>
      <c r="I53" s="938" t="n"/>
      <c r="J53" s="938" t="n"/>
      <c r="K53" s="938" t="n"/>
      <c r="L53" s="938" t="n"/>
      <c r="M53" s="938" t="n"/>
      <c r="N53" s="938" t="n"/>
    </row>
    <row r="54" ht="15.75" customHeight="1" s="1349">
      <c r="B54" s="944" t="inlineStr">
        <is>
          <t>ICMS ST</t>
        </is>
      </c>
      <c r="C54" s="945" t="n">
        <v>0</v>
      </c>
      <c r="D54" s="940" t="inlineStr">
        <is>
          <t>FRETE / CUSTO FIXO</t>
        </is>
      </c>
      <c r="E54" s="941" t="n">
        <v>6.75</v>
      </c>
      <c r="F54" s="928" t="n"/>
      <c r="G54" s="928" t="n"/>
      <c r="H54" s="928" t="n"/>
      <c r="I54" s="928" t="n"/>
      <c r="J54" s="928" t="n"/>
      <c r="K54" s="928" t="n"/>
      <c r="L54" s="928" t="n"/>
      <c r="M54" s="928" t="n"/>
      <c r="N54" s="928" t="n"/>
    </row>
    <row r="55" ht="15.75" customHeight="1" s="1349">
      <c r="D55" s="940" t="inlineStr">
        <is>
          <t>COMISSAO TOTAL</t>
        </is>
      </c>
      <c r="E55" s="946">
        <f>E53+E54</f>
        <v/>
      </c>
    </row>
    <row r="56" ht="15.75" customHeight="1" s="1349">
      <c r="D56" s="934" t="inlineStr">
        <is>
          <t>pis</t>
        </is>
      </c>
      <c r="E56" s="947">
        <f>(E53+E54)*C52</f>
        <v/>
      </c>
      <c r="F56" s="753" t="n"/>
    </row>
    <row r="57" ht="15.75" customHeight="1" s="1349">
      <c r="D57" s="948" t="inlineStr">
        <is>
          <t>cofins</t>
        </is>
      </c>
      <c r="E57" s="947">
        <f>(E53+E54)*C53</f>
        <v/>
      </c>
    </row>
    <row r="58" ht="15.75" customHeight="1" s="1349">
      <c r="D58" s="940" t="inlineStr">
        <is>
          <t>ICMS</t>
        </is>
      </c>
      <c r="E58" s="949">
        <f>E54*C50</f>
        <v/>
      </c>
      <c r="F58" s="950" t="n"/>
    </row>
    <row r="59" ht="15.75" customHeight="1" s="1349">
      <c r="E59" s="753" t="n"/>
      <c r="F59" s="950" t="n"/>
    </row>
    <row r="60" ht="15.75" customHeight="1" s="1349">
      <c r="B60" s="1353" t="inlineStr">
        <is>
          <t>RATEIO ITEM</t>
        </is>
      </c>
      <c r="C60" s="1352" t="n"/>
    </row>
    <row r="61" ht="15.75" customHeight="1" s="1349">
      <c r="B61" s="940" t="inlineStr">
        <is>
          <t>valor</t>
        </is>
      </c>
      <c r="C61" s="941" t="n">
        <v>0</v>
      </c>
    </row>
    <row r="62" ht="15.75" customHeight="1" s="1349">
      <c r="B62" s="940" t="inlineStr">
        <is>
          <t>proporcão</t>
        </is>
      </c>
      <c r="C62" s="946">
        <f>C61/E51</f>
        <v/>
      </c>
    </row>
    <row r="63" ht="15.75" customHeight="1" s="1349">
      <c r="B63" s="940" t="inlineStr">
        <is>
          <t>taxa proporcao</t>
        </is>
      </c>
      <c r="C63" s="946">
        <f>(C61/E51)*E55</f>
        <v/>
      </c>
    </row>
    <row r="64" ht="15.75" customHeight="1" s="1349"/>
    <row r="65" ht="15.75" customHeight="1" s="1349">
      <c r="C65" s="753" t="n"/>
    </row>
    <row r="66" ht="15.75" customHeight="1" s="1349">
      <c r="B66" s="930" t="inlineStr">
        <is>
          <t>Simulação difal</t>
        </is>
      </c>
      <c r="C66" s="1351" t="n"/>
      <c r="D66" s="952" t="inlineStr">
        <is>
          <t>OBS</t>
        </is>
      </c>
    </row>
    <row r="67" ht="15.75" customHeight="1" s="1349">
      <c r="B67" s="941" t="inlineStr">
        <is>
          <t>valor da nf TOTAL</t>
        </is>
      </c>
      <c r="C67" s="941" t="n">
        <v>26.84</v>
      </c>
      <c r="D67" s="953" t="n"/>
    </row>
    <row r="68" ht="15.75" customHeight="1" s="1349">
      <c r="B68" s="941" t="inlineStr">
        <is>
          <t>taxa interestadual</t>
        </is>
      </c>
      <c r="C68" s="954" t="n">
        <v>0.12</v>
      </c>
      <c r="D68" s="955" t="inlineStr">
        <is>
          <t>SP</t>
        </is>
      </c>
    </row>
    <row r="69" ht="15.75" customHeight="1" s="1349">
      <c r="B69" s="941" t="inlineStr">
        <is>
          <t>interna</t>
        </is>
      </c>
      <c r="C69" s="956" t="n">
        <v>0.18</v>
      </c>
      <c r="D69" s="955" t="inlineStr">
        <is>
          <t>PE</t>
        </is>
      </c>
    </row>
    <row r="70" ht="15.75" customHeight="1" s="1349">
      <c r="B70" s="941" t="inlineStr">
        <is>
          <t>diffal</t>
        </is>
      </c>
      <c r="C70" s="957">
        <f>C69-C68</f>
        <v/>
      </c>
      <c r="D70" s="958" t="n"/>
    </row>
    <row r="71" ht="15.75" customHeight="1" s="1349">
      <c r="B71" s="941" t="inlineStr">
        <is>
          <t>pis</t>
        </is>
      </c>
      <c r="C71" s="959">
        <f>(C67-C73)*C52</f>
        <v/>
      </c>
      <c r="D71" s="958" t="n"/>
    </row>
    <row r="72" ht="15.75" customHeight="1" s="1349">
      <c r="B72" s="941" t="inlineStr">
        <is>
          <t>cofins</t>
        </is>
      </c>
      <c r="C72" s="959">
        <f>(C67-C73)*C53</f>
        <v/>
      </c>
      <c r="D72" s="958" t="n"/>
    </row>
    <row r="73" ht="15.75" customHeight="1" s="1349">
      <c r="B73" s="941" t="inlineStr">
        <is>
          <t>origem</t>
        </is>
      </c>
      <c r="C73" s="960">
        <f>C67*C68</f>
        <v/>
      </c>
      <c r="D73" s="955" t="n"/>
    </row>
    <row r="74" ht="15.75" customHeight="1" s="1349">
      <c r="B74" s="941" t="inlineStr">
        <is>
          <t>destino</t>
        </is>
      </c>
      <c r="C74" s="960">
        <f>C67*C70</f>
        <v/>
      </c>
      <c r="D74" s="955" t="inlineStr">
        <is>
          <t>repartição para o estado de destino</t>
        </is>
      </c>
    </row>
    <row r="75" ht="15.75" customHeight="1" s="1349">
      <c r="B75" s="941" t="inlineStr">
        <is>
          <t>ICMS final</t>
        </is>
      </c>
      <c r="C75" s="961">
        <f>C74+C73</f>
        <v/>
      </c>
      <c r="D75" s="958" t="n"/>
    </row>
    <row r="76" ht="15.75" customHeight="1" s="1349">
      <c r="B76" s="941" t="inlineStr">
        <is>
          <t>total</t>
        </is>
      </c>
      <c r="C76" s="962">
        <f>C75+C72+C71</f>
        <v/>
      </c>
      <c r="D76" s="958" t="n"/>
    </row>
    <row r="77" ht="15.75" customHeight="1" s="1349">
      <c r="B77" s="963" t="n"/>
      <c r="C77" s="963" t="n"/>
      <c r="D77" s="958" t="n"/>
    </row>
    <row r="78" ht="15.75" customHeight="1" s="1349">
      <c r="B78" s="941" t="inlineStr">
        <is>
          <t>com desconto de credito</t>
        </is>
      </c>
      <c r="C78" s="964">
        <f>C76-K47</f>
        <v/>
      </c>
      <c r="D78" s="965" t="inlineStr">
        <is>
          <t>créditos da taxa do ec</t>
        </is>
      </c>
    </row>
    <row r="79" ht="15.75" customHeight="1" s="1349"/>
    <row r="80" ht="15.75" customHeight="1" s="1349">
      <c r="B80" s="941" t="inlineStr">
        <is>
          <t>quantidade</t>
        </is>
      </c>
      <c r="C80" s="941" t="n">
        <v>1</v>
      </c>
      <c r="D80" s="966" t="inlineStr">
        <is>
          <t>custo calculado</t>
        </is>
      </c>
      <c r="E80" s="967">
        <f>D47*C80</f>
        <v/>
      </c>
    </row>
    <row r="81" ht="15.75" customHeight="1" s="1349">
      <c r="B81" s="941" t="inlineStr">
        <is>
          <t>liquido</t>
        </is>
      </c>
      <c r="C81" s="968">
        <f>C67-(E81+C78+E55)</f>
        <v/>
      </c>
      <c r="D81" s="966" t="inlineStr">
        <is>
          <t>custo com crédito</t>
        </is>
      </c>
      <c r="E81" s="967">
        <f>E80-(L47*C80)</f>
        <v/>
      </c>
    </row>
    <row r="82" ht="15.75" customHeight="1" s="1349">
      <c r="B82" s="941" t="inlineStr">
        <is>
          <t>margem</t>
        </is>
      </c>
      <c r="C82" s="969">
        <f>C81/C67</f>
        <v/>
      </c>
    </row>
    <row r="83" ht="15.75" customHeight="1" s="1349"/>
    <row r="84" ht="15.75" customHeight="1" s="1349"/>
    <row r="85" ht="15.75" customHeight="1" s="1349"/>
    <row r="86" ht="15.75" customHeight="1" s="1349"/>
    <row r="87" ht="15.75" customHeight="1" s="1349"/>
    <row r="88" ht="15.75" customHeight="1" s="1349"/>
    <row r="89" ht="15.75" customHeight="1" s="1349"/>
    <row r="90" ht="15.75" customHeight="1" s="1349"/>
    <row r="91" ht="15.75" customHeight="1" s="1349"/>
    <row r="92" ht="15.75" customHeight="1" s="1349"/>
    <row r="93" ht="15.75" customHeight="1" s="1349">
      <c r="B93" s="1354" t="inlineStr">
        <is>
          <t>CALCULO DE CUSTO</t>
        </is>
      </c>
      <c r="C93" s="1351" t="n"/>
      <c r="D93" s="1351" t="n"/>
      <c r="E93" s="1351" t="n"/>
      <c r="F93" s="1351" t="n"/>
      <c r="G93" s="1351" t="n"/>
      <c r="H93" s="1351" t="n"/>
      <c r="I93" s="1351" t="n"/>
      <c r="J93" s="1351" t="n"/>
      <c r="K93" s="1351" t="n"/>
      <c r="L93" s="1351" t="n"/>
      <c r="M93" s="1351" t="n"/>
      <c r="N93" s="1352" t="n"/>
    </row>
    <row r="94" ht="15.75" customHeight="1" s="1349">
      <c r="B94" s="911" t="inlineStr">
        <is>
          <t>total</t>
        </is>
      </c>
      <c r="C94" s="911" t="inlineStr">
        <is>
          <t>quantidade</t>
        </is>
      </c>
      <c r="D94" s="911" t="inlineStr">
        <is>
          <t>unitário</t>
        </is>
      </c>
      <c r="E94" s="911" t="inlineStr">
        <is>
          <t>ICMS (sobre total)</t>
        </is>
      </c>
      <c r="F94" s="912" t="inlineStr">
        <is>
          <t>ICMS</t>
        </is>
      </c>
      <c r="G94" s="912" t="inlineStr">
        <is>
          <t>ICMS ST</t>
        </is>
      </c>
      <c r="H94" s="912" t="inlineStr">
        <is>
          <t>PIS</t>
        </is>
      </c>
      <c r="I94" s="912" t="inlineStr">
        <is>
          <t>COFINS</t>
        </is>
      </c>
      <c r="J94" s="912" t="inlineStr">
        <is>
          <t>IPI</t>
        </is>
      </c>
      <c r="K94" s="911" t="inlineStr">
        <is>
          <t>PIS / COFFINS / ICMS (CE)</t>
        </is>
      </c>
      <c r="L94" s="913" t="inlineStr">
        <is>
          <t>Credito</t>
        </is>
      </c>
      <c r="M94" s="914" t="inlineStr">
        <is>
          <t>CUSTO</t>
        </is>
      </c>
      <c r="N94" s="915" t="inlineStr">
        <is>
          <t>custo - créditos</t>
        </is>
      </c>
      <c r="O94" s="753" t="n"/>
    </row>
    <row r="95" ht="15.75" customHeight="1" s="1349">
      <c r="B95" s="916" t="n">
        <v>1869.6</v>
      </c>
      <c r="C95" s="917" t="n">
        <v>40</v>
      </c>
      <c r="D95" s="918">
        <f>B95/C95</f>
        <v/>
      </c>
      <c r="E95" s="918">
        <f>B95*C98</f>
        <v/>
      </c>
      <c r="F95" s="919">
        <f>D95*C98</f>
        <v/>
      </c>
      <c r="G95" s="920">
        <f>(C102)/C95</f>
        <v/>
      </c>
      <c r="H95" s="921">
        <f>((B95-E95)/C95)*C100</f>
        <v/>
      </c>
      <c r="I95" s="919">
        <f>((B95-E95)/C95)*C101</f>
        <v/>
      </c>
      <c r="J95" s="922">
        <f>D95*C99</f>
        <v/>
      </c>
      <c r="K95" s="923">
        <f>E109+E110+E111</f>
        <v/>
      </c>
      <c r="L95" s="924">
        <f>F95+H95+I95</f>
        <v/>
      </c>
      <c r="M95" s="925">
        <f>D95+J95+G95</f>
        <v/>
      </c>
      <c r="N95" s="926">
        <f>M95-L95</f>
        <v/>
      </c>
    </row>
    <row r="96" ht="15.75" customHeight="1" s="1349">
      <c r="B96" s="928" t="n"/>
      <c r="C96" s="928" t="n"/>
      <c r="D96" s="928" t="n"/>
      <c r="E96" s="928" t="n"/>
      <c r="F96" s="928" t="n"/>
      <c r="G96" s="928" t="n"/>
      <c r="H96" s="928" t="n"/>
      <c r="I96" s="928" t="n"/>
      <c r="J96" s="928" t="n"/>
      <c r="K96" s="928" t="n"/>
      <c r="L96" s="928" t="n"/>
      <c r="M96" s="928" t="n"/>
      <c r="N96" s="928" t="n"/>
    </row>
    <row r="97" ht="15.75" customHeight="1" s="1349">
      <c r="B97" s="912" t="inlineStr">
        <is>
          <t>IMPOSTOS</t>
        </is>
      </c>
      <c r="C97" s="1352" t="n"/>
      <c r="D97" s="911" t="inlineStr">
        <is>
          <t>CREDITOS COMISSÃO</t>
        </is>
      </c>
      <c r="E97" s="1352" t="n"/>
      <c r="F97" s="938" t="n"/>
      <c r="G97" s="928" t="n"/>
      <c r="H97" s="938" t="n"/>
      <c r="I97" s="938" t="n"/>
      <c r="J97" s="938" t="n"/>
      <c r="K97" s="938" t="n"/>
      <c r="L97" s="938" t="n"/>
      <c r="M97" s="938" t="n"/>
      <c r="N97" s="938" t="n"/>
    </row>
    <row r="98" ht="15.75" customHeight="1" s="1349">
      <c r="B98" s="932" t="inlineStr">
        <is>
          <t>ICMS</t>
        </is>
      </c>
      <c r="C98" s="933" t="n">
        <v>0.12</v>
      </c>
      <c r="D98" s="934" t="inlineStr">
        <is>
          <t>COMISSÃO</t>
        </is>
      </c>
      <c r="E98" s="935" t="n">
        <v>0.18</v>
      </c>
      <c r="G98" s="928" t="n"/>
      <c r="H98" s="938" t="n"/>
      <c r="I98" s="938" t="n"/>
      <c r="J98" s="938" t="n"/>
      <c r="K98" s="938" t="n"/>
      <c r="L98" s="938" t="n"/>
      <c r="M98" s="938" t="n"/>
      <c r="N98" s="938" t="n"/>
    </row>
    <row r="99" ht="15.75" customHeight="1" s="1349">
      <c r="B99" s="932" t="inlineStr">
        <is>
          <t>IPI</t>
        </is>
      </c>
      <c r="C99" s="936" t="n">
        <v>0</v>
      </c>
      <c r="D99" s="934" t="inlineStr">
        <is>
          <t>PREÇO DE VENDA</t>
        </is>
      </c>
      <c r="E99" s="937" t="n">
        <v>75.78</v>
      </c>
      <c r="F99" s="938" t="n"/>
      <c r="G99" s="912" t="inlineStr">
        <is>
          <t>ATUALIZADO 2025</t>
        </is>
      </c>
      <c r="H99" s="1351" t="n"/>
      <c r="I99" s="1351" t="n"/>
      <c r="J99" s="1351" t="n"/>
      <c r="K99" s="1351" t="n"/>
      <c r="L99" s="1351" t="n"/>
      <c r="M99" s="1351" t="n"/>
      <c r="N99" s="1351" t="n"/>
      <c r="O99" s="1352" t="n"/>
    </row>
    <row r="100" ht="15.75" customHeight="1" s="1349">
      <c r="B100" s="932" t="inlineStr">
        <is>
          <t>PIS</t>
        </is>
      </c>
      <c r="C100" s="939" t="n">
        <v>0.0165</v>
      </c>
      <c r="D100" s="934" t="inlineStr">
        <is>
          <t>ajuste via pix</t>
        </is>
      </c>
      <c r="E100" s="937" t="n">
        <v>0</v>
      </c>
      <c r="G100" s="928" t="n"/>
      <c r="H100" s="938" t="n"/>
      <c r="I100" s="938" t="n"/>
      <c r="J100" s="938" t="n"/>
      <c r="K100" s="938" t="n"/>
      <c r="L100" s="938" t="n"/>
      <c r="M100" s="938" t="n"/>
      <c r="N100" s="938" t="n"/>
    </row>
    <row r="101" ht="15.75" customHeight="1" s="1349">
      <c r="B101" s="932" t="inlineStr">
        <is>
          <t>COFINS</t>
        </is>
      </c>
      <c r="C101" s="942" t="n">
        <v>0.076</v>
      </c>
      <c r="D101" s="940" t="inlineStr">
        <is>
          <t>Cupom</t>
        </is>
      </c>
      <c r="E101" s="941" t="n">
        <v>0</v>
      </c>
      <c r="F101" s="938" t="n"/>
      <c r="G101" s="928" t="n"/>
      <c r="H101" s="938" t="n"/>
      <c r="I101" s="938" t="n"/>
      <c r="J101" s="938" t="n"/>
      <c r="K101" s="938" t="n"/>
      <c r="L101" s="938" t="n"/>
      <c r="M101" s="938" t="n"/>
      <c r="N101" s="938" t="n"/>
    </row>
    <row r="102" ht="15.75" customHeight="1" s="1349">
      <c r="B102" s="944" t="inlineStr">
        <is>
          <t>ICMS ST</t>
        </is>
      </c>
      <c r="C102" s="945" t="n">
        <v>0</v>
      </c>
      <c r="D102" s="934" t="inlineStr">
        <is>
          <t>COMISSAO ECOMMERCE</t>
        </is>
      </c>
      <c r="E102" s="943">
        <f>((E99-E101)*E98)-E103</f>
        <v/>
      </c>
      <c r="F102" s="971" t="n">
        <v>0.035</v>
      </c>
      <c r="G102" s="928" t="n"/>
      <c r="H102" s="928" t="n"/>
      <c r="I102" s="928" t="n"/>
      <c r="J102" s="928" t="n"/>
      <c r="K102" s="928" t="n"/>
      <c r="L102" s="928" t="n"/>
      <c r="M102" s="928" t="n"/>
      <c r="N102" s="928" t="n"/>
    </row>
    <row r="103" ht="15.75" customHeight="1" s="1349">
      <c r="D103" s="972" t="inlineStr">
        <is>
          <t>ação comercial</t>
        </is>
      </c>
      <c r="E103" s="753" t="n">
        <v>0</v>
      </c>
      <c r="F103" s="753" t="n"/>
    </row>
    <row r="104" ht="15.75" customHeight="1" s="1349">
      <c r="D104" s="940" t="inlineStr">
        <is>
          <t>taxa adicional</t>
        </is>
      </c>
      <c r="E104" s="973">
        <f>(E99-E101)*F102</f>
        <v/>
      </c>
      <c r="F104" s="753" t="n"/>
    </row>
    <row r="105" ht="15.75" customHeight="1" s="1349">
      <c r="D105" s="974" t="inlineStr">
        <is>
          <t>taxa de transação</t>
        </is>
      </c>
      <c r="E105" s="973">
        <f>(E99-E101)*2%</f>
        <v/>
      </c>
    </row>
    <row r="106" ht="15.75" customHeight="1" s="1349">
      <c r="D106" s="753" t="inlineStr">
        <is>
          <t>taxa por item vendido</t>
        </is>
      </c>
      <c r="E106" s="753" t="n">
        <v>4</v>
      </c>
      <c r="F106" s="950" t="n"/>
    </row>
    <row r="107" ht="15.75" customHeight="1" s="1349">
      <c r="D107" s="974" t="inlineStr">
        <is>
          <t>frete recebido</t>
        </is>
      </c>
      <c r="E107" s="753" t="n">
        <v>0</v>
      </c>
      <c r="F107" s="950" t="n"/>
    </row>
    <row r="108" ht="15.75" customHeight="1" s="1349">
      <c r="B108" s="1353" t="inlineStr">
        <is>
          <t>RATEIO ITEM</t>
        </is>
      </c>
      <c r="C108" s="1352" t="n"/>
      <c r="D108" s="940" t="inlineStr">
        <is>
          <t>COMISSAO TOTAL</t>
        </is>
      </c>
      <c r="E108" s="946">
        <f>(E102+E104+E105+E106)-E103</f>
        <v/>
      </c>
    </row>
    <row r="109" ht="15.75" customHeight="1" s="1349">
      <c r="B109" s="940" t="inlineStr">
        <is>
          <t>valor</t>
        </is>
      </c>
      <c r="C109" s="941" t="n">
        <v>0</v>
      </c>
      <c r="D109" s="934" t="inlineStr">
        <is>
          <t>pis</t>
        </is>
      </c>
      <c r="E109" s="947">
        <f>E108*C100</f>
        <v/>
      </c>
    </row>
    <row r="110" ht="15.75" customHeight="1" s="1349">
      <c r="B110" s="940" t="inlineStr">
        <is>
          <t>proporcão</t>
        </is>
      </c>
      <c r="C110" s="946">
        <f>C109/E99</f>
        <v/>
      </c>
      <c r="D110" s="948" t="inlineStr">
        <is>
          <t>cofins</t>
        </is>
      </c>
      <c r="E110" s="947">
        <f>E108*C101</f>
        <v/>
      </c>
    </row>
    <row r="111" ht="15.75" customHeight="1" s="1349">
      <c r="B111" s="940" t="inlineStr">
        <is>
          <t>taxa proporcao</t>
        </is>
      </c>
      <c r="C111" s="946">
        <f>(C109/E99)*E108</f>
        <v/>
      </c>
      <c r="D111" s="940" t="inlineStr">
        <is>
          <t>ICMS</t>
        </is>
      </c>
      <c r="E111" s="949">
        <f>E108*C98</f>
        <v/>
      </c>
    </row>
    <row r="112" ht="15.75" customHeight="1" s="1349"/>
    <row r="113" ht="15.75" customHeight="1" s="1349">
      <c r="C113" s="753" t="n"/>
    </row>
    <row r="114" ht="15.75" customHeight="1" s="1349">
      <c r="B114" s="930" t="inlineStr">
        <is>
          <t>Simulação difal</t>
        </is>
      </c>
      <c r="C114" s="1351" t="n"/>
      <c r="D114" s="952" t="inlineStr">
        <is>
          <t>OBS</t>
        </is>
      </c>
    </row>
    <row r="115" ht="15.75" customHeight="1" s="1349">
      <c r="B115" s="941" t="inlineStr">
        <is>
          <t>valor da nf TOTAL</t>
        </is>
      </c>
      <c r="C115" s="941" t="n">
        <v>75.78</v>
      </c>
      <c r="D115" s="953" t="n"/>
    </row>
    <row r="116" ht="15.75" customHeight="1" s="1349">
      <c r="B116" s="941" t="inlineStr">
        <is>
          <t>taxa interestadual</t>
        </is>
      </c>
      <c r="C116" s="954" t="n">
        <v>0.12</v>
      </c>
      <c r="D116" s="955" t="inlineStr">
        <is>
          <t>SP</t>
        </is>
      </c>
    </row>
    <row r="117" ht="15.75" customHeight="1" s="1349">
      <c r="B117" s="941" t="inlineStr">
        <is>
          <t>interna</t>
        </is>
      </c>
      <c r="C117" s="956" t="n">
        <v>0.195</v>
      </c>
      <c r="D117" s="955" t="inlineStr">
        <is>
          <t>AM</t>
        </is>
      </c>
    </row>
    <row r="118" ht="15.75" customHeight="1" s="1349">
      <c r="B118" s="941" t="inlineStr">
        <is>
          <t>diffal</t>
        </is>
      </c>
      <c r="C118" s="957">
        <f>C117-C116</f>
        <v/>
      </c>
      <c r="D118" s="958" t="n"/>
    </row>
    <row r="119" ht="15.75" customHeight="1" s="1349">
      <c r="B119" s="941" t="inlineStr">
        <is>
          <t>pis</t>
        </is>
      </c>
      <c r="C119" s="959">
        <f>(C115-C121)*C100</f>
        <v/>
      </c>
      <c r="D119" s="958" t="n"/>
    </row>
    <row r="120" ht="15.75" customHeight="1" s="1349">
      <c r="B120" s="941" t="inlineStr">
        <is>
          <t>cofins</t>
        </is>
      </c>
      <c r="C120" s="959">
        <f>(C115-C121)*C101</f>
        <v/>
      </c>
      <c r="D120" s="958" t="n"/>
    </row>
    <row r="121" ht="15.75" customHeight="1" s="1349">
      <c r="B121" s="941" t="inlineStr">
        <is>
          <t>origem</t>
        </is>
      </c>
      <c r="C121" s="960">
        <f>C115*C116</f>
        <v/>
      </c>
      <c r="D121" s="955" t="n"/>
    </row>
    <row r="122" ht="15.75" customHeight="1" s="1349">
      <c r="B122" s="941" t="inlineStr">
        <is>
          <t>destino</t>
        </is>
      </c>
      <c r="C122" s="960">
        <f>C115*C118</f>
        <v/>
      </c>
      <c r="D122" s="955" t="inlineStr">
        <is>
          <t>repartição para o estado de destino</t>
        </is>
      </c>
    </row>
    <row r="123" ht="15.75" customHeight="1" s="1349">
      <c r="B123" s="941" t="inlineStr">
        <is>
          <t>ICMS final</t>
        </is>
      </c>
      <c r="C123" s="961">
        <f>C122+C121</f>
        <v/>
      </c>
      <c r="D123" s="958" t="n"/>
    </row>
    <row r="124" ht="15.75" customHeight="1" s="1349">
      <c r="B124" s="941" t="inlineStr">
        <is>
          <t>total</t>
        </is>
      </c>
      <c r="C124" s="962">
        <f>C123+C120+C119</f>
        <v/>
      </c>
      <c r="D124" s="958" t="n"/>
    </row>
    <row r="125" ht="15.75" customHeight="1" s="1349">
      <c r="B125" s="963" t="n"/>
      <c r="C125" s="963" t="n"/>
      <c r="D125" s="958" t="n"/>
    </row>
    <row r="126" ht="15.75" customHeight="1" s="1349">
      <c r="B126" s="941" t="inlineStr">
        <is>
          <t>com desconto de credito</t>
        </is>
      </c>
      <c r="C126" s="964">
        <f>C124-K95</f>
        <v/>
      </c>
      <c r="D126" s="965" t="inlineStr">
        <is>
          <t>créditos da taxa do ec</t>
        </is>
      </c>
    </row>
    <row r="127" ht="15.75" customHeight="1" s="1349"/>
    <row r="128" ht="15.75" customHeight="1" s="1349">
      <c r="B128" s="941" t="inlineStr">
        <is>
          <t>quantidade</t>
        </is>
      </c>
      <c r="C128" s="941" t="n">
        <v>1</v>
      </c>
      <c r="D128" s="966" t="inlineStr">
        <is>
          <t>custo calculado</t>
        </is>
      </c>
      <c r="E128" s="967">
        <f>D95*C128</f>
        <v/>
      </c>
    </row>
    <row r="129" ht="15.75" customHeight="1" s="1349">
      <c r="B129" s="941" t="inlineStr">
        <is>
          <t>liquido</t>
        </is>
      </c>
      <c r="C129" s="968">
        <f>C115-(E129+C126+E108)</f>
        <v/>
      </c>
      <c r="D129" s="966" t="inlineStr">
        <is>
          <t>custo com crédito</t>
        </is>
      </c>
      <c r="E129" s="967">
        <f>E128-(L95*C128)</f>
        <v/>
      </c>
    </row>
    <row r="130" ht="15.75" customHeight="1" s="1349">
      <c r="B130" s="941" t="inlineStr">
        <is>
          <t>margem</t>
        </is>
      </c>
      <c r="C130" s="969">
        <f>C129/C115</f>
        <v/>
      </c>
    </row>
    <row r="131" ht="15.75" customHeight="1" s="1349"/>
    <row r="132" ht="15.75" customHeight="1" s="1349"/>
    <row r="133" ht="15.75" customHeight="1" s="1349"/>
    <row r="134" ht="15.75" customHeight="1" s="1349"/>
    <row r="135" ht="15.75" customHeight="1" s="1349"/>
    <row r="136" ht="15.75" customHeight="1" s="1349"/>
    <row r="137" ht="15.75" customHeight="1" s="1349"/>
    <row r="138" ht="15.75" customHeight="1" s="1349"/>
    <row r="139" ht="15.75" customHeight="1" s="1349"/>
    <row r="140" ht="15.75" customHeight="1" s="1349"/>
    <row r="141" ht="15.75" customHeight="1" s="1349"/>
    <row r="142" ht="15.75" customHeight="1" s="1349"/>
    <row r="143" ht="15.75" customHeight="1" s="1349"/>
    <row r="144" ht="15.75" customHeight="1" s="1349"/>
    <row r="145" ht="15.75" customHeight="1" s="1349"/>
    <row r="146" ht="15.75" customHeight="1" s="1349"/>
    <row r="147" ht="15.75" customHeight="1" s="1349"/>
    <row r="148" ht="15.75" customHeight="1" s="1349"/>
    <row r="149" ht="15.75" customHeight="1" s="1349"/>
    <row r="150" ht="15.75" customHeight="1" s="1349"/>
    <row r="151" ht="15.75" customHeight="1" s="1349"/>
    <row r="152" ht="15.75" customHeight="1" s="1349"/>
    <row r="153" ht="15.75" customHeight="1" s="1349"/>
    <row r="154" ht="15.75" customHeight="1" s="1349"/>
    <row r="155" ht="15.75" customHeight="1" s="1349"/>
    <row r="156" ht="15.75" customHeight="1" s="1349"/>
    <row r="157" ht="15.75" customHeight="1" s="1349"/>
    <row r="158" ht="15.75" customHeight="1" s="1349"/>
    <row r="159" ht="15.75" customHeight="1" s="1349"/>
    <row r="160" ht="15.75" customHeight="1" s="1349"/>
    <row r="161" ht="15.75" customHeight="1" s="1349"/>
    <row r="162" ht="15.75" customHeight="1" s="1349"/>
    <row r="163" ht="15.75" customHeight="1" s="1349"/>
    <row r="164" ht="15.75" customHeight="1" s="1349"/>
    <row r="165" ht="15.75" customHeight="1" s="1349"/>
    <row r="166" ht="15.75" customHeight="1" s="1349"/>
    <row r="167" ht="15.75" customHeight="1" s="1349"/>
    <row r="168" ht="15.75" customHeight="1" s="1349">
      <c r="B168" s="912" t="inlineStr">
        <is>
          <t>IPI</t>
        </is>
      </c>
      <c r="C168" s="975">
        <f>C127*C119</f>
        <v/>
      </c>
      <c r="E168" s="948" t="inlineStr">
        <is>
          <t>cofins</t>
        </is>
      </c>
      <c r="F168" s="947">
        <f>(F129+F130)*C121</f>
        <v/>
      </c>
    </row>
    <row r="169" ht="15.75" customHeight="1" s="1349">
      <c r="B169" s="911" t="inlineStr">
        <is>
          <t>PIS / COFFINS / ICMS (CE)</t>
        </is>
      </c>
      <c r="C169" s="976">
        <f>F132+F168+F169</f>
        <v/>
      </c>
      <c r="E169" s="940" t="inlineStr">
        <is>
          <t>ICMS</t>
        </is>
      </c>
      <c r="F169" s="949">
        <f>IF(F130&gt;6.75,F130*C118,0)</f>
        <v/>
      </c>
    </row>
    <row r="170" ht="15.75" customHeight="1" s="1349">
      <c r="B170" s="911" t="inlineStr">
        <is>
          <t>CRÉDITO</t>
        </is>
      </c>
      <c r="C170" s="977">
        <f>C129+C131+C132</f>
        <v/>
      </c>
    </row>
    <row r="171" ht="15.75" customHeight="1" s="1349">
      <c r="B171" s="912" t="inlineStr">
        <is>
          <t>CUSTO</t>
        </is>
      </c>
      <c r="C171" s="978">
        <f>C127+C168+C130</f>
        <v/>
      </c>
    </row>
    <row r="172" ht="15.75" customHeight="1" s="1349">
      <c r="B172" s="912" t="inlineStr">
        <is>
          <t>custo - créditos</t>
        </is>
      </c>
      <c r="C172" s="979">
        <f>C171-C170</f>
        <v/>
      </c>
    </row>
    <row r="173" ht="15.75" customHeight="1" s="1349"/>
    <row r="174" ht="15.75" customHeight="1" s="1349">
      <c r="B174" s="985" t="inlineStr">
        <is>
          <t>venda</t>
        </is>
      </c>
      <c r="C174" s="1352" t="n"/>
    </row>
    <row r="175" ht="15.75" customHeight="1" s="1349">
      <c r="B175" s="941" t="inlineStr">
        <is>
          <t>valor da nf TOTAL</t>
        </is>
      </c>
      <c r="C175" s="981" t="n">
        <v>210</v>
      </c>
    </row>
    <row r="176" ht="15.75" customHeight="1" s="1349">
      <c r="B176" s="941" t="inlineStr">
        <is>
          <t>taxa origem</t>
        </is>
      </c>
      <c r="C176" s="954" t="n">
        <v>0.07000000000000001</v>
      </c>
      <c r="D176" s="753" t="inlineStr">
        <is>
          <t>SP</t>
        </is>
      </c>
    </row>
    <row r="177" ht="15.75" customHeight="1" s="1349">
      <c r="B177" s="941" t="inlineStr">
        <is>
          <t>taxa interna</t>
        </is>
      </c>
      <c r="C177" s="956" t="n">
        <v>0.2</v>
      </c>
      <c r="D177" s="753" t="inlineStr">
        <is>
          <t>RS</t>
        </is>
      </c>
    </row>
    <row r="178" ht="15.75" customHeight="1" s="1349">
      <c r="B178" s="941" t="inlineStr">
        <is>
          <t>diffal</t>
        </is>
      </c>
      <c r="C178" s="982">
        <f>C177-C176</f>
        <v/>
      </c>
    </row>
    <row r="179" ht="15.75" customHeight="1" s="1349">
      <c r="B179" s="941" t="inlineStr">
        <is>
          <t>pis</t>
        </is>
      </c>
      <c r="C179" s="983">
        <f>C175*C120</f>
        <v/>
      </c>
    </row>
    <row r="180" ht="15.75" customHeight="1" s="1349">
      <c r="B180" s="941" t="inlineStr">
        <is>
          <t>cofins</t>
        </is>
      </c>
      <c r="C180" s="983">
        <f>C175*C121</f>
        <v/>
      </c>
    </row>
    <row r="181" ht="15.75" customHeight="1" s="1349">
      <c r="B181" s="941" t="inlineStr">
        <is>
          <t>origem</t>
        </is>
      </c>
      <c r="C181" s="984">
        <f>C175*C176</f>
        <v/>
      </c>
    </row>
    <row r="182" ht="15.75" customHeight="1" s="1349">
      <c r="B182" s="941" t="inlineStr">
        <is>
          <t>destino</t>
        </is>
      </c>
      <c r="C182" s="984">
        <f>C175*C178</f>
        <v/>
      </c>
      <c r="E182" s="985" t="inlineStr">
        <is>
          <t>LUCRO</t>
        </is>
      </c>
      <c r="F182" s="985" t="inlineStr">
        <is>
          <t>MARGEM</t>
        </is>
      </c>
    </row>
    <row r="183" ht="15.75" customHeight="1" s="1349">
      <c r="B183" s="941" t="inlineStr">
        <is>
          <t>ICMS final</t>
        </is>
      </c>
      <c r="C183" s="986">
        <f>C182+C181</f>
        <v/>
      </c>
      <c r="E183" s="960">
        <f>C175-C186-C171-F131</f>
        <v/>
      </c>
      <c r="F183" s="987">
        <f>E183/C175</f>
        <v/>
      </c>
    </row>
    <row r="184" ht="15.75" customHeight="1" s="1349">
      <c r="B184" s="941" t="inlineStr">
        <is>
          <t>total</t>
        </is>
      </c>
      <c r="C184" s="962">
        <f>C183+C180+C179</f>
        <v/>
      </c>
    </row>
    <row r="185" ht="15.75" customHeight="1" s="1349">
      <c r="B185" s="963" t="n"/>
      <c r="C185" s="963" t="n"/>
    </row>
    <row r="186" ht="15.75" customHeight="1" s="1349">
      <c r="B186" s="941" t="inlineStr">
        <is>
          <t>com desconto de credito</t>
        </is>
      </c>
      <c r="C186" s="964">
        <f>C184-(C169+C170)</f>
        <v/>
      </c>
    </row>
    <row r="187" ht="15.75" customHeight="1" s="1349"/>
    <row r="188" ht="15.75" customHeight="1" s="1349"/>
    <row r="189" ht="15.75" customHeight="1" s="1349"/>
    <row r="190" ht="15.75" customHeight="1" s="1349"/>
    <row r="191" ht="15.75" customHeight="1" s="1349"/>
    <row r="192" ht="15.75" customHeight="1" s="1349"/>
    <row r="193" ht="15.75" customHeight="1" s="1349"/>
    <row r="194" ht="15.75" customHeight="1" s="1349"/>
    <row r="195" ht="15.75" customHeight="1" s="1349"/>
    <row r="196" ht="15.75" customHeight="1" s="1349"/>
    <row r="197" ht="15.75" customHeight="1" s="1349"/>
    <row r="198" ht="15.75" customHeight="1" s="1349"/>
    <row r="199" ht="15.75" customHeight="1" s="1349"/>
    <row r="200" ht="15.75" customHeight="1" s="1349"/>
    <row r="201" ht="15.75" customHeight="1" s="1349"/>
    <row r="202" ht="15.75" customHeight="1" s="1349"/>
    <row r="203" ht="15.75" customHeight="1" s="1349"/>
    <row r="204" ht="15.75" customHeight="1" s="1349"/>
    <row r="205" ht="15.75" customHeight="1" s="1349"/>
    <row r="206" ht="15.75" customHeight="1" s="1349"/>
    <row r="207" ht="15.75" customHeight="1" s="1349"/>
    <row r="208" ht="15.75" customHeight="1" s="1349"/>
    <row r="209" ht="15.75" customHeight="1" s="1349"/>
    <row r="210" ht="15.75" customHeight="1" s="1349"/>
    <row r="211" ht="15.75" customHeight="1" s="1349"/>
    <row r="212" ht="15.75" customHeight="1" s="1349"/>
    <row r="213" ht="15.75" customHeight="1" s="1349"/>
    <row r="214" ht="15.75" customHeight="1" s="1349"/>
    <row r="215" ht="15.75" customHeight="1" s="1349"/>
    <row r="216" ht="15.75" customHeight="1" s="1349"/>
    <row r="217" ht="15.75" customHeight="1" s="1349"/>
    <row r="218" ht="15.75" customHeight="1" s="1349"/>
    <row r="219" ht="15.75" customHeight="1" s="1349"/>
    <row r="220" ht="15.75" customHeight="1" s="1349"/>
    <row r="221" ht="15.75" customHeight="1" s="1349"/>
    <row r="222" ht="15.75" customHeight="1" s="1349"/>
    <row r="223" ht="15.75" customHeight="1" s="1349"/>
    <row r="224" ht="15.75" customHeight="1" s="1349"/>
    <row r="225" ht="15.75" customHeight="1" s="1349"/>
    <row r="226" ht="15.75" customHeight="1" s="1349"/>
    <row r="227" ht="15.75" customHeight="1" s="1349"/>
    <row r="228" ht="15.75" customHeight="1" s="1349"/>
    <row r="229" ht="15.75" customHeight="1" s="1349"/>
    <row r="230" ht="15.75" customHeight="1" s="1349"/>
    <row r="231" ht="15.75" customHeight="1" s="1349"/>
    <row r="232" ht="15.75" customHeight="1" s="1349"/>
    <row r="233" ht="15.75" customHeight="1" s="1349"/>
    <row r="234" ht="15.75" customHeight="1" s="1349"/>
    <row r="235" ht="15.75" customHeight="1" s="1349"/>
    <row r="236" ht="15.75" customHeight="1" s="1349"/>
    <row r="237" ht="15.75" customHeight="1" s="1349"/>
    <row r="238" ht="15.75" customHeight="1" s="1349"/>
    <row r="239" ht="15.75" customHeight="1" s="1349"/>
    <row r="240" ht="15.75" customHeight="1" s="1349"/>
    <row r="241" ht="15.75" customHeight="1" s="1349"/>
    <row r="242" ht="15.75" customHeight="1" s="1349"/>
    <row r="243" ht="15.75" customHeight="1" s="1349"/>
    <row r="244" ht="15.75" customHeight="1" s="1349"/>
    <row r="245" ht="15.75" customHeight="1" s="1349"/>
    <row r="246" ht="15.75" customHeight="1" s="1349"/>
    <row r="247" ht="15.75" customHeight="1" s="1349"/>
    <row r="248" ht="15.75" customHeight="1" s="1349"/>
    <row r="249" ht="15.75" customHeight="1" s="1349"/>
    <row r="250" ht="15.75" customHeight="1" s="1349"/>
    <row r="251" ht="15.75" customHeight="1" s="1349"/>
    <row r="252" ht="15.75" customHeight="1" s="1349"/>
    <row r="253" ht="15.75" customHeight="1" s="1349"/>
    <row r="254" ht="15.75" customHeight="1" s="1349"/>
    <row r="255" ht="15.75" customHeight="1" s="1349"/>
    <row r="256" ht="15.75" customHeight="1" s="1349"/>
    <row r="257" ht="15.75" customHeight="1" s="1349"/>
    <row r="258" ht="15.75" customHeight="1" s="1349"/>
    <row r="259" ht="15.75" customHeight="1" s="1349"/>
    <row r="260" ht="15.75" customHeight="1" s="1349"/>
    <row r="261" ht="15.75" customHeight="1" s="1349"/>
    <row r="262" ht="15.75" customHeight="1" s="1349"/>
    <row r="263" ht="15.75" customHeight="1" s="1349"/>
    <row r="264" ht="15.75" customHeight="1" s="1349"/>
    <row r="265" ht="15.75" customHeight="1" s="1349"/>
    <row r="266" ht="15.75" customHeight="1" s="1349"/>
    <row r="267" ht="15.75" customHeight="1" s="1349"/>
    <row r="268" ht="15.75" customHeight="1" s="1349"/>
    <row r="269" ht="15.75" customHeight="1" s="1349"/>
    <row r="270" ht="15.75" customHeight="1" s="1349"/>
    <row r="271" ht="15.75" customHeight="1" s="1349"/>
    <row r="272" ht="15.75" customHeight="1" s="1349"/>
    <row r="273" ht="15.75" customHeight="1" s="1349"/>
    <row r="274" ht="15.75" customHeight="1" s="1349"/>
    <row r="275" ht="15.75" customHeight="1" s="1349"/>
    <row r="276" ht="15.75" customHeight="1" s="1349"/>
    <row r="277" ht="15.75" customHeight="1" s="1349"/>
    <row r="278" ht="15.75" customHeight="1" s="1349"/>
    <row r="279" ht="15.75" customHeight="1" s="1349"/>
    <row r="280" ht="15.75" customHeight="1" s="1349"/>
    <row r="281" ht="15.75" customHeight="1" s="1349"/>
    <row r="282" ht="15.75" customHeight="1" s="1349"/>
    <row r="283" ht="15.75" customHeight="1" s="1349"/>
    <row r="284" ht="15.75" customHeight="1" s="1349"/>
    <row r="285" ht="15.75" customHeight="1" s="1349"/>
    <row r="286" ht="15.75" customHeight="1" s="1349"/>
    <row r="287" ht="15.75" customHeight="1" s="1349"/>
    <row r="288" ht="15.75" customHeight="1" s="1349"/>
    <row r="289" ht="15.75" customHeight="1" s="1349"/>
    <row r="290" ht="15.75" customHeight="1" s="1349"/>
    <row r="291" ht="15.75" customHeight="1" s="1349"/>
    <row r="292" ht="15.75" customHeight="1" s="1349"/>
    <row r="293" ht="15.75" customHeight="1" s="1349"/>
    <row r="294" ht="15.75" customHeight="1" s="1349"/>
    <row r="295" ht="15.75" customHeight="1" s="1349"/>
    <row r="296" ht="15.75" customHeight="1" s="1349"/>
    <row r="297" ht="15.75" customHeight="1" s="1349"/>
    <row r="298" ht="15.75" customHeight="1" s="1349"/>
    <row r="299" ht="15.75" customHeight="1" s="1349"/>
    <row r="300" ht="15.75" customHeight="1" s="1349"/>
    <row r="301" ht="15.75" customHeight="1" s="1349"/>
    <row r="302" ht="15.75" customHeight="1" s="1349"/>
    <row r="303" ht="15.75" customHeight="1" s="1349"/>
    <row r="304" ht="15.75" customHeight="1" s="1349"/>
    <row r="305" ht="15.75" customHeight="1" s="1349"/>
    <row r="306" ht="15.75" customHeight="1" s="1349"/>
    <row r="307" ht="15.75" customHeight="1" s="1349"/>
    <row r="308" ht="15.75" customHeight="1" s="1349"/>
    <row r="309" ht="15.75" customHeight="1" s="1349"/>
    <row r="310" ht="15.75" customHeight="1" s="1349"/>
    <row r="311" ht="15.75" customHeight="1" s="1349"/>
    <row r="312" ht="15.75" customHeight="1" s="1349"/>
    <row r="313" ht="15.75" customHeight="1" s="1349"/>
    <row r="314" ht="15.75" customHeight="1" s="1349"/>
    <row r="315" ht="15.75" customHeight="1" s="1349"/>
    <row r="316" ht="15.75" customHeight="1" s="1349"/>
    <row r="317" ht="15.75" customHeight="1" s="1349"/>
    <row r="318" ht="15.75" customHeight="1" s="1349"/>
    <row r="319" ht="15.75" customHeight="1" s="1349"/>
    <row r="320" ht="15.75" customHeight="1" s="1349"/>
    <row r="321" ht="15.75" customHeight="1" s="1349"/>
    <row r="322" ht="15.75" customHeight="1" s="1349"/>
    <row r="323" ht="15.75" customHeight="1" s="1349"/>
    <row r="324" ht="15.75" customHeight="1" s="1349"/>
    <row r="325" ht="15.75" customHeight="1" s="1349"/>
    <row r="326" ht="15.75" customHeight="1" s="1349"/>
    <row r="327" ht="15.75" customHeight="1" s="1349"/>
    <row r="328" ht="15.75" customHeight="1" s="1349"/>
    <row r="329" ht="15.75" customHeight="1" s="1349"/>
    <row r="330" ht="15.75" customHeight="1" s="1349"/>
    <row r="331" ht="15.75" customHeight="1" s="1349"/>
    <row r="332" ht="15.75" customHeight="1" s="1349"/>
    <row r="333" ht="15.75" customHeight="1" s="1349"/>
    <row r="334" ht="15.75" customHeight="1" s="1349"/>
    <row r="335" ht="15.75" customHeight="1" s="1349"/>
    <row r="336" ht="15.75" customHeight="1" s="1349"/>
    <row r="337" ht="15.75" customHeight="1" s="1349"/>
    <row r="338" ht="15.75" customHeight="1" s="1349"/>
    <row r="339" ht="15.75" customHeight="1" s="1349"/>
    <row r="340" ht="15.75" customHeight="1" s="1349"/>
    <row r="341" ht="15.75" customHeight="1" s="1349"/>
    <row r="342" ht="15.75" customHeight="1" s="1349"/>
    <row r="343" ht="15.75" customHeight="1" s="1349"/>
    <row r="344" ht="15.75" customHeight="1" s="1349"/>
    <row r="345" ht="15.75" customHeight="1" s="1349"/>
    <row r="346" ht="15.75" customHeight="1" s="1349"/>
    <row r="347" ht="15.75" customHeight="1" s="1349"/>
    <row r="348" ht="15.75" customHeight="1" s="1349"/>
    <row r="349" ht="15.75" customHeight="1" s="1349"/>
    <row r="350" ht="15.75" customHeight="1" s="1349"/>
    <row r="351" ht="15.75" customHeight="1" s="1349"/>
    <row r="352" ht="15.75" customHeight="1" s="1349"/>
    <row r="353" ht="15.75" customHeight="1" s="1349"/>
    <row r="354" ht="15.75" customHeight="1" s="1349"/>
    <row r="355" ht="15.75" customHeight="1" s="1349"/>
    <row r="356" ht="15.75" customHeight="1" s="1349"/>
    <row r="357" ht="15.75" customHeight="1" s="1349"/>
    <row r="358" ht="15.75" customHeight="1" s="1349"/>
    <row r="359" ht="15.75" customHeight="1" s="1349"/>
    <row r="360" ht="15.75" customHeight="1" s="1349"/>
    <row r="361" ht="15.75" customHeight="1" s="1349"/>
    <row r="362" ht="15.75" customHeight="1" s="1349"/>
    <row r="363" ht="15.75" customHeight="1" s="1349"/>
    <row r="364" ht="15.75" customHeight="1" s="1349"/>
    <row r="365" ht="15.75" customHeight="1" s="1349"/>
    <row r="366" ht="15.75" customHeight="1" s="1349"/>
    <row r="367" ht="15.75" customHeight="1" s="1349"/>
    <row r="368" ht="15.75" customHeight="1" s="1349"/>
    <row r="369" ht="15.75" customHeight="1" s="1349"/>
    <row r="370" ht="15.75" customHeight="1" s="1349"/>
    <row r="371" ht="15.75" customHeight="1" s="1349"/>
    <row r="372" ht="15.75" customHeight="1" s="1349"/>
    <row r="373" ht="15.75" customHeight="1" s="1349"/>
    <row r="374" ht="15.75" customHeight="1" s="1349"/>
    <row r="375" ht="15.75" customHeight="1" s="1349"/>
    <row r="376" ht="15.75" customHeight="1" s="1349"/>
    <row r="377" ht="15.75" customHeight="1" s="1349"/>
    <row r="378" ht="15.75" customHeight="1" s="1349"/>
    <row r="379" ht="15.75" customHeight="1" s="1349"/>
    <row r="380" ht="15.75" customHeight="1" s="1349"/>
    <row r="381" ht="15.75" customHeight="1" s="1349"/>
    <row r="382" ht="15.75" customHeight="1" s="1349"/>
    <row r="383" ht="15.75" customHeight="1" s="1349"/>
    <row r="384" ht="15.75" customHeight="1" s="1349"/>
    <row r="385" ht="15.75" customHeight="1" s="1349"/>
    <row r="386" ht="15.75" customHeight="1" s="1349"/>
    <row r="387" ht="15.75" customHeight="1" s="1349"/>
    <row r="388" ht="15.75" customHeight="1" s="1349"/>
    <row r="389" ht="15.75" customHeight="1" s="1349"/>
    <row r="390" ht="15.75" customHeight="1" s="1349"/>
    <row r="391" ht="15.75" customHeight="1" s="1349"/>
    <row r="392" ht="15.75" customHeight="1" s="1349"/>
    <row r="393" ht="15.75" customHeight="1" s="1349"/>
    <row r="394" ht="15.75" customHeight="1" s="1349"/>
    <row r="395" ht="15.75" customHeight="1" s="1349"/>
    <row r="396" ht="15.75" customHeight="1" s="1349"/>
    <row r="397" ht="15.75" customHeight="1" s="1349"/>
    <row r="398" ht="15.75" customHeight="1" s="1349"/>
    <row r="399" ht="15.75" customHeight="1" s="1349"/>
    <row r="400" ht="15.75" customHeight="1" s="1349"/>
    <row r="401" ht="15.75" customHeight="1" s="1349"/>
    <row r="402" ht="15.75" customHeight="1" s="1349"/>
    <row r="403" ht="15.75" customHeight="1" s="1349"/>
    <row r="404" ht="15.75" customHeight="1" s="1349"/>
    <row r="405" ht="15.75" customHeight="1" s="1349"/>
    <row r="406" ht="15.75" customHeight="1" s="1349"/>
    <row r="407" ht="15.75" customHeight="1" s="1349"/>
    <row r="408" ht="15.75" customHeight="1" s="1349"/>
    <row r="409" ht="15.75" customHeight="1" s="1349"/>
    <row r="410" ht="15.75" customHeight="1" s="1349"/>
    <row r="411" ht="15.75" customHeight="1" s="1349"/>
    <row r="412" ht="15.75" customHeight="1" s="1349"/>
    <row r="413" ht="15.75" customHeight="1" s="1349"/>
    <row r="414" ht="15.75" customHeight="1" s="1349"/>
    <row r="415" ht="15.75" customHeight="1" s="1349"/>
    <row r="416" ht="15.75" customHeight="1" s="1349"/>
    <row r="417" ht="15.75" customHeight="1" s="1349"/>
    <row r="418" ht="15.75" customHeight="1" s="1349"/>
    <row r="419" ht="15.75" customHeight="1" s="1349"/>
    <row r="420" ht="15.75" customHeight="1" s="1349"/>
    <row r="421" ht="15.75" customHeight="1" s="1349"/>
    <row r="422" ht="15.75" customHeight="1" s="1349"/>
    <row r="423" ht="15.75" customHeight="1" s="1349"/>
    <row r="424" ht="15.75" customHeight="1" s="1349"/>
    <row r="425" ht="15.75" customHeight="1" s="1349"/>
    <row r="426" ht="15.75" customHeight="1" s="1349"/>
    <row r="427" ht="15.75" customHeight="1" s="1349"/>
    <row r="428" ht="15.75" customHeight="1" s="1349"/>
    <row r="429" ht="15.75" customHeight="1" s="1349"/>
    <row r="430" ht="15.75" customHeight="1" s="1349"/>
    <row r="431" ht="15.75" customHeight="1" s="1349"/>
    <row r="432" ht="15.75" customHeight="1" s="1349"/>
    <row r="433" ht="15.75" customHeight="1" s="1349"/>
    <row r="434" ht="15.75" customHeight="1" s="1349"/>
    <row r="435" ht="15.75" customHeight="1" s="1349"/>
    <row r="436" ht="15.75" customHeight="1" s="1349"/>
    <row r="437" ht="15.75" customHeight="1" s="1349"/>
    <row r="438" ht="15.75" customHeight="1" s="1349"/>
    <row r="439" ht="15.75" customHeight="1" s="1349"/>
    <row r="440" ht="15.75" customHeight="1" s="1349"/>
    <row r="441" ht="15.75" customHeight="1" s="1349"/>
    <row r="442" ht="15.75" customHeight="1" s="1349"/>
    <row r="443" ht="15.75" customHeight="1" s="1349"/>
    <row r="444" ht="15.75" customHeight="1" s="1349"/>
    <row r="445" ht="15.75" customHeight="1" s="1349"/>
    <row r="446" ht="15.75" customHeight="1" s="1349"/>
    <row r="447" ht="15.75" customHeight="1" s="1349"/>
    <row r="448" ht="15.75" customHeight="1" s="1349"/>
    <row r="449" ht="15.75" customHeight="1" s="1349"/>
    <row r="450" ht="15.75" customHeight="1" s="1349"/>
    <row r="451" ht="15.75" customHeight="1" s="1349"/>
    <row r="452" ht="15.75" customHeight="1" s="1349"/>
    <row r="453" ht="15.75" customHeight="1" s="1349"/>
    <row r="454" ht="15.75" customHeight="1" s="1349"/>
    <row r="455" ht="15.75" customHeight="1" s="1349"/>
    <row r="456" ht="15.75" customHeight="1" s="1349"/>
    <row r="457" ht="15.75" customHeight="1" s="1349"/>
    <row r="458" ht="15.75" customHeight="1" s="1349"/>
    <row r="459" ht="15.75" customHeight="1" s="1349"/>
    <row r="460" ht="15.75" customHeight="1" s="1349"/>
    <row r="461" ht="15.75" customHeight="1" s="1349"/>
    <row r="462" ht="15.75" customHeight="1" s="1349"/>
    <row r="463" ht="15.75" customHeight="1" s="1349"/>
    <row r="464" ht="15.75" customHeight="1" s="1349"/>
    <row r="465" ht="15.75" customHeight="1" s="1349"/>
    <row r="466" ht="15.75" customHeight="1" s="1349"/>
    <row r="467" ht="15.75" customHeight="1" s="1349"/>
    <row r="468" ht="15.75" customHeight="1" s="1349"/>
    <row r="469" ht="15.75" customHeight="1" s="1349"/>
    <row r="470" ht="15.75" customHeight="1" s="1349"/>
    <row r="471" ht="15.75" customHeight="1" s="1349"/>
    <row r="472" ht="15.75" customHeight="1" s="1349"/>
    <row r="473" ht="15.75" customHeight="1" s="1349"/>
    <row r="474" ht="15.75" customHeight="1" s="1349"/>
    <row r="475" ht="15.75" customHeight="1" s="1349"/>
    <row r="476" ht="15.75" customHeight="1" s="1349"/>
    <row r="477" ht="15.75" customHeight="1" s="1349"/>
    <row r="478" ht="15.75" customHeight="1" s="1349"/>
    <row r="479" ht="15.75" customHeight="1" s="1349"/>
    <row r="480" ht="15.75" customHeight="1" s="1349"/>
    <row r="481" ht="15.75" customHeight="1" s="1349"/>
    <row r="482" ht="15.75" customHeight="1" s="1349"/>
    <row r="483" ht="15.75" customHeight="1" s="1349"/>
    <row r="484" ht="15.75" customHeight="1" s="1349"/>
    <row r="485" ht="15.75" customHeight="1" s="1349"/>
    <row r="486" ht="15.75" customHeight="1" s="1349"/>
    <row r="487" ht="15.75" customHeight="1" s="1349"/>
    <row r="488" ht="15.75" customHeight="1" s="1349"/>
    <row r="489" ht="15.75" customHeight="1" s="1349"/>
    <row r="490" ht="15.75" customHeight="1" s="1349"/>
    <row r="491" ht="15.75" customHeight="1" s="1349"/>
    <row r="492" ht="15.75" customHeight="1" s="1349"/>
    <row r="493" ht="15.75" customHeight="1" s="1349"/>
    <row r="494" ht="15.75" customHeight="1" s="1349"/>
    <row r="495" ht="15.75" customHeight="1" s="1349"/>
    <row r="496" ht="15.75" customHeight="1" s="1349"/>
    <row r="497" ht="15.75" customHeight="1" s="1349"/>
    <row r="498" ht="15.75" customHeight="1" s="1349"/>
    <row r="499" ht="15.75" customHeight="1" s="1349"/>
    <row r="500" ht="15.75" customHeight="1" s="1349"/>
    <row r="501" ht="15.75" customHeight="1" s="1349"/>
    <row r="502" ht="15.75" customHeight="1" s="1349"/>
    <row r="503" ht="15.75" customHeight="1" s="1349"/>
    <row r="504" ht="15.75" customHeight="1" s="1349"/>
    <row r="505" ht="15.75" customHeight="1" s="1349"/>
    <row r="506" ht="15.75" customHeight="1" s="1349"/>
    <row r="507" ht="15.75" customHeight="1" s="1349"/>
    <row r="508" ht="15.75" customHeight="1" s="1349"/>
    <row r="509" ht="15.75" customHeight="1" s="1349"/>
    <row r="510" ht="15.75" customHeight="1" s="1349"/>
    <row r="511" ht="15.75" customHeight="1" s="1349"/>
    <row r="512" ht="15.75" customHeight="1" s="1349"/>
    <row r="513" ht="15.75" customHeight="1" s="1349"/>
    <row r="514" ht="15.75" customHeight="1" s="1349"/>
    <row r="515" ht="15.75" customHeight="1" s="1349"/>
    <row r="516" ht="15.75" customHeight="1" s="1349"/>
    <row r="517" ht="15.75" customHeight="1" s="1349"/>
    <row r="518" ht="15.75" customHeight="1" s="1349"/>
    <row r="519" ht="15.75" customHeight="1" s="1349"/>
    <row r="520" ht="15.75" customHeight="1" s="1349"/>
    <row r="521" ht="15.75" customHeight="1" s="1349"/>
    <row r="522" ht="15.75" customHeight="1" s="1349"/>
    <row r="523" ht="15.75" customHeight="1" s="1349"/>
    <row r="524" ht="15.75" customHeight="1" s="1349"/>
    <row r="525" ht="15.75" customHeight="1" s="1349"/>
    <row r="526" ht="15.75" customHeight="1" s="1349"/>
    <row r="527" ht="15.75" customHeight="1" s="1349"/>
    <row r="528" ht="15.75" customHeight="1" s="1349"/>
    <row r="529" ht="15.75" customHeight="1" s="1349"/>
    <row r="530" ht="15.75" customHeight="1" s="1349"/>
    <row r="531" ht="15.75" customHeight="1" s="1349"/>
    <row r="532" ht="15.75" customHeight="1" s="1349"/>
    <row r="533" ht="15.75" customHeight="1" s="1349"/>
    <row r="534" ht="15.75" customHeight="1" s="1349"/>
    <row r="535" ht="15.75" customHeight="1" s="1349"/>
    <row r="536" ht="15.75" customHeight="1" s="1349"/>
    <row r="537" ht="15.75" customHeight="1" s="1349"/>
    <row r="538" ht="15.75" customHeight="1" s="1349"/>
    <row r="539" ht="15.75" customHeight="1" s="1349"/>
    <row r="540" ht="15.75" customHeight="1" s="1349"/>
    <row r="541" ht="15.75" customHeight="1" s="1349"/>
    <row r="542" ht="15.75" customHeight="1" s="1349"/>
    <row r="543" ht="15.75" customHeight="1" s="1349"/>
    <row r="544" ht="15.75" customHeight="1" s="1349"/>
    <row r="545" ht="15.75" customHeight="1" s="1349"/>
    <row r="546" ht="15.75" customHeight="1" s="1349"/>
    <row r="547" ht="15.75" customHeight="1" s="1349"/>
    <row r="548" ht="15.75" customHeight="1" s="1349"/>
    <row r="549" ht="15.75" customHeight="1" s="1349"/>
    <row r="550" ht="15.75" customHeight="1" s="1349"/>
    <row r="551" ht="15.75" customHeight="1" s="1349"/>
    <row r="552" ht="15.75" customHeight="1" s="1349"/>
    <row r="553" ht="15.75" customHeight="1" s="1349"/>
    <row r="554" ht="15.75" customHeight="1" s="1349"/>
    <row r="555" ht="15.75" customHeight="1" s="1349"/>
    <row r="556" ht="15.75" customHeight="1" s="1349"/>
    <row r="557" ht="15.75" customHeight="1" s="1349"/>
    <row r="558" ht="15.75" customHeight="1" s="1349"/>
    <row r="559" ht="15.75" customHeight="1" s="1349"/>
    <row r="560" ht="15.75" customHeight="1" s="1349"/>
    <row r="561" ht="15.75" customHeight="1" s="1349"/>
    <row r="562" ht="15.75" customHeight="1" s="1349"/>
    <row r="563" ht="15.75" customHeight="1" s="1349"/>
    <row r="564" ht="15.75" customHeight="1" s="1349"/>
    <row r="565" ht="15.75" customHeight="1" s="1349"/>
    <row r="566" ht="15.75" customHeight="1" s="1349"/>
    <row r="567" ht="15.75" customHeight="1" s="1349"/>
    <row r="568" ht="15.75" customHeight="1" s="1349"/>
    <row r="569" ht="15.75" customHeight="1" s="1349"/>
    <row r="570" ht="15.75" customHeight="1" s="1349"/>
    <row r="571" ht="15.75" customHeight="1" s="1349"/>
    <row r="572" ht="15.75" customHeight="1" s="1349"/>
    <row r="573" ht="15.75" customHeight="1" s="1349"/>
    <row r="574" ht="15.75" customHeight="1" s="1349"/>
    <row r="575" ht="15.75" customHeight="1" s="1349"/>
    <row r="576" ht="15.75" customHeight="1" s="1349"/>
    <row r="577" ht="15.75" customHeight="1" s="1349"/>
    <row r="578" ht="15.75" customHeight="1" s="1349"/>
    <row r="579" ht="15.75" customHeight="1" s="1349"/>
    <row r="580" ht="15.75" customHeight="1" s="1349"/>
    <row r="581" ht="15.75" customHeight="1" s="1349"/>
    <row r="582" ht="15.75" customHeight="1" s="1349"/>
    <row r="583" ht="15.75" customHeight="1" s="1349"/>
    <row r="584" ht="15.75" customHeight="1" s="1349"/>
    <row r="585" ht="15.75" customHeight="1" s="1349"/>
    <row r="586" ht="15.75" customHeight="1" s="1349"/>
    <row r="587" ht="15.75" customHeight="1" s="1349"/>
    <row r="588" ht="15.75" customHeight="1" s="1349"/>
    <row r="589" ht="15.75" customHeight="1" s="1349"/>
    <row r="590" ht="15.75" customHeight="1" s="1349"/>
    <row r="591" ht="15.75" customHeight="1" s="1349"/>
    <row r="592" ht="15.75" customHeight="1" s="1349"/>
    <row r="593" ht="15.75" customHeight="1" s="1349"/>
    <row r="594" ht="15.75" customHeight="1" s="1349"/>
    <row r="595" ht="15.75" customHeight="1" s="1349"/>
    <row r="596" ht="15.75" customHeight="1" s="1349"/>
    <row r="597" ht="15.75" customHeight="1" s="1349"/>
    <row r="598" ht="15.75" customHeight="1" s="1349"/>
    <row r="599" ht="15.75" customHeight="1" s="1349"/>
    <row r="600" ht="15.75" customHeight="1" s="1349"/>
    <row r="601" ht="15.75" customHeight="1" s="1349"/>
    <row r="602" ht="15.75" customHeight="1" s="1349"/>
    <row r="603" ht="15.75" customHeight="1" s="1349"/>
    <row r="604" ht="15.75" customHeight="1" s="1349"/>
    <row r="605" ht="15.75" customHeight="1" s="1349"/>
    <row r="606" ht="15.75" customHeight="1" s="1349"/>
    <row r="607" ht="15.75" customHeight="1" s="1349"/>
    <row r="608" ht="15.75" customHeight="1" s="1349"/>
    <row r="609" ht="15.75" customHeight="1" s="1349"/>
    <row r="610" ht="15.75" customHeight="1" s="1349"/>
    <row r="611" ht="15.75" customHeight="1" s="1349"/>
    <row r="612" ht="15.75" customHeight="1" s="1349"/>
    <row r="613" ht="15.75" customHeight="1" s="1349"/>
    <row r="614" ht="15.75" customHeight="1" s="1349"/>
    <row r="615" ht="15.75" customHeight="1" s="1349"/>
    <row r="616" ht="15.75" customHeight="1" s="1349"/>
    <row r="617" ht="15.75" customHeight="1" s="1349"/>
    <row r="618" ht="15.75" customHeight="1" s="1349"/>
    <row r="619" ht="15.75" customHeight="1" s="1349"/>
    <row r="620" ht="15.75" customHeight="1" s="1349"/>
    <row r="621" ht="15.75" customHeight="1" s="1349"/>
    <row r="622" ht="15.75" customHeight="1" s="1349"/>
    <row r="623" ht="15.75" customHeight="1" s="1349"/>
    <row r="624" ht="15.75" customHeight="1" s="1349"/>
    <row r="625" ht="15.75" customHeight="1" s="1349"/>
    <row r="626" ht="15.75" customHeight="1" s="1349"/>
    <row r="627" ht="15.75" customHeight="1" s="1349"/>
    <row r="628" ht="15.75" customHeight="1" s="1349"/>
    <row r="629" ht="15.75" customHeight="1" s="1349"/>
    <row r="630" ht="15.75" customHeight="1" s="1349"/>
    <row r="631" ht="15.75" customHeight="1" s="1349"/>
    <row r="632" ht="15.75" customHeight="1" s="1349"/>
    <row r="633" ht="15.75" customHeight="1" s="1349"/>
    <row r="634" ht="15.75" customHeight="1" s="1349"/>
    <row r="635" ht="15.75" customHeight="1" s="1349"/>
    <row r="636" ht="15.75" customHeight="1" s="1349"/>
    <row r="637" ht="15.75" customHeight="1" s="1349"/>
    <row r="638" ht="15.75" customHeight="1" s="1349"/>
    <row r="639" ht="15.75" customHeight="1" s="1349"/>
    <row r="640" ht="15.75" customHeight="1" s="1349"/>
    <row r="641" ht="15.75" customHeight="1" s="1349"/>
    <row r="642" ht="15.75" customHeight="1" s="1349"/>
    <row r="643" ht="15.75" customHeight="1" s="1349"/>
    <row r="644" ht="15.75" customHeight="1" s="1349"/>
    <row r="645" ht="15.75" customHeight="1" s="1349"/>
    <row r="646" ht="15.75" customHeight="1" s="1349"/>
    <row r="647" ht="15.75" customHeight="1" s="1349"/>
    <row r="648" ht="15.75" customHeight="1" s="1349"/>
    <row r="649" ht="15.75" customHeight="1" s="1349"/>
    <row r="650" ht="15.75" customHeight="1" s="1349"/>
    <row r="651" ht="15.75" customHeight="1" s="1349"/>
    <row r="652" ht="15.75" customHeight="1" s="1349"/>
    <row r="653" ht="15.75" customHeight="1" s="1349"/>
    <row r="654" ht="15.75" customHeight="1" s="1349"/>
    <row r="655" ht="15.75" customHeight="1" s="1349"/>
    <row r="656" ht="15.75" customHeight="1" s="1349"/>
    <row r="657" ht="15.75" customHeight="1" s="1349"/>
    <row r="658" ht="15.75" customHeight="1" s="1349"/>
    <row r="659" ht="15.75" customHeight="1" s="1349"/>
    <row r="660" ht="15.75" customHeight="1" s="1349"/>
    <row r="661" ht="15.75" customHeight="1" s="1349"/>
    <row r="662" ht="15.75" customHeight="1" s="1349"/>
    <row r="663" ht="15.75" customHeight="1" s="1349"/>
    <row r="664" ht="15.75" customHeight="1" s="1349"/>
    <row r="665" ht="15.75" customHeight="1" s="1349"/>
    <row r="666" ht="15.75" customHeight="1" s="1349"/>
    <row r="667" ht="15.75" customHeight="1" s="1349"/>
    <row r="668" ht="15.75" customHeight="1" s="1349"/>
    <row r="669" ht="15.75" customHeight="1" s="1349"/>
    <row r="670" ht="15.75" customHeight="1" s="1349"/>
    <row r="671" ht="15.75" customHeight="1" s="1349"/>
    <row r="672" ht="15.75" customHeight="1" s="1349"/>
    <row r="673" ht="15.75" customHeight="1" s="1349"/>
    <row r="674" ht="15.75" customHeight="1" s="1349"/>
    <row r="675" ht="15.75" customHeight="1" s="1349"/>
    <row r="676" ht="15.75" customHeight="1" s="1349"/>
    <row r="677" ht="15.75" customHeight="1" s="1349"/>
    <row r="678" ht="15.75" customHeight="1" s="1349"/>
    <row r="679" ht="15.75" customHeight="1" s="1349"/>
    <row r="680" ht="15.75" customHeight="1" s="1349"/>
    <row r="681" ht="15.75" customHeight="1" s="1349"/>
    <row r="682" ht="15.75" customHeight="1" s="1349"/>
    <row r="683" ht="15.75" customHeight="1" s="1349"/>
    <row r="684" ht="15.75" customHeight="1" s="1349"/>
    <row r="685" ht="15.75" customHeight="1" s="1349"/>
    <row r="686" ht="15.75" customHeight="1" s="1349"/>
    <row r="687" ht="15.75" customHeight="1" s="1349"/>
    <row r="688" ht="15.75" customHeight="1" s="1349"/>
    <row r="689" ht="15.75" customHeight="1" s="1349"/>
    <row r="690" ht="15.75" customHeight="1" s="1349"/>
    <row r="691" ht="15.75" customHeight="1" s="1349"/>
    <row r="692" ht="15.75" customHeight="1" s="1349"/>
    <row r="693" ht="15.75" customHeight="1" s="1349"/>
    <row r="694" ht="15.75" customHeight="1" s="1349"/>
    <row r="695" ht="15.75" customHeight="1" s="1349"/>
    <row r="696" ht="15.75" customHeight="1" s="1349"/>
    <row r="697" ht="15.75" customHeight="1" s="1349"/>
    <row r="698" ht="15.75" customHeight="1" s="1349"/>
    <row r="699" ht="15.75" customHeight="1" s="1349"/>
    <row r="700" ht="15.75" customHeight="1" s="1349"/>
    <row r="701" ht="15.75" customHeight="1" s="1349"/>
    <row r="702" ht="15.75" customHeight="1" s="1349"/>
    <row r="703" ht="15.75" customHeight="1" s="1349"/>
    <row r="704" ht="15.75" customHeight="1" s="1349"/>
    <row r="705" ht="15.75" customHeight="1" s="1349"/>
    <row r="706" ht="15.75" customHeight="1" s="1349"/>
    <row r="707" ht="15.75" customHeight="1" s="1349"/>
    <row r="708" ht="15.75" customHeight="1" s="1349"/>
    <row r="709" ht="15.75" customHeight="1" s="1349"/>
    <row r="710" ht="15.75" customHeight="1" s="1349"/>
    <row r="711" ht="15.75" customHeight="1" s="1349"/>
    <row r="712" ht="15.75" customHeight="1" s="1349"/>
    <row r="713" ht="15.75" customHeight="1" s="1349"/>
    <row r="714" ht="15.75" customHeight="1" s="1349"/>
    <row r="715" ht="15.75" customHeight="1" s="1349"/>
    <row r="716" ht="15.75" customHeight="1" s="1349"/>
    <row r="717" ht="15.75" customHeight="1" s="1349"/>
    <row r="718" ht="15.75" customHeight="1" s="1349"/>
    <row r="719" ht="15.75" customHeight="1" s="1349"/>
    <row r="720" ht="15.75" customHeight="1" s="1349"/>
    <row r="721" ht="15.75" customHeight="1" s="1349"/>
    <row r="722" ht="15.75" customHeight="1" s="1349"/>
    <row r="723" ht="15.75" customHeight="1" s="1349"/>
    <row r="724" ht="15.75" customHeight="1" s="1349"/>
    <row r="725" ht="15.75" customHeight="1" s="1349"/>
    <row r="726" ht="15.75" customHeight="1" s="1349"/>
    <row r="727" ht="15.75" customHeight="1" s="1349"/>
    <row r="728" ht="15.75" customHeight="1" s="1349"/>
    <row r="729" ht="15.75" customHeight="1" s="1349"/>
    <row r="730" ht="15.75" customHeight="1" s="1349"/>
    <row r="731" ht="15.75" customHeight="1" s="1349"/>
    <row r="732" ht="15.75" customHeight="1" s="1349"/>
    <row r="733" ht="15.75" customHeight="1" s="1349"/>
    <row r="734" ht="15.75" customHeight="1" s="1349"/>
    <row r="735" ht="15.75" customHeight="1" s="1349"/>
    <row r="736" ht="15.75" customHeight="1" s="1349"/>
    <row r="737" ht="15.75" customHeight="1" s="1349"/>
    <row r="738" ht="15.75" customHeight="1" s="1349"/>
    <row r="739" ht="15.75" customHeight="1" s="1349"/>
    <row r="740" ht="15.75" customHeight="1" s="1349"/>
    <row r="741" ht="15.75" customHeight="1" s="1349"/>
    <row r="742" ht="15.75" customHeight="1" s="1349"/>
    <row r="743" ht="15.75" customHeight="1" s="1349"/>
    <row r="744" ht="15.75" customHeight="1" s="1349"/>
    <row r="745" ht="15.75" customHeight="1" s="1349"/>
    <row r="746" ht="15.75" customHeight="1" s="1349"/>
    <row r="747" ht="15.75" customHeight="1" s="1349"/>
    <row r="748" ht="15.75" customHeight="1" s="1349"/>
    <row r="749" ht="15.75" customHeight="1" s="1349"/>
    <row r="750" ht="15.75" customHeight="1" s="1349"/>
    <row r="751" ht="15.75" customHeight="1" s="1349"/>
    <row r="752" ht="15.75" customHeight="1" s="1349"/>
    <row r="753" ht="15.75" customHeight="1" s="1349"/>
    <row r="754" ht="15.75" customHeight="1" s="1349"/>
    <row r="755" ht="15.75" customHeight="1" s="1349"/>
    <row r="756" ht="15.75" customHeight="1" s="1349"/>
    <row r="757" ht="15.75" customHeight="1" s="1349"/>
    <row r="758" ht="15.75" customHeight="1" s="1349"/>
    <row r="759" ht="15.75" customHeight="1" s="1349"/>
    <row r="760" ht="15.75" customHeight="1" s="1349"/>
    <row r="761" ht="15.75" customHeight="1" s="1349"/>
    <row r="762" ht="15.75" customHeight="1" s="1349"/>
    <row r="763" ht="15.75" customHeight="1" s="1349"/>
    <row r="764" ht="15.75" customHeight="1" s="1349"/>
    <row r="765" ht="15.75" customHeight="1" s="1349"/>
    <row r="766" ht="15.75" customHeight="1" s="1349"/>
    <row r="767" ht="15.75" customHeight="1" s="1349"/>
    <row r="768" ht="15.75" customHeight="1" s="1349"/>
    <row r="769" ht="15.75" customHeight="1" s="1349"/>
    <row r="770" ht="15.75" customHeight="1" s="1349"/>
    <row r="771" ht="15.75" customHeight="1" s="1349"/>
    <row r="772" ht="15.75" customHeight="1" s="1349"/>
    <row r="773" ht="15.75" customHeight="1" s="1349"/>
    <row r="774" ht="15.75" customHeight="1" s="1349"/>
    <row r="775" ht="15.75" customHeight="1" s="1349"/>
    <row r="776" ht="15.75" customHeight="1" s="1349"/>
    <row r="777" ht="15.75" customHeight="1" s="1349"/>
    <row r="778" ht="15.75" customHeight="1" s="1349"/>
    <row r="779" ht="15.75" customHeight="1" s="1349"/>
    <row r="780" ht="15.75" customHeight="1" s="1349"/>
    <row r="781" ht="15.75" customHeight="1" s="1349"/>
    <row r="782" ht="15.75" customHeight="1" s="1349"/>
    <row r="783" ht="15.75" customHeight="1" s="1349"/>
    <row r="784" ht="15.75" customHeight="1" s="1349"/>
    <row r="785" ht="15.75" customHeight="1" s="1349"/>
    <row r="786" ht="15.75" customHeight="1" s="1349"/>
    <row r="787" ht="15.75" customHeight="1" s="1349"/>
    <row r="788" ht="15.75" customHeight="1" s="1349"/>
    <row r="789" ht="15.75" customHeight="1" s="1349"/>
    <row r="790" ht="15.75" customHeight="1" s="1349"/>
    <row r="791" ht="15.75" customHeight="1" s="1349"/>
    <row r="792" ht="15.75" customHeight="1" s="1349"/>
    <row r="793" ht="15.75" customHeight="1" s="1349"/>
    <row r="794" ht="15.75" customHeight="1" s="1349"/>
    <row r="795" ht="15.75" customHeight="1" s="1349"/>
    <row r="796" ht="15.75" customHeight="1" s="1349"/>
    <row r="797" ht="15.75" customHeight="1" s="1349"/>
    <row r="798" ht="15.75" customHeight="1" s="1349"/>
    <row r="799" ht="15.75" customHeight="1" s="1349"/>
    <row r="800" ht="15.75" customHeight="1" s="1349"/>
    <row r="801" ht="15.75" customHeight="1" s="1349"/>
    <row r="802" ht="15.75" customHeight="1" s="1349"/>
    <row r="803" ht="15.75" customHeight="1" s="1349"/>
    <row r="804" ht="15.75" customHeight="1" s="1349"/>
    <row r="805" ht="15.75" customHeight="1" s="1349"/>
    <row r="806" ht="15.75" customHeight="1" s="1349"/>
    <row r="807" ht="15.75" customHeight="1" s="1349"/>
    <row r="808" ht="15.75" customHeight="1" s="1349"/>
    <row r="809" ht="15.75" customHeight="1" s="1349"/>
    <row r="810" ht="15.75" customHeight="1" s="1349"/>
    <row r="811" ht="15.75" customHeight="1" s="1349"/>
    <row r="812" ht="15.75" customHeight="1" s="1349"/>
    <row r="813" ht="15.75" customHeight="1" s="1349"/>
    <row r="814" ht="15.75" customHeight="1" s="1349"/>
    <row r="815" ht="15.75" customHeight="1" s="1349"/>
    <row r="816" ht="15.75" customHeight="1" s="1349"/>
    <row r="817" ht="15.75" customHeight="1" s="1349"/>
    <row r="818" ht="15.75" customHeight="1" s="1349"/>
    <row r="819" ht="15.75" customHeight="1" s="1349"/>
    <row r="820" ht="15.75" customHeight="1" s="1349"/>
    <row r="821" ht="15.75" customHeight="1" s="1349"/>
    <row r="822" ht="15.75" customHeight="1" s="1349"/>
    <row r="823" ht="15.75" customHeight="1" s="1349"/>
    <row r="824" ht="15.75" customHeight="1" s="1349"/>
    <row r="825" ht="15.75" customHeight="1" s="1349"/>
    <row r="826" ht="15.75" customHeight="1" s="1349"/>
    <row r="827" ht="15.75" customHeight="1" s="1349"/>
    <row r="828" ht="15.75" customHeight="1" s="1349"/>
    <row r="829" ht="15.75" customHeight="1" s="1349"/>
    <row r="830" ht="15.75" customHeight="1" s="1349"/>
    <row r="831" ht="15.75" customHeight="1" s="1349"/>
    <row r="832" ht="15.75" customHeight="1" s="1349"/>
    <row r="833" ht="15.75" customHeight="1" s="1349"/>
    <row r="834" ht="15.75" customHeight="1" s="1349"/>
    <row r="835" ht="15.75" customHeight="1" s="1349"/>
    <row r="836" ht="15.75" customHeight="1" s="1349"/>
    <row r="837" ht="15.75" customHeight="1" s="1349"/>
    <row r="838" ht="15.75" customHeight="1" s="1349"/>
    <row r="839" ht="15.75" customHeight="1" s="1349"/>
    <row r="840" ht="15.75" customHeight="1" s="1349"/>
    <row r="841" ht="15.75" customHeight="1" s="1349"/>
    <row r="842" ht="15.75" customHeight="1" s="1349"/>
    <row r="843" ht="15.75" customHeight="1" s="1349"/>
    <row r="844" ht="15.75" customHeight="1" s="1349"/>
    <row r="845" ht="15.75" customHeight="1" s="1349"/>
    <row r="846" ht="15.75" customHeight="1" s="1349"/>
    <row r="847" ht="15.75" customHeight="1" s="1349"/>
    <row r="848" ht="15.75" customHeight="1" s="1349"/>
    <row r="849" ht="15.75" customHeight="1" s="1349"/>
    <row r="850" ht="15.75" customHeight="1" s="1349"/>
    <row r="851" ht="15.75" customHeight="1" s="1349"/>
    <row r="852" ht="15.75" customHeight="1" s="1349"/>
    <row r="853" ht="15.75" customHeight="1" s="1349"/>
    <row r="854" ht="15.75" customHeight="1" s="1349"/>
    <row r="855" ht="15.75" customHeight="1" s="1349"/>
    <row r="856" ht="15.75" customHeight="1" s="1349"/>
    <row r="857" ht="15.75" customHeight="1" s="1349"/>
    <row r="858" ht="15.75" customHeight="1" s="1349"/>
    <row r="859" ht="15.75" customHeight="1" s="1349"/>
    <row r="860" ht="15.75" customHeight="1" s="1349"/>
    <row r="861" ht="15.75" customHeight="1" s="1349"/>
    <row r="862" ht="15.75" customHeight="1" s="1349"/>
    <row r="863" ht="15.75" customHeight="1" s="1349"/>
    <row r="864" ht="15.75" customHeight="1" s="1349"/>
    <row r="865" ht="15.75" customHeight="1" s="1349"/>
    <row r="866" ht="15.75" customHeight="1" s="1349"/>
    <row r="867" ht="15.75" customHeight="1" s="1349"/>
    <row r="868" ht="15.75" customHeight="1" s="1349"/>
    <row r="869" ht="15.75" customHeight="1" s="1349"/>
    <row r="870" ht="15.75" customHeight="1" s="1349"/>
    <row r="871" ht="15.75" customHeight="1" s="1349"/>
    <row r="872" ht="15.75" customHeight="1" s="1349"/>
    <row r="873" ht="15.75" customHeight="1" s="1349"/>
    <row r="874" ht="15.75" customHeight="1" s="1349"/>
    <row r="875" ht="15.75" customHeight="1" s="1349"/>
    <row r="876" ht="15.75" customHeight="1" s="1349"/>
    <row r="877" ht="15.75" customHeight="1" s="1349"/>
    <row r="878" ht="15.75" customHeight="1" s="1349"/>
    <row r="879" ht="15.75" customHeight="1" s="1349"/>
    <row r="880" ht="15.75" customHeight="1" s="1349"/>
    <row r="881" ht="15.75" customHeight="1" s="1349"/>
    <row r="882" ht="15.75" customHeight="1" s="1349"/>
    <row r="883" ht="15.75" customHeight="1" s="1349"/>
    <row r="884" ht="15.75" customHeight="1" s="1349"/>
    <row r="885" ht="15.75" customHeight="1" s="1349"/>
    <row r="886" ht="15.75" customHeight="1" s="1349"/>
    <row r="887" ht="15.75" customHeight="1" s="1349"/>
    <row r="888" ht="15.75" customHeight="1" s="1349"/>
    <row r="889" ht="15.75" customHeight="1" s="1349"/>
    <row r="890" ht="15.75" customHeight="1" s="1349"/>
    <row r="891" ht="15.75" customHeight="1" s="1349"/>
    <row r="892" ht="15.75" customHeight="1" s="1349"/>
    <row r="893" ht="15.75" customHeight="1" s="1349"/>
    <row r="894" ht="15.75" customHeight="1" s="1349"/>
    <row r="895" ht="15.75" customHeight="1" s="1349"/>
    <row r="896" ht="15.75" customHeight="1" s="1349"/>
    <row r="897" ht="15.75" customHeight="1" s="1349"/>
    <row r="898" ht="15.75" customHeight="1" s="1349"/>
    <row r="899" ht="15.75" customHeight="1" s="1349"/>
    <row r="900" ht="15.75" customHeight="1" s="1349"/>
    <row r="901" ht="15.75" customHeight="1" s="1349"/>
    <row r="902" ht="15.75" customHeight="1" s="1349"/>
    <row r="903" ht="15.75" customHeight="1" s="1349"/>
    <row r="904" ht="15.75" customHeight="1" s="1349"/>
    <row r="905" ht="15.75" customHeight="1" s="1349"/>
    <row r="906" ht="15.75" customHeight="1" s="1349"/>
    <row r="907" ht="15.75" customHeight="1" s="1349"/>
    <row r="908" ht="15.75" customHeight="1" s="1349"/>
    <row r="909" ht="15.75" customHeight="1" s="1349"/>
    <row r="910" ht="15.75" customHeight="1" s="1349"/>
    <row r="911" ht="15.75" customHeight="1" s="1349"/>
    <row r="912" ht="15.75" customHeight="1" s="1349"/>
    <row r="913" ht="15.75" customHeight="1" s="1349"/>
    <row r="914" ht="15.75" customHeight="1" s="1349"/>
    <row r="915" ht="15.75" customHeight="1" s="1349"/>
  </sheetData>
  <mergeCells count="19">
    <mergeCell ref="B97:C97"/>
    <mergeCell ref="B7:C7"/>
    <mergeCell ref="B66:C66"/>
    <mergeCell ref="B18:C18"/>
    <mergeCell ref="B45:N45"/>
    <mergeCell ref="D49:E49"/>
    <mergeCell ref="B60:C60"/>
    <mergeCell ref="D97:E97"/>
    <mergeCell ref="B3:N3"/>
    <mergeCell ref="G51:O51"/>
    <mergeCell ref="D7:E7"/>
    <mergeCell ref="B93:N93"/>
    <mergeCell ref="G99:O99"/>
    <mergeCell ref="B174:C174"/>
    <mergeCell ref="G9:O9"/>
    <mergeCell ref="B108:C108"/>
    <mergeCell ref="B49:C49"/>
    <mergeCell ref="B24:C24"/>
    <mergeCell ref="B114:C114"/>
  </mergeCells>
  <pageMargins left="0.511811024" right="0.511811024" top="0.787401575" bottom="0.7874015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/>
    <pageSetUpPr/>
  </sheetPr>
  <dimension ref="A1:AU98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 outlineLevelRow="1"/>
  <cols>
    <col width="8.779999999999999" customWidth="1" style="1349" min="1" max="1"/>
    <col width="33.89" customWidth="1" style="1349" min="2" max="2"/>
    <col hidden="1" width="8.56" customWidth="1" style="1349" min="3" max="3"/>
    <col width="9.890000000000001" customWidth="1" style="1349" min="4" max="4"/>
    <col width="6.44" customWidth="1" style="1349" min="5" max="5"/>
    <col width="6" customWidth="1" style="1349" min="6" max="6"/>
    <col width="9" customWidth="1" style="1349" min="7" max="7"/>
    <col width="10.11" customWidth="1" style="1349" min="8" max="8"/>
    <col width="9.44" customWidth="1" style="1349" min="9" max="9"/>
    <col width="11.44" customWidth="1" style="1349" min="10" max="10"/>
    <col width="10.44" customWidth="1" style="1349" min="11" max="11"/>
    <col width="12.56" customWidth="1" style="1349" min="12" max="12"/>
    <col width="12.78" customWidth="1" style="1349" min="13" max="13"/>
    <col hidden="1" width="18" customWidth="1" style="1349" min="14" max="14"/>
    <col width="18" customWidth="1" style="1349" min="15" max="15"/>
    <col width="9.56" customWidth="1" style="1349" min="16" max="16"/>
    <col width="10.33" customWidth="1" style="1349" min="17" max="17"/>
    <col width="9.109999999999999" customWidth="1" style="1349" min="18" max="18"/>
    <col width="10.33" customWidth="1" style="1349" min="19" max="19"/>
    <col width="11" customWidth="1" style="1349" min="20" max="47"/>
  </cols>
  <sheetData>
    <row r="1" ht="24.75" customHeight="1" s="1349">
      <c r="A1" s="988" t="inlineStr">
        <is>
          <t>SKU</t>
        </is>
      </c>
      <c r="B1" s="3" t="inlineStr">
        <is>
          <t>Produto</t>
        </is>
      </c>
      <c r="C1" s="6" t="inlineStr">
        <is>
          <t>Valor Base</t>
        </is>
      </c>
      <c r="D1" s="4" t="inlineStr">
        <is>
          <t>Valor de Venda (PROMO)</t>
        </is>
      </c>
      <c r="E1" s="6" t="inlineStr">
        <is>
          <t>Cupom</t>
        </is>
      </c>
      <c r="F1" s="6" t="inlineStr">
        <is>
          <t>qnt</t>
        </is>
      </c>
      <c r="G1" s="6" t="inlineStr">
        <is>
          <t>taxa de comissão</t>
        </is>
      </c>
      <c r="H1" s="4" t="inlineStr">
        <is>
          <t>Taxa Comissão</t>
        </is>
      </c>
      <c r="I1" s="4" t="inlineStr">
        <is>
          <t>taxa de transação</t>
        </is>
      </c>
      <c r="J1" s="6" t="inlineStr">
        <is>
          <t>taxa adicional</t>
        </is>
      </c>
      <c r="K1" s="989" t="inlineStr">
        <is>
          <t>ICMS 18%</t>
        </is>
      </c>
      <c r="L1" s="989" t="inlineStr">
        <is>
          <t>PIS 1,65%</t>
        </is>
      </c>
      <c r="M1" s="990" t="inlineStr">
        <is>
          <t>COFINS 7,6%</t>
        </is>
      </c>
      <c r="N1" s="6" t="inlineStr">
        <is>
          <t>Crédito Comissão</t>
        </is>
      </c>
      <c r="O1" s="6" t="inlineStr">
        <is>
          <t>Crédito Compra</t>
        </is>
      </c>
      <c r="P1" s="4" t="inlineStr">
        <is>
          <t>Custo</t>
        </is>
      </c>
      <c r="Q1" s="4" t="inlineStr">
        <is>
          <t>Lucro Líquido (Valor)</t>
        </is>
      </c>
      <c r="R1" s="4" t="inlineStr">
        <is>
          <t>Lucro Líquido (%)</t>
        </is>
      </c>
      <c r="S1" s="1030" t="inlineStr">
        <is>
          <t>OBS</t>
        </is>
      </c>
      <c r="T1" s="1030" t="inlineStr">
        <is>
          <t>Coluna 1</t>
        </is>
      </c>
    </row>
    <row r="2" ht="24.75" customHeight="1" s="1349">
      <c r="A2" s="1108" t="n">
        <v>10034034166357</v>
      </c>
      <c r="B2" s="992" t="inlineStr">
        <is>
          <t>Kit 10 Luva Mucambo Pro 157 Latex Antiderrapante Reforçada 10un</t>
        </is>
      </c>
      <c r="C2" s="993" t="n">
        <v>99</v>
      </c>
      <c r="D2" s="1132" t="n">
        <v>95.90000000000001</v>
      </c>
      <c r="E2" s="1061" t="n">
        <v>0.01</v>
      </c>
      <c r="F2" s="1132" t="n">
        <v>10</v>
      </c>
      <c r="G2" s="1113" t="n">
        <v>0.14</v>
      </c>
      <c r="H2" s="999" t="n">
        <v>13.426</v>
      </c>
      <c r="I2" s="999" t="n">
        <v>16</v>
      </c>
      <c r="J2" s="999">
        <f>D2*(1-E2) * (3.5%)</f>
        <v/>
      </c>
      <c r="K2" s="1220">
        <f>D2*(1-E2)*18%</f>
        <v/>
      </c>
      <c r="L2" s="1220">
        <f>((D2*(1-E2))-K2)*1.65%</f>
        <v/>
      </c>
      <c r="M2" s="1220">
        <f>((D2*(1-E2))-K2)*7.6%</f>
        <v/>
      </c>
      <c r="N2" s="1221">
        <f>(H2+I2+J2)*9.25% + (H2+I2)*12%</f>
        <v/>
      </c>
      <c r="O2" s="715" t="n">
        <v>0.93</v>
      </c>
      <c r="P2" s="708" t="n">
        <v>4.64</v>
      </c>
      <c r="Q2" s="1024">
        <f>(D2*(1-E2)+(F2* O2)+N2)-(H2+I2+J2+K2+L2+M2+(P2*F2))</f>
        <v/>
      </c>
      <c r="R2" s="1002">
        <f>Q2/(D2*(1-E2))</f>
        <v/>
      </c>
      <c r="S2" s="1189" t="n"/>
      <c r="T2" s="1030" t="n"/>
    </row>
    <row r="3" ht="24.75" customHeight="1" s="1349">
      <c r="A3" s="1108" t="n">
        <v>10034034166357</v>
      </c>
      <c r="B3" s="992" t="inlineStr">
        <is>
          <t>1UN Luva Mucambo Pro 157 Latex Antiderrapante Reforçada</t>
        </is>
      </c>
      <c r="C3" s="993" t="n">
        <v>99</v>
      </c>
      <c r="D3" s="1132" t="n">
        <v>19.2</v>
      </c>
      <c r="E3" s="1061" t="n">
        <v>0.01</v>
      </c>
      <c r="F3" s="1132" t="n">
        <v>1</v>
      </c>
      <c r="G3" s="1113" t="n">
        <v>0.2</v>
      </c>
      <c r="H3" s="999" t="n">
        <v>3.84</v>
      </c>
      <c r="I3" s="999" t="n">
        <v>4</v>
      </c>
      <c r="J3" s="999">
        <f>D3*(1-E3) * (3.5%)</f>
        <v/>
      </c>
      <c r="K3" s="1220">
        <f>D3*(1-E3)*18%</f>
        <v/>
      </c>
      <c r="L3" s="1220">
        <f>((D3*(1-E3))-K3)*1.65%</f>
        <v/>
      </c>
      <c r="M3" s="1220">
        <f>((D3*(1-E3))-K3)*7.6%</f>
        <v/>
      </c>
      <c r="N3" s="1221">
        <f>(H3+I3+J3)*9.25% + (H3+I3)*12%</f>
        <v/>
      </c>
      <c r="O3" s="715" t="n">
        <v>0.93</v>
      </c>
      <c r="P3" s="708" t="n">
        <v>4.64</v>
      </c>
      <c r="Q3" s="1024">
        <f>(D3*(1-E3)+(F3* O3)+N3)-(H3+I3+J3+K3+L3+M3+(P3*F3))</f>
        <v/>
      </c>
      <c r="R3" s="1002">
        <f>Q3/(D3*(1-E3))</f>
        <v/>
      </c>
      <c r="S3" s="1189" t="n"/>
      <c r="T3" s="1030" t="n"/>
    </row>
    <row r="4" ht="24.75" customHeight="1" s="1349">
      <c r="A4" s="1108" t="n">
        <v>912307</v>
      </c>
      <c r="B4" s="1004" t="inlineStr">
        <is>
          <t>Refil Sabonete Liquido Desengraxante Esfoliante Nutriex Citric Power 4lt</t>
        </is>
      </c>
      <c r="C4" s="1005" t="n">
        <v>150</v>
      </c>
      <c r="D4" s="1132" t="n">
        <v>129.9</v>
      </c>
      <c r="E4" s="1015" t="n">
        <v>0.01</v>
      </c>
      <c r="F4" s="1132" t="n">
        <v>1</v>
      </c>
      <c r="G4" s="1113" t="n">
        <v>0.14</v>
      </c>
      <c r="H4" s="1016" t="n">
        <v>18.186</v>
      </c>
      <c r="I4" s="1018" t="n">
        <v>20</v>
      </c>
      <c r="J4" s="1018">
        <f>D4*(1-E4) * (3.5%)</f>
        <v/>
      </c>
      <c r="K4" s="1016">
        <f>D4*(1-E4)*18%</f>
        <v/>
      </c>
      <c r="L4" s="1016">
        <f>((D4*(1-E4))-K4)*1.65%</f>
        <v/>
      </c>
      <c r="M4" s="1016">
        <f>((D4*(1-E4))-K4)*7.6%</f>
        <v/>
      </c>
      <c r="N4" s="1010">
        <f>(H4+I4+J4)*9.25% + (H4+I4)*12%</f>
        <v/>
      </c>
      <c r="O4" s="715" t="n">
        <v>13.7</v>
      </c>
      <c r="P4" s="708" t="n">
        <v>68</v>
      </c>
      <c r="Q4" s="1016">
        <f>(D4*(1-E4)+(F4* O4)+N4)-(H4+I4+J4+K4+L4+M4+(P4*F4))</f>
        <v/>
      </c>
      <c r="R4" s="1019">
        <f>Q4/(D4*(1-E4))</f>
        <v/>
      </c>
      <c r="S4" s="1189" t="n"/>
      <c r="T4" s="1030" t="n"/>
    </row>
    <row r="5" ht="24.75" customHeight="1" s="1349">
      <c r="A5" s="1108" t="n">
        <v>10034034166280</v>
      </c>
      <c r="B5" s="1004" t="inlineStr">
        <is>
          <t xml:space="preserve"> Repelente Contra Borrachudo Pernilongo Nutriex Expert Total 200ml Proteção Até 10hr</t>
        </is>
      </c>
      <c r="C5" s="1132" t="n">
        <v>29</v>
      </c>
      <c r="D5" s="1132" t="n">
        <v>25</v>
      </c>
      <c r="E5" s="1015" t="n">
        <v>0.01</v>
      </c>
      <c r="F5" s="1132" t="n">
        <v>1</v>
      </c>
      <c r="G5" s="1113" t="n">
        <v>0.2</v>
      </c>
      <c r="H5" s="1016" t="n">
        <v>5</v>
      </c>
      <c r="I5" s="1018" t="n">
        <v>4</v>
      </c>
      <c r="J5" s="1018">
        <f>D5*(1-E5) * (3.5%)</f>
        <v/>
      </c>
      <c r="K5" s="1016">
        <f>D5*(1-E5)*18%</f>
        <v/>
      </c>
      <c r="L5" s="1016">
        <f>((D5*(1-E5))-K5)*1.65%</f>
        <v/>
      </c>
      <c r="M5" s="1016">
        <f>((D5*(1-E5))-K5)*7.6%</f>
        <v/>
      </c>
      <c r="N5" s="1010">
        <f>(H5+I5+J5)*9.25% + (H5+I5)*12%</f>
        <v/>
      </c>
      <c r="O5" s="1097" t="n">
        <v>1.81</v>
      </c>
      <c r="P5" s="701" t="n">
        <v>9</v>
      </c>
      <c r="Q5" s="1016">
        <f>(D5*(1-E5)+(F5* O5)+N5)-(H5+I5+J5+K5+L5+M5+(P5*F5))</f>
        <v/>
      </c>
      <c r="R5" s="1019">
        <f>Q5/(D5*(1-E5))</f>
        <v/>
      </c>
      <c r="S5" s="1189" t="n"/>
      <c r="T5" s="1030" t="n"/>
    </row>
    <row r="6" ht="24.75" customHeight="1" s="1349">
      <c r="A6" s="1108" t="n">
        <v>10034034166280</v>
      </c>
      <c r="B6" s="1004" t="inlineStr">
        <is>
          <t xml:space="preserve"> Repelente Contra Borrachudo Pernilongo Nutriex Expert Total 200ml Proteção Até 10hr</t>
        </is>
      </c>
      <c r="C6" s="1132" t="n">
        <v>72</v>
      </c>
      <c r="D6" s="1132" t="n">
        <v>71.28</v>
      </c>
      <c r="E6" s="1015" t="n">
        <v>0.01</v>
      </c>
      <c r="F6" s="1132" t="n">
        <v>4</v>
      </c>
      <c r="G6" s="1113" t="n">
        <v>0.2</v>
      </c>
      <c r="H6" s="1016" t="n">
        <v>14.256</v>
      </c>
      <c r="I6" s="1018" t="n">
        <v>4</v>
      </c>
      <c r="J6" s="1018">
        <f>D6*(1-E6) * (3.5%)</f>
        <v/>
      </c>
      <c r="K6" s="1016">
        <f>D6*(1-E6)*18%</f>
        <v/>
      </c>
      <c r="L6" s="1016">
        <f>((D6*(1-E6))-K6)*1.65%</f>
        <v/>
      </c>
      <c r="M6" s="1016">
        <f>((D6*(1-E6))-K6)*7.6%</f>
        <v/>
      </c>
      <c r="N6" s="1010">
        <f>(H6+I6+J6)*9.25% + (H6+I6)*12%</f>
        <v/>
      </c>
      <c r="O6" s="1097" t="n">
        <v>1.81</v>
      </c>
      <c r="P6" s="701" t="n">
        <v>9</v>
      </c>
      <c r="Q6" s="1016">
        <f>(D6*(1-E6)+(F6* O6)+N6)-(H6+I6+J6+K6+L6+M6+(P6*F6))</f>
        <v/>
      </c>
      <c r="R6" s="1019">
        <f>Q6/(D6*(1-E6))</f>
        <v/>
      </c>
      <c r="S6" s="1189" t="n"/>
      <c r="T6" s="1030" t="n"/>
    </row>
    <row r="7" ht="24.75" customHeight="1" s="1349">
      <c r="A7" s="1108" t="n">
        <v>10034034166410</v>
      </c>
      <c r="B7" s="1020" t="inlineStr">
        <is>
          <t>Prego de Aço Polido com Cabeça 18x27 p/ Madeira 1kg</t>
        </is>
      </c>
      <c r="C7" s="993" t="n">
        <v>35</v>
      </c>
      <c r="D7" s="1132" t="n">
        <v>29.9</v>
      </c>
      <c r="E7" s="1015" t="n">
        <v>0.01</v>
      </c>
      <c r="F7" s="1132" t="n">
        <v>1</v>
      </c>
      <c r="G7" s="1113" t="n">
        <v>0.2</v>
      </c>
      <c r="H7" s="1016" t="n">
        <v>5.98</v>
      </c>
      <c r="I7" s="1018" t="n">
        <v>4</v>
      </c>
      <c r="J7" s="1018">
        <f>D7*(1-E7) * (3.5%)</f>
        <v/>
      </c>
      <c r="K7" s="1016">
        <f>D7*(1-E7)*18%</f>
        <v/>
      </c>
      <c r="L7" s="1016">
        <f>((D7*(1-E7))-K7)*1.65%</f>
        <v/>
      </c>
      <c r="M7" s="1016">
        <f>((D7*(1-E7))-K7)*7.6%</f>
        <v/>
      </c>
      <c r="N7" s="1010">
        <f>(H7+I7+J7)*9.25% + (H7+I7)*12%</f>
        <v/>
      </c>
      <c r="O7" s="1097" t="n">
        <v>1.36</v>
      </c>
      <c r="P7" s="708" t="n">
        <v>16.38</v>
      </c>
      <c r="Q7" s="1016">
        <f>(D7*(1-E7)+(F7* O7)+N7)-(H7+I7+J7+K7+L7+M7+(P7*F7))</f>
        <v/>
      </c>
      <c r="R7" s="1019">
        <f>Q7/(D7*(1-E7))</f>
        <v/>
      </c>
      <c r="S7" s="1189" t="n"/>
      <c r="T7" s="1030" t="n"/>
    </row>
    <row r="8" ht="24.75" customHeight="1" s="1349">
      <c r="A8" s="1108" t="n">
        <v>10034034166409</v>
      </c>
      <c r="B8" s="1020" t="inlineStr">
        <is>
          <t>Prego 18x27 Com Cabeça Dupla Aço Polido Resistente Saco 1kg</t>
        </is>
      </c>
      <c r="C8" s="1136" t="n">
        <v>50</v>
      </c>
      <c r="D8" s="1132" t="n">
        <v>25.9</v>
      </c>
      <c r="E8" s="1015" t="n">
        <v>0.01</v>
      </c>
      <c r="F8" s="1132" t="n">
        <v>1</v>
      </c>
      <c r="G8" s="1113" t="n">
        <v>0.2</v>
      </c>
      <c r="H8" s="1016" t="n">
        <v>5.18</v>
      </c>
      <c r="I8" s="1018" t="n">
        <v>4</v>
      </c>
      <c r="J8" s="1018">
        <f>D8*(1-E8) * (3.5%)</f>
        <v/>
      </c>
      <c r="K8" s="1016">
        <f>D8*(1-E8)*18%</f>
        <v/>
      </c>
      <c r="L8" s="1016">
        <f>((D8*(1-E8))-K8)*1.65%</f>
        <v/>
      </c>
      <c r="M8" s="1016">
        <f>((D8*(1-E8))-K8)*7.6%</f>
        <v/>
      </c>
      <c r="N8" s="1010">
        <f>(H8+I8+J8)*9.25% + (H8+I8)*12%</f>
        <v/>
      </c>
      <c r="O8" s="1097" t="n">
        <v>1.17</v>
      </c>
      <c r="P8" s="708" t="n">
        <v>13.5</v>
      </c>
      <c r="Q8" s="1016">
        <f>(D8*(1-E8)+(F8* O8)+N8)-(H8+I8+J8+K8+L8+M8+(P8*F8))</f>
        <v/>
      </c>
      <c r="R8" s="1019">
        <f>Q8/(D8*(1-E8))</f>
        <v/>
      </c>
      <c r="S8" s="1189" t="n"/>
      <c r="T8" s="1030" t="n"/>
    </row>
    <row r="9" ht="24.75" customHeight="1" s="1349">
      <c r="A9" s="1108" t="n">
        <v>10034034166304</v>
      </c>
      <c r="B9" s="992" t="inlineStr">
        <is>
          <t>Parafuso Drywall Gesso Ponta Agulha Gn25 Walsywa 1000un</t>
        </is>
      </c>
      <c r="C9" s="993" t="n">
        <v>60</v>
      </c>
      <c r="D9" s="1132" t="n">
        <v>47.9</v>
      </c>
      <c r="E9" s="1015" t="n">
        <v>0.01</v>
      </c>
      <c r="F9" s="1132" t="n">
        <v>1</v>
      </c>
      <c r="G9" s="1113" t="n">
        <v>0.2</v>
      </c>
      <c r="H9" s="1016" t="n">
        <v>9.58</v>
      </c>
      <c r="I9" s="1018" t="n">
        <v>4</v>
      </c>
      <c r="J9" s="1018">
        <f>D9*(1-E9) * (3.5%)</f>
        <v/>
      </c>
      <c r="K9" s="1016">
        <f>D9*(1-E9)*18%</f>
        <v/>
      </c>
      <c r="L9" s="1016">
        <f>((D9*(1-E9))-K9)*1.65%</f>
        <v/>
      </c>
      <c r="M9" s="1016">
        <f>((D9*(1-E9))-K9)*7.6%</f>
        <v/>
      </c>
      <c r="N9" s="1010">
        <f>(H9+I9+J9)*9.25% + (H9+I9)*12%</f>
        <v/>
      </c>
      <c r="O9" s="577">
        <f>0.0026*1000</f>
        <v/>
      </c>
      <c r="P9" s="708">
        <f>0.021*1000</f>
        <v/>
      </c>
      <c r="Q9" s="1016">
        <f>(D9*(1-E9)+(F9* O9)+N9)-(H9+I9+J9+K9+L9+M9+(P9*F9))</f>
        <v/>
      </c>
      <c r="R9" s="1019">
        <f>Q9/(D9*(1-E9))</f>
        <v/>
      </c>
      <c r="S9" s="1189" t="n"/>
      <c r="T9" s="1030" t="n"/>
    </row>
    <row r="10" ht="24.75" customHeight="1" s="1349">
      <c r="A10" s="1108" t="n">
        <v>912306</v>
      </c>
      <c r="B10" s="1213" t="inlineStr">
        <is>
          <t>Kit 1UN Spray Repelente Longa Duração 4 Horas Proteção Praia Refrescante Sem Óleo 100ml</t>
        </is>
      </c>
      <c r="C10" s="1213" t="n"/>
      <c r="D10" s="1132" t="n">
        <v>19</v>
      </c>
      <c r="E10" s="1061" t="n">
        <v>0.01</v>
      </c>
      <c r="F10" s="1132" t="n">
        <v>1</v>
      </c>
      <c r="G10" s="1113" t="n">
        <v>0.2</v>
      </c>
      <c r="H10" s="1024" t="n">
        <v>3.8</v>
      </c>
      <c r="I10" s="999" t="n">
        <v>4</v>
      </c>
      <c r="J10" s="999">
        <f>D10*(1-E10) * (3.5%)</f>
        <v/>
      </c>
      <c r="K10" s="1220">
        <f>D10*(1-E10)*18%</f>
        <v/>
      </c>
      <c r="L10" s="1220">
        <f>((D10*(1-E10))-K10)*1.65%</f>
        <v/>
      </c>
      <c r="M10" s="1220">
        <f>((D10*(1-E10))-K10)*7.6%</f>
        <v/>
      </c>
      <c r="N10" s="1221">
        <f>(H10+I10+J10)*9.25% + (H10+I10)*12%</f>
        <v/>
      </c>
      <c r="O10" s="715" t="n">
        <v>0.96</v>
      </c>
      <c r="P10" s="701" t="n">
        <v>4.76</v>
      </c>
      <c r="Q10" s="1024">
        <f>(D10*(1-E10)+(F10* O10)+N10)-(H10+I10+J10+K10+L10+M10+(P10*F10))</f>
        <v/>
      </c>
      <c r="R10" s="1002">
        <f>Q10/(D10*(1-E10))</f>
        <v/>
      </c>
      <c r="S10" s="1189" t="n"/>
      <c r="T10" s="1030" t="n"/>
    </row>
    <row r="11" outlineLevel="1" ht="24.75" customHeight="1" s="1349">
      <c r="A11" s="1108" t="n">
        <v>10034034168016</v>
      </c>
      <c r="B11" s="1213" t="inlineStr">
        <is>
          <t>Kit 2UN Spray Repelente Longa Duração 4 Horas Proteção Praia Refrescante Sem Óleo 100ml</t>
        </is>
      </c>
      <c r="C11" s="1213" t="n"/>
      <c r="D11" s="1132" t="n">
        <v>39.2</v>
      </c>
      <c r="E11" s="1061" t="n">
        <v>0.01</v>
      </c>
      <c r="F11" s="1132" t="n">
        <v>2</v>
      </c>
      <c r="G11" s="1113" t="n">
        <v>0.2</v>
      </c>
      <c r="H11" s="999" t="n">
        <v>5.134</v>
      </c>
      <c r="I11" s="999" t="n">
        <v>4</v>
      </c>
      <c r="J11" s="999">
        <f>D11*(1-E11) * (3.5%)</f>
        <v/>
      </c>
      <c r="K11" s="1220">
        <f>D11*(1-E11)*18%</f>
        <v/>
      </c>
      <c r="L11" s="1220">
        <f>((D11*(1-E11))-K11)*1.65%</f>
        <v/>
      </c>
      <c r="M11" s="1220">
        <f>((D11*(1-E11))-K11)*7.6%</f>
        <v/>
      </c>
      <c r="N11" s="1221">
        <f>(H11+I11+J11)*9.25% + (H11+I11)*12%</f>
        <v/>
      </c>
      <c r="O11" s="715" t="n">
        <v>0.96</v>
      </c>
      <c r="P11" s="701" t="n">
        <v>9</v>
      </c>
      <c r="Q11" s="1024">
        <f>(D11*(1-E11)+(F11* O11)+N11)-(H11+I11+J11+K11+L11+M11+(P11*F11))</f>
        <v/>
      </c>
      <c r="R11" s="1002">
        <f>Q11/(D11*(1-E11))</f>
        <v/>
      </c>
      <c r="S11" s="1189" t="n"/>
      <c r="T11" s="1030" t="n"/>
    </row>
    <row r="12" outlineLevel="1" ht="24.75" customHeight="1" s="1349">
      <c r="A12" s="1108" t="n">
        <v>10034034166369</v>
      </c>
      <c r="B12" s="1213" t="inlineStr">
        <is>
          <t>Kit 4UN Spray Repelente Longa Duração 4 Horas Proteção Praia Refrescante Sem Óleo 100ml</t>
        </is>
      </c>
      <c r="C12" s="1213" t="n"/>
      <c r="D12" s="1132" t="n">
        <v>76.2</v>
      </c>
      <c r="E12" s="1061" t="n">
        <v>0.01</v>
      </c>
      <c r="F12" s="1132" t="n">
        <v>4</v>
      </c>
      <c r="G12" s="1113" t="n">
        <v>0.2</v>
      </c>
      <c r="H12" s="1024" t="n">
        <v>11.554</v>
      </c>
      <c r="I12" s="999" t="n">
        <v>4</v>
      </c>
      <c r="J12" s="999">
        <f>D12*(1-E12) * (3.5%)</f>
        <v/>
      </c>
      <c r="K12" s="1220">
        <f>D12*(1-E12)*18%</f>
        <v/>
      </c>
      <c r="L12" s="1220">
        <f>((D12*(1-E12))-K12)*1.65%</f>
        <v/>
      </c>
      <c r="M12" s="1220">
        <f>((D12*(1-E12))-K12)*7.6%</f>
        <v/>
      </c>
      <c r="N12" s="1221">
        <f>(H12+I12+J12)*9.25% + (H12+I12)*12%</f>
        <v/>
      </c>
      <c r="O12" s="715" t="n">
        <v>0.96</v>
      </c>
      <c r="P12" s="701" t="n">
        <v>9</v>
      </c>
      <c r="Q12" s="1024">
        <f>(D12*(1-E12)+(F12* O12)+N12)-(H12+I12+J12+K12+L12+M12+(P12*F12))</f>
        <v/>
      </c>
      <c r="R12" s="1002">
        <f>Q12/(D12*(1-E12))</f>
        <v/>
      </c>
      <c r="S12" s="1189" t="n"/>
      <c r="T12" s="1030" t="n"/>
    </row>
    <row r="13" ht="24.75" customHeight="1" s="1349">
      <c r="A13" s="1108" t="inlineStr">
        <is>
          <t>XC22S</t>
        </is>
      </c>
      <c r="B13" s="1025" t="inlineStr">
        <is>
          <t>Fincapino Calibre 22 Gesso Concreto Ponta Vermelha 100un</t>
        </is>
      </c>
      <c r="C13" s="1026" t="n"/>
      <c r="D13" s="1132" t="n">
        <v>64.98999999999999</v>
      </c>
      <c r="E13" s="1061" t="n">
        <v>0.01</v>
      </c>
      <c r="F13" s="1132" t="n">
        <v>1</v>
      </c>
      <c r="G13" s="1113" t="n">
        <v>0.2</v>
      </c>
      <c r="H13" s="1024" t="n">
        <v>12.998</v>
      </c>
      <c r="I13" s="999" t="n">
        <v>4</v>
      </c>
      <c r="J13" s="999">
        <f>D13*(1-E13) * (3.5%)</f>
        <v/>
      </c>
      <c r="K13" s="1220">
        <f>D13*(1-E13)*18%</f>
        <v/>
      </c>
      <c r="L13" s="1220">
        <f>((D13*(1-E13))-K13)*1.65%</f>
        <v/>
      </c>
      <c r="M13" s="1220">
        <f>((D13*(1-E13))-K13)*7.6%</f>
        <v/>
      </c>
      <c r="N13" s="1221">
        <f>(H13+I13+J13)*9.25% + (H13+I13)*12%</f>
        <v/>
      </c>
      <c r="O13" s="715" t="n">
        <v>3.7</v>
      </c>
      <c r="P13" s="708" t="n">
        <v>29.76</v>
      </c>
      <c r="Q13" s="1024">
        <f>(D13*(1-E13)+(F13* O13)+N13)-(H13+I13+J13+K13+L13+M13+(P13*F13))</f>
        <v/>
      </c>
      <c r="R13" s="1002">
        <f>Q13/(D13*(1-E13))</f>
        <v/>
      </c>
      <c r="S13" s="1189" t="n"/>
      <c r="T13" s="1030" t="n"/>
    </row>
    <row r="14" ht="24.75" customHeight="1" s="1349">
      <c r="A14" s="1108" t="n">
        <v>10034034168514</v>
      </c>
      <c r="B14" s="1136" t="inlineStr">
        <is>
          <t xml:space="preserve">Kit 20 peças Fincapino Calibre 22 </t>
        </is>
      </c>
      <c r="C14" s="1026" t="n"/>
      <c r="D14" s="1132" t="n">
        <v>19.8</v>
      </c>
      <c r="E14" s="1061" t="n">
        <v>0.01</v>
      </c>
      <c r="F14" s="1132" t="n">
        <v>1</v>
      </c>
      <c r="G14" s="1113" t="n">
        <v>0.2</v>
      </c>
      <c r="H14" s="1024" t="n">
        <v>3.96</v>
      </c>
      <c r="I14" s="999" t="n">
        <v>4</v>
      </c>
      <c r="J14" s="999">
        <f>D14*(1-E14) * (3.5%)</f>
        <v/>
      </c>
      <c r="K14" s="1220">
        <f>D14*(1-E14)*18%</f>
        <v/>
      </c>
      <c r="L14" s="1220">
        <f>((D14*(1-E14))-K14)*1.65%</f>
        <v/>
      </c>
      <c r="M14" s="1220">
        <f>((D14*(1-E14))-K14)*7.6%</f>
        <v/>
      </c>
      <c r="N14" s="1221">
        <f>(H14+I14+J14)*9.25% + (H14+I14)*12%</f>
        <v/>
      </c>
      <c r="O14" s="715" t="n">
        <v>1.43</v>
      </c>
      <c r="P14" s="708" t="n">
        <v>5.59</v>
      </c>
      <c r="Q14" s="1024">
        <f>(D14*(1-E14)+(F14* O14)+N14)-(H14+I14+J14+K14+L14+M14+(P14*F14))</f>
        <v/>
      </c>
      <c r="R14" s="1002">
        <f>Q14/(D14*(1-E14))</f>
        <v/>
      </c>
      <c r="S14" s="1189" t="n"/>
      <c r="T14" s="1030" t="n"/>
    </row>
    <row r="15" ht="24.75" customHeight="1" s="1349">
      <c r="A15" s="1108" t="n">
        <v>10034034168515</v>
      </c>
      <c r="B15" s="1136" t="inlineStr">
        <is>
          <t xml:space="preserve">Kit 30 peças Fincapino Calibre 22 </t>
        </is>
      </c>
      <c r="C15" s="1026" t="n"/>
      <c r="D15" s="1132" t="n">
        <v>25</v>
      </c>
      <c r="E15" s="1061" t="n">
        <v>0.01</v>
      </c>
      <c r="F15" s="1132" t="n">
        <v>1</v>
      </c>
      <c r="G15" s="1113" t="n">
        <v>0.2</v>
      </c>
      <c r="H15" s="1024" t="n">
        <v>5</v>
      </c>
      <c r="I15" s="999" t="n">
        <v>4</v>
      </c>
      <c r="J15" s="999">
        <f>D15*(1-E15) * (3.5%)</f>
        <v/>
      </c>
      <c r="K15" s="1220">
        <f>D15*(1-E15)*18%</f>
        <v/>
      </c>
      <c r="L15" s="1220">
        <f>((D15*(1-E15))-K15)*1.65%</f>
        <v/>
      </c>
      <c r="M15" s="1220">
        <f>((D15*(1-E15))-K15)*7.6%</f>
        <v/>
      </c>
      <c r="N15" s="1221">
        <f>(H15+I15+J15)*9.25% + (H15+I15)*12%</f>
        <v/>
      </c>
      <c r="O15" s="715" t="n">
        <v>2.15</v>
      </c>
      <c r="P15" s="708" t="n">
        <v>8.390000000000001</v>
      </c>
      <c r="Q15" s="1024">
        <f>(D15*(1-E15)+(F15* O15)+N15)-(H15+I15+J15+K15+L15+M15+(P15*F15))</f>
        <v/>
      </c>
      <c r="R15" s="1002">
        <f>Q15/(D15*(1-E15))</f>
        <v/>
      </c>
      <c r="S15" s="1189" t="n"/>
      <c r="T15" s="1030" t="n"/>
    </row>
    <row r="16" ht="24.75" customHeight="1" s="1349">
      <c r="A16" s="1108" t="n">
        <v>7897637126066</v>
      </c>
      <c r="B16" s="1136" t="inlineStr">
        <is>
          <t xml:space="preserve">Kit 40 peças Fincapino Calibre 22 </t>
        </is>
      </c>
      <c r="C16" s="1026" t="n"/>
      <c r="D16" s="1132" t="n">
        <v>35</v>
      </c>
      <c r="E16" s="1061" t="n">
        <v>0.01</v>
      </c>
      <c r="F16" s="1132" t="n">
        <v>1</v>
      </c>
      <c r="G16" s="1113" t="n">
        <v>0.2</v>
      </c>
      <c r="H16" s="1024" t="n">
        <v>7</v>
      </c>
      <c r="I16" s="999" t="n">
        <v>4</v>
      </c>
      <c r="J16" s="999">
        <f>D16*(1-E16) * (3.5%)</f>
        <v/>
      </c>
      <c r="K16" s="1220">
        <f>D16*(1-E16)*18%</f>
        <v/>
      </c>
      <c r="L16" s="1220">
        <f>((D16*(1-E16))-K16)*1.65%</f>
        <v/>
      </c>
      <c r="M16" s="1220">
        <f>((D16*(1-E16))-K16)*7.6%</f>
        <v/>
      </c>
      <c r="N16" s="1221">
        <f>(H16+I16+J16)*9.25% + (H16+I16)*12%</f>
        <v/>
      </c>
      <c r="O16" s="715" t="n">
        <v>2.86</v>
      </c>
      <c r="P16" s="708" t="n">
        <v>11.18</v>
      </c>
      <c r="Q16" s="1024">
        <f>(D16*(1-E16)+(F16* O16)+N16)-(H16+I16+J16+K16+L16+M16+(P16*F16))</f>
        <v/>
      </c>
      <c r="R16" s="1002">
        <f>Q16/(D16*(1-E16))</f>
        <v/>
      </c>
      <c r="S16" s="1189" t="n"/>
      <c r="T16" s="1030" t="n"/>
    </row>
    <row r="17" ht="24.75" customHeight="1" s="1349">
      <c r="A17" s="1108" t="n">
        <v>10034034168517</v>
      </c>
      <c r="B17" s="1136" t="inlineStr">
        <is>
          <t xml:space="preserve">Kit 50 peças Fincapino Calibre 22 </t>
        </is>
      </c>
      <c r="C17" s="1026" t="n"/>
      <c r="D17" s="1132" t="n">
        <v>45</v>
      </c>
      <c r="E17" s="1061" t="n">
        <v>0.01</v>
      </c>
      <c r="F17" s="1132" t="n">
        <v>1</v>
      </c>
      <c r="G17" s="1113" t="n">
        <v>0.2</v>
      </c>
      <c r="H17" s="1024" t="n">
        <v>9</v>
      </c>
      <c r="I17" s="999" t="n">
        <v>4</v>
      </c>
      <c r="J17" s="999">
        <f>D17*(1-E17) * (3.5%)</f>
        <v/>
      </c>
      <c r="K17" s="1220">
        <f>D17*(1-E17)*18%</f>
        <v/>
      </c>
      <c r="L17" s="1220">
        <f>((D17*(1-E17))-K17)*1.65%</f>
        <v/>
      </c>
      <c r="M17" s="1220">
        <f>((D17*(1-E17))-K17)*7.6%</f>
        <v/>
      </c>
      <c r="N17" s="1221">
        <f>(H17+I17+J17)*9.25% + (H17+I17)*12%</f>
        <v/>
      </c>
      <c r="O17" s="715" t="n">
        <v>3.57</v>
      </c>
      <c r="P17" s="708" t="n">
        <v>13.97</v>
      </c>
      <c r="Q17" s="1024">
        <f>(D17*(1-E17)+(F17* O17)+N17)-(H17+I17+J17+K17+L17+M17+(P17*F17))</f>
        <v/>
      </c>
      <c r="R17" s="1002">
        <f>Q17/(D17*(1-E17))</f>
        <v/>
      </c>
      <c r="S17" s="1189" t="n"/>
      <c r="T17" s="1030" t="n"/>
    </row>
    <row r="18" ht="24.75" customHeight="1" s="1349">
      <c r="A18" s="1108" t="n">
        <v>10034034168518</v>
      </c>
      <c r="B18" s="1136" t="inlineStr">
        <is>
          <t xml:space="preserve">Kit 60 peças Fincapino Calibre 22 </t>
        </is>
      </c>
      <c r="C18" s="1026" t="n"/>
      <c r="D18" s="1132" t="n">
        <v>55</v>
      </c>
      <c r="E18" s="1061" t="n">
        <v>0.01</v>
      </c>
      <c r="F18" s="1132" t="n">
        <v>1</v>
      </c>
      <c r="G18" s="1113" t="n">
        <v>0.2</v>
      </c>
      <c r="H18" s="1024" t="n">
        <v>11</v>
      </c>
      <c r="I18" s="999" t="n">
        <v>4</v>
      </c>
      <c r="J18" s="999">
        <f>D18*(1-E18) * (3.5%)</f>
        <v/>
      </c>
      <c r="K18" s="1220">
        <f>D18*(1-E18)*18%</f>
        <v/>
      </c>
      <c r="L18" s="1220">
        <f>((D18*(1-E18))-K18)*1.65%</f>
        <v/>
      </c>
      <c r="M18" s="1220">
        <f>((D18*(1-E18))-K18)*7.6%</f>
        <v/>
      </c>
      <c r="N18" s="1221">
        <f>(H18+I18+J18)*9.25% + (H18+I18)*12%</f>
        <v/>
      </c>
      <c r="O18" s="715" t="n">
        <v>4.31</v>
      </c>
      <c r="P18" s="708" t="n">
        <v>16.83</v>
      </c>
      <c r="Q18" s="1024">
        <f>(D18*(1-E18)+(F18* O18)+N18)-(H18+I18+J18+K18+L18+M18+(P18*F18))</f>
        <v/>
      </c>
      <c r="R18" s="1002">
        <f>Q18/(D18*(1-E18))</f>
        <v/>
      </c>
      <c r="S18" s="1189" t="n"/>
      <c r="T18" s="1030" t="n"/>
    </row>
    <row r="19" ht="24.75" customHeight="1" s="1349">
      <c r="A19" s="1108" t="n">
        <v>10034034166315</v>
      </c>
      <c r="B19" s="992" t="inlineStr">
        <is>
          <t xml:space="preserve">6un Cartucho Carbografite Filtro Rc203 Para Máscara Cg306 </t>
        </is>
      </c>
      <c r="C19" s="1028" t="n"/>
      <c r="D19" s="1132" t="n">
        <v>119.89</v>
      </c>
      <c r="E19" s="1061" t="n">
        <v>0.01</v>
      </c>
      <c r="F19" s="1132" t="n">
        <v>6</v>
      </c>
      <c r="G19" s="1113" t="n">
        <v>0.14</v>
      </c>
      <c r="H19" s="1024" t="n">
        <v>16.7846</v>
      </c>
      <c r="I19" s="999" t="n">
        <v>20</v>
      </c>
      <c r="J19" s="999">
        <f>D19*(1-E19) * (3.5%)</f>
        <v/>
      </c>
      <c r="K19" s="1220">
        <f>D19*(1-E19)*18%</f>
        <v/>
      </c>
      <c r="L19" s="1220">
        <f>((D19*(1-E19))-K19)*1.65%</f>
        <v/>
      </c>
      <c r="M19" s="1220">
        <f>((D19*(1-E19))-K19)*7.6%</f>
        <v/>
      </c>
      <c r="N19" s="1221">
        <f>(H19+I19+J19)*9.25% + (H19+I19)*12%</f>
        <v/>
      </c>
      <c r="O19" s="715" t="n">
        <v>1.22</v>
      </c>
      <c r="P19" s="708" t="n">
        <v>9.5</v>
      </c>
      <c r="Q19" s="1024">
        <f>(D19*(1-E19)+(F19* O19)+N19)-(H19+I19+J19+K19+L19+M19+(P19*F19))</f>
        <v/>
      </c>
      <c r="R19" s="1002">
        <f>Q19/(D19*(1-E19))</f>
        <v/>
      </c>
      <c r="S19" s="1189" t="n"/>
      <c r="T19" s="1030" t="n"/>
    </row>
    <row r="20" ht="24.75" customHeight="1" s="1349">
      <c r="A20" s="1108" t="n">
        <v>38</v>
      </c>
      <c r="B20" s="1025" t="inlineStr">
        <is>
          <t xml:space="preserve">100un Tela Alvenaria Amarração Ancora 1,2x105x500mm Tl05 </t>
        </is>
      </c>
      <c r="C20" s="1026" t="n"/>
      <c r="D20" s="1132" t="n">
        <v>175</v>
      </c>
      <c r="E20" s="1061" t="n">
        <v>0.01</v>
      </c>
      <c r="F20" s="1132" t="n">
        <v>1</v>
      </c>
      <c r="G20" s="1113" t="n">
        <v>0.14</v>
      </c>
      <c r="H20" s="1024" t="n">
        <v>24.5</v>
      </c>
      <c r="I20" s="999" t="n">
        <v>20</v>
      </c>
      <c r="J20" s="999">
        <f>D20*(1-E20) * (3.5%)</f>
        <v/>
      </c>
      <c r="K20" s="1220">
        <f>D20*(1-E20)*18%</f>
        <v/>
      </c>
      <c r="L20" s="1220">
        <f>((D20*(1-E20))-K20)*1.65%</f>
        <v/>
      </c>
      <c r="M20" s="1220">
        <f>((D20*(1-E20))-K20)*7.6%</f>
        <v/>
      </c>
      <c r="N20" s="1221">
        <f>(H20+I20+J20)*9.25% + (H20+I20)*12%</f>
        <v/>
      </c>
      <c r="O20" s="715" t="n">
        <v>10.54</v>
      </c>
      <c r="P20" s="708" t="n">
        <v>81.05</v>
      </c>
      <c r="Q20" s="1024">
        <f>(D20*(1-E20)+(F20* O20)+N20)-(H20+I20+J20+K20+L20+M20+(P20*F20))</f>
        <v/>
      </c>
      <c r="R20" s="1002">
        <f>Q20/(D20*(1-E20))</f>
        <v/>
      </c>
      <c r="S20" s="1189" t="n"/>
      <c r="T20" s="1030" t="n"/>
    </row>
    <row r="21" outlineLevel="1" ht="24.75" customHeight="1" s="1349">
      <c r="A21" s="1108" t="n">
        <v>10034034166335</v>
      </c>
      <c r="B21" s="992" t="inlineStr">
        <is>
          <t xml:space="preserve">50un Tela Alvenaria 1,2x105x500mm Tl105 Amarração De Blocos </t>
        </is>
      </c>
      <c r="C21" s="1028" t="n"/>
      <c r="D21" s="1029" t="n">
        <v>117.07</v>
      </c>
      <c r="E21" s="1061" t="n">
        <v>0.01</v>
      </c>
      <c r="F21" s="1132" t="n">
        <v>1</v>
      </c>
      <c r="G21" s="1113" t="n">
        <v>0.14</v>
      </c>
      <c r="H21" s="1024" t="n">
        <v>16.3898</v>
      </c>
      <c r="I21" s="999" t="n">
        <v>20</v>
      </c>
      <c r="J21" s="999">
        <f>D21*(1-E21) * (3.5%)</f>
        <v/>
      </c>
      <c r="K21" s="1220">
        <f>D21*(1-E21)*18%</f>
        <v/>
      </c>
      <c r="L21" s="1220">
        <f>((D21*(1-E21))-K21)*1.65%</f>
        <v/>
      </c>
      <c r="M21" s="1220">
        <f>((D21*(1-E21))-K21)*7.6%</f>
        <v/>
      </c>
      <c r="N21" s="1221">
        <f>(H21+I21+J21)*9.25% + (H21+I21)*12%</f>
        <v/>
      </c>
      <c r="O21" s="1097">
        <f>10.44/2</f>
        <v/>
      </c>
      <c r="P21" s="708">
        <f>81.05/2</f>
        <v/>
      </c>
      <c r="Q21" s="1024">
        <f>(D21*(1-E21)+(F21* O21)+N21)-(H21+I21+J21+K21+L21+M21+(P21*F21))</f>
        <v/>
      </c>
      <c r="R21" s="1002">
        <f>Q21/(D21*(1-E21))</f>
        <v/>
      </c>
      <c r="S21" s="1189" t="n"/>
      <c r="T21" s="1030" t="n"/>
    </row>
    <row r="22" outlineLevel="1" ht="24.75" customHeight="1" s="1349">
      <c r="A22" s="1108" t="n">
        <v>10034034166336</v>
      </c>
      <c r="B22" s="1025" t="inlineStr">
        <is>
          <t>20un Tela Alvenaria 1,2x105x500mm Tl105 Amarração De Blocos</t>
        </is>
      </c>
      <c r="C22" s="1026" t="n"/>
      <c r="D22" s="1132" t="n">
        <v>45.22</v>
      </c>
      <c r="E22" s="1061" t="n">
        <v>0.01</v>
      </c>
      <c r="F22" s="1132" t="n">
        <v>1</v>
      </c>
      <c r="G22" s="1113" t="n">
        <v>0.2</v>
      </c>
      <c r="H22" s="1024" t="n">
        <v>9.044</v>
      </c>
      <c r="I22" s="999" t="n">
        <v>4</v>
      </c>
      <c r="J22" s="999">
        <f>D22*(1-E22) * (3.5%)</f>
        <v/>
      </c>
      <c r="K22" s="1220">
        <f>D22*(1-E22)*18%</f>
        <v/>
      </c>
      <c r="L22" s="1220">
        <f>((D22*(1-E22))-K22)*1.65%</f>
        <v/>
      </c>
      <c r="M22" s="1220">
        <f>((D22*(1-E22))-K22)*7.6%</f>
        <v/>
      </c>
      <c r="N22" s="1221">
        <f>(H22+I22+J22)*9.25% + (H22+I22)*12%</f>
        <v/>
      </c>
      <c r="O22" s="715" t="n">
        <v>2.09</v>
      </c>
      <c r="P22" s="197">
        <f>(81.05/5)</f>
        <v/>
      </c>
      <c r="Q22" s="1024">
        <f>(D22*(1-E22)+(F22* O22)+N22)-(H22+I22+J22+K22+L22+M22+(P22*F22))</f>
        <v/>
      </c>
      <c r="R22" s="1002">
        <f>Q22/(D22*(1-E22))</f>
        <v/>
      </c>
      <c r="S22" s="1189" t="n"/>
      <c r="T22" s="1030" t="n"/>
    </row>
    <row r="23" ht="24.75" customHeight="1" s="1349">
      <c r="A23" s="1108" t="n">
        <v>10034034166363</v>
      </c>
      <c r="B23" s="1004" t="inlineStr">
        <is>
          <t>Kit Mascara De Proteção Respiratória tipo N98 C/ Válvula Pff2 C/ Inmetro e CA</t>
        </is>
      </c>
      <c r="C23" s="1132" t="n"/>
      <c r="D23" s="1029" t="n">
        <v>138.6</v>
      </c>
      <c r="E23" s="1061" t="n">
        <v>0.01</v>
      </c>
      <c r="F23" s="1132" t="n">
        <v>100</v>
      </c>
      <c r="G23" s="1113" t="n">
        <v>0.14</v>
      </c>
      <c r="H23" s="1024" t="n">
        <v>19.404</v>
      </c>
      <c r="I23" s="999" t="n">
        <v>20</v>
      </c>
      <c r="J23" s="999">
        <f>D23*(1-E23) * (3.5%)</f>
        <v/>
      </c>
      <c r="K23" s="1220">
        <f>D23*(1-E23)*18%</f>
        <v/>
      </c>
      <c r="L23" s="1220">
        <f>((D23*(1-E23))-K23)*1.65%</f>
        <v/>
      </c>
      <c r="M23" s="1220">
        <f>((D23*(1-E23))-K23)*7.6%</f>
        <v/>
      </c>
      <c r="N23" s="1221">
        <f>(H23+I23+J23)*9.25% + (H23+I23)*12%</f>
        <v/>
      </c>
      <c r="O23" s="715" t="n">
        <v>17</v>
      </c>
      <c r="P23" s="708" t="n">
        <v>0.83</v>
      </c>
      <c r="Q23" s="1024">
        <f>(D23*(1-E23)+(F23* O23)+N23)-(H23+I23+J23+K23+L23+M23+(P23*F23))</f>
        <v/>
      </c>
      <c r="R23" s="1002">
        <f>Q23/(D23*(1-E23))</f>
        <v/>
      </c>
      <c r="S23" s="1189" t="n"/>
      <c r="T23" s="1030" t="n"/>
      <c r="U23" s="1031" t="n"/>
    </row>
    <row r="24" outlineLevel="1" ht="24.75" customHeight="1" s="1349">
      <c r="A24" s="1108" t="n">
        <v>10034034166361</v>
      </c>
      <c r="B24" s="1004" t="inlineStr">
        <is>
          <t>Kit Mascara De Proteção Respiratória tipo N98 C/ Válvula Pff2 C/ Inmetro e CA</t>
        </is>
      </c>
      <c r="C24" s="1132" t="n"/>
      <c r="D24" s="1132" t="n">
        <v>80.75</v>
      </c>
      <c r="E24" s="1061" t="n">
        <v>0.01</v>
      </c>
      <c r="F24" s="1132" t="n">
        <v>50</v>
      </c>
      <c r="G24" s="1113" t="n">
        <v>0.14</v>
      </c>
      <c r="H24" s="1024" t="n">
        <v>11.305</v>
      </c>
      <c r="I24" s="999" t="n">
        <v>16</v>
      </c>
      <c r="J24" s="999">
        <f>D24*(1-E24) * (3.5%)</f>
        <v/>
      </c>
      <c r="K24" s="1220">
        <f>D24*(1-E24)*18%</f>
        <v/>
      </c>
      <c r="L24" s="1220">
        <f>((D24*(1-E24))-K24)*1.65%</f>
        <v/>
      </c>
      <c r="M24" s="1220">
        <f>((D24*(1-E24))-K24)*7.6%</f>
        <v/>
      </c>
      <c r="N24" s="1221">
        <f>(H24+I24+J24)*9.25% + (H24+I24)*12%</f>
        <v/>
      </c>
      <c r="O24" s="715" t="n">
        <v>9</v>
      </c>
      <c r="P24" s="708" t="n">
        <v>0.88</v>
      </c>
      <c r="Q24" s="1024">
        <f>(D24*(1-E24)+(F24* O24)+N24)-(H24+I24+J24+K24+L24+M24+(P24*F24))</f>
        <v/>
      </c>
      <c r="R24" s="1002">
        <f>Q24/(D24*(1-E24))</f>
        <v/>
      </c>
      <c r="S24" s="1189" t="n"/>
      <c r="T24" s="1030" t="n"/>
    </row>
    <row r="25" outlineLevel="1" ht="24.75" customHeight="1" s="1349">
      <c r="A25" s="1108" t="n">
        <v>10034034167765</v>
      </c>
      <c r="B25" s="1032" t="inlineStr">
        <is>
          <t>Kit Mascara De Proteção Respiratória tipo N98 C/ Válvula Pff2 C/ Inmetro e CA</t>
        </is>
      </c>
      <c r="C25" s="1132" t="n"/>
      <c r="D25" s="1132" t="n">
        <v>39.6</v>
      </c>
      <c r="E25" s="1061" t="n">
        <v>0.01</v>
      </c>
      <c r="F25" s="1132" t="n">
        <v>10</v>
      </c>
      <c r="G25" s="1113" t="n">
        <v>0.2</v>
      </c>
      <c r="H25" s="1024" t="n">
        <v>7.920000000000001</v>
      </c>
      <c r="I25" s="999" t="n">
        <v>4</v>
      </c>
      <c r="J25" s="999">
        <f>D25*(1-E25) * (3.5%)</f>
        <v/>
      </c>
      <c r="K25" s="1220">
        <f>D25*(1-E25)*18%</f>
        <v/>
      </c>
      <c r="L25" s="1220">
        <f>((D25*(1-E25))-K25)*1.65%</f>
        <v/>
      </c>
      <c r="M25" s="1220">
        <f>((D25*(1-E25))-K25)*7.6%</f>
        <v/>
      </c>
      <c r="N25" s="1221">
        <f>(H25+I25+J25)*9.25% + (H25+I25)*12%</f>
        <v/>
      </c>
      <c r="O25" s="715" t="n">
        <v>1.8</v>
      </c>
      <c r="P25" s="708" t="n">
        <v>0.89</v>
      </c>
      <c r="Q25" s="1024">
        <f>(D25*(1-E25)+(F25* O25)+N25)-(H25+I25+J25+K25+L25+M25+(P25*F25))</f>
        <v/>
      </c>
      <c r="R25" s="1002">
        <f>Q25/(D25*(1-E25))</f>
        <v/>
      </c>
      <c r="S25" s="1189" t="n"/>
      <c r="T25" s="1030" t="n"/>
    </row>
    <row r="26" ht="24.75" customHeight="1" s="1349">
      <c r="A26" s="1033" t="n">
        <v>10034034166616</v>
      </c>
      <c r="B26" s="1034" t="inlineStr">
        <is>
          <t>Bota Manobreiro Metatarso Antiperfuro Composite Bidensidade</t>
        </is>
      </c>
      <c r="C26" s="1035" t="n"/>
      <c r="D26" s="1036" t="n">
        <v>189</v>
      </c>
      <c r="E26" s="1037" t="n">
        <v>0.01</v>
      </c>
      <c r="F26" s="1038" t="n">
        <v>1</v>
      </c>
      <c r="G26" s="1039" t="n">
        <v>0.14</v>
      </c>
      <c r="H26" s="999" t="n">
        <v>26.46</v>
      </c>
      <c r="I26" s="999" t="n">
        <v>20</v>
      </c>
      <c r="J26" s="999">
        <f>D26*(1-E26) * (3.5%)</f>
        <v/>
      </c>
      <c r="K26" s="1220">
        <f>D26*(1-E26)*18%</f>
        <v/>
      </c>
      <c r="L26" s="1220">
        <f>((D26*(1-E26))-K26)*1.65%</f>
        <v/>
      </c>
      <c r="M26" s="1220">
        <f>((D26*(1-E26))-K26)*7.6%</f>
        <v/>
      </c>
      <c r="N26" s="1221">
        <f>(H26+I26+J26)*9.25% + (H26+I26)*12%</f>
        <v/>
      </c>
      <c r="O26" s="1097" t="n">
        <v>21.18</v>
      </c>
      <c r="P26" s="708" t="n">
        <v>112.78</v>
      </c>
      <c r="Q26" s="1024">
        <f>(D26*(1-E26)+(F26* O26)+N26)-(H26+I26+J26+K26+L26+M26+(P26*F26))</f>
        <v/>
      </c>
      <c r="R26" s="1002">
        <f>Q26/(D26*(1-E26))</f>
        <v/>
      </c>
      <c r="S26" s="1189" t="n"/>
      <c r="T26" s="1030" t="n"/>
    </row>
    <row r="27" ht="24.75" customHeight="1" s="1349">
      <c r="A27" s="1108" t="n">
        <v>49</v>
      </c>
      <c r="B27" s="1025" t="inlineStr">
        <is>
          <t>Tela Soldada Reforço Fachada Alvenaria Galvanizada 0,50x25m</t>
        </is>
      </c>
      <c r="C27" s="1026" t="n"/>
      <c r="D27" s="1132" t="n">
        <v>219</v>
      </c>
      <c r="E27" s="1061" t="n">
        <v>0.01</v>
      </c>
      <c r="F27" s="1132" t="n">
        <v>1</v>
      </c>
      <c r="G27" s="1113" t="n">
        <v>0.14</v>
      </c>
      <c r="H27" s="1024" t="n">
        <v>30.66</v>
      </c>
      <c r="I27" s="999" t="n">
        <v>26</v>
      </c>
      <c r="J27" s="999">
        <f>D27*(1-E27) * (3.5%)</f>
        <v/>
      </c>
      <c r="K27" s="1220">
        <f>D27*(1-E27)*18%</f>
        <v/>
      </c>
      <c r="L27" s="1220">
        <f>((D27*(1-E27))-K27)*1.65%</f>
        <v/>
      </c>
      <c r="M27" s="1220">
        <f>((D27*(1-E27))-K27)*7.6%</f>
        <v/>
      </c>
      <c r="N27" s="1221">
        <f>(H27+I27+J27)*9.25% + (H27+I27)*12%</f>
        <v/>
      </c>
      <c r="O27" s="1097" t="n">
        <v>17</v>
      </c>
      <c r="P27" s="708" t="n">
        <v>99</v>
      </c>
      <c r="Q27" s="1024">
        <f>(D27*(1-E27)+(F27* O27)+N27)-(H27+I27+J27+K27+L27+M27+(P27*F27))</f>
        <v/>
      </c>
      <c r="R27" s="1002">
        <f>Q27/(D27*(1-E27))</f>
        <v/>
      </c>
      <c r="S27" s="1189" t="n"/>
      <c r="T27" s="1030" t="n"/>
    </row>
    <row r="28" ht="24.75" customHeight="1" s="1349">
      <c r="A28" s="1108" t="n">
        <v>70031094</v>
      </c>
      <c r="B28" s="1004" t="inlineStr">
        <is>
          <t>Refil Filtro Químico VO GA Respiradores Plastcor Classe 1 Cartucho Respirador Gases Acidos Vapores</t>
        </is>
      </c>
      <c r="C28" s="1132" t="n"/>
      <c r="D28" s="1029" t="n">
        <v>26</v>
      </c>
      <c r="E28" s="1061" t="n">
        <v>0.01</v>
      </c>
      <c r="F28" s="1132" t="n">
        <v>1</v>
      </c>
      <c r="G28" s="1113" t="n">
        <v>0.2</v>
      </c>
      <c r="H28" s="1024" t="n">
        <v>5.2</v>
      </c>
      <c r="I28" s="999" t="n">
        <v>4</v>
      </c>
      <c r="J28" s="999">
        <f>D28*(1-E28) * (3.5%)</f>
        <v/>
      </c>
      <c r="K28" s="1220">
        <f>D28*(1-E28)*18%</f>
        <v/>
      </c>
      <c r="L28" s="1220">
        <f>((D28*(1-E28))-K28)*1.65%</f>
        <v/>
      </c>
      <c r="M28" s="1220">
        <f>((D28*(1-E28))-K28)*7.6%</f>
        <v/>
      </c>
      <c r="N28" s="1221">
        <f>(H28+I28+J28)*9.25% + (H28+I28)*12%</f>
        <v/>
      </c>
      <c r="O28" s="715" t="n">
        <v>2.63</v>
      </c>
      <c r="P28" s="197" t="n">
        <v>10.29</v>
      </c>
      <c r="Q28" s="1024">
        <f>(D28*(1-E28)+(F28* O28)+N28)-(H28+I28+J28+K28+L28+M28+(P28*F28))</f>
        <v/>
      </c>
      <c r="R28" s="1002">
        <f>Q28/(D28*(1-E28))</f>
        <v/>
      </c>
      <c r="S28" s="1189" t="n"/>
      <c r="T28" s="1030" t="n"/>
    </row>
    <row r="29" ht="24.75" customHeight="1" s="1349">
      <c r="A29" s="1108" t="n">
        <v>10034034167980</v>
      </c>
      <c r="B29" s="1025" t="inlineStr">
        <is>
          <t>Botina Tênis De Segurança Detroit Tridensidade Bico Pvc Epi</t>
        </is>
      </c>
      <c r="C29" s="1026" t="n"/>
      <c r="D29" s="1132" t="n">
        <v>280</v>
      </c>
      <c r="E29" s="1061" t="n">
        <v>0.01</v>
      </c>
      <c r="F29" s="1132" t="n">
        <v>1</v>
      </c>
      <c r="G29" s="1113" t="n">
        <v>0.14</v>
      </c>
      <c r="H29" s="1024" t="n">
        <v>39.2</v>
      </c>
      <c r="I29" s="999" t="n">
        <v>26</v>
      </c>
      <c r="J29" s="999">
        <f>D29*(1-E29) * (3.5%)</f>
        <v/>
      </c>
      <c r="K29" s="1220">
        <f>D29*(1-E29)*18%</f>
        <v/>
      </c>
      <c r="L29" s="1220">
        <f>((D29*(1-E29))-K29)*1.65%</f>
        <v/>
      </c>
      <c r="M29" s="1220">
        <f>((D29*(1-E29))-K29)*7.6%</f>
        <v/>
      </c>
      <c r="N29" s="1221">
        <f>(H29+I29+J29)*9.25% + (H29+I29)*12%</f>
        <v/>
      </c>
      <c r="O29" s="1097" t="n">
        <v>32.54</v>
      </c>
      <c r="P29" s="708" t="n">
        <v>161.59</v>
      </c>
      <c r="Q29" s="1024">
        <f>(D29*(1-E29)+(F29* O29)+N29)-(H29+I29+J29+K29+L29+M29+(P29*F29))</f>
        <v/>
      </c>
      <c r="R29" s="1002">
        <f>Q29/(D29*(1-E29))</f>
        <v/>
      </c>
      <c r="S29" s="1189" t="n"/>
      <c r="T29" s="1030" t="n"/>
    </row>
    <row r="30" ht="24.75" customHeight="1" s="1349">
      <c r="A30" s="1108" t="inlineStr">
        <is>
          <t>PXCL142813</t>
        </is>
      </c>
      <c r="B30" s="1025" t="inlineStr">
        <is>
          <t>Pino Liso Clip Cadeirinha 13mm Ação Indireta 1/4x28mm 100un</t>
        </is>
      </c>
      <c r="C30" s="1026" t="n"/>
      <c r="D30" s="1132" t="n">
        <v>45.9</v>
      </c>
      <c r="E30" s="1061" t="n">
        <v>0.01</v>
      </c>
      <c r="F30" s="1132" t="n">
        <v>1</v>
      </c>
      <c r="G30" s="1113" t="n">
        <v>0.2</v>
      </c>
      <c r="H30" s="1024" t="n">
        <v>9.18</v>
      </c>
      <c r="I30" s="999" t="n">
        <v>4</v>
      </c>
      <c r="J30" s="999">
        <f>D30*(1-E30) * (3.5%)</f>
        <v/>
      </c>
      <c r="K30" s="1220">
        <f>D30*(1-E30)*18%</f>
        <v/>
      </c>
      <c r="L30" s="1220">
        <f>((D30*(1-E30))-K30)*1.65%</f>
        <v/>
      </c>
      <c r="M30" s="1220">
        <f>((D30*(1-E30))-K30)*7.6%</f>
        <v/>
      </c>
      <c r="N30" s="1221">
        <f>(H30+I30+J30)*9.25% + (H30+I30)*12%</f>
        <v/>
      </c>
      <c r="O30" s="1097" t="n">
        <v>2.54</v>
      </c>
      <c r="P30" s="708" t="n">
        <v>21.04</v>
      </c>
      <c r="Q30" s="1024">
        <f>(D30*(1-E30)+(F30* O30)+N30)-(H30+I30+J30+K30+L30+M30+(P30*F30))</f>
        <v/>
      </c>
      <c r="R30" s="1002">
        <f>Q30/(D30*(1-E30))</f>
        <v/>
      </c>
      <c r="S30" s="1189" t="n"/>
      <c r="T30" s="1030" t="n"/>
    </row>
    <row r="31" ht="24.75" customHeight="1" s="1349">
      <c r="A31" s="1108" t="n">
        <v>10034034166653</v>
      </c>
      <c r="B31" s="1213" t="inlineStr">
        <is>
          <t>Abafador de Ruido Concha Protetor Auricular Interlagos Auditivo Autismo Obra Industria Confort 29db</t>
        </is>
      </c>
      <c r="C31" s="1213" t="n"/>
      <c r="D31" s="1132" t="n">
        <v>131.97</v>
      </c>
      <c r="E31" s="1061" t="n">
        <v>0.01</v>
      </c>
      <c r="F31" s="1132" t="n">
        <v>1</v>
      </c>
      <c r="G31" s="1113" t="n">
        <v>0.14</v>
      </c>
      <c r="H31" s="1024" t="n">
        <v>18.4758</v>
      </c>
      <c r="I31" s="999" t="n">
        <v>20</v>
      </c>
      <c r="J31" s="999">
        <f>D31*(1-E31) * (3.5%)</f>
        <v/>
      </c>
      <c r="K31" s="1220">
        <f>D31*(1-E31)*18%</f>
        <v/>
      </c>
      <c r="L31" s="1220">
        <f>((D31*(1-E31))-K31)*1.65%</f>
        <v/>
      </c>
      <c r="M31" s="1220">
        <f>((D31*(1-E31))-K31)*7.6%</f>
        <v/>
      </c>
      <c r="N31" s="1221">
        <f>(H31+I31+J31)*9.25% + (H31+I31)*12%</f>
        <v/>
      </c>
      <c r="O31" s="715" t="n">
        <v>17.34</v>
      </c>
      <c r="P31" s="708" t="n">
        <v>74.39</v>
      </c>
      <c r="Q31" s="1024">
        <f>(D31*(1-E31)+(F31* O31)+N31)-(H31+I31+J31+K31+L31+M31+(P31*F31))</f>
        <v/>
      </c>
      <c r="R31" s="1002">
        <f>Q31/(D31*(1-E31))</f>
        <v/>
      </c>
      <c r="S31" s="1189" t="n"/>
      <c r="T31" s="1030" t="n"/>
    </row>
    <row r="32" ht="24.75" customHeight="1" s="1349">
      <c r="A32" s="1108" t="n">
        <v>10034034167370</v>
      </c>
      <c r="B32" s="1025" t="inlineStr">
        <is>
          <t>Sinalizador Pl 6003 Viário Solar Led Segurança Trabalho Obra</t>
        </is>
      </c>
      <c r="C32" s="1026" t="n"/>
      <c r="D32" s="1029" t="n">
        <v>148.5</v>
      </c>
      <c r="E32" s="1061" t="n">
        <v>0.01</v>
      </c>
      <c r="F32" s="1132" t="n">
        <v>1</v>
      </c>
      <c r="G32" s="1113" t="n">
        <v>0.14</v>
      </c>
      <c r="H32" s="1024" t="n">
        <v>20.79</v>
      </c>
      <c r="I32" s="999" t="n">
        <v>20</v>
      </c>
      <c r="J32" s="999">
        <f>D32*(1-E32) * (3.5%)</f>
        <v/>
      </c>
      <c r="K32" s="1220">
        <f>D32*(1-E32)*18%</f>
        <v/>
      </c>
      <c r="L32" s="1220">
        <f>((D32*(1-E32))-K32)*1.65%</f>
        <v/>
      </c>
      <c r="M32" s="1220">
        <f>((D32*(1-E32))-K32)*7.6%</f>
        <v/>
      </c>
      <c r="N32" s="1221">
        <f>(H32+I32+J32)*9.25% + (H32+I32)*12%</f>
        <v/>
      </c>
      <c r="O32" s="715" t="n">
        <v>15</v>
      </c>
      <c r="P32" s="708" t="n">
        <v>76.92</v>
      </c>
      <c r="Q32" s="1024">
        <f>(D32*(1-E32)+(F32* O32)+N32)-(H32+I32+J32+K32+L32+M32+(P32*F32))</f>
        <v/>
      </c>
      <c r="R32" s="1002">
        <f>Q32/(D32*(1-E32))</f>
        <v/>
      </c>
      <c r="S32" s="1189" t="n"/>
      <c r="T32" s="1030" t="n"/>
    </row>
    <row r="33" ht="24.75" customHeight="1" s="1349">
      <c r="A33" s="1108" t="n">
        <v>912255</v>
      </c>
      <c r="B33" s="1020" t="inlineStr">
        <is>
          <t>Sapato Ocupacional Segurança Limpeza Cozinha Industria C/ Ca</t>
        </is>
      </c>
      <c r="C33" s="1026" t="n"/>
      <c r="D33" s="1132" t="n">
        <v>75.78</v>
      </c>
      <c r="E33" s="1061" t="n">
        <v>0.01</v>
      </c>
      <c r="F33" s="1132" t="n">
        <v>1</v>
      </c>
      <c r="G33" s="1113" t="n">
        <v>0.2</v>
      </c>
      <c r="H33" s="1024" t="n">
        <v>15.156</v>
      </c>
      <c r="I33" s="999" t="n">
        <v>4</v>
      </c>
      <c r="J33" s="999">
        <f>D33*(1-E33) * (3.5%)</f>
        <v/>
      </c>
      <c r="K33" s="1220">
        <f>D33*(1-E33)*18%</f>
        <v/>
      </c>
      <c r="L33" s="1220">
        <f>((D33*(1-E33))-K33)*1.65%</f>
        <v/>
      </c>
      <c r="M33" s="1220">
        <f>((D33*(1-E33))-K33)*7.6%</f>
        <v/>
      </c>
      <c r="N33" s="1221">
        <f>(H33+I33+J33)*9.25% + (H33+I33)*12%</f>
        <v/>
      </c>
      <c r="O33" s="1097" t="n">
        <v>8.5</v>
      </c>
      <c r="P33" s="708" t="n">
        <v>42.2</v>
      </c>
      <c r="Q33" s="1024">
        <f>(D33*(1-E33)+(F33* O33)+N33)-(H33+I33+J33+K33+L33+M33+(P33*F33))</f>
        <v/>
      </c>
      <c r="R33" s="1002">
        <f>Q33/(D33*(1-E33))</f>
        <v/>
      </c>
      <c r="S33" s="1189" t="n"/>
      <c r="T33" s="1030" t="n"/>
    </row>
    <row r="34" ht="24.75" customHeight="1" s="1349">
      <c r="A34" s="1108" t="n">
        <v>10034034166309</v>
      </c>
      <c r="B34" s="1040" t="inlineStr">
        <is>
          <t>Kit 8 Luva Bicolor Latex Neopreme Reforçada Limpeza Obra c/ Ca</t>
        </is>
      </c>
      <c r="C34" s="1218" t="n"/>
      <c r="D34" s="1132" t="n">
        <v>108.9</v>
      </c>
      <c r="E34" s="1061" t="n">
        <v>0.01</v>
      </c>
      <c r="F34" s="1132" t="n">
        <v>1</v>
      </c>
      <c r="G34" s="1113" t="n">
        <v>0.14</v>
      </c>
      <c r="H34" s="1024" t="n">
        <v>15.246</v>
      </c>
      <c r="I34" s="999" t="n">
        <v>20</v>
      </c>
      <c r="J34" s="999">
        <f>D34*(1-E34) * (3.5%)</f>
        <v/>
      </c>
      <c r="K34" s="1220">
        <f>D34*(1-E34)*18%</f>
        <v/>
      </c>
      <c r="L34" s="1220">
        <f>((D34*(1-E34))-K34)*1.65%</f>
        <v/>
      </c>
      <c r="M34" s="1220">
        <f>((D34*(1-E34))-K34)*7.6%</f>
        <v/>
      </c>
      <c r="N34" s="1221">
        <f>(H34+I34+J34)*9.25% + (H34+I34)*12%</f>
        <v/>
      </c>
      <c r="O34" s="784">
        <f>0.683*8</f>
        <v/>
      </c>
      <c r="P34" s="674">
        <f>5.3*8</f>
        <v/>
      </c>
      <c r="Q34" s="1024">
        <f>(D34*(1-E34)+(F34* O34)+N34)-(H34+I34+J34+K34+L34+M34+(P34*F34))</f>
        <v/>
      </c>
      <c r="R34" s="1002">
        <f>Q34/(D34*(1-E34))</f>
        <v/>
      </c>
      <c r="S34" s="1189" t="inlineStr">
        <is>
          <t>kit 8</t>
        </is>
      </c>
      <c r="T34" s="1030" t="n"/>
    </row>
    <row r="35" ht="24.75" customHeight="1" s="1349">
      <c r="A35" s="1108" t="n">
        <v>42</v>
      </c>
      <c r="B35" s="1025" t="inlineStr">
        <is>
          <t>Pino Liso Ação Indireta 1/4x28 C/ Arruela Conica 23mm Ancora</t>
        </is>
      </c>
      <c r="C35" s="1026" t="n"/>
      <c r="D35" s="1132" t="n">
        <v>33.5</v>
      </c>
      <c r="E35" s="1061" t="n">
        <v>0.01</v>
      </c>
      <c r="F35" s="1132" t="n">
        <v>1</v>
      </c>
      <c r="G35" s="1113" t="n">
        <v>0.2</v>
      </c>
      <c r="H35" s="1024" t="n">
        <v>6.7</v>
      </c>
      <c r="I35" s="999" t="n">
        <v>4</v>
      </c>
      <c r="J35" s="999">
        <f>D35*(1-E35) * (3.5%)</f>
        <v/>
      </c>
      <c r="K35" s="1220">
        <f>D35*(1-E35)*18%</f>
        <v/>
      </c>
      <c r="L35" s="1220">
        <f>((D35*(1-E35))-K35)*1.65%</f>
        <v/>
      </c>
      <c r="M35" s="1220">
        <f>((D35*(1-E35))-K35)*7.6%</f>
        <v/>
      </c>
      <c r="N35" s="1221">
        <f>(H35+I35+J35)*9.25% + (H35+I35)*12%</f>
        <v/>
      </c>
      <c r="O35" s="715" t="n">
        <v>1.73</v>
      </c>
      <c r="P35" s="708" t="n">
        <v>14.27</v>
      </c>
      <c r="Q35" s="1024">
        <f>(D35*(1-E35)+(F35* O35)+N35)-(H35+I35+J35+K35+L35+M35+(P35*F35))</f>
        <v/>
      </c>
      <c r="R35" s="1002">
        <f>Q35/(D35*(1-E35))</f>
        <v/>
      </c>
      <c r="S35" s="1189" t="n"/>
      <c r="T35" s="1030" t="n"/>
    </row>
    <row r="36" ht="24.75" customHeight="1" s="1349">
      <c r="A36" s="1108" t="n">
        <v>268</v>
      </c>
      <c r="B36" s="1025" t="inlineStr">
        <is>
          <t>Colete Refletivo Fluorescente Blusão Segurança Sinalização</t>
        </is>
      </c>
      <c r="C36" s="1026" t="n"/>
      <c r="D36" s="1132" t="n">
        <v>26.9</v>
      </c>
      <c r="E36" s="1061" t="n">
        <v>0.01</v>
      </c>
      <c r="F36" s="1132" t="n">
        <v>1</v>
      </c>
      <c r="G36" s="1113" t="n">
        <v>0.2</v>
      </c>
      <c r="H36" s="1024" t="n">
        <v>5.38</v>
      </c>
      <c r="I36" s="999" t="n">
        <v>4</v>
      </c>
      <c r="J36" s="999">
        <f>D36*(1-E36) * (3.5%)</f>
        <v/>
      </c>
      <c r="K36" s="1220">
        <f>D36*(1-E36)*18%</f>
        <v/>
      </c>
      <c r="L36" s="1220">
        <f>((D36*(1-E36))-K36)*1.65%</f>
        <v/>
      </c>
      <c r="M36" s="1220">
        <f>((D36*(1-E36))-K36)*7.6%</f>
        <v/>
      </c>
      <c r="N36" s="1221">
        <f>(H36+I36+J36)*9.25% + (H36+I36)*12%</f>
        <v/>
      </c>
      <c r="O36" s="1097" t="n">
        <v>1.31</v>
      </c>
      <c r="P36" s="708" t="n">
        <v>10.15</v>
      </c>
      <c r="Q36" s="1024">
        <f>(D36*(1-E36)+(F36* O36)+N36)-(H36+I36+J36+K36+L36+M36+(P36*F36))</f>
        <v/>
      </c>
      <c r="R36" s="1002">
        <f>Q36/(D36*(1-E36))</f>
        <v/>
      </c>
      <c r="S36" s="1189" t="n"/>
      <c r="T36" s="1030" t="n"/>
    </row>
    <row r="37" ht="22.5" customHeight="1" s="1349">
      <c r="A37" s="1043" t="n"/>
      <c r="B37" s="1213" t="inlineStr">
        <is>
          <t>Bota Infantil Impermeável Azul Verde Rosa Pink Galocha Galochinha Com Amarra Pvc com Forro Conforto</t>
        </is>
      </c>
      <c r="C37" s="1213" t="n"/>
      <c r="D37" s="1218" t="n">
        <v>68.31</v>
      </c>
      <c r="E37" s="1217" t="n">
        <v>0.01</v>
      </c>
      <c r="F37" s="1218" t="n">
        <v>1</v>
      </c>
      <c r="G37" s="1219" t="n">
        <v>0.2</v>
      </c>
      <c r="H37" s="1024" t="n">
        <v>13.662</v>
      </c>
      <c r="I37" s="999" t="n">
        <v>4</v>
      </c>
      <c r="J37" s="999">
        <f>D37*(1-E37) * (3.5%)</f>
        <v/>
      </c>
      <c r="K37" s="1220">
        <f>D37*(1-E37)*18%</f>
        <v/>
      </c>
      <c r="L37" s="1220">
        <f>((D37*(1-E37))-K37)*1.65%</f>
        <v/>
      </c>
      <c r="M37" s="1220">
        <f>((D37*(1-E37))-K37)*7.6%</f>
        <v/>
      </c>
      <c r="N37" s="1221">
        <f>(H37+I37+J37)*9.25% + (H37+I37)*12%</f>
        <v/>
      </c>
      <c r="O37" s="1097" t="n">
        <v>7.44</v>
      </c>
      <c r="P37" s="708" t="n">
        <v>36.95</v>
      </c>
      <c r="Q37" s="1024">
        <f>(D37*(1-E37)+(F37* O37)+N37)-(H37+I37+J37+K37+L37+M37+(P37*F37))</f>
        <v/>
      </c>
      <c r="R37" s="1002">
        <f>Q37/(D37*(1-E37))</f>
        <v/>
      </c>
      <c r="S37" s="1216" t="n"/>
      <c r="T37" s="1206" t="n"/>
    </row>
    <row r="38" ht="24.75" customHeight="1" s="1349">
      <c r="A38" s="1108" t="e">
        <v>#N/A</v>
      </c>
      <c r="B38" s="1213" t="inlineStr">
        <is>
          <t>Fita Adesiva Antiderrapante Transparente 50mmx5m Tekbond</t>
        </is>
      </c>
      <c r="C38" s="1213" t="n"/>
      <c r="D38" s="1029" t="n">
        <v>62.4</v>
      </c>
      <c r="E38" s="1061" t="n">
        <v>0.01</v>
      </c>
      <c r="F38" s="1132" t="n">
        <v>1</v>
      </c>
      <c r="G38" s="1113" t="n">
        <v>0.2</v>
      </c>
      <c r="H38" s="1024" t="n">
        <v>12.48</v>
      </c>
      <c r="I38" s="999" t="n">
        <v>4</v>
      </c>
      <c r="J38" s="999">
        <f>D38*(1-E38) * (3.5%)</f>
        <v/>
      </c>
      <c r="K38" s="1220">
        <f>D38*(1-E38)*18%</f>
        <v/>
      </c>
      <c r="L38" s="1220">
        <f>((D38*(1-E38))-K38)*1.65%</f>
        <v/>
      </c>
      <c r="M38" s="1220">
        <f>((D38*(1-E38))-K38)*7.6%</f>
        <v/>
      </c>
      <c r="N38" s="1221">
        <f>(H38+I38+J38)*9.25% + (H38+I38)*12%</f>
        <v/>
      </c>
      <c r="O38" s="1130" t="n"/>
      <c r="P38" s="1050" t="n">
        <v>30.62</v>
      </c>
      <c r="Q38" s="1024">
        <f>(D38*(1-E38)+(F38* O38)+N38)-(H38+I38+J38+K38+L38+M38+(P38*F38))</f>
        <v/>
      </c>
      <c r="R38" s="1002">
        <f>Q38/(D38*(1-E38))</f>
        <v/>
      </c>
      <c r="S38" s="1189" t="n"/>
      <c r="T38" s="1030" t="n"/>
    </row>
    <row r="39" ht="24.75" customHeight="1" s="1349">
      <c r="A39" s="1108" t="e">
        <v>#N/A</v>
      </c>
      <c r="B39" s="1213" t="inlineStr">
        <is>
          <t>Fita Adesiva Silver Tape Tekbond Multiuso 48mm X 5m - Preta</t>
        </is>
      </c>
      <c r="C39" s="1213" t="n"/>
      <c r="D39" s="1029" t="n">
        <v>21</v>
      </c>
      <c r="E39" s="1061" t="n">
        <v>0.01</v>
      </c>
      <c r="F39" s="1132" t="n">
        <v>1</v>
      </c>
      <c r="G39" s="1113" t="n">
        <v>0.2</v>
      </c>
      <c r="H39" s="1024" t="n">
        <v>4.2</v>
      </c>
      <c r="I39" s="999" t="n">
        <v>4</v>
      </c>
      <c r="J39" s="999">
        <f>D39*(1-E39) * (3.5%)</f>
        <v/>
      </c>
      <c r="K39" s="1220">
        <f>D39*(1-E39)*18%</f>
        <v/>
      </c>
      <c r="L39" s="1220">
        <f>((D39*(1-E39))-K39)*1.65%</f>
        <v/>
      </c>
      <c r="M39" s="1220">
        <f>((D39*(1-E39))-K39)*7.6%</f>
        <v/>
      </c>
      <c r="N39" s="1221">
        <f>(H39+I39+J39)*9.25% + (H39+I39)*12%</f>
        <v/>
      </c>
      <c r="O39" s="1130" t="n"/>
      <c r="P39" s="1050" t="n">
        <v>6.96</v>
      </c>
      <c r="Q39" s="1024">
        <f>(D39*(1-E39)+(F39* O39)+N39)-(H39+I39+J39+K39+L39+M39+(P39*F39))</f>
        <v/>
      </c>
      <c r="R39" s="1002">
        <f>Q39/(D39*(1-E39))</f>
        <v/>
      </c>
      <c r="S39" s="1189" t="n"/>
      <c r="T39" s="1030" t="n"/>
    </row>
    <row r="40" ht="24.75" customHeight="1" s="1349">
      <c r="A40" s="1108" t="e">
        <v>#N/A</v>
      </c>
      <c r="B40" s="1020" t="inlineStr">
        <is>
          <t>Cola Branca Líquida Pva Extra Tekbond 500g Colar Cor Branca</t>
        </is>
      </c>
      <c r="C40" s="1026" t="n"/>
      <c r="D40" s="1132" t="n">
        <v>21.9</v>
      </c>
      <c r="E40" s="1061" t="n">
        <v>0.01</v>
      </c>
      <c r="F40" s="1132" t="n">
        <v>1</v>
      </c>
      <c r="G40" s="1113" t="n">
        <v>0.2</v>
      </c>
      <c r="H40" s="1024" t="n">
        <v>4.38</v>
      </c>
      <c r="I40" s="999" t="n">
        <v>4</v>
      </c>
      <c r="J40" s="999">
        <f>D40*(1-E40) * (3.5%)</f>
        <v/>
      </c>
      <c r="K40" s="1220">
        <f>D40*(1-E40)*18%</f>
        <v/>
      </c>
      <c r="L40" s="1220">
        <f>((D40*(1-E40))-K40)*1.65%</f>
        <v/>
      </c>
      <c r="M40" s="1220">
        <f>((D40*(1-E40))-K40)*7.6%</f>
        <v/>
      </c>
      <c r="N40" s="1221">
        <f>(H40+I40+J40)*9.25% + (H40+I40)*12%</f>
        <v/>
      </c>
      <c r="O40" s="1097" t="n">
        <v>2.51</v>
      </c>
      <c r="P40" s="708" t="n">
        <v>9.81</v>
      </c>
      <c r="Q40" s="1024">
        <f>(D40*(1-E40)+(F40* O40)+N40)-(H40+I40+J40+K40+L40+M40+(P40*F40))</f>
        <v/>
      </c>
      <c r="R40" s="1002">
        <f>Q40/(D40*(1-E40))</f>
        <v/>
      </c>
      <c r="S40" s="1189" t="n"/>
      <c r="T40" s="1030" t="n"/>
    </row>
    <row r="41" ht="24.75" customHeight="1" s="1349">
      <c r="A41" s="1108" t="e">
        <v>#N/A</v>
      </c>
      <c r="B41" s="1020" t="inlineStr">
        <is>
          <t>Cola Branca Líquida Pva Extra Tekbond Seca Rapido Artesa 1kg</t>
        </is>
      </c>
      <c r="C41" s="1026" t="n"/>
      <c r="D41" s="1132" t="n">
        <v>32.9</v>
      </c>
      <c r="E41" s="1061" t="n">
        <v>0.01</v>
      </c>
      <c r="F41" s="1132" t="n">
        <v>1</v>
      </c>
      <c r="G41" s="1113" t="n">
        <v>0.2</v>
      </c>
      <c r="H41" s="1024" t="n">
        <v>6.58</v>
      </c>
      <c r="I41" s="999" t="n">
        <v>4</v>
      </c>
      <c r="J41" s="999">
        <f>D41*(1-E41) * (3.5%)</f>
        <v/>
      </c>
      <c r="K41" s="1220">
        <f>D41*(1-E41)*18%</f>
        <v/>
      </c>
      <c r="L41" s="1220">
        <f>((D41*(1-E41))-K41)*1.65%</f>
        <v/>
      </c>
      <c r="M41" s="1220">
        <f>((D41*(1-E41))-K41)*7.6%</f>
        <v/>
      </c>
      <c r="N41" s="1221">
        <f>(H41+I41+J41)*9.25% + (H41+I41)*12%</f>
        <v/>
      </c>
      <c r="O41" s="1097" t="n">
        <v>4.47</v>
      </c>
      <c r="P41" s="708" t="n">
        <v>17.45</v>
      </c>
      <c r="Q41" s="1024">
        <f>(D41*(1-E41)+(F41* O41)+N41)-(H41+I41+J41+K41+L41+M41+(P41*F41))</f>
        <v/>
      </c>
      <c r="R41" s="1002">
        <f>Q41/(D41*(1-E41))</f>
        <v/>
      </c>
      <c r="S41" s="1189" t="n"/>
      <c r="T41" s="1030" t="n"/>
    </row>
    <row r="42" ht="24.75" customHeight="1" s="1349">
      <c r="A42" s="1108" t="e">
        <v>#N/A</v>
      </c>
      <c r="B42" s="1020" t="inlineStr">
        <is>
          <t>Kit Completo Pintor Pintura Anti Gota Rolo E Pincel 6 Peças</t>
        </is>
      </c>
      <c r="C42" s="1026" t="n"/>
      <c r="D42" s="1029" t="n">
        <v>64.34999999999999</v>
      </c>
      <c r="E42" s="1061" t="n">
        <v>0.01</v>
      </c>
      <c r="F42" s="1132" t="n">
        <v>1</v>
      </c>
      <c r="G42" s="1113" t="n">
        <v>0.2</v>
      </c>
      <c r="H42" s="1024" t="n">
        <v>12.87</v>
      </c>
      <c r="I42" s="999" t="n">
        <v>4</v>
      </c>
      <c r="J42" s="999">
        <f>D42*(1-E42) * (3.5%)</f>
        <v/>
      </c>
      <c r="K42" s="1220">
        <f>D42*(1-E42)*18%</f>
        <v/>
      </c>
      <c r="L42" s="1220">
        <f>((D42*(1-E42))-K42)*1.65%</f>
        <v/>
      </c>
      <c r="M42" s="1220">
        <f>((D42*(1-E42))-K42)*7.6%</f>
        <v/>
      </c>
      <c r="N42" s="1221">
        <f>(H42+I42+J42)*9.25% + (H42+I42)*12%</f>
        <v/>
      </c>
      <c r="O42" s="1130" t="n"/>
      <c r="P42" s="1050" t="n">
        <v>31.5</v>
      </c>
      <c r="Q42" s="1024">
        <f>(D42*(1-E42)+(F42* O42)+N42)-(H42+I42+J42+K42+L42+M42+(P42*F42))</f>
        <v/>
      </c>
      <c r="R42" s="1002">
        <f>Q42/(D42*(1-E42))</f>
        <v/>
      </c>
      <c r="S42" s="1189" t="n"/>
      <c r="T42" s="1030" t="n"/>
    </row>
    <row r="43" ht="24.75" customHeight="1" s="1349">
      <c r="A43" s="1108" t="e">
        <v>#N/A</v>
      </c>
      <c r="B43" s="1020" t="inlineStr">
        <is>
          <t>Kit Completo Pintura Decoração Pintor Atlas At 1016 7 Peças</t>
        </is>
      </c>
      <c r="C43" s="1026" t="n"/>
      <c r="D43" s="1029" t="n">
        <v>59.4</v>
      </c>
      <c r="E43" s="1061" t="n">
        <v>0.01</v>
      </c>
      <c r="F43" s="1132" t="n">
        <v>1</v>
      </c>
      <c r="G43" s="1113" t="n">
        <v>0.2</v>
      </c>
      <c r="H43" s="1024" t="n">
        <v>11.88</v>
      </c>
      <c r="I43" s="999" t="n">
        <v>4</v>
      </c>
      <c r="J43" s="999">
        <f>D43*(1-E43) * (3.5%)</f>
        <v/>
      </c>
      <c r="K43" s="1220">
        <f>D43*(1-E43)*18%</f>
        <v/>
      </c>
      <c r="L43" s="1220">
        <f>((D43*(1-E43))-K43)*1.65%</f>
        <v/>
      </c>
      <c r="M43" s="1220">
        <f>((D43*(1-E43))-K43)*7.6%</f>
        <v/>
      </c>
      <c r="N43" s="1221">
        <f>(H43+I43+J43)*9.25% + (H43+I43)*12%</f>
        <v/>
      </c>
      <c r="O43" s="1130" t="n"/>
      <c r="P43" s="1050" t="n">
        <v>28.29</v>
      </c>
      <c r="Q43" s="1024">
        <f>(D43*(1-E43)+(F43* O43)+N43)-(H43+I43+J43+K43+L43+M43+(P43*F43))</f>
        <v/>
      </c>
      <c r="R43" s="1002">
        <f>Q43/(D43*(1-E43))</f>
        <v/>
      </c>
      <c r="S43" s="1189" t="n"/>
      <c r="T43" s="1030" t="n"/>
    </row>
    <row r="44" ht="24.75" customHeight="1" s="1349">
      <c r="A44" s="1108" t="e">
        <v>#N/A</v>
      </c>
      <c r="B44" s="1020" t="inlineStr">
        <is>
          <t>Pad Recorte Rodapé Pintura Acabamento Cabo Ajustável 360°</t>
        </is>
      </c>
      <c r="C44" s="1026" t="n"/>
      <c r="D44" s="1132" t="n">
        <v>40.9</v>
      </c>
      <c r="E44" s="1061" t="n">
        <v>0.01</v>
      </c>
      <c r="F44" s="1132" t="n">
        <v>1</v>
      </c>
      <c r="G44" s="1113" t="n">
        <v>0.2</v>
      </c>
      <c r="H44" s="1024" t="n">
        <v>8.18</v>
      </c>
      <c r="I44" s="999" t="n">
        <v>4</v>
      </c>
      <c r="J44" s="999">
        <f>D44*(1-E44) * (3.5%)</f>
        <v/>
      </c>
      <c r="K44" s="1220">
        <f>D44*(1-E44)*18%</f>
        <v/>
      </c>
      <c r="L44" s="1220">
        <f>((D44*(1-E44))-K44)*1.65%</f>
        <v/>
      </c>
      <c r="M44" s="1220">
        <f>((D44*(1-E44))-K44)*7.6%</f>
        <v/>
      </c>
      <c r="N44" s="1221">
        <f>(H44+I44+J44)*9.25% + (H44+I44)*12%</f>
        <v/>
      </c>
      <c r="O44" s="1097" t="n">
        <v>5.31</v>
      </c>
      <c r="P44" s="197" t="n">
        <v>20.77</v>
      </c>
      <c r="Q44" s="1024">
        <f>(D44*(1-E44)+(F44* O44)+N44)-(H44+I44+J44+K44+L44+M44+(P44*F44))</f>
        <v/>
      </c>
      <c r="R44" s="1002">
        <f>Q44/(D44*(1-E44))</f>
        <v/>
      </c>
      <c r="S44" s="1189" t="n"/>
      <c r="T44" s="1030" t="n"/>
    </row>
    <row r="45" ht="24.75" customHeight="1" s="1349">
      <c r="A45" s="1108" t="e">
        <v>#N/A</v>
      </c>
      <c r="B45" s="1020" t="inlineStr">
        <is>
          <t>Pad Recorte Pintura Paredes Rotativo Canto Acabamento Atlas</t>
        </is>
      </c>
      <c r="C45" s="1026" t="n"/>
      <c r="D45" s="1029" t="n">
        <v>37.7</v>
      </c>
      <c r="E45" s="1061" t="n">
        <v>0.01</v>
      </c>
      <c r="F45" s="1132" t="n">
        <v>1</v>
      </c>
      <c r="G45" s="1113" t="n">
        <v>0.2</v>
      </c>
      <c r="H45" s="1024" t="n">
        <v>7.540000000000001</v>
      </c>
      <c r="I45" s="999" t="n">
        <v>4</v>
      </c>
      <c r="J45" s="999">
        <f>D45*(1-E45) * (3.5%)</f>
        <v/>
      </c>
      <c r="K45" s="1220">
        <f>D45*(1-E45)*18%</f>
        <v/>
      </c>
      <c r="L45" s="1220">
        <f>((D45*(1-E45))-K45)*1.65%</f>
        <v/>
      </c>
      <c r="M45" s="1220">
        <f>((D45*(1-E45))-K45)*7.6%</f>
        <v/>
      </c>
      <c r="N45" s="1221">
        <f>(H45+I45+J45)*9.25% + (H45+I45)*12%</f>
        <v/>
      </c>
      <c r="O45" s="1130" t="n"/>
      <c r="P45" s="1050" t="n">
        <v>17.26</v>
      </c>
      <c r="Q45" s="1024">
        <f>(D45*(1-E45)+(F45* O45)+N45)-(H45+I45+J45+K45+L45+M45+(P45*F45))</f>
        <v/>
      </c>
      <c r="R45" s="1002">
        <f>Q45/(D45*(1-E45))</f>
        <v/>
      </c>
      <c r="S45" s="1189" t="n"/>
      <c r="T45" s="1030" t="n"/>
    </row>
    <row r="46" ht="24.75" customHeight="1" s="1349">
      <c r="A46" s="1108" t="inlineStr">
        <is>
          <t>FTD5090</t>
        </is>
      </c>
      <c r="B46" s="1051" t="inlineStr">
        <is>
          <t>Fita Adesiva Telada Juntas Trincas Drywall Gesso 90m X 48mm</t>
        </is>
      </c>
      <c r="C46" s="1052" t="n"/>
      <c r="D46" s="1029" t="n">
        <v>29.7</v>
      </c>
      <c r="E46" s="1061" t="n">
        <v>0.01</v>
      </c>
      <c r="F46" s="1132" t="n">
        <v>1</v>
      </c>
      <c r="G46" s="1113" t="n">
        <v>0.2</v>
      </c>
      <c r="H46" s="1024" t="n">
        <v>5.94</v>
      </c>
      <c r="I46" s="999" t="n">
        <v>4</v>
      </c>
      <c r="J46" s="999">
        <f>D46*(1-E46) * (3.5%)</f>
        <v/>
      </c>
      <c r="K46" s="1220">
        <f>D46*(1-E46)*18%</f>
        <v/>
      </c>
      <c r="L46" s="1220">
        <f>((D46*(1-E46))-K46)*1.65%</f>
        <v/>
      </c>
      <c r="M46" s="1220">
        <f>((D46*(1-E46))-K46)*7.6%</f>
        <v/>
      </c>
      <c r="N46" s="1221">
        <f>(H46+I46+J46)*9.25% + (H46+I46)*12%</f>
        <v/>
      </c>
      <c r="O46" s="1097" t="n">
        <v>1.54</v>
      </c>
      <c r="P46" s="708" t="n">
        <v>11.97</v>
      </c>
      <c r="Q46" s="1024">
        <f>(D46*(1-E46)+(F46* O46)+N46)-(H46+I46+J46+K46+L46+M46+(P46*F46))</f>
        <v/>
      </c>
      <c r="R46" s="1002">
        <f>Q46/(D46*(1-E46))</f>
        <v/>
      </c>
      <c r="S46" s="1189" t="n"/>
      <c r="T46" s="1030" t="n"/>
    </row>
    <row r="47" ht="24.75" customHeight="1" s="1349">
      <c r="A47" s="1108" t="e">
        <v>#N/A</v>
      </c>
      <c r="B47" s="1053" t="inlineStr">
        <is>
          <t>Abafador De Ruidos Auditivo P/ Acoplar Capacete Camper C/ Ca</t>
        </is>
      </c>
      <c r="C47" s="1054" t="n"/>
      <c r="D47" s="1029" t="n">
        <v>34.4</v>
      </c>
      <c r="E47" s="1061" t="n">
        <v>0.01</v>
      </c>
      <c r="F47" s="1132" t="n">
        <v>1</v>
      </c>
      <c r="G47" s="1113" t="n">
        <v>0.2</v>
      </c>
      <c r="H47" s="1024" t="n">
        <v>6.88</v>
      </c>
      <c r="I47" s="999" t="n">
        <v>4</v>
      </c>
      <c r="J47" s="999">
        <f>D47*(1-E47) * (3.5%)</f>
        <v/>
      </c>
      <c r="K47" s="1220">
        <f>D47*(1-E47)*18%</f>
        <v/>
      </c>
      <c r="L47" s="1220">
        <f>((D47*(1-E47))-K47)*1.65%</f>
        <v/>
      </c>
      <c r="M47" s="1220">
        <f>((D47*(1-E47))-K47)*7.6%</f>
        <v/>
      </c>
      <c r="N47" s="1221">
        <f>(H47+I47+J47)*9.25% + (H47+I47)*12%</f>
        <v/>
      </c>
      <c r="O47" s="1130" t="n"/>
      <c r="P47" s="1050" t="n">
        <v>18.04</v>
      </c>
      <c r="Q47" s="1024">
        <f>(D47*(1-E47)+(F47* O47)+N47)-(H47+I47+J47+K47+L47+M47+(P47*F47))</f>
        <v/>
      </c>
      <c r="R47" s="1002">
        <f>Q47/(D47*(1-E47))</f>
        <v/>
      </c>
      <c r="S47" s="1189" t="n"/>
      <c r="T47" s="1030" t="n"/>
    </row>
    <row r="48" ht="24.75" customHeight="1" s="1349">
      <c r="A48" s="1108" t="e">
        <v>#N/A</v>
      </c>
      <c r="B48" s="1056" t="inlineStr">
        <is>
          <t>Bota Botina Segurança Couro Nobuck Impermeável Coturno Bracol Dubai Bae Bico PVC Resistente C/ CA</t>
        </is>
      </c>
      <c r="C48" s="1056" t="n"/>
      <c r="D48" s="1029" t="n">
        <v>160.2</v>
      </c>
      <c r="E48" s="1061" t="n">
        <v>0.01</v>
      </c>
      <c r="F48" s="1132" t="n">
        <v>1</v>
      </c>
      <c r="G48" s="1113" t="n">
        <v>0.14</v>
      </c>
      <c r="H48" s="1024" t="n">
        <v>22.428</v>
      </c>
      <c r="I48" s="999" t="n">
        <v>20</v>
      </c>
      <c r="J48" s="999">
        <f>D48*(1-E48) * (3.5%)</f>
        <v/>
      </c>
      <c r="K48" s="1220">
        <f>D48*(1-E48)*18%</f>
        <v/>
      </c>
      <c r="L48" s="1220">
        <f>((D48*(1-E48))-K48)*1.65%</f>
        <v/>
      </c>
      <c r="M48" s="1220">
        <f>((D48*(1-E48))-K48)*7.6%</f>
        <v/>
      </c>
      <c r="N48" s="1221">
        <f>(H48+I48+J48)*9.25% + (H48+I48)*12%</f>
        <v/>
      </c>
      <c r="O48" s="1130" t="n"/>
      <c r="P48" s="1050" t="n">
        <v>88</v>
      </c>
      <c r="Q48" s="1024">
        <f>(D48*(1-E48)+(F48* O48)+N48)-(H48+I48+J48+K48+L48+M48+(P48*F48))</f>
        <v/>
      </c>
      <c r="R48" s="1002">
        <f>Q48/(D48*(1-E48))</f>
        <v/>
      </c>
      <c r="S48" s="1189" t="n"/>
      <c r="T48" s="1030" t="n"/>
    </row>
    <row r="49" ht="24.75" customHeight="1" s="1349">
      <c r="A49" s="1108" t="e">
        <v>#N/A</v>
      </c>
      <c r="B49" s="1053" t="inlineStr">
        <is>
          <t>Óculos Proteção Uv Delta Plus Summer Incolor Com Ca 19.176</t>
        </is>
      </c>
      <c r="C49" s="1054" t="n"/>
      <c r="D49" s="1029" t="n">
        <v>11.31</v>
      </c>
      <c r="E49" s="1061" t="n">
        <v>0.01</v>
      </c>
      <c r="F49" s="1132" t="n">
        <v>1</v>
      </c>
      <c r="G49" s="1113" t="n">
        <v>0.2</v>
      </c>
      <c r="H49" s="1024" t="n">
        <v>2.262</v>
      </c>
      <c r="I49" s="999" t="n">
        <v>4</v>
      </c>
      <c r="J49" s="999">
        <f>D49*(1-E49) * (3.5%)</f>
        <v/>
      </c>
      <c r="K49" s="1220">
        <f>D49*(1-E49)*18%</f>
        <v/>
      </c>
      <c r="L49" s="1220">
        <f>((D49*(1-E49))-K49)*1.65%</f>
        <v/>
      </c>
      <c r="M49" s="1220">
        <f>((D49*(1-E49))-K49)*7.6%</f>
        <v/>
      </c>
      <c r="N49" s="1221">
        <f>(H49+I49+J49)*9.25% + (H49+I49)*12%</f>
        <v/>
      </c>
      <c r="O49" s="1130" t="n"/>
      <c r="P49" s="1050" t="n">
        <v>1.87</v>
      </c>
      <c r="Q49" s="1024">
        <f>(D49*(1-E49)+(F49* O49)+N49)-(H49+I49+J49+K49+L49+M49+(P49*F49))</f>
        <v/>
      </c>
      <c r="R49" s="1002">
        <f>Q49/(D49*(1-E49))</f>
        <v/>
      </c>
      <c r="S49" s="1189" t="n"/>
      <c r="T49" s="1030" t="n"/>
    </row>
    <row r="50" ht="24.75" customHeight="1" s="1349">
      <c r="A50" s="1108" t="e">
        <v>#N/A</v>
      </c>
      <c r="B50" s="1053" t="inlineStr">
        <is>
          <t>Abafador Concha Camper Confort Plus Ca48054 Protetor Auditiv</t>
        </is>
      </c>
      <c r="C50" s="1054" t="n"/>
      <c r="D50" s="1218" t="n">
        <v>55.95</v>
      </c>
      <c r="E50" s="1061" t="n">
        <v>0.01</v>
      </c>
      <c r="F50" s="1132" t="n">
        <v>1</v>
      </c>
      <c r="G50" s="1113" t="n">
        <v>0.2</v>
      </c>
      <c r="H50" s="1024" t="n">
        <v>11.19</v>
      </c>
      <c r="I50" s="999" t="n">
        <v>4</v>
      </c>
      <c r="J50" s="999">
        <f>D50*(1-E50) * (3.5%)</f>
        <v/>
      </c>
      <c r="K50" s="1220">
        <f>D50*(1-E50)*18%</f>
        <v/>
      </c>
      <c r="L50" s="1220">
        <f>((D50*(1-E50))-K50)*1.65%</f>
        <v/>
      </c>
      <c r="M50" s="1220">
        <f>((D50*(1-E50))-K50)*7.6%</f>
        <v/>
      </c>
      <c r="N50" s="1221">
        <f>(H50+I50+J50)*9.25% + (H50+I50)*12%</f>
        <v/>
      </c>
      <c r="O50" s="1130" t="n"/>
      <c r="P50" s="1050" t="n">
        <v>30.63</v>
      </c>
      <c r="Q50" s="1024">
        <f>(D50*(1-E50)+(F50* O50)+N50)-(H50+I50+J50+K50+L50+M50+(P50*F50))</f>
        <v/>
      </c>
      <c r="R50" s="1002">
        <f>Q50/(D50*(1-E50))</f>
        <v/>
      </c>
      <c r="S50" s="1189" t="n"/>
      <c r="T50" s="1030" t="n"/>
    </row>
    <row r="51" ht="24.75" customHeight="1" s="1349">
      <c r="A51" s="1108" t="e">
        <v>#N/A</v>
      </c>
      <c r="B51" s="1053" t="inlineStr">
        <is>
          <t>Luva De Pedreiro Tricotada Pigmentada Reforçada Reforma 12un</t>
        </is>
      </c>
      <c r="C51" s="1054" t="n"/>
      <c r="D51" s="1132" t="n">
        <v>39.5</v>
      </c>
      <c r="E51" s="1061" t="n">
        <v>0.01</v>
      </c>
      <c r="F51" s="1132" t="n">
        <v>12</v>
      </c>
      <c r="G51" s="1113" t="n">
        <v>0.2</v>
      </c>
      <c r="H51" s="1024" t="n">
        <v>7.9</v>
      </c>
      <c r="I51" s="999" t="n">
        <v>4</v>
      </c>
      <c r="J51" s="999">
        <f>D51*(1-E51) * (1%)</f>
        <v/>
      </c>
      <c r="K51" s="1220">
        <f>D51*(1-E51)*18%</f>
        <v/>
      </c>
      <c r="L51" s="1220">
        <f>((D51*(1-E51))-K51)*1.65%</f>
        <v/>
      </c>
      <c r="M51" s="1220">
        <f>((D51*(1-E51))-K51)*7.6%</f>
        <v/>
      </c>
      <c r="N51" s="1221">
        <f>(H51+I51+J51)*9.25% + (H51+I51)*12%</f>
        <v/>
      </c>
      <c r="O51" s="1097" t="n">
        <v>0.2</v>
      </c>
      <c r="P51" s="708" t="n">
        <v>1.52</v>
      </c>
      <c r="Q51" s="1024">
        <f>(D51*(1-E51)+(F51* O51)+N51)-(H51+I51+J51+K51+L51+M51+(P51*F51))</f>
        <v/>
      </c>
      <c r="R51" s="1002">
        <f>Q51/(D51*(1-E51))</f>
        <v/>
      </c>
      <c r="S51" s="1189" t="n"/>
      <c r="T51" s="1030" t="n"/>
    </row>
    <row r="52" outlineLevel="1" ht="24.75" customHeight="1" s="1349">
      <c r="A52" s="1108" t="n">
        <v>912181</v>
      </c>
      <c r="B52" s="1058" t="inlineStr">
        <is>
          <t>PAR Luva Soldador Weld Master 41cm Alta Temperatura Até 500ºc c/ Ca</t>
        </is>
      </c>
      <c r="C52" s="1059" t="n"/>
      <c r="D52" s="1132" t="n">
        <v>102.1</v>
      </c>
      <c r="E52" s="1061" t="n">
        <v>0.01</v>
      </c>
      <c r="F52" s="1132" t="n">
        <v>1</v>
      </c>
      <c r="G52" s="1113" t="n">
        <v>0.14</v>
      </c>
      <c r="H52" s="1024" t="n">
        <v>13.139</v>
      </c>
      <c r="I52" s="999" t="n">
        <v>16</v>
      </c>
      <c r="J52" s="999">
        <f>D52*(1-E52) * (0.5%)</f>
        <v/>
      </c>
      <c r="K52" s="1220">
        <f>D52*(1-E52)*18%</f>
        <v/>
      </c>
      <c r="L52" s="1220">
        <f>((D52*(1-E52))-K52)*1.65%</f>
        <v/>
      </c>
      <c r="M52" s="1220">
        <f>((D52*(1-E52))-K52)*7.6%</f>
        <v/>
      </c>
      <c r="N52" s="1221">
        <f>(H52+I52+J52)*9.25% + (H52+I52)*12%</f>
        <v/>
      </c>
      <c r="O52" s="715" t="n">
        <v>6.52</v>
      </c>
      <c r="P52" s="1118" t="n">
        <v>50.62</v>
      </c>
      <c r="Q52" s="1024">
        <f>(D52*(1-E52)+(F52* O52)+N52)-(H52+I52+J52+K52+L52+M52+(P52*F52))</f>
        <v/>
      </c>
      <c r="R52" s="1002">
        <f>Q52/(D52*(1-E52))</f>
        <v/>
      </c>
      <c r="S52" s="1189" t="inlineStr">
        <is>
          <t>PAR</t>
        </is>
      </c>
      <c r="T52" s="1030" t="n"/>
    </row>
    <row r="53" outlineLevel="1" ht="24.75" customHeight="1" s="1349">
      <c r="A53" s="1108" t="e">
        <v>#N/A</v>
      </c>
      <c r="B53" s="1058" t="inlineStr">
        <is>
          <t xml:space="preserve"> DIREITA Luva Soldador Weld Master 41cm Alta Temperatura Até 500ºc c/ Ca</t>
        </is>
      </c>
      <c r="C53" s="1059" t="n"/>
      <c r="D53" s="1132" t="n">
        <v>53.11</v>
      </c>
      <c r="E53" s="1061" t="n">
        <v>0.01</v>
      </c>
      <c r="F53" s="1132" t="n">
        <v>1</v>
      </c>
      <c r="G53" s="1113" t="n">
        <v>0.2</v>
      </c>
      <c r="H53" s="1024" t="n">
        <v>10.622</v>
      </c>
      <c r="I53" s="999" t="n">
        <v>4</v>
      </c>
      <c r="J53" s="999">
        <f>D53*(1-E53) * (3.5%)</f>
        <v/>
      </c>
      <c r="K53" s="1220">
        <f>D53*(1-E53)*18%</f>
        <v/>
      </c>
      <c r="L53" s="1220">
        <f>((D53*(1-E53))-K53)*1.65%</f>
        <v/>
      </c>
      <c r="M53" s="1220">
        <f>((D53*(1-E53))-K53)*7.6%</f>
        <v/>
      </c>
      <c r="N53" s="1221">
        <f>(H53+I53+J53)*9.25% + (H53+I53)*12%</f>
        <v/>
      </c>
      <c r="O53" s="715" t="n">
        <v>3.26</v>
      </c>
      <c r="P53" s="1118" t="n">
        <v>25.31</v>
      </c>
      <c r="Q53" s="1024">
        <f>(D53*(1-E53)+(F53* O53)+N53)-(H53+I53+J53+K53+L53+M53+(P53*F53))</f>
        <v/>
      </c>
      <c r="R53" s="1002">
        <f>Q53/(D53*(1-E53))</f>
        <v/>
      </c>
      <c r="S53" s="1189" t="inlineStr">
        <is>
          <t>ESQUERDA</t>
        </is>
      </c>
      <c r="T53" s="1030" t="n"/>
    </row>
    <row r="54" ht="24.75" customHeight="1" s="1349">
      <c r="A54" s="1108" t="e">
        <v>#N/A</v>
      </c>
      <c r="B54" s="1058" t="inlineStr">
        <is>
          <t xml:space="preserve"> ESQUERDA Luva Soldador Weld Master 41cm Alta Temperatura Até 500ºc c/ Ca</t>
        </is>
      </c>
      <c r="C54" s="1059" t="n"/>
      <c r="D54" s="1132" t="n">
        <v>53.11</v>
      </c>
      <c r="E54" s="1061" t="n">
        <v>0.01</v>
      </c>
      <c r="F54" s="1102" t="n">
        <v>1</v>
      </c>
      <c r="G54" s="1063" t="n">
        <v>0.2</v>
      </c>
      <c r="H54" s="1064" t="n">
        <v>10.622</v>
      </c>
      <c r="I54" s="1066" t="n">
        <v>4</v>
      </c>
      <c r="J54" s="1066">
        <f>D54*(1-E54) * (3.5%)</f>
        <v/>
      </c>
      <c r="K54" s="1220">
        <f>D54*(1-E54)*18%</f>
        <v/>
      </c>
      <c r="L54" s="1220">
        <f>((D54*(1-E54))-K54)*1.65%</f>
        <v/>
      </c>
      <c r="M54" s="1220">
        <f>((D54*(1-E54))-K54)*7.6%</f>
        <v/>
      </c>
      <c r="N54" s="1221">
        <f>(H54+I54+J54)*9.25% + (H54+I54)*12%</f>
        <v/>
      </c>
      <c r="O54" s="715" t="n">
        <v>3.26</v>
      </c>
      <c r="P54" s="1086" t="n">
        <v>25.31</v>
      </c>
      <c r="Q54" s="1024">
        <f>(D54*(1-E54)+(F54* O54)+N54)-(H54+I54+J54+K54+L54+M54+(P54*F54))</f>
        <v/>
      </c>
      <c r="R54" s="1068">
        <f>Q54/(D54*(1-E54))</f>
        <v/>
      </c>
      <c r="S54" s="1189" t="inlineStr">
        <is>
          <t>DIREITA</t>
        </is>
      </c>
      <c r="T54" s="1030" t="n"/>
    </row>
    <row r="55" ht="24.75" customHeight="1" s="1349">
      <c r="A55" s="1108" t="e">
        <v>#N/A</v>
      </c>
      <c r="B55" s="1070" t="inlineStr">
        <is>
          <t>Kit Obra Epi Capacete + Luva + Protetor + Mascara + 2 Óculos</t>
        </is>
      </c>
      <c r="C55" s="1070" t="n"/>
      <c r="D55" s="1029" t="n">
        <v>31.16</v>
      </c>
      <c r="E55" s="1061" t="n">
        <v>0.01</v>
      </c>
      <c r="F55" s="1132" t="n">
        <v>1</v>
      </c>
      <c r="G55" s="1113" t="n">
        <v>0.2</v>
      </c>
      <c r="H55" s="1024" t="n">
        <v>6.232</v>
      </c>
      <c r="I55" s="999" t="n">
        <v>4</v>
      </c>
      <c r="J55" s="999">
        <f>D55*(1-E55) * (3.5%)</f>
        <v/>
      </c>
      <c r="K55" s="1220">
        <f>D55*(1-E55)*18%</f>
        <v/>
      </c>
      <c r="L55" s="1220">
        <f>((D55*(1-E55))-K55)*1.65%</f>
        <v/>
      </c>
      <c r="M55" s="1220">
        <f>((D55*(1-E55))-K55)*7.6%</f>
        <v/>
      </c>
      <c r="N55" s="1221">
        <f>(H55+I55+J55)*9.25% + (H55+I55)*12%</f>
        <v/>
      </c>
      <c r="O55" s="1130" t="n"/>
      <c r="P55" s="1050" t="n">
        <v>15.01</v>
      </c>
      <c r="Q55" s="1024">
        <f>(D55*(1-E55)+(F55* O55)+N55)-(H55+I55+J55+K55+L55+M55+(P55*F55))</f>
        <v/>
      </c>
      <c r="R55" s="1002">
        <f>Q55/(D55*(1-E55))</f>
        <v/>
      </c>
      <c r="S55" s="1189" t="n"/>
      <c r="T55" s="1030" t="n"/>
    </row>
    <row r="56" ht="24.75" customHeight="1" s="1349">
      <c r="A56" s="1108" t="n">
        <v>10034034166301</v>
      </c>
      <c r="B56" s="1071" t="inlineStr">
        <is>
          <t>Parafuso Drywall Trombeta Ponta Agulha 3,5x35 Caixa 500pçs Gn35</t>
        </is>
      </c>
      <c r="C56" s="1059" t="n"/>
      <c r="D56" s="1132" t="n">
        <v>38.25</v>
      </c>
      <c r="E56" s="1061" t="n">
        <v>0.01</v>
      </c>
      <c r="F56" s="1132" t="n">
        <v>500</v>
      </c>
      <c r="G56" s="1113" t="n">
        <v>0.2</v>
      </c>
      <c r="H56" s="1024" t="n">
        <v>7.65</v>
      </c>
      <c r="I56" s="999" t="n">
        <v>4</v>
      </c>
      <c r="J56" s="999">
        <f>D56*(1-E56) * (3.5%)</f>
        <v/>
      </c>
      <c r="K56" s="1220">
        <f>D56*(1-E56)*18%</f>
        <v/>
      </c>
      <c r="L56" s="1220">
        <f>((D56*(1-E56))-K56)*1.65%</f>
        <v/>
      </c>
      <c r="M56" s="1220">
        <f>((D56*(1-E56))-K56)*7.6%</f>
        <v/>
      </c>
      <c r="N56" s="1221">
        <f>(H56+I56+J56)*9.25% + (H56+I56)*12%</f>
        <v/>
      </c>
      <c r="O56" s="1130" t="n"/>
      <c r="P56" s="1118" t="n">
        <v>0.03</v>
      </c>
      <c r="Q56" s="1024">
        <f>(D56*(1-E56)+(F56* O56)+N56)-(H56+I56+J56+K56+L56+M56+(P56*F56))</f>
        <v/>
      </c>
      <c r="R56" s="1002">
        <f>Q56/(D56*(1-E56))</f>
        <v/>
      </c>
      <c r="S56" s="1189" t="n"/>
      <c r="T56" s="1030" t="n"/>
    </row>
    <row r="57" ht="24.75" customHeight="1" s="1349">
      <c r="A57" s="1108" t="e">
        <v>#N/A</v>
      </c>
      <c r="B57" s="1071" t="inlineStr">
        <is>
          <t>Pistola De Fixação Ação Indireta Ancora Fai72n c/ Maleta e 2 Embolo</t>
        </is>
      </c>
      <c r="C57" s="1059" t="n"/>
      <c r="D57" s="1132" t="n">
        <v>847</v>
      </c>
      <c r="E57" s="1061" t="n">
        <v>0.01</v>
      </c>
      <c r="F57" s="1132" t="n">
        <v>1</v>
      </c>
      <c r="G57" s="1113" t="n">
        <v>0.14</v>
      </c>
      <c r="H57" s="1024" t="n">
        <v>118.58</v>
      </c>
      <c r="I57" s="999" t="n">
        <v>26</v>
      </c>
      <c r="J57" s="999">
        <f>D57*(1-E57) * (2.5%)</f>
        <v/>
      </c>
      <c r="K57" s="1220">
        <f>D57*(1-E57)*18%</f>
        <v/>
      </c>
      <c r="L57" s="1220">
        <f>((D57*(1-E57))-K57)*1.65%</f>
        <v/>
      </c>
      <c r="M57" s="1220">
        <f>((D57*(1-E57))-K57)*7.6%</f>
        <v/>
      </c>
      <c r="N57" s="1221">
        <f>(H57+I57+J57)*9.25% + (H57+I57)*12%</f>
        <v/>
      </c>
      <c r="O57" s="715" t="n">
        <v>101.53</v>
      </c>
      <c r="P57" s="1118" t="n">
        <v>622.6900000000001</v>
      </c>
      <c r="Q57" s="1024">
        <f>(D57*(1-E57)+(F57* O57)+N57)-(H57+I57+J57+K57+L57+M57+(P57*F57))</f>
        <v/>
      </c>
      <c r="R57" s="1002">
        <f>Q57/(D57*(1-E57))</f>
        <v/>
      </c>
      <c r="S57" s="1189" t="n"/>
      <c r="T57" s="1030" t="n"/>
    </row>
    <row r="58" ht="24.75" customHeight="1" s="1349">
      <c r="A58" s="1108" t="e">
        <v>#N/A</v>
      </c>
      <c r="B58" s="1053" t="inlineStr">
        <is>
          <t>Macacão Proteção Pintura Quimico Impermeável C/ Capuz Volk</t>
        </is>
      </c>
      <c r="C58" s="1054" t="n"/>
      <c r="D58" s="1132" t="n">
        <v>20.9</v>
      </c>
      <c r="E58" s="1061" t="n">
        <v>0.01</v>
      </c>
      <c r="F58" s="1132" t="n">
        <v>1</v>
      </c>
      <c r="G58" s="1113" t="n">
        <v>0.2</v>
      </c>
      <c r="H58" s="1024" t="n">
        <v>4.18</v>
      </c>
      <c r="I58" s="999" t="n">
        <v>4</v>
      </c>
      <c r="J58" s="999">
        <f>D58*(1-E58) * (3.5%)</f>
        <v/>
      </c>
      <c r="K58" s="1220">
        <f>D58*(1-E58)*18%</f>
        <v/>
      </c>
      <c r="L58" s="1220">
        <f>((D58*(1-E58))-K58)*1.65%</f>
        <v/>
      </c>
      <c r="M58" s="1220">
        <f>((D58*(1-E58))-K58)*7.6%</f>
        <v/>
      </c>
      <c r="N58" s="1221">
        <f>(H58+I58+J58)*9.25% + (H58+I58)*12%</f>
        <v/>
      </c>
      <c r="O58" s="1097" t="n">
        <v>0.9</v>
      </c>
      <c r="P58" s="197" t="n">
        <v>6.99</v>
      </c>
      <c r="Q58" s="1024">
        <f>(D58*(1-E58)+(F58* O58)+N58)-(H58+I58+J58+K58+L58+M58+(P58*F58))</f>
        <v/>
      </c>
      <c r="R58" s="1002">
        <f>Q58/(D58*(1-E58))</f>
        <v/>
      </c>
      <c r="S58" s="1189" t="n"/>
      <c r="T58" s="1030" t="n"/>
    </row>
    <row r="59" ht="24.75" customHeight="1" s="1349">
      <c r="A59" s="1108" t="e">
        <v>#N/A</v>
      </c>
      <c r="B59" s="1053" t="inlineStr">
        <is>
          <t>Prego 17x21 Com Cabeça Aço Polido Resistente A Corrosão 1kg</t>
        </is>
      </c>
      <c r="C59" s="1054" t="n"/>
      <c r="D59" s="1132" t="n">
        <v>26.5</v>
      </c>
      <c r="E59" s="1061" t="n">
        <v>0.01</v>
      </c>
      <c r="F59" s="1132" t="n">
        <v>1</v>
      </c>
      <c r="G59" s="1113" t="n">
        <v>0.2</v>
      </c>
      <c r="H59" s="1024" t="n">
        <v>5.300000000000001</v>
      </c>
      <c r="I59" s="999" t="n">
        <v>4</v>
      </c>
      <c r="J59" s="999">
        <f>D59*(1-E59) * (3.5%)</f>
        <v/>
      </c>
      <c r="K59" s="1220">
        <f>D59*(1-E59)*18%</f>
        <v/>
      </c>
      <c r="L59" s="1220">
        <f>((D59*(1-E59))-K59)*1.65%</f>
        <v/>
      </c>
      <c r="M59" s="1220">
        <f>((D59*(1-E59))-K59)*7.6%</f>
        <v/>
      </c>
      <c r="N59" s="1221">
        <f>(H59+I59+J59)*9.25% + (H59+I59)*12%</f>
        <v/>
      </c>
      <c r="O59" s="1097" t="n">
        <v>0.91</v>
      </c>
      <c r="P59" s="703" t="n">
        <v>9.73</v>
      </c>
      <c r="Q59" s="999" t="inlineStr">
        <is>
          <t>x</t>
        </is>
      </c>
      <c r="R59" s="1002">
        <f>Q59/(D59*(1-E59))</f>
        <v/>
      </c>
      <c r="S59" s="1189" t="n"/>
      <c r="T59" s="1030" t="n"/>
    </row>
    <row r="60" ht="24.75" customHeight="1" s="1349">
      <c r="A60" s="1108" t="n">
        <v>10034034167325</v>
      </c>
      <c r="B60" s="1051" t="inlineStr">
        <is>
          <t>Abafador Ruido Protetor Auricular Auditivo Camper C200 10un</t>
        </is>
      </c>
      <c r="C60" s="1054" t="n"/>
      <c r="D60" s="1132" t="n">
        <v>216.2</v>
      </c>
      <c r="E60" s="1061" t="n">
        <v>0.01</v>
      </c>
      <c r="F60" s="1132" t="n">
        <v>10</v>
      </c>
      <c r="G60" s="1113" t="n">
        <v>0.14</v>
      </c>
      <c r="H60" s="1024" t="n">
        <v>34.3</v>
      </c>
      <c r="I60" s="999" t="n">
        <v>26</v>
      </c>
      <c r="J60" s="999">
        <f>D60*(1-E60) * (3.5%)</f>
        <v/>
      </c>
      <c r="K60" s="1220">
        <f>D60*(1-E60)*18%</f>
        <v/>
      </c>
      <c r="L60" s="1220">
        <f>((D60*(1-E60))-K60)*1.65%</f>
        <v/>
      </c>
      <c r="M60" s="1220">
        <f>((D60*(1-E60))-K60)*7.6%</f>
        <v/>
      </c>
      <c r="N60" s="1221">
        <f>(H60+I60+J60)*9.25% + (H60+I60)*12%</f>
        <v/>
      </c>
      <c r="O60" s="715" t="n">
        <v>2.03</v>
      </c>
      <c r="P60" s="1072" t="n">
        <v>11.08</v>
      </c>
      <c r="Q60" s="1024">
        <f>(D60*(1-E60)+(F60* O60)+N60)-(H60+I60+J60+K60+L60+M60+(P60*F60))</f>
        <v/>
      </c>
      <c r="R60" s="1002">
        <f>Q60/(D60*(1-E60))</f>
        <v/>
      </c>
      <c r="S60" s="1189" t="n"/>
      <c r="T60" s="1030" t="n"/>
    </row>
    <row r="61" ht="24.75" customHeight="1" s="1349">
      <c r="A61" s="1108" t="e">
        <v>#N/A</v>
      </c>
      <c r="B61" s="1053" t="inlineStr">
        <is>
          <t>Kit 5 Luva De Látex Natural E Neoprene Bicolor - Volk 16779</t>
        </is>
      </c>
      <c r="C61" s="1054" t="n"/>
      <c r="D61" s="1132" t="n">
        <v>49.5</v>
      </c>
      <c r="E61" s="1061" t="n">
        <v>0.01</v>
      </c>
      <c r="F61" s="1132" t="n">
        <v>1</v>
      </c>
      <c r="G61" s="1113" t="n">
        <v>0.2</v>
      </c>
      <c r="H61" s="1024" t="n">
        <v>9.9</v>
      </c>
      <c r="I61" s="999" t="n">
        <v>4</v>
      </c>
      <c r="J61" s="999">
        <f>D61*(1-E61) * (3.5%)</f>
        <v/>
      </c>
      <c r="K61" s="1220">
        <f>D61*(1-E61)*18%</f>
        <v/>
      </c>
      <c r="L61" s="1220">
        <f>((D61*(1-E61))-K61)*1.65%</f>
        <v/>
      </c>
      <c r="M61" s="1220">
        <f>((D61*(1-E61))-K61)*7.6%</f>
        <v/>
      </c>
      <c r="N61" s="1221">
        <f>(H61+I61+J61)*9.25% + (H61+I61)*12%</f>
        <v/>
      </c>
      <c r="O61" s="1130" t="n"/>
      <c r="P61" s="1050" t="n">
        <v>26.5</v>
      </c>
      <c r="Q61" s="1024">
        <f>(D61*(1-E61)+(F61* O61)+N61)-(H61+I61+J61+K61+L61+M61+(P61*F61))</f>
        <v/>
      </c>
      <c r="R61" s="1002">
        <f>Q61/(D61*(1-E61))</f>
        <v/>
      </c>
      <c r="S61" s="1189" t="n"/>
      <c r="T61" s="1030" t="n"/>
    </row>
    <row r="62" ht="24.75" customHeight="1" s="1349">
      <c r="A62" s="1108" t="e">
        <v>#N/A</v>
      </c>
      <c r="B62" s="1053" t="inlineStr">
        <is>
          <t>Pistola De Fixação Ação Indireta Walsywa Pra10 + Brinde</t>
        </is>
      </c>
      <c r="C62" s="1054" t="n"/>
      <c r="D62" s="1029" t="n">
        <v>968</v>
      </c>
      <c r="E62" s="1061" t="n">
        <v>0.01</v>
      </c>
      <c r="F62" s="1132" t="n">
        <v>1</v>
      </c>
      <c r="G62" s="1113" t="n">
        <v>0.14</v>
      </c>
      <c r="H62" s="1024" t="n">
        <v>135.52</v>
      </c>
      <c r="I62" s="999" t="n">
        <v>26</v>
      </c>
      <c r="J62" s="999">
        <f>D62*(1-E62) * (3.5%)</f>
        <v/>
      </c>
      <c r="K62" s="1220">
        <f>D62*(1-E62)*18%</f>
        <v/>
      </c>
      <c r="L62" s="1220">
        <f>((D62*(1-E62))-K62)*1.65%</f>
        <v/>
      </c>
      <c r="M62" s="1220">
        <f>((D62*(1-E62))-K62)*7.6%</f>
        <v/>
      </c>
      <c r="N62" s="1221">
        <f>(H62+I62+J62)*9.25% + (H62+I62)*12%</f>
        <v/>
      </c>
      <c r="O62" s="1130" t="n"/>
      <c r="P62" s="1050" t="n">
        <v>651</v>
      </c>
      <c r="Q62" s="1024">
        <f>(D62*(1-E62)+(F62* O62)+N62)-(H62+I62+J62+K62+L62+M62+(P62*F62))</f>
        <v/>
      </c>
      <c r="R62" s="1002">
        <f>Q62/(D62*(1-E62))</f>
        <v/>
      </c>
      <c r="S62" s="1189" t="n"/>
      <c r="T62" s="1030" t="n"/>
    </row>
    <row r="63" ht="24.75" customHeight="1" s="1349">
      <c r="A63" s="1108" t="e">
        <v>#N/A</v>
      </c>
      <c r="B63" s="1053" t="inlineStr">
        <is>
          <t>Kit 50 Óculos De Proteção Epi Incolor Resistente Proteção</t>
        </is>
      </c>
      <c r="C63" s="1054" t="n"/>
      <c r="D63" s="1029" t="n">
        <v>175.2</v>
      </c>
      <c r="E63" s="1061" t="n">
        <v>0.01</v>
      </c>
      <c r="F63" s="1132" t="n">
        <v>1</v>
      </c>
      <c r="G63" s="1113" t="n">
        <v>0.14</v>
      </c>
      <c r="H63" s="1024" t="n">
        <v>24.528</v>
      </c>
      <c r="I63" s="999" t="n">
        <v>20</v>
      </c>
      <c r="J63" s="999">
        <f>D63*(1-E63) * (3.5%)</f>
        <v/>
      </c>
      <c r="K63" s="1220">
        <f>D63*(1-E63)*18%</f>
        <v/>
      </c>
      <c r="L63" s="1220">
        <f>((D63*(1-E63))-K63)*1.65%</f>
        <v/>
      </c>
      <c r="M63" s="1220">
        <f>((D63*(1-E63))-K63)*7.6%</f>
        <v/>
      </c>
      <c r="N63" s="1221">
        <f>(H63+I63+J63)*9.25% + (H63+I63)*12%</f>
        <v/>
      </c>
      <c r="O63" s="1130" t="n"/>
      <c r="P63" s="1050" t="n">
        <v>96</v>
      </c>
      <c r="Q63" s="1024">
        <f>(D63*(1-E63)+(F63* O63)+N63)-(H63+I63+J63+K63+L63+M63+(P63*F63))</f>
        <v/>
      </c>
      <c r="R63" s="1002">
        <f>Q63/(D63*(1-E63))</f>
        <v/>
      </c>
      <c r="S63" s="1189" t="n"/>
      <c r="T63" s="1030" t="n"/>
    </row>
    <row r="64" ht="24.75" customHeight="1" s="1349">
      <c r="A64" s="1108" t="e">
        <v>#N/A</v>
      </c>
      <c r="B64" s="1053" t="inlineStr">
        <is>
          <t>Kit 50 Unidades Óculos De Proteção Uv Delta Plus Summer Fume</t>
        </is>
      </c>
      <c r="C64" s="1054" t="n"/>
      <c r="D64" s="1029" t="n">
        <v>178.15</v>
      </c>
      <c r="E64" s="1061" t="n">
        <v>0.01</v>
      </c>
      <c r="F64" s="1132" t="n">
        <v>1</v>
      </c>
      <c r="G64" s="1113" t="n">
        <v>0.14</v>
      </c>
      <c r="H64" s="1024" t="n">
        <v>24.941</v>
      </c>
      <c r="I64" s="999" t="n">
        <v>20</v>
      </c>
      <c r="J64" s="999">
        <f>D64*(1-E64) * (3.5%)</f>
        <v/>
      </c>
      <c r="K64" s="1220">
        <f>D64*(1-E64)*18%</f>
        <v/>
      </c>
      <c r="L64" s="1220">
        <f>((D64*(1-E64))-K64)*1.65%</f>
        <v/>
      </c>
      <c r="M64" s="1220">
        <f>((D64*(1-E64))-K64)*7.6%</f>
        <v/>
      </c>
      <c r="N64" s="1221">
        <f>(H64+I64+J64)*9.25% + (H64+I64)*12%</f>
        <v/>
      </c>
      <c r="O64" s="1130" t="n"/>
      <c r="P64" s="1050" t="n">
        <v>96</v>
      </c>
      <c r="Q64" s="1024">
        <f>(D64*(1-E64)+(F64* O64)+N64)-(H64+I64+J64+K64+L64+M64+(P64*F64))</f>
        <v/>
      </c>
      <c r="R64" s="1002">
        <f>Q64/(D64*(1-E64))</f>
        <v/>
      </c>
      <c r="S64" s="1189" t="n"/>
      <c r="T64" s="1030" t="n"/>
    </row>
    <row r="65" ht="24.75" customHeight="1" s="1349">
      <c r="A65" s="1108" t="n">
        <v>71</v>
      </c>
      <c r="B65" s="1051" t="inlineStr">
        <is>
          <t xml:space="preserve">Luva Anticorte Alta Temperatura 250° Volk Black Tractor </t>
        </is>
      </c>
      <c r="C65" s="1054" t="n"/>
      <c r="D65" s="1132" t="n">
        <v>19.99</v>
      </c>
      <c r="E65" s="1061" t="n">
        <v>0.01</v>
      </c>
      <c r="F65" s="1132" t="n">
        <v>1</v>
      </c>
      <c r="G65" s="1113" t="n">
        <v>0.2</v>
      </c>
      <c r="H65" s="1024" t="n">
        <v>4.004</v>
      </c>
      <c r="I65" s="999" t="n">
        <v>4</v>
      </c>
      <c r="J65" s="999">
        <f>D65*(1-E65) * (3.5%)</f>
        <v/>
      </c>
      <c r="K65" s="1220">
        <f>D65*(1-E65)*18%</f>
        <v/>
      </c>
      <c r="L65" s="1220">
        <f>((D65*(1-E65))-K65)*1.65%</f>
        <v/>
      </c>
      <c r="M65" s="1220">
        <f>((D65*(1-E65))-K65)*7.6%</f>
        <v/>
      </c>
      <c r="N65" s="1221">
        <f>(H65+I65+J65)*9.25% + (H65+I65)*12%</f>
        <v/>
      </c>
      <c r="O65" s="715" t="n">
        <v>0.86</v>
      </c>
      <c r="P65" s="1118" t="n">
        <v>6.69</v>
      </c>
      <c r="Q65" s="1024">
        <f>(D65*(1-E65)+(F65* O65)+N65)-(H65+I65+J65+K65+L65+M65+(P65*F65))</f>
        <v/>
      </c>
      <c r="R65" s="1002">
        <f>Q65/(D65*(1-E65))</f>
        <v/>
      </c>
      <c r="S65" s="1189" t="n"/>
      <c r="T65" s="1030" t="n"/>
    </row>
    <row r="66" ht="24.75" customHeight="1" s="1349">
      <c r="A66" s="1108" t="n">
        <v>10034034166352</v>
      </c>
      <c r="B66" s="1051" t="inlineStr">
        <is>
          <t>Luva Anticorte Alta Temperatura 250° Volk Black Tractor 8un</t>
        </is>
      </c>
      <c r="C66" s="1054" t="n"/>
      <c r="D66" s="1132" t="n">
        <v>123.5</v>
      </c>
      <c r="E66" s="1061" t="n">
        <v>0.01</v>
      </c>
      <c r="F66" s="1132" t="n">
        <v>8</v>
      </c>
      <c r="G66" s="1113" t="n">
        <v>0.14</v>
      </c>
      <c r="H66" s="1024" t="n">
        <v>17.29</v>
      </c>
      <c r="I66" s="999" t="n">
        <v>20</v>
      </c>
      <c r="J66" s="999">
        <f>D66*(1-E66) * (3.5%)</f>
        <v/>
      </c>
      <c r="K66" s="1220">
        <f>D66*(1-E66)*18%</f>
        <v/>
      </c>
      <c r="L66" s="1220">
        <f>((D66*(1-E66))-K66)*1.65%</f>
        <v/>
      </c>
      <c r="M66" s="1220">
        <f>((D66*(1-E66))-K66)*7.6%</f>
        <v/>
      </c>
      <c r="N66" s="1221">
        <f>(H66+I66+J66)*9.25% + (H66+I66)*12%</f>
        <v/>
      </c>
      <c r="O66" s="715" t="n">
        <v>0.86</v>
      </c>
      <c r="P66" s="1118" t="n">
        <v>6.69</v>
      </c>
      <c r="Q66" s="1024">
        <f>(D66*(1-E66)+(F66* O66)+N66)-(H66+I66+J66+K66+L66+M66+(P66*F66))</f>
        <v/>
      </c>
      <c r="R66" s="1002">
        <f>Q66/(D66*(1-E66))</f>
        <v/>
      </c>
      <c r="S66" s="1189" t="n"/>
      <c r="T66" s="1030" t="n"/>
    </row>
    <row r="67" ht="24.75" customHeight="1" s="1349">
      <c r="A67" s="1073" t="n">
        <v>10034034166352</v>
      </c>
      <c r="B67" s="1074" t="inlineStr">
        <is>
          <t>Luva Anticorte Alta Temperatura 250° Volk Black Tractor 8un</t>
        </is>
      </c>
      <c r="C67" s="1075" t="n"/>
      <c r="D67" s="1076" t="n">
        <v>59.9</v>
      </c>
      <c r="E67" s="1077" t="n">
        <v>0.01</v>
      </c>
      <c r="F67" s="1125" t="n">
        <v>4</v>
      </c>
      <c r="G67" s="1079" t="n">
        <v>0.2</v>
      </c>
      <c r="H67" s="1087" t="n">
        <v>11.98</v>
      </c>
      <c r="I67" s="1082" t="n">
        <v>4</v>
      </c>
      <c r="J67" s="1082">
        <f>D67*(1-E67) * (3.5%)</f>
        <v/>
      </c>
      <c r="K67" s="1083">
        <f>D67*(1-E67)*18%</f>
        <v/>
      </c>
      <c r="L67" s="1083">
        <f>((D67*(1-E67))-K67)*1.65%</f>
        <v/>
      </c>
      <c r="M67" s="1083">
        <f>((D67*(1-E67))-K67)*7.6%</f>
        <v/>
      </c>
      <c r="N67" s="1084">
        <f>(H67+I67+J67)*9.25% + (H67+I67)*12%</f>
        <v/>
      </c>
      <c r="O67" s="1085" t="n">
        <v>0.86</v>
      </c>
      <c r="P67" s="1086" t="n">
        <v>6.69</v>
      </c>
      <c r="Q67" s="1087">
        <f>(D67*(1-E67)+(F67* O67)+N67)-(H67+I67+J67+K67+L67+M67+(P67*F67))</f>
        <v/>
      </c>
      <c r="R67" s="1088">
        <f>Q67/(D67*(1-E67))</f>
        <v/>
      </c>
      <c r="S67" s="1089" t="n"/>
      <c r="T67" s="668" t="n"/>
      <c r="U67" s="579" t="n"/>
      <c r="V67" s="579" t="n"/>
      <c r="W67" s="579" t="n"/>
      <c r="X67" s="579" t="n"/>
      <c r="Y67" s="579" t="n"/>
      <c r="Z67" s="579" t="n"/>
      <c r="AA67" s="579" t="n"/>
      <c r="AB67" s="579" t="n"/>
      <c r="AC67" s="579" t="n"/>
      <c r="AD67" s="579" t="n"/>
      <c r="AE67" s="579" t="n"/>
      <c r="AF67" s="579" t="n"/>
      <c r="AG67" s="579" t="n"/>
      <c r="AH67" s="579" t="n"/>
      <c r="AI67" s="579" t="n"/>
      <c r="AJ67" s="579" t="n"/>
      <c r="AK67" s="579" t="n"/>
      <c r="AL67" s="579" t="n"/>
      <c r="AM67" s="579" t="n"/>
      <c r="AN67" s="579" t="n"/>
      <c r="AO67" s="579" t="n"/>
      <c r="AP67" s="579" t="n"/>
      <c r="AQ67" s="579" t="n"/>
      <c r="AR67" s="579" t="n"/>
      <c r="AS67" s="579" t="n"/>
      <c r="AT67" s="579" t="n"/>
      <c r="AU67" s="579" t="n"/>
    </row>
    <row r="68" ht="24.75" customHeight="1" s="1349">
      <c r="A68" s="1108" t="e">
        <v>#N/A</v>
      </c>
      <c r="B68" s="1053" t="inlineStr">
        <is>
          <t>Kit Tela De Alvenaria + Pino Liso 1/4x28 + Fincapino Am27</t>
        </is>
      </c>
      <c r="C68" s="1054" t="n"/>
      <c r="D68" s="1029" t="n">
        <v>305.97</v>
      </c>
      <c r="E68" s="1061" t="n">
        <v>0.01</v>
      </c>
      <c r="F68" s="1132" t="n">
        <v>1</v>
      </c>
      <c r="G68" s="1113" t="n">
        <v>0.14</v>
      </c>
      <c r="H68" s="1024" t="n">
        <v>42.83580000000001</v>
      </c>
      <c r="I68" s="999" t="n">
        <v>26</v>
      </c>
      <c r="J68" s="999">
        <f>D68*(1-E68) * (3.5%)</f>
        <v/>
      </c>
      <c r="K68" s="1220">
        <f>D68*(1-E68)*18%</f>
        <v/>
      </c>
      <c r="L68" s="1220">
        <f>((D68*(1-E68))-K68)*1.65%</f>
        <v/>
      </c>
      <c r="M68" s="1220">
        <f>((D68*(1-E68))-K68)*7.6%</f>
        <v/>
      </c>
      <c r="N68" s="1221">
        <f>(H68+I68+J68)*9.25% + (H68+I68)*12%</f>
        <v/>
      </c>
      <c r="O68" s="1130" t="n"/>
      <c r="P68" s="1050" t="n">
        <v>179.76</v>
      </c>
      <c r="Q68" s="1024">
        <f>(D68*(1-E68)+(F68* O68)+N68)-(H68+I68+J68+K68+L68+M68+(P68*F68))</f>
        <v/>
      </c>
      <c r="R68" s="1002">
        <f>Q68/(D68*(1-E68))</f>
        <v/>
      </c>
      <c r="S68" s="1189" t="n"/>
      <c r="T68" s="1030" t="n"/>
    </row>
    <row r="69" ht="24.75" customHeight="1" s="1349">
      <c r="A69" s="1108" t="n">
        <v>10034034167326</v>
      </c>
      <c r="B69" s="1051" t="inlineStr">
        <is>
          <t>Abafador Ruido Protetor Auricular Auditivo Camper C200 5un</t>
        </is>
      </c>
      <c r="C69" s="1054" t="n"/>
      <c r="D69" s="1132" t="n">
        <v>119.89</v>
      </c>
      <c r="E69" s="1061" t="n">
        <v>0.01</v>
      </c>
      <c r="F69" s="1132" t="n">
        <v>5</v>
      </c>
      <c r="G69" s="1113" t="n">
        <v>0.14</v>
      </c>
      <c r="H69" s="1024" t="n">
        <v>18.2</v>
      </c>
      <c r="I69" s="999" t="n">
        <v>20</v>
      </c>
      <c r="J69" s="999">
        <f>D69*(1-E69) * (3.5%)</f>
        <v/>
      </c>
      <c r="K69" s="1220">
        <f>D69*(1-E69)*18%</f>
        <v/>
      </c>
      <c r="L69" s="1220">
        <f>((D69*(1-E69))-K69)*1.65%</f>
        <v/>
      </c>
      <c r="M69" s="1220">
        <f>((D69*(1-E69))-K69)*7.6%</f>
        <v/>
      </c>
      <c r="N69" s="1221">
        <f>(H69+I69+J69)*9.25% + (H69+I69)*12%</f>
        <v/>
      </c>
      <c r="O69" s="715" t="n">
        <v>2.03</v>
      </c>
      <c r="P69" s="1118" t="n">
        <v>11.08</v>
      </c>
      <c r="Q69" s="1024">
        <f>(D69*(1-E69)+(F69* O69)+N69)-(H69+I69+J69+K69+L69+M69+(P69*F69))</f>
        <v/>
      </c>
      <c r="R69" s="1002">
        <f>Q69/(D69*(1-E69))</f>
        <v/>
      </c>
      <c r="S69" s="1189" t="n"/>
      <c r="T69" s="1030" t="n"/>
    </row>
    <row r="70" ht="24.75" customHeight="1" s="1349">
      <c r="A70" s="1108" t="e">
        <v>#N/A</v>
      </c>
      <c r="B70" s="1053" t="inlineStr">
        <is>
          <t>Mola Aérea P/ Porta Até 45kg Fechamento Automático Alumínio</t>
        </is>
      </c>
      <c r="C70" s="1054" t="n"/>
      <c r="D70" s="1132" t="n">
        <v>125.9</v>
      </c>
      <c r="E70" s="1061" t="n">
        <v>0.01</v>
      </c>
      <c r="F70" s="1132" t="n">
        <v>1</v>
      </c>
      <c r="G70" s="1113" t="n">
        <v>0.14</v>
      </c>
      <c r="H70" s="1024" t="n">
        <v>17.626</v>
      </c>
      <c r="I70" s="999" t="n">
        <v>20</v>
      </c>
      <c r="J70" s="999">
        <f>D70*(1-E70) * (3.5%)</f>
        <v/>
      </c>
      <c r="K70" s="1220">
        <f>D70*(1-E70)*18%</f>
        <v/>
      </c>
      <c r="L70" s="1220">
        <f>((D70*(1-E70))-K70)*1.65%</f>
        <v/>
      </c>
      <c r="M70" s="1220">
        <f>((D70*(1-E70))-K70)*7.6%</f>
        <v/>
      </c>
      <c r="N70" s="1221">
        <f>(H70+I70+J70)*9.25% + (H70+I70)*12%</f>
        <v/>
      </c>
      <c r="O70" s="1097" t="n">
        <v>16.15</v>
      </c>
      <c r="P70" s="708" t="n">
        <v>67.23999999999999</v>
      </c>
      <c r="Q70" s="1024">
        <f>(D70*(1-E70)+(F70* O70)+N70)-(H70+I70+J70+K70+L70+M70+(P70*F70))</f>
        <v/>
      </c>
      <c r="R70" s="1002">
        <f>Q70/(D70*(1-E70))</f>
        <v/>
      </c>
      <c r="S70" s="1189" t="n"/>
      <c r="T70" s="1030" t="n"/>
    </row>
    <row r="71" ht="24.75" customHeight="1" s="1349">
      <c r="A71" s="1108" t="e">
        <v>#N/A</v>
      </c>
      <c r="B71" s="1053" t="inlineStr">
        <is>
          <t>Óculos Summer Transparente Delta Plus Ca 19176</t>
        </is>
      </c>
      <c r="C71" s="1054" t="n"/>
      <c r="D71" s="1029" t="n">
        <v>10.2</v>
      </c>
      <c r="E71" s="1061" t="n">
        <v>0.01</v>
      </c>
      <c r="F71" s="1132" t="n">
        <v>1</v>
      </c>
      <c r="G71" s="1113" t="n">
        <v>0.2</v>
      </c>
      <c r="H71" s="1024" t="n">
        <v>2.04</v>
      </c>
      <c r="I71" s="999" t="n">
        <v>4</v>
      </c>
      <c r="J71" s="999">
        <f>D71*(1-E71) * (3.5%)</f>
        <v/>
      </c>
      <c r="K71" s="1220">
        <f>D71*(1-E71)*18%</f>
        <v/>
      </c>
      <c r="L71" s="1220">
        <f>((D71*(1-E71))-K71)*1.65%</f>
        <v/>
      </c>
      <c r="M71" s="1220">
        <f>((D71*(1-E71))-K71)*7.6%</f>
        <v/>
      </c>
      <c r="N71" s="1221">
        <f>(H71+I71+J71)*9.25% + (H71+I71)*12%</f>
        <v/>
      </c>
      <c r="O71" s="1130" t="n"/>
      <c r="P71" s="1050" t="n">
        <v>1.92</v>
      </c>
      <c r="Q71" s="1024">
        <f>(D71*(1-E71)+(F71* O71)+N71)-(H71+I71+J71+K71+L71+M71+(P71*F71))</f>
        <v/>
      </c>
      <c r="R71" s="1002">
        <f>Q71/(D71*(1-E71))</f>
        <v/>
      </c>
      <c r="S71" s="1189" t="n"/>
      <c r="T71" s="1030" t="n"/>
    </row>
    <row r="72" ht="24.75" customHeight="1" s="1349">
      <c r="A72" s="1108" t="n">
        <v>10034034166294</v>
      </c>
      <c r="B72" s="1071" t="inlineStr">
        <is>
          <t>Gaveteiro Bin Expositor Organizador Estante N3 8x10,4x16cm Azul 6un</t>
        </is>
      </c>
      <c r="C72" s="1059" t="n"/>
      <c r="D72" s="1132" t="n">
        <v>22.89</v>
      </c>
      <c r="E72" s="1061" t="n">
        <v>0.01</v>
      </c>
      <c r="F72" s="1132" t="n">
        <v>6</v>
      </c>
      <c r="G72" s="1113" t="n">
        <v>0.2</v>
      </c>
      <c r="H72" s="1024" t="n">
        <v>4.38</v>
      </c>
      <c r="I72" s="999" t="n">
        <v>4</v>
      </c>
      <c r="J72" s="999">
        <f>D72*(1-E72) * (3.5%)</f>
        <v/>
      </c>
      <c r="K72" s="1220">
        <f>D72*(1-E72)*18%</f>
        <v/>
      </c>
      <c r="L72" s="1220">
        <f>((D72*(1-E72))-K72)*1.65%</f>
        <v/>
      </c>
      <c r="M72" s="1220">
        <f>((D72*(1-E72))-K72)*7.6%</f>
        <v/>
      </c>
      <c r="N72" s="1221">
        <f>(H72+I72+J72)*9.25% + (H72+I72)*12%</f>
        <v/>
      </c>
      <c r="O72" s="715" t="n">
        <v>0.38</v>
      </c>
      <c r="P72" s="708" t="n">
        <v>1.49</v>
      </c>
      <c r="Q72" s="1024">
        <f>(D72*(1-E72)+(F72* O72)+N72)-(H72+I72+J72+K72+L72+M72+(P72*F72))</f>
        <v/>
      </c>
      <c r="R72" s="1002">
        <f>Q72/(D72*(1-E72))</f>
        <v/>
      </c>
      <c r="S72" s="1189" t="n"/>
      <c r="T72" s="1030" t="n"/>
    </row>
    <row r="73" ht="24.75" customHeight="1" s="1349">
      <c r="A73" s="1108" t="e">
        <v>#N/A</v>
      </c>
      <c r="B73" s="1053" t="inlineStr">
        <is>
          <t>Respirador 1/4 Semifacial + Filtro Vo/ga Plastcor Ca39428</t>
        </is>
      </c>
      <c r="C73" s="1054" t="n"/>
      <c r="D73" s="1029" t="n">
        <v>20</v>
      </c>
      <c r="E73" s="1061" t="n">
        <v>0.01</v>
      </c>
      <c r="F73" s="1132" t="n">
        <v>1</v>
      </c>
      <c r="G73" s="1113" t="n">
        <v>0.2</v>
      </c>
      <c r="H73" s="1024" t="n">
        <v>4</v>
      </c>
      <c r="I73" s="999" t="n">
        <v>4</v>
      </c>
      <c r="J73" s="999">
        <f>D73*(1-E73) * (3.5%)</f>
        <v/>
      </c>
      <c r="K73" s="1220">
        <f>D73*(1-E73)*18%</f>
        <v/>
      </c>
      <c r="L73" s="1220">
        <f>((D73*(1-E73))-K73)*1.65%</f>
        <v/>
      </c>
      <c r="M73" s="1220">
        <f>((D73*(1-E73))-K73)*7.6%</f>
        <v/>
      </c>
      <c r="N73" s="1221">
        <f>(H73+I73+J73)*9.25% + (H73+I73)*12%</f>
        <v/>
      </c>
      <c r="O73" s="1130" t="n"/>
      <c r="P73" s="1050" t="n">
        <v>13.18</v>
      </c>
      <c r="Q73" s="1024">
        <f>(D73*(1-E73)+(F73* O73)+N73)-(H73+I73+J73+K73+L73+M73+(P73*F73))</f>
        <v/>
      </c>
      <c r="R73" s="1002">
        <f>Q73/(D73*(1-E73))</f>
        <v/>
      </c>
      <c r="S73" s="1189" t="n"/>
      <c r="T73" s="1030" t="n"/>
    </row>
    <row r="74" ht="24.75" customHeight="1" s="1349">
      <c r="A74" s="1108" t="e">
        <v>#N/A</v>
      </c>
      <c r="B74" s="1053" t="inlineStr">
        <is>
          <t>Prego 17x21 Aço Galvanizado A Fogo Zincado Com Cabeça 100un</t>
        </is>
      </c>
      <c r="C74" s="1054" t="n"/>
      <c r="D74" s="1029" t="n">
        <v>21.79</v>
      </c>
      <c r="E74" s="1061" t="n">
        <v>0.01</v>
      </c>
      <c r="F74" s="1132" t="n">
        <v>1</v>
      </c>
      <c r="G74" s="1113" t="n">
        <v>0.2</v>
      </c>
      <c r="H74" s="1024" t="n">
        <v>4.358</v>
      </c>
      <c r="I74" s="999" t="n">
        <v>4</v>
      </c>
      <c r="J74" s="999">
        <f>D74*(1-E74) * (3.5%)</f>
        <v/>
      </c>
      <c r="K74" s="1220">
        <f>D74*(1-E74)*18%</f>
        <v/>
      </c>
      <c r="L74" s="1220">
        <f>((D74*(1-E74))-K74)*1.65%</f>
        <v/>
      </c>
      <c r="M74" s="1220">
        <f>((D74*(1-E74))-K74)*7.6%</f>
        <v/>
      </c>
      <c r="N74" s="1221">
        <f>(H74+I74+J74)*9.25% + (H74+I74)*12%</f>
        <v/>
      </c>
      <c r="O74" s="1130" t="n"/>
      <c r="P74" s="1050" t="n">
        <v>5.97</v>
      </c>
      <c r="Q74" s="1024">
        <f>(D74*(1-E74)+(F74* O74)+N74)-(H74+I74+J74+K74+L74+M74+(P74*F74))</f>
        <v/>
      </c>
      <c r="R74" s="1002">
        <f>Q74/(D74*(1-E74))</f>
        <v/>
      </c>
      <c r="S74" s="1189" t="n"/>
      <c r="T74" s="1030" t="n"/>
    </row>
    <row r="75" ht="24.75" customHeight="1" s="1349">
      <c r="A75" s="1108" t="e">
        <v>#N/A</v>
      </c>
      <c r="B75" s="1053" t="inlineStr">
        <is>
          <t>Pino Com Rosca Ação Indireta 1/4 X 27 X 20mm Pxi2720 100un</t>
        </is>
      </c>
      <c r="C75" s="1054" t="n"/>
      <c r="D75" s="1029" t="n">
        <v>44.43</v>
      </c>
      <c r="E75" s="1061" t="n">
        <v>0.01</v>
      </c>
      <c r="F75" s="1132" t="n">
        <v>1</v>
      </c>
      <c r="G75" s="1113" t="n">
        <v>0.2</v>
      </c>
      <c r="H75" s="1024" t="n">
        <v>8.886000000000001</v>
      </c>
      <c r="I75" s="999" t="n">
        <v>4</v>
      </c>
      <c r="J75" s="999">
        <f>D75*(1-E75) * (3.5%)</f>
        <v/>
      </c>
      <c r="K75" s="1220">
        <f>D75*(1-E75)*18%</f>
        <v/>
      </c>
      <c r="L75" s="1220">
        <f>((D75*(1-E75))-K75)*1.65%</f>
        <v/>
      </c>
      <c r="M75" s="1220">
        <f>((D75*(1-E75))-K75)*7.6%</f>
        <v/>
      </c>
      <c r="N75" s="1221">
        <f>(H75+I75+J75)*9.25% + (H75+I75)*12%</f>
        <v/>
      </c>
      <c r="O75" s="1130" t="n"/>
      <c r="P75" s="1050" t="n">
        <v>23.87</v>
      </c>
      <c r="Q75" s="1024">
        <f>(D75*(1-E75)+(F75* O75)+N75)-(H75+I75+J75+K75+L75+M75+(P75*F75))</f>
        <v/>
      </c>
      <c r="R75" s="1002">
        <f>Q75/(D75*(1-E75))</f>
        <v/>
      </c>
      <c r="S75" s="1189" t="n"/>
      <c r="T75" s="1030" t="n"/>
    </row>
    <row r="76" ht="24.75" customHeight="1" s="1349">
      <c r="A76" s="1108" t="e">
        <v>#N/A</v>
      </c>
      <c r="B76" s="1053" t="inlineStr">
        <is>
          <t>Luva Latex Ranhadura Limpeza Quimico Resistente 40cm Rosa</t>
        </is>
      </c>
      <c r="C76" s="1054" t="n"/>
      <c r="D76" s="1132" t="n">
        <v>18.9</v>
      </c>
      <c r="E76" s="1061" t="n">
        <v>0.01</v>
      </c>
      <c r="F76" s="1132" t="n">
        <v>1</v>
      </c>
      <c r="G76" s="1113" t="n">
        <v>0.2</v>
      </c>
      <c r="H76" s="1024" t="n">
        <v>3.78</v>
      </c>
      <c r="I76" s="999" t="n">
        <v>4</v>
      </c>
      <c r="J76" s="999">
        <f>D76*(1-E76) * (3.5%)</f>
        <v/>
      </c>
      <c r="K76" s="1220">
        <f>D76*(1-E76)*18%</f>
        <v/>
      </c>
      <c r="L76" s="1220">
        <f>((D76*(1-E76))-K76)*1.65%</f>
        <v/>
      </c>
      <c r="M76" s="1220">
        <f>((D76*(1-E76))-K76)*7.6%</f>
        <v/>
      </c>
      <c r="N76" s="1221">
        <f>(H76+I76+J76)*9.25% + (H76+I76)*12%</f>
        <v/>
      </c>
      <c r="O76" s="1097" t="n">
        <v>0.77</v>
      </c>
      <c r="P76" s="708" t="n">
        <v>5.98</v>
      </c>
      <c r="Q76" s="1024">
        <f>(D76*(1-E76)+(F76* O76)+N76)-(H76+I76+J76+K76+L76+M76+(P76*F76))</f>
        <v/>
      </c>
      <c r="R76" s="1002">
        <f>Q76/(D76*(1-E76))</f>
        <v/>
      </c>
      <c r="S76" s="1189" t="n"/>
      <c r="T76" s="1030" t="n"/>
    </row>
    <row r="77" ht="24.75" customHeight="1" s="1349">
      <c r="A77" s="1108" t="e">
        <v>#N/A</v>
      </c>
      <c r="B77" s="1053" t="inlineStr">
        <is>
          <t>Kit 20 Óculos Proteção Uvb/uva Delta Plus Summer Incolor</t>
        </is>
      </c>
      <c r="C77" s="1054" t="n"/>
      <c r="D77" s="1029" t="n">
        <v>76</v>
      </c>
      <c r="E77" s="1061" t="n">
        <v>0.01</v>
      </c>
      <c r="F77" s="1132" t="n">
        <v>1</v>
      </c>
      <c r="G77" s="1113" t="n">
        <v>0.2</v>
      </c>
      <c r="H77" s="1024" t="n">
        <v>15.2</v>
      </c>
      <c r="I77" s="999" t="n">
        <v>4</v>
      </c>
      <c r="J77" s="999">
        <f>D77*(1-E77) * (3.5%)</f>
        <v/>
      </c>
      <c r="K77" s="1220">
        <f>D77*(1-E77)*18%</f>
        <v/>
      </c>
      <c r="L77" s="1220">
        <f>((D77*(1-E77))-K77)*1.65%</f>
        <v/>
      </c>
      <c r="M77" s="1220">
        <f>((D77*(1-E77))-K77)*7.6%</f>
        <v/>
      </c>
      <c r="N77" s="1221">
        <f>(H77+I77+J77)*9.25% + (H77+I77)*12%</f>
        <v/>
      </c>
      <c r="O77" s="1130" t="n"/>
      <c r="P77" s="1050" t="n">
        <v>38.4</v>
      </c>
      <c r="Q77" s="1024">
        <f>(D77*(1-E77)+(F77* O77)+N77)-(H77+I77+J77+K77+L77+M77+(P77*F77))</f>
        <v/>
      </c>
      <c r="R77" s="1002">
        <f>Q77/(D77*(1-E77))</f>
        <v/>
      </c>
      <c r="S77" s="1189" t="n"/>
      <c r="T77" s="1030" t="n"/>
    </row>
    <row r="78" ht="24.75" customHeight="1" s="1349">
      <c r="A78" s="1108" t="e">
        <v>#N/A</v>
      </c>
      <c r="B78" s="1053" t="inlineStr">
        <is>
          <t>Pistola Fixação De Ação Direta Fincapino Pino Dfg-40 Walsywa</t>
        </is>
      </c>
      <c r="C78" s="1054" t="n"/>
      <c r="D78" s="1029" t="n">
        <v>1799</v>
      </c>
      <c r="E78" s="1061" t="n">
        <v>0.01</v>
      </c>
      <c r="F78" s="1132" t="n">
        <v>1</v>
      </c>
      <c r="G78" s="1113" t="n">
        <v>0.14</v>
      </c>
      <c r="H78" s="1024" t="n">
        <v>251.86</v>
      </c>
      <c r="I78" s="999" t="n">
        <v>26</v>
      </c>
      <c r="J78" s="999">
        <f>D78*(1-E78) * (3.5%)</f>
        <v/>
      </c>
      <c r="K78" s="1220">
        <f>D78*(1-E78)*18%</f>
        <v/>
      </c>
      <c r="L78" s="1220">
        <f>((D78*(1-E78))-K78)*1.65%</f>
        <v/>
      </c>
      <c r="M78" s="1220">
        <f>((D78*(1-E78))-K78)*7.6%</f>
        <v/>
      </c>
      <c r="N78" s="1221">
        <f>(H78+I78+J78)*9.25% + (H78+I78)*12%</f>
        <v/>
      </c>
      <c r="O78" s="1130" t="n"/>
      <c r="P78" s="1050" t="n">
        <v>1223.87</v>
      </c>
      <c r="Q78" s="1024">
        <f>(D78*(1-E78)+(F78* O78)+N78)-(H78+I78+J78+K78+L78+M78+(P78*F78))</f>
        <v/>
      </c>
      <c r="R78" s="1002">
        <f>Q78/(D78*(1-E78))</f>
        <v/>
      </c>
      <c r="S78" s="1189" t="n"/>
      <c r="T78" s="1030" t="n"/>
    </row>
    <row r="79" ht="24.75" customHeight="1" s="1349">
      <c r="A79" s="1108" t="e">
        <v>#N/A</v>
      </c>
      <c r="B79" s="1053" t="inlineStr">
        <is>
          <t>Gerdau Prego Polido Com Cabeça 17x21 1 Kg</t>
        </is>
      </c>
      <c r="C79" s="1054" t="n"/>
      <c r="D79" s="1029" t="n">
        <v>22.88</v>
      </c>
      <c r="E79" s="1061" t="n">
        <v>0.01</v>
      </c>
      <c r="F79" s="1132" t="n">
        <v>1</v>
      </c>
      <c r="G79" s="1113" t="n">
        <v>0.2</v>
      </c>
      <c r="H79" s="1024" t="n">
        <v>4.576</v>
      </c>
      <c r="I79" s="999" t="n">
        <v>4</v>
      </c>
      <c r="J79" s="999">
        <f>D79*(1-E79) * (3.5%)</f>
        <v/>
      </c>
      <c r="K79" s="1220">
        <f>D79*(1-E79)*18%</f>
        <v/>
      </c>
      <c r="L79" s="1220">
        <f>((D79*(1-E79))-K79)*1.65%</f>
        <v/>
      </c>
      <c r="M79" s="1220">
        <f>((D79*(1-E79))-K79)*7.6%</f>
        <v/>
      </c>
      <c r="N79" s="1221">
        <f>(H79+I79+J79)*9.25% + (H79+I79)*12%</f>
        <v/>
      </c>
      <c r="O79" s="1130" t="n"/>
      <c r="P79" s="1050" t="n">
        <v>9.949999999999999</v>
      </c>
      <c r="Q79" s="1024">
        <f>(D79*(1-E79)+(F79* O79)+N79)-(H79+I79+J79+K79+L79+M79+(P79*F79))</f>
        <v/>
      </c>
      <c r="R79" s="1002">
        <f>Q79/(D79*(1-E79))</f>
        <v/>
      </c>
      <c r="S79" s="1189" t="n"/>
      <c r="T79" s="1030" t="n"/>
    </row>
    <row r="80" ht="24.75" customHeight="1" s="1349">
      <c r="A80" s="1108" t="e">
        <v>#N/A</v>
      </c>
      <c r="B80" s="1071" t="inlineStr">
        <is>
          <t>Luva Latex Reforçada Limpeza Antiderrapante C/ Talco Mucambo Pro 157</t>
        </is>
      </c>
      <c r="C80" s="1059" t="n"/>
      <c r="D80" s="1132" t="n">
        <v>14.7</v>
      </c>
      <c r="E80" s="1061" t="n">
        <v>0.01</v>
      </c>
      <c r="F80" s="1132" t="n">
        <v>1</v>
      </c>
      <c r="G80" s="1113" t="n">
        <v>0.2</v>
      </c>
      <c r="H80" s="1024" t="n">
        <v>2.94</v>
      </c>
      <c r="I80" s="999" t="n">
        <v>4</v>
      </c>
      <c r="J80" s="999">
        <f>D80*(1-E80) * (3.5%)</f>
        <v/>
      </c>
      <c r="K80" s="1220">
        <f>D80*(1-E80)*18%</f>
        <v/>
      </c>
      <c r="L80" s="1220">
        <f>((D80*(1-E80))-K80)*1.65%</f>
        <v/>
      </c>
      <c r="M80" s="1220">
        <f>((D80*(1-E80))-K80)*7.6%</f>
        <v/>
      </c>
      <c r="N80" s="1221">
        <f>(H80+I80+J80)*9.25% + (H80+I80)*12%</f>
        <v/>
      </c>
      <c r="O80" s="1130" t="n"/>
      <c r="P80" s="1118" t="n">
        <v>4.64</v>
      </c>
      <c r="Q80" s="1024">
        <f>(D80*(1-E80)+(F80* O80)+N80)-(H80+I80+J80+K80+L80+M80+(P80*F80))</f>
        <v/>
      </c>
      <c r="R80" s="1002">
        <f>Q80/(D80*(1-E80))</f>
        <v/>
      </c>
      <c r="S80" s="1189" t="n"/>
      <c r="T80" s="1030" t="n"/>
    </row>
    <row r="81" ht="24.75" customHeight="1" s="1349">
      <c r="A81" s="1108" t="e">
        <v>#N/A</v>
      </c>
      <c r="B81" s="1053" t="inlineStr">
        <is>
          <t>Nutriex Profissional Protetor Solar 30 Fps 1 L</t>
        </is>
      </c>
      <c r="C81" s="1054" t="n"/>
      <c r="D81" s="1029" t="n">
        <v>116</v>
      </c>
      <c r="E81" s="1061" t="n">
        <v>0.01</v>
      </c>
      <c r="F81" s="1132" t="n">
        <v>1</v>
      </c>
      <c r="G81" s="1113" t="n">
        <v>0.14</v>
      </c>
      <c r="H81" s="1024" t="n">
        <v>16.24</v>
      </c>
      <c r="I81" s="999" t="n">
        <v>20</v>
      </c>
      <c r="J81" s="999">
        <f>D81*(1-E81) * (3.5%)</f>
        <v/>
      </c>
      <c r="K81" s="1220">
        <f>D81*(1-E81)*18%</f>
        <v/>
      </c>
      <c r="L81" s="1220">
        <f>((D81*(1-E81))-K81)*1.65%</f>
        <v/>
      </c>
      <c r="M81" s="1220">
        <f>((D81*(1-E81))-K81)*7.6%</f>
        <v/>
      </c>
      <c r="N81" s="1221">
        <f>(H81+I81+J81)*9.25% + (H81+I81)*12%</f>
        <v/>
      </c>
      <c r="O81" s="1130" t="n"/>
      <c r="P81" s="1050" t="n">
        <v>57.67</v>
      </c>
      <c r="Q81" s="1024">
        <f>(D81*(1-E81)+(F81* O81)+N81)-(H81+I81+J81+K81+L81+M81+(P81*F81))</f>
        <v/>
      </c>
      <c r="R81" s="1002">
        <f>Q81/(D81*(1-E81))</f>
        <v/>
      </c>
      <c r="S81" s="1189" t="n"/>
      <c r="T81" s="1030" t="n"/>
    </row>
    <row r="82" ht="24.75" customHeight="1" s="1349">
      <c r="A82" s="1108" t="e">
        <v>#N/A</v>
      </c>
      <c r="B82" s="1053" t="inlineStr">
        <is>
          <t>Tela De Sinalização Guarda Corpo Laranja E Branca 1,20x50m</t>
        </is>
      </c>
      <c r="C82" s="1054" t="n"/>
      <c r="D82" s="1029" t="n">
        <v>142.5</v>
      </c>
      <c r="E82" s="1061" t="n">
        <v>0.01</v>
      </c>
      <c r="F82" s="1132" t="n">
        <v>1</v>
      </c>
      <c r="G82" s="1113" t="n">
        <v>0.14</v>
      </c>
      <c r="H82" s="1024" t="n">
        <v>19.95</v>
      </c>
      <c r="I82" s="999" t="n">
        <v>20</v>
      </c>
      <c r="J82" s="999">
        <f>D82*(1-E82) * (3.5%)</f>
        <v/>
      </c>
      <c r="K82" s="1220">
        <f>D82*(1-E82)*18%</f>
        <v/>
      </c>
      <c r="L82" s="1220">
        <f>((D82*(1-E82))-K82)*1.65%</f>
        <v/>
      </c>
      <c r="M82" s="1220">
        <f>((D82*(1-E82))-K82)*7.6%</f>
        <v/>
      </c>
      <c r="N82" s="1221">
        <f>(H82+I82+J82)*9.25% + (H82+I82)*12%</f>
        <v/>
      </c>
      <c r="O82" s="1130" t="n"/>
      <c r="P82" s="1050" t="n">
        <v>85</v>
      </c>
      <c r="Q82" s="1024">
        <f>(D82*(1-E82)+(F82* O82)+N82)-(H82+I82+J82+K82+L82+M82+(P82*F82))</f>
        <v/>
      </c>
      <c r="R82" s="1002">
        <f>Q82/(D82*(1-E82))</f>
        <v/>
      </c>
      <c r="S82" s="1189" t="n"/>
      <c r="T82" s="1030" t="n"/>
    </row>
    <row r="83" ht="24.75" customHeight="1" s="1349">
      <c r="A83" s="1108" t="e">
        <v>#N/A</v>
      </c>
      <c r="B83" s="1053" t="inlineStr">
        <is>
          <t>Botina Impermeável Composite Antiperfurante Eletricista C/ca</t>
        </is>
      </c>
      <c r="C83" s="1054" t="n"/>
      <c r="D83" s="1029" t="n">
        <v>243.99</v>
      </c>
      <c r="E83" s="1061" t="n">
        <v>0.01</v>
      </c>
      <c r="F83" s="1132" t="n">
        <v>1</v>
      </c>
      <c r="G83" s="1113" t="n">
        <v>0.14</v>
      </c>
      <c r="H83" s="1024" t="n">
        <v>34.15860000000001</v>
      </c>
      <c r="I83" s="999" t="n">
        <v>26</v>
      </c>
      <c r="J83" s="999">
        <f>D83*(1-E83) * (3.5%)</f>
        <v/>
      </c>
      <c r="K83" s="1220">
        <f>D83*(1-E83)*18%</f>
        <v/>
      </c>
      <c r="L83" s="1220">
        <f>((D83*(1-E83))-K83)*1.65%</f>
        <v/>
      </c>
      <c r="M83" s="1220">
        <f>((D83*(1-E83))-K83)*7.6%</f>
        <v/>
      </c>
      <c r="N83" s="1221">
        <f>(H83+I83+J83)*9.25% + (H83+I83)*12%</f>
        <v/>
      </c>
      <c r="O83" s="1130" t="n"/>
      <c r="P83" s="1050" t="n">
        <v>142.25</v>
      </c>
      <c r="Q83" s="1024">
        <f>(D83*(1-E83)+(F83* O83)+N83)-(H83+I83+J83+K83+L83+M83+(P83*F83))</f>
        <v/>
      </c>
      <c r="R83" s="1002">
        <f>Q83/(D83*(1-E83))</f>
        <v/>
      </c>
      <c r="S83" s="1189" t="n"/>
      <c r="T83" s="1030" t="n"/>
    </row>
    <row r="84" ht="24.75" customHeight="1" s="1349">
      <c r="A84" s="1108" t="e">
        <v>#N/A</v>
      </c>
      <c r="B84" s="1053" t="inlineStr">
        <is>
          <t>Tela Sinalização Guarda Corpo Laranja E Branca 1,2x50 Pesada</t>
        </is>
      </c>
      <c r="C84" s="1054" t="n"/>
      <c r="D84" s="1029" t="n">
        <v>180</v>
      </c>
      <c r="E84" s="1061" t="n">
        <v>0.01</v>
      </c>
      <c r="F84" s="1132" t="n">
        <v>1</v>
      </c>
      <c r="G84" s="1113" t="n">
        <v>0.14</v>
      </c>
      <c r="H84" s="1024" t="n">
        <v>25.2</v>
      </c>
      <c r="I84" s="999" t="n">
        <v>20</v>
      </c>
      <c r="J84" s="999">
        <f>D84*(1-E84) * (3.5%)</f>
        <v/>
      </c>
      <c r="K84" s="1220">
        <f>D84*(1-E84)*18%</f>
        <v/>
      </c>
      <c r="L84" s="1220">
        <f>((D84*(1-E84))-K84)*1.65%</f>
        <v/>
      </c>
      <c r="M84" s="1220">
        <f>((D84*(1-E84))-K84)*7.6%</f>
        <v/>
      </c>
      <c r="N84" s="1221">
        <f>(H84+I84+J84)*9.25% + (H84+I84)*12%</f>
        <v/>
      </c>
      <c r="O84" s="1130" t="n"/>
      <c r="P84" s="1050" t="n">
        <v>117</v>
      </c>
      <c r="Q84" s="1024">
        <f>(D84*(1-E84)+(F84* O84)+N84)-(H84+I84+J84+K84+L84+M84+(P84*F84))</f>
        <v/>
      </c>
      <c r="R84" s="1002">
        <f>Q84/(D84*(1-E84))</f>
        <v/>
      </c>
      <c r="S84" s="1189" t="n"/>
      <c r="T84" s="1030" t="n"/>
    </row>
    <row r="85" ht="24.75" customHeight="1" s="1349">
      <c r="A85" s="1108" t="e">
        <v>#N/A</v>
      </c>
      <c r="B85" s="1053" t="inlineStr">
        <is>
          <t>Nutriex Profissional Ação Repelente Protetor Solar 60fps En Creme 2l</t>
        </is>
      </c>
      <c r="C85" s="1054" t="n"/>
      <c r="D85" s="1029" t="n">
        <v>358</v>
      </c>
      <c r="E85" s="1061" t="n">
        <v>0.01</v>
      </c>
      <c r="F85" s="1132" t="n">
        <v>1</v>
      </c>
      <c r="G85" s="1113" t="n">
        <v>0.14</v>
      </c>
      <c r="H85" s="1024" t="n">
        <v>50.12</v>
      </c>
      <c r="I85" s="999" t="n">
        <v>26</v>
      </c>
      <c r="J85" s="999">
        <f>D85*(1-E85) * (3.5%)</f>
        <v/>
      </c>
      <c r="K85" s="1220">
        <f>D85*(1-E85)*18%</f>
        <v/>
      </c>
      <c r="L85" s="1220">
        <f>((D85*(1-E85))-K85)*1.65%</f>
        <v/>
      </c>
      <c r="M85" s="1220">
        <f>((D85*(1-E85))-K85)*7.6%</f>
        <v/>
      </c>
      <c r="N85" s="1221">
        <f>(H85+I85+J85)*9.25% + (H85+I85)*12%</f>
        <v/>
      </c>
      <c r="O85" s="1130" t="n"/>
      <c r="P85" s="1050" t="n">
        <v>201.84</v>
      </c>
      <c r="Q85" s="1024">
        <f>(D85*(1-E85)+(F85* O85)+N85)-(H85+I85+J85+K85+L85+M85+(P85*F85))</f>
        <v/>
      </c>
      <c r="R85" s="1002">
        <f>Q85/(D85*(1-E85))</f>
        <v/>
      </c>
      <c r="S85" s="1189" t="n"/>
      <c r="T85" s="1030" t="n"/>
    </row>
    <row r="86" ht="24.75" customHeight="1" s="1349">
      <c r="A86" s="1108" t="e">
        <v>#N/A</v>
      </c>
      <c r="B86" s="1053" t="inlineStr">
        <is>
          <t>Protetor Auditivo Auricular Acoplar P/ Capacete 17db C/ Ca</t>
        </is>
      </c>
      <c r="C86" s="1054" t="n"/>
      <c r="D86" s="1132" t="n">
        <v>79.01000000000001</v>
      </c>
      <c r="E86" s="1061" t="n">
        <v>0.01</v>
      </c>
      <c r="F86" s="1132" t="n">
        <v>1</v>
      </c>
      <c r="G86" s="1113" t="n">
        <v>0.2</v>
      </c>
      <c r="H86" s="1024" t="n">
        <v>15.802</v>
      </c>
      <c r="I86" s="999" t="n">
        <v>4</v>
      </c>
      <c r="J86" s="999">
        <f>D86*(1-E86) * (3.5%)</f>
        <v/>
      </c>
      <c r="K86" s="1220">
        <f>D86*(1-E86)*18%</f>
        <v/>
      </c>
      <c r="L86" s="1220">
        <f>((D86*(1-E86))-K86)*1.65%</f>
        <v/>
      </c>
      <c r="M86" s="1220">
        <f>((D86*(1-E86))-K86)*7.6%</f>
        <v/>
      </c>
      <c r="N86" s="1221">
        <f>(H86+I86+J86)*9.25% + (H86+I86)*12%</f>
        <v/>
      </c>
      <c r="O86" s="1130" t="n"/>
      <c r="P86" s="1090" t="n">
        <v>38.12</v>
      </c>
      <c r="Q86" s="1024">
        <f>(D86*(1-E86)+(F86* O86)+N86)-(H86+I86+J86+K86+L86+M86+(P86*F86))</f>
        <v/>
      </c>
      <c r="R86" s="1002">
        <f>Q86/(D86*(1-E86))</f>
        <v/>
      </c>
      <c r="S86" s="1189" t="n"/>
      <c r="T86" s="1030" t="n"/>
    </row>
    <row r="87" ht="24.75" customHeight="1" s="1349">
      <c r="A87" s="1108" t="e">
        <v>#N/A</v>
      </c>
      <c r="B87" s="1053" t="inlineStr">
        <is>
          <t>Bolsa Mala Ferramentas Alça 12 Polegada 4 Bolsos Reforçada</t>
        </is>
      </c>
      <c r="C87" s="1054" t="n"/>
      <c r="D87" s="1029" t="n">
        <v>144.9</v>
      </c>
      <c r="E87" s="1061" t="n">
        <v>0.01</v>
      </c>
      <c r="F87" s="1132" t="n">
        <v>1</v>
      </c>
      <c r="G87" s="1113" t="n">
        <v>0.14</v>
      </c>
      <c r="H87" s="1024" t="n">
        <v>20.286</v>
      </c>
      <c r="I87" s="999" t="n">
        <v>20</v>
      </c>
      <c r="J87" s="999">
        <f>D87*(1-E87) * (3.5%)</f>
        <v/>
      </c>
      <c r="K87" s="1220">
        <f>D87*(1-E87)*18%</f>
        <v/>
      </c>
      <c r="L87" s="1220">
        <f>((D87*(1-E87))-K87)*1.65%</f>
        <v/>
      </c>
      <c r="M87" s="1220">
        <f>((D87*(1-E87))-K87)*7.6%</f>
        <v/>
      </c>
      <c r="N87" s="1221">
        <f>(H87+I87+J87)*9.25% + (H87+I87)*12%</f>
        <v/>
      </c>
      <c r="O87" s="1130" t="n"/>
      <c r="P87" s="1050" t="n">
        <v>76.95999999999999</v>
      </c>
      <c r="Q87" s="1024">
        <f>(D87*(1-E87)+(F87* O87)+N87)-(H87+I87+J87+K87+L87+M87+(P87*F87))</f>
        <v/>
      </c>
      <c r="R87" s="1002">
        <f>Q87/(D87*(1-E87))</f>
        <v/>
      </c>
      <c r="S87" s="1189" t="n"/>
      <c r="T87" s="1030" t="n"/>
    </row>
    <row r="88" ht="24.75" customHeight="1" s="1349">
      <c r="A88" s="1108" t="e">
        <v>#N/A</v>
      </c>
      <c r="B88" s="1053" t="inlineStr">
        <is>
          <t>Alicate Universal Reforçado Eletricista Isolado Irwin 8 Pol</t>
        </is>
      </c>
      <c r="C88" s="1054" t="n"/>
      <c r="D88" s="1029" t="n">
        <v>59.24</v>
      </c>
      <c r="E88" s="1061" t="n">
        <v>0.01</v>
      </c>
      <c r="F88" s="1132" t="n">
        <v>1</v>
      </c>
      <c r="G88" s="1113" t="n">
        <v>0.2</v>
      </c>
      <c r="H88" s="1024" t="n">
        <v>11.848</v>
      </c>
      <c r="I88" s="999" t="n">
        <v>4</v>
      </c>
      <c r="J88" s="999">
        <f>D88*(1-E88) * (3.5%)</f>
        <v/>
      </c>
      <c r="K88" s="1220">
        <f>D88*(1-E88)*18%</f>
        <v/>
      </c>
      <c r="L88" s="1220">
        <f>((D88*(1-E88))-K88)*1.65%</f>
        <v/>
      </c>
      <c r="M88" s="1220">
        <f>((D88*(1-E88))-K88)*7.6%</f>
        <v/>
      </c>
      <c r="N88" s="1221">
        <f>(H88+I88+J88)*9.25% + (H88+I88)*12%</f>
        <v/>
      </c>
      <c r="O88" s="1130" t="n"/>
      <c r="P88" s="1050" t="n">
        <v>32.85</v>
      </c>
      <c r="Q88" s="1024">
        <f>(D88*(1-E88)+(F88* O88)+N88)-(H88+I88+J88+K88+L88+M88+(P88*F88))</f>
        <v/>
      </c>
      <c r="R88" s="1002">
        <f>Q88/(D88*(1-E88))</f>
        <v/>
      </c>
      <c r="S88" s="1189" t="n"/>
      <c r="T88" s="1030" t="n"/>
    </row>
    <row r="89" ht="24.75" customHeight="1" s="1349">
      <c r="A89" s="1108" t="e">
        <v>#N/A</v>
      </c>
      <c r="B89" s="1053" t="inlineStr">
        <is>
          <t>Fita Telada Azul Drywall Premium Autoadesiva 45m X 48mm Obra</t>
        </is>
      </c>
      <c r="C89" s="1054" t="n"/>
      <c r="D89" s="1029" t="n">
        <v>22.5</v>
      </c>
      <c r="E89" s="1061" t="n">
        <v>0.01</v>
      </c>
      <c r="F89" s="1132" t="n">
        <v>1</v>
      </c>
      <c r="G89" s="1113" t="n">
        <v>0.2</v>
      </c>
      <c r="H89" s="1024" t="n">
        <v>4.5</v>
      </c>
      <c r="I89" s="999" t="n">
        <v>4</v>
      </c>
      <c r="J89" s="999">
        <f>D89*(1-E89) * (3.5%)</f>
        <v/>
      </c>
      <c r="K89" s="1220">
        <f>D89*(1-E89)*18%</f>
        <v/>
      </c>
      <c r="L89" s="1220">
        <f>((D89*(1-E89))-K89)*1.65%</f>
        <v/>
      </c>
      <c r="M89" s="1220">
        <f>((D89*(1-E89))-K89)*7.6%</f>
        <v/>
      </c>
      <c r="N89" s="1221">
        <f>(H89+I89+J89)*9.25% + (H89+I89)*12%</f>
        <v/>
      </c>
      <c r="O89" s="1130" t="n"/>
      <c r="P89" s="1050" t="n">
        <v>8.5</v>
      </c>
      <c r="Q89" s="1024">
        <f>(D89*(1-E89)+(F89* O89)+N89)-(H89+I89+J89+K89+L89+M89+(P89*F89))</f>
        <v/>
      </c>
      <c r="R89" s="1002">
        <f>Q89/(D89*(1-E89))</f>
        <v/>
      </c>
      <c r="S89" s="1189" t="n"/>
      <c r="T89" s="1030" t="n"/>
    </row>
    <row r="90" ht="24.75" customHeight="1" s="1349">
      <c r="A90" s="1108" t="e">
        <v>#N/A</v>
      </c>
      <c r="B90" s="1053" t="inlineStr">
        <is>
          <t>Roda Pneu Carrinho De Mão Maciço Reforçada 3.25 X 8 X 3/4</t>
        </is>
      </c>
      <c r="C90" s="1054" t="n"/>
      <c r="D90" s="1029" t="n">
        <v>97.90000000000001</v>
      </c>
      <c r="E90" s="1061" t="n">
        <v>0.01</v>
      </c>
      <c r="F90" s="1132" t="n">
        <v>1</v>
      </c>
      <c r="G90" s="1113" t="n">
        <v>0.14</v>
      </c>
      <c r="H90" s="1024" t="n">
        <v>13.706</v>
      </c>
      <c r="I90" s="999" t="n">
        <v>16</v>
      </c>
      <c r="J90" s="999">
        <f>D90*(1-E90) * (3.5%)</f>
        <v/>
      </c>
      <c r="K90" s="1220">
        <f>D90*(1-E90)*18%</f>
        <v/>
      </c>
      <c r="L90" s="1220">
        <f>((D90*(1-E90))-K90)*1.65%</f>
        <v/>
      </c>
      <c r="M90" s="1220">
        <f>((D90*(1-E90))-K90)*7.6%</f>
        <v/>
      </c>
      <c r="N90" s="1221">
        <f>(H90+I90+J90)*9.25% + (H90+I90)*12%</f>
        <v/>
      </c>
      <c r="O90" s="1130" t="n"/>
      <c r="P90" s="1050" t="n">
        <v>46.14</v>
      </c>
      <c r="Q90" s="1024">
        <f>(D90*(1-E90)+(F90* O90)+N90)-(H90+I90+J90+K90+L90+M90+(P90*F90))</f>
        <v/>
      </c>
      <c r="R90" s="1002">
        <f>Q90/(D90*(1-E90))</f>
        <v/>
      </c>
      <c r="S90" s="1189" t="n"/>
      <c r="T90" s="1030" t="n"/>
    </row>
    <row r="91" ht="24.75" customHeight="1" s="1349">
      <c r="A91" s="1108" t="e">
        <v>#N/A</v>
      </c>
      <c r="B91" s="1053" t="inlineStr">
        <is>
          <t>Kit 50 Chumbador Parabolt Pba 1/4 X 2.1/4 C/ Porca E Arruela</t>
        </is>
      </c>
      <c r="C91" s="1054" t="n"/>
      <c r="D91" s="1029" t="n">
        <v>47.34</v>
      </c>
      <c r="E91" s="1061" t="n">
        <v>0.01</v>
      </c>
      <c r="F91" s="1132" t="n">
        <v>1</v>
      </c>
      <c r="G91" s="1113" t="n">
        <v>0.2</v>
      </c>
      <c r="H91" s="1024" t="n">
        <v>9.468000000000002</v>
      </c>
      <c r="I91" s="999" t="n">
        <v>4</v>
      </c>
      <c r="J91" s="999">
        <f>D91*(1-E91) * (3.5%)</f>
        <v/>
      </c>
      <c r="K91" s="1220">
        <f>D91*(1-E91)*18%</f>
        <v/>
      </c>
      <c r="L91" s="1220">
        <f>((D91*(1-E91))-K91)*1.65%</f>
        <v/>
      </c>
      <c r="M91" s="1220">
        <f>((D91*(1-E91))-K91)*7.6%</f>
        <v/>
      </c>
      <c r="N91" s="1221">
        <f>(H91+I91+J91)*9.25% + (H91+I91)*12%</f>
        <v/>
      </c>
      <c r="O91" s="1130" t="n"/>
      <c r="P91" s="1050" t="n">
        <v>23.59</v>
      </c>
      <c r="Q91" s="1024">
        <f>(D91*(1-E91)+(F91* O91)+N91)-(H91+I91+J91+K91+L91+M91+(P91*F91))</f>
        <v/>
      </c>
      <c r="R91" s="1002">
        <f>Q91/(D91*(1-E91))</f>
        <v/>
      </c>
      <c r="S91" s="1189" t="n"/>
      <c r="T91" s="1030" t="n"/>
    </row>
    <row r="92" ht="24.75" customHeight="1" s="1349">
      <c r="A92" s="1108" t="e">
        <v>#N/A</v>
      </c>
      <c r="B92" s="1053" t="inlineStr">
        <is>
          <t>Kit 2 Luva Proteção Anti Corte Cut Oil Palma Impermeável Epi</t>
        </is>
      </c>
      <c r="C92" s="1054" t="n"/>
      <c r="D92" s="1029" t="n">
        <v>53</v>
      </c>
      <c r="E92" s="1061" t="n">
        <v>0.01</v>
      </c>
      <c r="F92" s="1132" t="n">
        <v>1</v>
      </c>
      <c r="G92" s="1113" t="n">
        <v>0.2</v>
      </c>
      <c r="H92" s="1024" t="n">
        <v>10.6</v>
      </c>
      <c r="I92" s="999" t="n">
        <v>4</v>
      </c>
      <c r="J92" s="999">
        <f>D92*(1-E92) * (3.5%)</f>
        <v/>
      </c>
      <c r="K92" s="1220">
        <f>D92*(1-E92)*18%</f>
        <v/>
      </c>
      <c r="L92" s="1220">
        <f>((D92*(1-E92))-K92)*1.65%</f>
        <v/>
      </c>
      <c r="M92" s="1220">
        <f>((D92*(1-E92))-K92)*7.6%</f>
        <v/>
      </c>
      <c r="N92" s="1221">
        <f>(H92+I92+J92)*9.25% + (H92+I92)*12%</f>
        <v/>
      </c>
      <c r="O92" s="1130" t="n"/>
      <c r="P92" s="1050" t="n">
        <v>34.32</v>
      </c>
      <c r="Q92" s="1024">
        <f>(D92*(1-E92)+(F92* O92)+N92)-(H92+I92+J92+K92+L92+M92+(P92*F92))</f>
        <v/>
      </c>
      <c r="R92" s="1002">
        <f>Q92/(D92*(1-E92))</f>
        <v/>
      </c>
      <c r="S92" s="1189" t="n"/>
      <c r="T92" s="1030" t="n"/>
    </row>
    <row r="93" ht="24.75" customHeight="1" s="1349">
      <c r="A93" s="1108" t="e">
        <v>#N/A</v>
      </c>
      <c r="B93" s="1091" t="inlineStr">
        <is>
          <t>Kit 12 Luvas Poliamida com Banho de PU Tátil Black - Volk CA 46932 Mecânico Multitato Antiestática</t>
        </is>
      </c>
      <c r="C93" s="1054" t="n"/>
      <c r="D93" s="1132" t="n">
        <v>48.9</v>
      </c>
      <c r="E93" s="1061" t="n">
        <v>0.01</v>
      </c>
      <c r="F93" s="1132" t="n">
        <v>12</v>
      </c>
      <c r="G93" s="1113" t="n">
        <v>0.2</v>
      </c>
      <c r="H93" s="1024" t="n">
        <v>9.780000000000001</v>
      </c>
      <c r="I93" s="999" t="n">
        <v>4</v>
      </c>
      <c r="J93" s="999">
        <f>D93*(1-E93) * (3.5%)</f>
        <v/>
      </c>
      <c r="K93" s="1220">
        <f>D93*(1-E93)*18%</f>
        <v/>
      </c>
      <c r="L93" s="1220">
        <f>((D93*(1-E93))-K93)*1.65%</f>
        <v/>
      </c>
      <c r="M93" s="1220">
        <f>((D93*(1-E93))-K93)*7.6%</f>
        <v/>
      </c>
      <c r="N93" s="1221">
        <f>(H93+I93+J93)*9.25% + (H93+I93)*12%</f>
        <v/>
      </c>
      <c r="O93" s="1092" t="n">
        <v>0.248584</v>
      </c>
      <c r="P93" s="1093" t="n">
        <v>1.93</v>
      </c>
      <c r="Q93" s="1024">
        <f>(D93*(1-E93)+(F93* O93)+N93)-(H93+I93+J93+K93+L93+M93+(P93*F93))</f>
        <v/>
      </c>
      <c r="R93" s="1002">
        <f>Q93/(D93*(1-E93))</f>
        <v/>
      </c>
      <c r="S93" s="1189" t="n"/>
      <c r="T93" s="1030" t="n"/>
    </row>
    <row r="94" ht="24.75" customHeight="1" s="1349">
      <c r="A94" s="1094" t="e">
        <v>#N/A</v>
      </c>
      <c r="B94" s="1051" t="inlineStr">
        <is>
          <t>Capacete Aba Frontal Diamond Baseball V Delta Plus CA 39041 Segurança Trabalho Engenheiro Obra EPI</t>
        </is>
      </c>
      <c r="C94" s="1052" t="n"/>
      <c r="D94" s="1132" t="n">
        <v>53</v>
      </c>
      <c r="E94" s="1061" t="n">
        <v>0.01</v>
      </c>
      <c r="F94" s="1132" t="n">
        <v>1</v>
      </c>
      <c r="G94" s="1113" t="n">
        <v>0.2</v>
      </c>
      <c r="H94" s="1024" t="n">
        <v>10.6</v>
      </c>
      <c r="I94" s="999" t="n">
        <v>4</v>
      </c>
      <c r="J94" s="999">
        <f>D94*(1-E94) * (3.5%)</f>
        <v/>
      </c>
      <c r="K94" s="1220">
        <f>D94*(1-E94)*18%</f>
        <v/>
      </c>
      <c r="L94" s="1220">
        <f>((D94*(1-E94))-K94)*1.65%</f>
        <v/>
      </c>
      <c r="M94" s="1220">
        <f>((D94*(1-E94))-K94)*7.6%</f>
        <v/>
      </c>
      <c r="N94" s="1221">
        <f>(H94+I94+J94)*9.25% + (H94+I94)*12%</f>
        <v/>
      </c>
      <c r="O94" s="715" t="n">
        <v>6.89</v>
      </c>
      <c r="P94" s="1090" t="n">
        <v>26.93</v>
      </c>
      <c r="Q94" s="1024">
        <f>(D94*(1-E94)+(F94* O94)+N94)-(H94+I94+J94+K94+L94+M94+(P94*F94))</f>
        <v/>
      </c>
      <c r="R94" s="1002">
        <f>Q94/(D94*(1-E94))</f>
        <v/>
      </c>
      <c r="S94" s="1189" t="n"/>
      <c r="T94" s="1030" t="n"/>
    </row>
    <row r="95" ht="24.75" customHeight="1" s="1349">
      <c r="A95" s="1108" t="e">
        <v>#N/A</v>
      </c>
      <c r="B95" s="1053" t="inlineStr">
        <is>
          <t>Máscara De Solda Auto Escurecimento True Color Vicsa Optech</t>
        </is>
      </c>
      <c r="C95" s="1054" t="n"/>
      <c r="D95" s="1029" t="n">
        <v>426.8</v>
      </c>
      <c r="E95" s="1061" t="n">
        <v>0.01</v>
      </c>
      <c r="F95" s="1132" t="n">
        <v>1</v>
      </c>
      <c r="G95" s="1113" t="n">
        <v>0.14</v>
      </c>
      <c r="H95" s="1024" t="n">
        <v>59.75200000000001</v>
      </c>
      <c r="I95" s="999" t="n">
        <v>26</v>
      </c>
      <c r="J95" s="999">
        <f>D95*(1-E95) * (3.5%)</f>
        <v/>
      </c>
      <c r="K95" s="1220">
        <f>D95*(1-E95)*18%</f>
        <v/>
      </c>
      <c r="L95" s="1220">
        <f>((D95*(1-E95))-K95)*1.65%</f>
        <v/>
      </c>
      <c r="M95" s="1220">
        <f>((D95*(1-E95))-K95)*7.6%</f>
        <v/>
      </c>
      <c r="N95" s="1221">
        <f>(H95+I95+J95)*9.25% + (H95+I95)*12%</f>
        <v/>
      </c>
      <c r="O95" s="1130" t="n"/>
      <c r="P95" s="1050" t="n">
        <v>285.37</v>
      </c>
      <c r="Q95" s="1024">
        <f>(D95*(1-E95)+(F95* O95)+N95)-(H95+I95+J95+K95+L95+M95+(P95*F95))</f>
        <v/>
      </c>
      <c r="R95" s="1002">
        <f>Q95/(D95*(1-E95))</f>
        <v/>
      </c>
      <c r="S95" s="1189" t="n"/>
      <c r="T95" s="1030" t="n"/>
    </row>
    <row r="96" ht="24.75" customHeight="1" s="1349">
      <c r="A96" s="1108" t="e">
        <v>#N/A</v>
      </c>
      <c r="B96" s="1053" t="inlineStr">
        <is>
          <t>Fita Crepe Grossa 48mm X 45m Profissional Uso Geral Kit 2un</t>
        </is>
      </c>
      <c r="C96" s="1054" t="n"/>
      <c r="D96" s="1029" t="n">
        <v>29.1</v>
      </c>
      <c r="E96" s="1061" t="n">
        <v>0.01</v>
      </c>
      <c r="F96" s="1132" t="n">
        <v>1</v>
      </c>
      <c r="G96" s="1113" t="n">
        <v>0.2</v>
      </c>
      <c r="H96" s="1024" t="n">
        <v>5.82</v>
      </c>
      <c r="I96" s="999" t="n">
        <v>4</v>
      </c>
      <c r="J96" s="999">
        <f>D96*(1-E96) * (3.5%)</f>
        <v/>
      </c>
      <c r="K96" s="1220">
        <f>D96*(1-E96)*18%</f>
        <v/>
      </c>
      <c r="L96" s="1220">
        <f>((D96*(1-E96))-K96)*1.65%</f>
        <v/>
      </c>
      <c r="M96" s="1220">
        <f>((D96*(1-E96))-K96)*7.6%</f>
        <v/>
      </c>
      <c r="N96" s="1221">
        <f>(H96+I96+J96)*9.25% + (H96+I96)*12%</f>
        <v/>
      </c>
      <c r="O96" s="1130" t="n"/>
      <c r="P96" s="1050" t="n">
        <v>13.54</v>
      </c>
      <c r="Q96" s="1024">
        <f>(D96*(1-E96)+(F96* O96)+N96)-(H96+I96+J96+K96+L96+M96+(P96*F96))</f>
        <v/>
      </c>
      <c r="R96" s="1002">
        <f>Q96/(D96*(1-E96))</f>
        <v/>
      </c>
      <c r="S96" s="1189" t="n"/>
      <c r="T96" s="1030" t="n"/>
    </row>
    <row r="97" ht="24.75" customHeight="1" s="1349">
      <c r="A97" s="1108" t="e">
        <v>#N/A</v>
      </c>
      <c r="B97" s="1053" t="inlineStr">
        <is>
          <t>Tela Hexagonal Galvanizada 1x50m Galinheiro Cercamento Bwg24</t>
        </is>
      </c>
      <c r="C97" s="1054" t="n"/>
      <c r="D97" s="1029" t="n"/>
      <c r="E97" s="1061" t="n">
        <v>0.01</v>
      </c>
      <c r="F97" s="1132" t="n">
        <v>1</v>
      </c>
      <c r="G97" s="1113" t="n"/>
      <c r="H97" s="1024" t="n"/>
      <c r="I97" s="999" t="n"/>
      <c r="J97" s="999">
        <f>D97*(1-E97) * (3.5%)</f>
        <v/>
      </c>
      <c r="K97" s="1220">
        <f>D97*(1-E97)*18%</f>
        <v/>
      </c>
      <c r="L97" s="1220">
        <f>((D97*(1-E97))-K97)*1.65%</f>
        <v/>
      </c>
      <c r="M97" s="1220">
        <f>((D97*(1-E97))-K97)*7.6%</f>
        <v/>
      </c>
      <c r="N97" s="1221">
        <f>(H97+I97+J97)*9.25% + (H97+I97)*12%</f>
        <v/>
      </c>
      <c r="O97" s="1130" t="n"/>
      <c r="P97" s="1050" t="n"/>
      <c r="Q97" s="1024">
        <f>(D97*(1-E97)+(F97* O97)+N97)-(H97+I97+J97+K97+L97+M97+(P97*F97))</f>
        <v/>
      </c>
      <c r="R97" s="1002">
        <f>Q97/(D97*(1-E97))</f>
        <v/>
      </c>
      <c r="S97" s="1189" t="n"/>
      <c r="T97" s="1030" t="n"/>
    </row>
    <row r="98" ht="24.75" customHeight="1" s="1349">
      <c r="A98" s="1108" t="e">
        <v>#N/A</v>
      </c>
      <c r="B98" s="1053" t="inlineStr">
        <is>
          <t>Fita Crepe Automotiva Polimento Amarela 18mm X 40m C/ 5un</t>
        </is>
      </c>
      <c r="C98" s="1054" t="n"/>
      <c r="D98" s="1029" t="n">
        <v>34.92</v>
      </c>
      <c r="E98" s="1061" t="n">
        <v>0.01</v>
      </c>
      <c r="F98" s="1132" t="n">
        <v>1</v>
      </c>
      <c r="G98" s="1113" t="n">
        <v>0.2</v>
      </c>
      <c r="H98" s="1024" t="n">
        <v>6.984000000000001</v>
      </c>
      <c r="I98" s="999" t="n">
        <v>4</v>
      </c>
      <c r="J98" s="999">
        <f>D98*(1-E98) * (3.5%)</f>
        <v/>
      </c>
      <c r="K98" s="1220">
        <f>D98*(1-E98)*18%</f>
        <v/>
      </c>
      <c r="L98" s="1220">
        <f>((D98*(1-E98))-K98)*1.65%</f>
        <v/>
      </c>
      <c r="M98" s="1220">
        <f>((D98*(1-E98))-K98)*7.6%</f>
        <v/>
      </c>
      <c r="N98" s="1221">
        <f>(H98+I98+J98)*9.25% + (H98+I98)*12%</f>
        <v/>
      </c>
      <c r="O98" s="1130" t="n"/>
      <c r="P98" s="1050" t="n">
        <v>18.15</v>
      </c>
      <c r="Q98" s="1024">
        <f>(D98*(1-E98)+(F98* O98)+N98)-(H98+I98+J98+K98+L98+M98+(P98*F98))</f>
        <v/>
      </c>
      <c r="R98" s="1002">
        <f>Q98/(D98*(1-E98))</f>
        <v/>
      </c>
      <c r="S98" s="1189" t="n"/>
      <c r="T98" s="1030" t="n"/>
    </row>
    <row r="99" ht="24.75" customHeight="1" s="1349">
      <c r="A99" s="1108" t="e">
        <v>#N/A</v>
      </c>
      <c r="B99" s="1053" t="inlineStr">
        <is>
          <t>Kit 4 Creme Protetor De Mãos Luva Química Plus Grupo 3 200g</t>
        </is>
      </c>
      <c r="C99" s="1054" t="n"/>
      <c r="D99" s="1029" t="n">
        <v>34.65</v>
      </c>
      <c r="E99" s="1061" t="n">
        <v>0.01</v>
      </c>
      <c r="F99" s="1132" t="n">
        <v>1</v>
      </c>
      <c r="G99" s="1113" t="n">
        <v>0.2</v>
      </c>
      <c r="H99" s="1024" t="n">
        <v>6.93</v>
      </c>
      <c r="I99" s="999" t="n">
        <v>4</v>
      </c>
      <c r="J99" s="999">
        <f>D99*(1-E99) * (3.5%)</f>
        <v/>
      </c>
      <c r="K99" s="1220">
        <f>D99*(1-E99)*18%</f>
        <v/>
      </c>
      <c r="L99" s="1220">
        <f>((D99*(1-E99))-K99)*1.65%</f>
        <v/>
      </c>
      <c r="M99" s="1220">
        <f>((D99*(1-E99))-K99)*7.6%</f>
        <v/>
      </c>
      <c r="N99" s="1221">
        <f>(H99+I99+J99)*9.25% + (H99+I99)*12%</f>
        <v/>
      </c>
      <c r="O99" s="1130" t="n"/>
      <c r="P99" s="1050" t="n">
        <v>17.84</v>
      </c>
      <c r="Q99" s="1024">
        <f>(D99*(1-E99)+(F99* O99)+N99)-(H99+I99+J99+K99+L99+M99+(P99*F99))</f>
        <v/>
      </c>
      <c r="R99" s="1002">
        <f>Q99/(D99*(1-E99))</f>
        <v/>
      </c>
      <c r="S99" s="1189" t="n"/>
      <c r="T99" s="1030" t="n"/>
    </row>
    <row r="100" ht="24.75" customHeight="1" s="1349">
      <c r="A100" s="1108" t="e">
        <v>#N/A</v>
      </c>
      <c r="B100" s="1053" t="inlineStr">
        <is>
          <t>Kit 10 Lente Vidro Retangular 51x108mm Mascara Solda Ton 10</t>
        </is>
      </c>
      <c r="C100" s="1054" t="n"/>
      <c r="D100" s="1029" t="n">
        <v>25.5</v>
      </c>
      <c r="E100" s="1061" t="n">
        <v>0.01</v>
      </c>
      <c r="F100" s="1132" t="n">
        <v>1</v>
      </c>
      <c r="G100" s="1113" t="n">
        <v>0.2</v>
      </c>
      <c r="H100" s="1024" t="n">
        <v>5.100000000000001</v>
      </c>
      <c r="I100" s="999" t="n">
        <v>4</v>
      </c>
      <c r="J100" s="999">
        <f>D100*(1-E100) * (3.5%)</f>
        <v/>
      </c>
      <c r="K100" s="1220">
        <f>D100*(1-E100)*18%</f>
        <v/>
      </c>
      <c r="L100" s="1220">
        <f>((D100*(1-E100))-K100)*1.65%</f>
        <v/>
      </c>
      <c r="M100" s="1220">
        <f>((D100*(1-E100))-K100)*7.6%</f>
        <v/>
      </c>
      <c r="N100" s="1221">
        <f>(H100+I100+J100)*9.25% + (H100+I100)*12%</f>
        <v/>
      </c>
      <c r="O100" s="1130" t="n"/>
      <c r="P100" s="1050" t="n">
        <v>11.71</v>
      </c>
      <c r="Q100" s="1024">
        <f>(D100*(1-E100)+(F100* O100)+N100)-(H100+I100+J100+K100+L100+M100+(P100*F100))</f>
        <v/>
      </c>
      <c r="R100" s="1002">
        <f>Q100/(D100*(1-E100))</f>
        <v/>
      </c>
      <c r="S100" s="1189" t="n"/>
      <c r="T100" s="1030" t="n"/>
    </row>
    <row r="101" ht="24.75" customHeight="1" s="1349">
      <c r="A101" s="1108" t="e">
        <v>#N/A</v>
      </c>
      <c r="B101" s="1053" t="inlineStr">
        <is>
          <t>Chumbador Pba 1/2 X 4 10cm C/ Porca E Arruela Parabolt 10un</t>
        </is>
      </c>
      <c r="C101" s="1054" t="n"/>
      <c r="D101" s="1029" t="n">
        <v>39.49</v>
      </c>
      <c r="E101" s="1061" t="n">
        <v>0.01</v>
      </c>
      <c r="F101" s="1132" t="n">
        <v>1</v>
      </c>
      <c r="G101" s="1113" t="n">
        <v>0.2</v>
      </c>
      <c r="H101" s="1024" t="n">
        <v>7.898000000000001</v>
      </c>
      <c r="I101" s="999" t="n">
        <v>4</v>
      </c>
      <c r="J101" s="999">
        <f>D101*(1-E101) * (3.5%)</f>
        <v/>
      </c>
      <c r="K101" s="1220">
        <f>D101*(1-E101)*18%</f>
        <v/>
      </c>
      <c r="L101" s="1220">
        <f>((D101*(1-E101))-K101)*1.65%</f>
        <v/>
      </c>
      <c r="M101" s="1220">
        <f>((D101*(1-E101))-K101)*7.6%</f>
        <v/>
      </c>
      <c r="N101" s="1221">
        <f>(H101+I101+J101)*9.25% + (H101+I101)*12%</f>
        <v/>
      </c>
      <c r="O101" s="1130" t="n"/>
      <c r="P101" s="1050" t="n">
        <v>20</v>
      </c>
      <c r="Q101" s="1024">
        <f>(D101*(1-E101)+(F101* O101)+N101)-(H101+I101+J101+K101+L101+M101+(P101*F101))</f>
        <v/>
      </c>
      <c r="R101" s="1002">
        <f>Q101/(D101*(1-E101))</f>
        <v/>
      </c>
      <c r="S101" s="1189" t="n"/>
      <c r="T101" s="1030" t="n"/>
    </row>
    <row r="102" ht="24.75" customHeight="1" s="1349">
      <c r="A102" s="1108" t="e">
        <v>#N/A</v>
      </c>
      <c r="B102" s="1053" t="inlineStr">
        <is>
          <t>Kit 8 Protetor Auditivo Auricular Acoplar Capacete 17db C/ca</t>
        </is>
      </c>
      <c r="C102" s="1054" t="n"/>
      <c r="D102" s="1029" t="n">
        <v>473</v>
      </c>
      <c r="E102" s="1061" t="n">
        <v>0.01</v>
      </c>
      <c r="F102" s="1132" t="n">
        <v>1</v>
      </c>
      <c r="G102" s="1113" t="n">
        <v>0.14</v>
      </c>
      <c r="H102" s="1024" t="n">
        <v>66.22000000000001</v>
      </c>
      <c r="I102" s="999" t="n">
        <v>26</v>
      </c>
      <c r="J102" s="999">
        <f>D102*(1-E102) * (3.5%)</f>
        <v/>
      </c>
      <c r="K102" s="1220">
        <f>D102*(1-E102)*18%</f>
        <v/>
      </c>
      <c r="L102" s="1220">
        <f>((D102*(1-E102))-K102)*1.65%</f>
        <v/>
      </c>
      <c r="M102" s="1220">
        <f>((D102*(1-E102))-K102)*7.6%</f>
        <v/>
      </c>
      <c r="N102" s="1221">
        <f>(H102+I102+J102)*9.25% + (H102+I102)*12%</f>
        <v/>
      </c>
      <c r="O102" s="1130" t="n"/>
      <c r="P102" s="1050" t="n">
        <v>328.96</v>
      </c>
      <c r="Q102" s="1024">
        <f>(D102*(1-E102)+(F102* O102)+N102)-(H102+I102+J102+K102+L102+M102+(P102*F102))</f>
        <v/>
      </c>
      <c r="R102" s="1002">
        <f>Q102/(D102*(1-E102))</f>
        <v/>
      </c>
      <c r="S102" s="1189" t="n"/>
      <c r="T102" s="1030" t="n"/>
    </row>
    <row r="103" ht="24.75" customHeight="1" s="1349">
      <c r="A103" s="1108" t="e">
        <v>#N/A</v>
      </c>
      <c r="B103" s="1053" t="inlineStr">
        <is>
          <t>Kit 2 Fitas Automotiva Amarela 18mm X 40m Estetica Polimento</t>
        </is>
      </c>
      <c r="C103" s="1054" t="n"/>
      <c r="D103" s="1029" t="n">
        <v>19.2</v>
      </c>
      <c r="E103" s="1061" t="n">
        <v>0.01</v>
      </c>
      <c r="F103" s="1132" t="n">
        <v>1</v>
      </c>
      <c r="G103" s="1113" t="n">
        <v>0.2</v>
      </c>
      <c r="H103" s="1024" t="n">
        <v>3.84</v>
      </c>
      <c r="I103" s="999" t="n">
        <v>4</v>
      </c>
      <c r="J103" s="999">
        <f>D103*(1-E103) * (3.5%)</f>
        <v/>
      </c>
      <c r="K103" s="1220">
        <f>D103*(1-E103)*18%</f>
        <v/>
      </c>
      <c r="L103" s="1220">
        <f>((D103*(1-E103))-K103)*1.65%</f>
        <v/>
      </c>
      <c r="M103" s="1220">
        <f>((D103*(1-E103))-K103)*7.6%</f>
        <v/>
      </c>
      <c r="N103" s="1221">
        <f>(H103+I103+J103)*9.25% + (H103+I103)*12%</f>
        <v/>
      </c>
      <c r="O103" s="1130" t="n"/>
      <c r="P103" s="1050" t="n">
        <v>7.54</v>
      </c>
      <c r="Q103" s="1024">
        <f>(D103*(1-E103)+(F103* O103)+N103)-(H103+I103+J103+K103+L103+M103+(P103*F103))</f>
        <v/>
      </c>
      <c r="R103" s="1002">
        <f>Q103/(D103*(1-E103))</f>
        <v/>
      </c>
      <c r="S103" s="1189" t="n"/>
      <c r="T103" s="1030" t="n"/>
    </row>
    <row r="104" ht="24.75" customHeight="1" s="1349">
      <c r="A104" s="1108" t="e">
        <v>#N/A</v>
      </c>
      <c r="B104" s="1053" t="inlineStr">
        <is>
          <t>Luva Volk Do Brasil Pvc 46 Proteção Química Térmica Epi</t>
        </is>
      </c>
      <c r="C104" s="1054" t="n"/>
      <c r="D104" s="1029" t="n"/>
      <c r="E104" s="1061" t="n">
        <v>0.01</v>
      </c>
      <c r="F104" s="1132" t="n">
        <v>1</v>
      </c>
      <c r="G104" s="1113" t="n"/>
      <c r="H104" s="1024" t="n"/>
      <c r="I104" s="999" t="n"/>
      <c r="J104" s="999">
        <f>D104*(1-E104) * (3.5%)</f>
        <v/>
      </c>
      <c r="K104" s="1220">
        <f>D104*(1-E104)*18%</f>
        <v/>
      </c>
      <c r="L104" s="1220">
        <f>((D104*(1-E104))-K104)*1.65%</f>
        <v/>
      </c>
      <c r="M104" s="1220">
        <f>((D104*(1-E104))-K104)*7.6%</f>
        <v/>
      </c>
      <c r="N104" s="1221">
        <f>(H104+I104+J104)*9.25% + (H104+I104)*12%</f>
        <v/>
      </c>
      <c r="O104" s="1130" t="n"/>
      <c r="P104" s="1050" t="n"/>
      <c r="Q104" s="1024">
        <f>(D104*(1-E104)+(F104* O104)+N104)-(H104+I104+J104+K104+L104+M104+(P104*F104))</f>
        <v/>
      </c>
      <c r="R104" s="1002">
        <f>Q104/(D104*(1-E104))</f>
        <v/>
      </c>
      <c r="S104" s="1189" t="n"/>
      <c r="T104" s="1030" t="n"/>
    </row>
    <row r="105" ht="24.75" customHeight="1" s="1349">
      <c r="A105" s="1108" t="e">
        <v>#N/A</v>
      </c>
      <c r="B105" s="1053" t="inlineStr">
        <is>
          <t>Alicate Meia Cana 6 Polegadas Irwin Profissional Vise Grip</t>
        </is>
      </c>
      <c r="C105" s="1054" t="n"/>
      <c r="D105" s="1029" t="n">
        <v>61.11</v>
      </c>
      <c r="E105" s="1061" t="n">
        <v>0.01</v>
      </c>
      <c r="F105" s="1132" t="n">
        <v>1</v>
      </c>
      <c r="G105" s="1113" t="n">
        <v>0.2</v>
      </c>
      <c r="H105" s="1024" t="n">
        <v>12.222</v>
      </c>
      <c r="I105" s="999" t="n">
        <v>4</v>
      </c>
      <c r="J105" s="999">
        <f>D105*(1-E105) * (3.5%)</f>
        <v/>
      </c>
      <c r="K105" s="1220">
        <f>D105*(1-E105)*18%</f>
        <v/>
      </c>
      <c r="L105" s="1220">
        <f>((D105*(1-E105))-K105)*1.65%</f>
        <v/>
      </c>
      <c r="M105" s="1220">
        <f>((D105*(1-E105))-K105)*7.6%</f>
        <v/>
      </c>
      <c r="N105" s="1221">
        <f>(H105+I105+J105)*9.25% + (H105+I105)*12%</f>
        <v/>
      </c>
      <c r="O105" s="1130" t="n"/>
      <c r="P105" s="1050" t="n">
        <v>36.02</v>
      </c>
      <c r="Q105" s="1024">
        <f>(D105*(1-E105)+(F105* O105)+N105)-(H105+I105+J105+K105+L105+M105+(P105*F105))</f>
        <v/>
      </c>
      <c r="R105" s="1002">
        <f>Q105/(D105*(1-E105))</f>
        <v/>
      </c>
      <c r="S105" s="1189" t="n"/>
      <c r="T105" s="1030" t="n"/>
    </row>
    <row r="106" ht="24.75" customHeight="1" s="1349">
      <c r="A106" s="1108" t="e">
        <v>#N/A</v>
      </c>
      <c r="B106" s="1053" t="inlineStr">
        <is>
          <t>Kit C/ 12 Multiuso Luvas Amarela Látex Antiderrapante Faxina</t>
        </is>
      </c>
      <c r="C106" s="1054" t="n"/>
      <c r="D106" s="1029" t="n">
        <v>37.5</v>
      </c>
      <c r="E106" s="1061" t="n">
        <v>0.01</v>
      </c>
      <c r="F106" s="1132" t="n">
        <v>1</v>
      </c>
      <c r="G106" s="1113" t="n">
        <v>0.2</v>
      </c>
      <c r="H106" s="1024" t="n">
        <v>7.5</v>
      </c>
      <c r="I106" s="999" t="n">
        <v>4</v>
      </c>
      <c r="J106" s="999">
        <f>D106*(1-E106) * (3.5%)</f>
        <v/>
      </c>
      <c r="K106" s="1220">
        <f>D106*(1-E106)*18%</f>
        <v/>
      </c>
      <c r="L106" s="1220">
        <f>((D106*(1-E106))-K106)*1.65%</f>
        <v/>
      </c>
      <c r="M106" s="1220">
        <f>((D106*(1-E106))-K106)*7.6%</f>
        <v/>
      </c>
      <c r="N106" s="1221">
        <f>(H106+I106+J106)*9.25% + (H106+I106)*12%</f>
        <v/>
      </c>
      <c r="O106" s="1130" t="n"/>
      <c r="P106" s="1050" t="n">
        <v>25.68</v>
      </c>
      <c r="Q106" s="1024">
        <f>(D106*(1-E106)+(F106* O106)+N106)-(H106+I106+J106+K106+L106+M106+(P106*F106))</f>
        <v/>
      </c>
      <c r="R106" s="1002">
        <f>Q106/(D106*(1-E106))</f>
        <v/>
      </c>
      <c r="S106" s="1189" t="n"/>
      <c r="T106" s="1030" t="n"/>
    </row>
    <row r="107" ht="24.75" customHeight="1" s="1349">
      <c r="A107" s="1108" t="e">
        <v>#N/A</v>
      </c>
      <c r="B107" s="1053" t="inlineStr">
        <is>
          <t>Palmilha Ortopédica Para Tênis Sapato Bota Botina Coturnoepi</t>
        </is>
      </c>
      <c r="C107" s="1054" t="n"/>
      <c r="D107" s="1132" t="n">
        <v>28.9</v>
      </c>
      <c r="E107" s="1061" t="n">
        <v>0.01</v>
      </c>
      <c r="F107" s="1132" t="n">
        <v>1</v>
      </c>
      <c r="G107" s="1113" t="n">
        <v>0.2</v>
      </c>
      <c r="H107" s="1024" t="n">
        <v>5.78</v>
      </c>
      <c r="I107" s="999" t="n">
        <v>4</v>
      </c>
      <c r="J107" s="999">
        <f>D107*(1-E107) * (3.5%)</f>
        <v/>
      </c>
      <c r="K107" s="1220">
        <f>D107*(1-E107)*18%</f>
        <v/>
      </c>
      <c r="L107" s="1220">
        <f>((D107*(1-E107))-K107)*1.65%</f>
        <v/>
      </c>
      <c r="M107" s="1220">
        <f>((D107*(1-E107))-K107)*7.6%</f>
        <v/>
      </c>
      <c r="N107" s="1221">
        <f>(H107+I107+J107)*9.25% + (H107+I107)*12%</f>
        <v/>
      </c>
      <c r="O107" s="1130" t="n"/>
      <c r="P107" s="1050" t="n">
        <v>9.130000000000001</v>
      </c>
      <c r="Q107" s="1024">
        <f>(D107*(1-E107)+(F107* O107)+N107)-(H107+I107+J107+K107+L107+M107+(P107*F107))</f>
        <v/>
      </c>
      <c r="R107" s="1002">
        <f>Q107/(D107*(1-E107))</f>
        <v/>
      </c>
      <c r="S107" s="1189" t="n"/>
      <c r="T107" s="1030" t="n"/>
    </row>
    <row r="108" ht="24.75" customHeight="1" s="1349">
      <c r="A108" s="1108" t="e">
        <v>#N/A</v>
      </c>
      <c r="B108" s="1051" t="inlineStr">
        <is>
          <t>Luva Proteção Anticorte Com Pu Cut Smart Alta Precisão Epi</t>
        </is>
      </c>
      <c r="C108" s="1054" t="n"/>
      <c r="D108" s="1029" t="n">
        <v>28.05</v>
      </c>
      <c r="E108" s="1061" t="n">
        <v>0.01</v>
      </c>
      <c r="F108" s="1132" t="n">
        <v>1</v>
      </c>
      <c r="G108" s="1113" t="n">
        <v>0.2</v>
      </c>
      <c r="H108" s="1024" t="n">
        <v>5.61</v>
      </c>
      <c r="I108" s="999" t="n">
        <v>4</v>
      </c>
      <c r="J108" s="999">
        <f>D108*(1-E108) * (3.5%)</f>
        <v/>
      </c>
      <c r="K108" s="1220">
        <f>D108*(1-E108)*18%</f>
        <v/>
      </c>
      <c r="L108" s="1220">
        <f>((D108*(1-E108))-K108)*1.65%</f>
        <v/>
      </c>
      <c r="M108" s="1220">
        <f>((D108*(1-E108))-K108)*7.6%</f>
        <v/>
      </c>
      <c r="N108" s="1221">
        <f>(H108+I108+J108)*9.25% + (H108+I108)*12%</f>
        <v/>
      </c>
      <c r="O108" s="1130" t="n"/>
      <c r="P108" s="1050" t="n">
        <v>13.66</v>
      </c>
      <c r="Q108" s="1024">
        <f>(D108*(1-E108)+(F108* O108)+N108)-(H108+I108+J108+K108+L108+M108+(P108*F108))</f>
        <v/>
      </c>
      <c r="R108" s="1002">
        <f>Q108/(D108*(1-E108))</f>
        <v/>
      </c>
      <c r="S108" s="1189" t="n"/>
      <c r="T108" s="1030" t="n"/>
    </row>
    <row r="109" ht="24.75" customHeight="1" s="1349">
      <c r="A109" s="1108" t="e">
        <v>#N/A</v>
      </c>
      <c r="B109" s="1053" t="inlineStr">
        <is>
          <t>Kit C/8 Luva Petroleira Ss1006 C/banho Nitrílico Supersafety</t>
        </is>
      </c>
      <c r="C109" s="1054" t="n"/>
      <c r="D109" s="1029" t="n">
        <v>56.43</v>
      </c>
      <c r="E109" s="1061" t="n">
        <v>0.01</v>
      </c>
      <c r="F109" s="1132" t="n">
        <v>1</v>
      </c>
      <c r="G109" s="1113" t="n">
        <v>0.2</v>
      </c>
      <c r="H109" s="1024" t="n">
        <v>11.286</v>
      </c>
      <c r="I109" s="999" t="n">
        <v>4</v>
      </c>
      <c r="J109" s="999">
        <f>D109*(1-E109) * (3.5%)</f>
        <v/>
      </c>
      <c r="K109" s="1220">
        <f>D109*(1-E109)*18%</f>
        <v/>
      </c>
      <c r="L109" s="1220">
        <f>((D109*(1-E109))-K109)*1.65%</f>
        <v/>
      </c>
      <c r="M109" s="1220">
        <f>((D109*(1-E109))-K109)*7.6%</f>
        <v/>
      </c>
      <c r="N109" s="1221">
        <f>(H109+I109+J109)*9.25% + (H109+I109)*12%</f>
        <v/>
      </c>
      <c r="O109" s="1130" t="n"/>
      <c r="P109" s="1050" t="n">
        <v>27.44</v>
      </c>
      <c r="Q109" s="1024">
        <f>(D109*(1-E109)+(F109* O109)+N109)-(H109+I109+J109+K109+L109+M109+(P109*F109))</f>
        <v/>
      </c>
      <c r="R109" s="1002">
        <f>Q109/(D109*(1-E109))</f>
        <v/>
      </c>
      <c r="S109" s="1189" t="n"/>
      <c r="T109" s="1030" t="n"/>
    </row>
    <row r="110" ht="24.75" customHeight="1" s="1349">
      <c r="A110" s="1108" t="e">
        <v>#N/A</v>
      </c>
      <c r="B110" s="1053" t="inlineStr">
        <is>
          <t>Kit 2 Prs Luva Proteção Anticorte Cut Oil Palma Impermeável</t>
        </is>
      </c>
      <c r="C110" s="1054" t="n"/>
      <c r="D110" s="1029" t="n">
        <v>78.94</v>
      </c>
      <c r="E110" s="1061" t="n">
        <v>0.01</v>
      </c>
      <c r="F110" s="1132" t="n">
        <v>1</v>
      </c>
      <c r="G110" s="1113" t="n">
        <v>0.2</v>
      </c>
      <c r="H110" s="1024" t="n">
        <v>15.788</v>
      </c>
      <c r="I110" s="999" t="n">
        <v>4</v>
      </c>
      <c r="J110" s="999">
        <f>D110*(1-E110) * (3.5%)</f>
        <v/>
      </c>
      <c r="K110" s="1220">
        <f>D110*(1-E110)*18%</f>
        <v/>
      </c>
      <c r="L110" s="1220">
        <f>((D110*(1-E110))-K110)*1.65%</f>
        <v/>
      </c>
      <c r="M110" s="1220">
        <f>((D110*(1-E110))-K110)*7.6%</f>
        <v/>
      </c>
      <c r="N110" s="1221">
        <f>(H110+I110+J110)*9.25% + (H110+I110)*12%</f>
        <v/>
      </c>
      <c r="O110" s="1130" t="n"/>
      <c r="P110" s="1050" t="n">
        <v>52</v>
      </c>
      <c r="Q110" s="1024">
        <f>(D110*(1-E110)+(F110* O110)+N110)-(H110+I110+J110+K110+L110+M110+(P110*F110))</f>
        <v/>
      </c>
      <c r="R110" s="1002">
        <f>Q110/(D110*(1-E110))</f>
        <v/>
      </c>
      <c r="S110" s="1189" t="n"/>
      <c r="T110" s="1030" t="n"/>
    </row>
    <row r="111" ht="24.75" customHeight="1" s="1349">
      <c r="A111" s="1108" t="e">
        <v>#N/A</v>
      </c>
      <c r="B111" s="1053" t="inlineStr">
        <is>
          <t>Bota Pvc Innpro Work Preta Cano Médio Borracha Impermeável</t>
        </is>
      </c>
      <c r="C111" s="1054" t="n"/>
      <c r="D111" s="1029" t="n">
        <v>59.25</v>
      </c>
      <c r="E111" s="1061" t="n">
        <v>0.01</v>
      </c>
      <c r="F111" s="1132" t="n">
        <v>1</v>
      </c>
      <c r="G111" s="1113" t="n">
        <v>0.2</v>
      </c>
      <c r="H111" s="1024" t="n">
        <v>11.85</v>
      </c>
      <c r="I111" s="999" t="n">
        <v>4</v>
      </c>
      <c r="J111" s="999">
        <f>D111*(1-E111) * (3.5%)</f>
        <v/>
      </c>
      <c r="K111" s="1220">
        <f>D111*(1-E111)*18%</f>
        <v/>
      </c>
      <c r="L111" s="1220">
        <f>((D111*(1-E111))-K111)*1.65%</f>
        <v/>
      </c>
      <c r="M111" s="1220">
        <f>((D111*(1-E111))-K111)*7.6%</f>
        <v/>
      </c>
      <c r="N111" s="1221">
        <f>(H111+I111+J111)*9.25% + (H111+I111)*12%</f>
        <v/>
      </c>
      <c r="O111" s="1130" t="n"/>
      <c r="P111" s="1050" t="n">
        <v>28</v>
      </c>
      <c r="Q111" s="1024">
        <f>(D111*(1-E111)+(F111* O111)+N111)-(H111+I111+J111+K111+L111+M111+(P111*F111))</f>
        <v/>
      </c>
      <c r="R111" s="1002">
        <f>Q111/(D111*(1-E111))</f>
        <v/>
      </c>
      <c r="S111" s="1189" t="n"/>
      <c r="T111" s="1030" t="n"/>
    </row>
    <row r="112" ht="24.75" customHeight="1" s="1349">
      <c r="A112" s="1108" t="e">
        <v>#N/A</v>
      </c>
      <c r="B112" s="1053" t="inlineStr">
        <is>
          <t>Bota Pvc Antiderrapante Impermeável Cano Longo Conforto Ca</t>
        </is>
      </c>
      <c r="C112" s="1054" t="n"/>
      <c r="D112" s="1029" t="n">
        <v>59.25</v>
      </c>
      <c r="E112" s="1061" t="n">
        <v>0.01</v>
      </c>
      <c r="F112" s="1132" t="n">
        <v>1</v>
      </c>
      <c r="G112" s="1113" t="n">
        <v>0.2</v>
      </c>
      <c r="H112" s="1024" t="n">
        <v>11.85</v>
      </c>
      <c r="I112" s="999" t="n">
        <v>4</v>
      </c>
      <c r="J112" s="999">
        <f>D112*(1-E112) * (3.5%)</f>
        <v/>
      </c>
      <c r="K112" s="1220">
        <f>D112*(1-E112)*18%</f>
        <v/>
      </c>
      <c r="L112" s="1220">
        <f>((D112*(1-E112))-K112)*1.65%</f>
        <v/>
      </c>
      <c r="M112" s="1220">
        <f>((D112*(1-E112))-K112)*7.6%</f>
        <v/>
      </c>
      <c r="N112" s="1221">
        <f>(H112+I112+J112)*9.25% + (H112+I112)*12%</f>
        <v/>
      </c>
      <c r="O112" s="1097" t="n">
        <v>5.79</v>
      </c>
      <c r="P112" s="708" t="n">
        <v>28.76</v>
      </c>
      <c r="Q112" s="1024">
        <f>(D112*(1-E112)+(F112* O112)+N112)-(H112+I112+J112+K112+L112+M112+(P112*F112))</f>
        <v/>
      </c>
      <c r="R112" s="1002">
        <f>Q112/(D112*(1-E112))</f>
        <v/>
      </c>
      <c r="S112" s="1189" t="n"/>
      <c r="T112" s="1030" t="n"/>
    </row>
    <row r="113" ht="24.75" customHeight="1" s="1349">
      <c r="A113" s="1108" t="e">
        <v>#N/A</v>
      </c>
      <c r="B113" s="1070" t="inlineStr">
        <is>
          <t>Botina Couro Nobuck Luxo Impermeavel Cadarço Bico Pvc c/ CA</t>
        </is>
      </c>
      <c r="C113" s="1070" t="n"/>
      <c r="D113" s="1029" t="n">
        <v>161.5</v>
      </c>
      <c r="E113" s="1061" t="n">
        <v>0.01</v>
      </c>
      <c r="F113" s="1132" t="n">
        <v>1</v>
      </c>
      <c r="G113" s="1113" t="n">
        <v>0.14</v>
      </c>
      <c r="H113" s="1024" t="n">
        <v>22.61</v>
      </c>
      <c r="I113" s="999" t="n">
        <v>20</v>
      </c>
      <c r="J113" s="999">
        <f>D113*(1-E113) * (3.5%)</f>
        <v/>
      </c>
      <c r="K113" s="1220">
        <f>D113*(1-E113)*18%</f>
        <v/>
      </c>
      <c r="L113" s="1220">
        <f>((D113*(1-E113))-K113)*1.65%</f>
        <v/>
      </c>
      <c r="M113" s="1220">
        <f>((D113*(1-E113))-K113)*7.6%</f>
        <v/>
      </c>
      <c r="N113" s="1221">
        <f>(H113+I113+J113)*9.25% + (H113+I113)*12%</f>
        <v/>
      </c>
      <c r="O113" s="1130" t="n"/>
      <c r="P113" s="1050" t="n">
        <v>91.42</v>
      </c>
      <c r="Q113" s="1024">
        <f>(D113*(1-E113)+(F113* O113)+N113)-(H113+I113+J113+K113+L113+M113+(P113*F113))</f>
        <v/>
      </c>
      <c r="R113" s="1002">
        <f>Q113/(D113*(1-E113))</f>
        <v/>
      </c>
      <c r="S113" s="1189" t="n"/>
      <c r="T113" s="1030" t="n"/>
    </row>
    <row r="114" ht="24.75" customHeight="1" s="1349">
      <c r="A114" s="1108" t="e">
        <v>#N/A</v>
      </c>
      <c r="B114" s="1053" t="inlineStr">
        <is>
          <t xml:space="preserve">Kit 10 Capacete De Segurança Avant Engenheiro Obra Camper </t>
        </is>
      </c>
      <c r="C114" s="1054" t="n"/>
      <c r="D114" s="1029" t="n">
        <v>192</v>
      </c>
      <c r="E114" s="1061" t="n">
        <v>0.01</v>
      </c>
      <c r="F114" s="1132" t="n">
        <v>1</v>
      </c>
      <c r="G114" s="1113" t="n">
        <v>0.14</v>
      </c>
      <c r="H114" s="1024" t="n">
        <v>26.88</v>
      </c>
      <c r="I114" s="999" t="n">
        <v>20</v>
      </c>
      <c r="J114" s="999">
        <f>D114*(1-E114) * (3.5%)</f>
        <v/>
      </c>
      <c r="K114" s="1220">
        <f>D114*(1-E114)*18%</f>
        <v/>
      </c>
      <c r="L114" s="1220">
        <f>((D114*(1-E114))-K114)*1.65%</f>
        <v/>
      </c>
      <c r="M114" s="1220">
        <f>((D114*(1-E114))-K114)*7.6%</f>
        <v/>
      </c>
      <c r="N114" s="1221">
        <f>(H114+I114+J114)*9.25% + (H114+I114)*12%</f>
        <v/>
      </c>
      <c r="O114" s="1130" t="n"/>
      <c r="P114" s="1050" t="n">
        <v>110</v>
      </c>
      <c r="Q114" s="1024">
        <f>(D114*(1-E114)+(F114* O114)+N114)-(H114+I114+J114+K114+L114+M114+(P114*F114))</f>
        <v/>
      </c>
      <c r="R114" s="1002">
        <f>Q114/(D114*(1-E114))</f>
        <v/>
      </c>
      <c r="S114" s="1189" t="n"/>
      <c r="T114" s="1030" t="n"/>
    </row>
    <row r="115" ht="24.75" customHeight="1" s="1349">
      <c r="A115" s="1108" t="e">
        <v>#N/A</v>
      </c>
      <c r="B115" s="1053" t="inlineStr">
        <is>
          <t>Capacete De Segurança Avant Engenheiro Obra Camper Cor Preto</t>
        </is>
      </c>
      <c r="C115" s="1054" t="n"/>
      <c r="D115" s="1029" t="n">
        <v>26</v>
      </c>
      <c r="E115" s="1061" t="n">
        <v>0.01</v>
      </c>
      <c r="F115" s="1132" t="n">
        <v>1</v>
      </c>
      <c r="G115" s="1113" t="n">
        <v>0.2</v>
      </c>
      <c r="H115" s="1024" t="n">
        <v>5.2</v>
      </c>
      <c r="I115" s="999" t="n">
        <v>4</v>
      </c>
      <c r="J115" s="999">
        <f>D115*(1-E115) * (3.5%)</f>
        <v/>
      </c>
      <c r="K115" s="1220">
        <f>D115*(1-E115)*18%</f>
        <v/>
      </c>
      <c r="L115" s="1220">
        <f>((D115*(1-E115))-K115)*1.65%</f>
        <v/>
      </c>
      <c r="M115" s="1220">
        <f>((D115*(1-E115))-K115)*7.6%</f>
        <v/>
      </c>
      <c r="N115" s="1221">
        <f>(H115+I115+J115)*9.25% + (H115+I115)*12%</f>
        <v/>
      </c>
      <c r="O115" s="1130" t="n"/>
      <c r="P115" s="1050" t="n">
        <v>11</v>
      </c>
      <c r="Q115" s="1024">
        <f>(D115*(1-E115)+(F115* O115)+N115)-(H115+I115+J115+K115+L115+M115+(P115*F115))</f>
        <v/>
      </c>
      <c r="R115" s="1002">
        <f>Q115/(D115*(1-E115))</f>
        <v/>
      </c>
      <c r="S115" s="1189" t="n"/>
      <c r="T115" s="1030" t="n"/>
    </row>
    <row r="116" ht="24.75" customHeight="1" s="1349">
      <c r="A116" s="1108" t="e">
        <v>#N/A</v>
      </c>
      <c r="B116" s="1053" t="inlineStr">
        <is>
          <t>Kit 10 Óculos Sky Fume Incolor Proteção Lateral Segurança</t>
        </is>
      </c>
      <c r="C116" s="1054" t="n"/>
      <c r="D116" s="1029" t="n">
        <v>40</v>
      </c>
      <c r="E116" s="1061" t="n">
        <v>0.01</v>
      </c>
      <c r="F116" s="1132" t="n">
        <v>1</v>
      </c>
      <c r="G116" s="1113" t="n">
        <v>0.2</v>
      </c>
      <c r="H116" s="1024" t="n">
        <v>8</v>
      </c>
      <c r="I116" s="999" t="n">
        <v>4</v>
      </c>
      <c r="J116" s="999">
        <f>D116*(1-E116) * (3.5%)</f>
        <v/>
      </c>
      <c r="K116" s="1220">
        <f>D116*(1-E116)*18%</f>
        <v/>
      </c>
      <c r="L116" s="1220">
        <f>((D116*(1-E116))-K116)*1.65%</f>
        <v/>
      </c>
      <c r="M116" s="1220">
        <f>((D116*(1-E116))-K116)*7.6%</f>
        <v/>
      </c>
      <c r="N116" s="1221">
        <f>(H116+I116+J116)*9.25% + (H116+I116)*12%</f>
        <v/>
      </c>
      <c r="O116" s="1130" t="n"/>
      <c r="P116" s="1050" t="n">
        <v>19.5</v>
      </c>
      <c r="Q116" s="1024">
        <f>(D116*(1-E116)+(F116* O116)+N116)-(H116+I116+J116+K116+L116+M116+(P116*F116))</f>
        <v/>
      </c>
      <c r="R116" s="1002">
        <f>Q116/(D116*(1-E116))</f>
        <v/>
      </c>
      <c r="S116" s="1189" t="n"/>
      <c r="T116" s="1030" t="n"/>
    </row>
    <row r="117" ht="24.75" customHeight="1" s="1349">
      <c r="A117" s="1108" t="e">
        <v>#N/A</v>
      </c>
      <c r="B117" s="1053" t="inlineStr">
        <is>
          <t>Protetor / Bloqueador Solar 4 Litros Fps 60 Nutriex</t>
        </is>
      </c>
      <c r="C117" s="1054" t="n"/>
      <c r="D117" s="1029" t="n">
        <v>565</v>
      </c>
      <c r="E117" s="1061" t="n">
        <v>0.01</v>
      </c>
      <c r="F117" s="1132" t="n">
        <v>1</v>
      </c>
      <c r="G117" s="1113" t="n">
        <v>0.14</v>
      </c>
      <c r="H117" s="1024" t="n">
        <v>79.10000000000001</v>
      </c>
      <c r="I117" s="999" t="n">
        <v>26</v>
      </c>
      <c r="J117" s="999">
        <f>D117*(1-E117) * (3.5%)</f>
        <v/>
      </c>
      <c r="K117" s="1220">
        <f>D117*(1-E117)*18%</f>
        <v/>
      </c>
      <c r="L117" s="1220">
        <f>((D117*(1-E117))-K117)*1.65%</f>
        <v/>
      </c>
      <c r="M117" s="1220">
        <f>((D117*(1-E117))-K117)*7.6%</f>
        <v/>
      </c>
      <c r="N117" s="1221">
        <f>(H117+I117+J117)*9.25% + (H117+I117)*12%</f>
        <v/>
      </c>
      <c r="O117" s="1130" t="n"/>
      <c r="P117" s="1050" t="n">
        <v>366.71</v>
      </c>
      <c r="Q117" s="1024">
        <f>(D117*(1-E117)+(F117* O117)+N117)-(H117+I117+J117+K117+L117+M117+(P117*F117))</f>
        <v/>
      </c>
      <c r="R117" s="1002">
        <f>Q117/(D117*(1-E117))</f>
        <v/>
      </c>
      <c r="S117" s="1189" t="n"/>
      <c r="T117" s="1030" t="n"/>
    </row>
    <row r="118" ht="24.75" customHeight="1" s="1349">
      <c r="A118" s="1108" t="e">
        <v>#N/A</v>
      </c>
      <c r="B118" s="1051" t="inlineStr">
        <is>
          <t>Bota Galocha Pvc Calfor Supermax Longo Ca28489 Impermeável</t>
        </is>
      </c>
      <c r="C118" s="1054" t="n"/>
      <c r="D118" s="1029" t="n">
        <v>63.98</v>
      </c>
      <c r="E118" s="1061" t="n">
        <v>0.01</v>
      </c>
      <c r="F118" s="1132" t="n">
        <v>1</v>
      </c>
      <c r="G118" s="1113" t="n">
        <v>0.2</v>
      </c>
      <c r="H118" s="1024" t="n">
        <v>12.796</v>
      </c>
      <c r="I118" s="999" t="n">
        <v>4</v>
      </c>
      <c r="J118" s="999">
        <f>D118*(1-E118) * (3.5%)</f>
        <v/>
      </c>
      <c r="K118" s="1220">
        <f>D118*(1-E118)*18%</f>
        <v/>
      </c>
      <c r="L118" s="1220">
        <f>((D118*(1-E118))-K118)*1.65%</f>
        <v/>
      </c>
      <c r="M118" s="1220">
        <f>((D118*(1-E118))-K118)*7.6%</f>
        <v/>
      </c>
      <c r="N118" s="1221">
        <f>(H118+I118+J118)*9.25% + (H118+I118)*12%</f>
        <v/>
      </c>
      <c r="O118" s="1130" t="n"/>
      <c r="P118" s="1050" t="n">
        <v>37</v>
      </c>
      <c r="Q118" s="1024">
        <f>(D118*(1-E118)+(F118* O118)+N118)-(H118+I118+J118+K118+L118+M118+(P118*F118))</f>
        <v/>
      </c>
      <c r="R118" s="1002">
        <f>Q118/(D118*(1-E118))</f>
        <v/>
      </c>
      <c r="S118" s="1189" t="n"/>
      <c r="T118" s="1030" t="n"/>
    </row>
    <row r="119" ht="24.75" customHeight="1" s="1349">
      <c r="A119" s="1108" t="e">
        <v>#N/A</v>
      </c>
      <c r="B119" s="1053" t="inlineStr">
        <is>
          <t>Abraçadeira De Nylon Cinta Plástica Reforçada 7,2x40cm 100un</t>
        </is>
      </c>
      <c r="C119" s="1054" t="n"/>
      <c r="D119" s="1132" t="inlineStr">
        <is>
          <t>44,,9</t>
        </is>
      </c>
      <c r="E119" s="1061" t="n">
        <v>0.01</v>
      </c>
      <c r="F119" s="1132" t="n">
        <v>1</v>
      </c>
      <c r="G119" s="1113" t="n">
        <v>0.2</v>
      </c>
      <c r="H119" s="1024" t="n">
        <v>8.800000000000001</v>
      </c>
      <c r="I119" s="999" t="n">
        <v>4</v>
      </c>
      <c r="J119" s="999">
        <f>D119*(1-E119) * (3.5%)</f>
        <v/>
      </c>
      <c r="K119" s="1220">
        <f>D119*(1-E119)*18%</f>
        <v/>
      </c>
      <c r="L119" s="1220">
        <f>((D119*(1-E119))-K119)*1.65%</f>
        <v/>
      </c>
      <c r="M119" s="1220">
        <f>((D119*(1-E119))-K119)*7.6%</f>
        <v/>
      </c>
      <c r="N119" s="1221">
        <f>(H119+I119+J119)*9.25% + (H119+I119)*12%</f>
        <v/>
      </c>
      <c r="O119" s="1097" t="n">
        <v>2.54</v>
      </c>
      <c r="P119" s="708" t="n">
        <v>21.04</v>
      </c>
      <c r="Q119" s="1024">
        <f>(D119*(1-E119)+(F119* O119)+N119)-(H119+I119+J119+K119+L119+M119+(P119*F119))</f>
        <v/>
      </c>
      <c r="R119" s="1002">
        <f>Q119/(D119*(1-E119))</f>
        <v/>
      </c>
      <c r="S119" s="1189" t="n"/>
      <c r="T119" s="1030" t="n"/>
    </row>
    <row r="120" ht="24.75" customHeight="1" s="1349">
      <c r="A120" s="1108" t="e">
        <v>#N/A</v>
      </c>
      <c r="B120" s="1053" t="inlineStr">
        <is>
          <t>Kit 12 Luva Multitato Tricotada Pu Mecanico Antiestática Epi</t>
        </is>
      </c>
      <c r="C120" s="1054" t="n"/>
      <c r="D120" s="1029" t="n">
        <v>49.77</v>
      </c>
      <c r="E120" s="1061" t="n">
        <v>0.01</v>
      </c>
      <c r="F120" s="1132" t="n">
        <v>1</v>
      </c>
      <c r="G120" s="1113" t="n">
        <v>0.2</v>
      </c>
      <c r="H120" s="1024" t="n">
        <v>9.954000000000001</v>
      </c>
      <c r="I120" s="999" t="n">
        <v>4</v>
      </c>
      <c r="J120" s="999">
        <f>D120*(1-E120) * (3.5%)</f>
        <v/>
      </c>
      <c r="K120" s="1220">
        <f>D120*(1-E120)*18%</f>
        <v/>
      </c>
      <c r="L120" s="1220">
        <f>((D120*(1-E120))-K120)*1.65%</f>
        <v/>
      </c>
      <c r="M120" s="1220">
        <f>((D120*(1-E120))-K120)*7.6%</f>
        <v/>
      </c>
      <c r="N120" s="1221">
        <f>(H120+I120+J120)*9.25% + (H120+I120)*12%</f>
        <v/>
      </c>
      <c r="O120" s="1130" t="n"/>
      <c r="P120" s="1050" t="n">
        <v>24</v>
      </c>
      <c r="Q120" s="1024">
        <f>(D120*(1-E120)+(F120* O120)+N120)-(H120+I120+J120+K120+L120+M120+(P120*F120))</f>
        <v/>
      </c>
      <c r="R120" s="1002">
        <f>Q120/(D120*(1-E120))</f>
        <v/>
      </c>
      <c r="S120" s="1189" t="n"/>
      <c r="T120" s="1030" t="n"/>
    </row>
    <row r="121" ht="24.75" customHeight="1" s="1349">
      <c r="A121" s="1108" t="e">
        <v>#N/A</v>
      </c>
      <c r="B121" s="1053" t="inlineStr">
        <is>
          <t>Chumbador Químico 410 Ancora Aqi380pro C/ Aplicador Origina</t>
        </is>
      </c>
      <c r="C121" s="1054" t="n"/>
      <c r="D121" s="1132" t="n">
        <v>142.9</v>
      </c>
      <c r="E121" s="1061" t="n">
        <v>0.01</v>
      </c>
      <c r="F121" s="1132" t="n">
        <v>1</v>
      </c>
      <c r="G121" s="1113" t="n">
        <v>0.14</v>
      </c>
      <c r="H121" s="1024" t="n">
        <v>20.006</v>
      </c>
      <c r="I121" s="999" t="n">
        <v>20</v>
      </c>
      <c r="J121" s="999">
        <f>D121*(1-E121) * (3.5%)</f>
        <v/>
      </c>
      <c r="K121" s="1220">
        <f>D121*(1-E121)*18%</f>
        <v/>
      </c>
      <c r="L121" s="1220">
        <f>((D121*(1-E121))-K121)*1.65%</f>
        <v/>
      </c>
      <c r="M121" s="1220">
        <f>((D121*(1-E121))-K121)*7.6%</f>
        <v/>
      </c>
      <c r="N121" s="1221">
        <f>(H121+I121+J121)*9.25% + (H121+I121)*12%</f>
        <v/>
      </c>
      <c r="O121" s="1097" t="n">
        <v>8.859999999999999</v>
      </c>
      <c r="P121" s="708" t="n">
        <v>69.56999999999999</v>
      </c>
      <c r="Q121" s="1024">
        <f>(D121*(1-E121)+(F121* O121)+N121)-(H121+I121+J121+K121+L121+M121+(P121*F121))</f>
        <v/>
      </c>
      <c r="R121" s="1002">
        <f>Q121/(D121*(1-E121))</f>
        <v/>
      </c>
      <c r="S121" s="1189" t="n"/>
      <c r="T121" s="1030" t="n"/>
    </row>
    <row r="122" ht="24.75" customHeight="1" s="1349">
      <c r="A122" s="1108" t="e">
        <v>#N/A</v>
      </c>
      <c r="B122" s="1053" t="inlineStr">
        <is>
          <t>Kit Cinto Paraquedista 1 Ponto + Talabarte Y Duplo Athenas</t>
        </is>
      </c>
      <c r="C122" s="1054" t="n"/>
      <c r="D122" s="1029" t="n">
        <v>284</v>
      </c>
      <c r="E122" s="1061" t="n">
        <v>0.01</v>
      </c>
      <c r="F122" s="1132" t="n">
        <v>1</v>
      </c>
      <c r="G122" s="1113" t="n">
        <v>0.14</v>
      </c>
      <c r="H122" s="1024" t="n">
        <v>39.76000000000001</v>
      </c>
      <c r="I122" s="999" t="n">
        <v>26</v>
      </c>
      <c r="J122" s="999">
        <f>D122*(1-E122) * (3.5%)</f>
        <v/>
      </c>
      <c r="K122" s="1220">
        <f>D122*(1-E122)*18%</f>
        <v/>
      </c>
      <c r="L122" s="1220">
        <f>((D122*(1-E122))-K122)*1.65%</f>
        <v/>
      </c>
      <c r="M122" s="1220">
        <f>((D122*(1-E122))-K122)*7.6%</f>
        <v/>
      </c>
      <c r="N122" s="1221">
        <f>(H122+I122+J122)*9.25% + (H122+I122)*12%</f>
        <v/>
      </c>
      <c r="O122" s="1130" t="n"/>
      <c r="P122" s="1050" t="n">
        <v>172.38</v>
      </c>
      <c r="Q122" s="1024">
        <f>(D122*(1-E122)+(F122* O122)+N122)-(H122+I122+J122+K122+L122+M122+(P122*F122))</f>
        <v/>
      </c>
      <c r="R122" s="1002">
        <f>Q122/(D122*(1-E122))</f>
        <v/>
      </c>
      <c r="S122" s="1189" t="n"/>
      <c r="T122" s="1030" t="n"/>
    </row>
    <row r="123" ht="24.75" customHeight="1" s="1349">
      <c r="A123" s="1108" t="e">
        <v>#N/A</v>
      </c>
      <c r="B123" s="1053" t="inlineStr">
        <is>
          <t>Chumbador Químico Poliester Qpo300 C/ Aplicador Seca Rapido</t>
        </is>
      </c>
      <c r="C123" s="1054" t="n"/>
      <c r="D123" s="1132" t="n">
        <v>109</v>
      </c>
      <c r="E123" s="1061" t="n">
        <v>0.01</v>
      </c>
      <c r="F123" s="1132" t="n">
        <v>1</v>
      </c>
      <c r="G123" s="1113" t="n">
        <v>0.14</v>
      </c>
      <c r="H123" s="1024" t="n">
        <v>15.26</v>
      </c>
      <c r="I123" s="999" t="n">
        <v>20</v>
      </c>
      <c r="J123" s="999">
        <f>D123*(1-E123) * (3.5%)</f>
        <v/>
      </c>
      <c r="K123" s="1220">
        <f>D123*(1-E123)*18%</f>
        <v/>
      </c>
      <c r="L123" s="1220">
        <f>((D123*(1-E123))-K123)*1.65%</f>
        <v/>
      </c>
      <c r="M123" s="1220">
        <f>((D123*(1-E123))-K123)*7.6%</f>
        <v/>
      </c>
      <c r="N123" s="1221">
        <f>(H123+I123+J123)*9.25% + (H123+I123)*12%</f>
        <v/>
      </c>
      <c r="O123" s="1097" t="n">
        <v>6.91</v>
      </c>
      <c r="P123" s="708" t="n">
        <v>53.65</v>
      </c>
      <c r="Q123" s="1024">
        <f>(D123*(1-E123)+(F123* O123)+N123)-(H123+I123+J123+K123+L123+M123+(P123*F123))</f>
        <v/>
      </c>
      <c r="R123" s="1002">
        <f>Q123/(D123*(1-E123))</f>
        <v/>
      </c>
      <c r="S123" s="1189" t="n"/>
      <c r="T123" s="1030" t="n"/>
    </row>
    <row r="124" ht="24.75" customHeight="1" s="1349">
      <c r="A124" s="1108" t="e">
        <v>#N/A</v>
      </c>
      <c r="B124" s="1053" t="inlineStr">
        <is>
          <t>Aplicador Chumbador Químico Selante Silicone Apl300 + Brinde</t>
        </is>
      </c>
      <c r="C124" s="1054" t="n"/>
      <c r="D124" s="1029" t="n">
        <v>166</v>
      </c>
      <c r="E124" s="1061" t="n">
        <v>0.01</v>
      </c>
      <c r="F124" s="1132" t="n">
        <v>1</v>
      </c>
      <c r="G124" s="1113" t="n">
        <v>0.14</v>
      </c>
      <c r="H124" s="1024" t="n">
        <v>23.24</v>
      </c>
      <c r="I124" s="999" t="n">
        <v>20</v>
      </c>
      <c r="J124" s="999">
        <f>D124*(1-E124) * (3.5%)</f>
        <v/>
      </c>
      <c r="K124" s="1220">
        <f>D124*(1-E124)*18%</f>
        <v/>
      </c>
      <c r="L124" s="1220">
        <f>((D124*(1-E124))-K124)*1.65%</f>
        <v/>
      </c>
      <c r="M124" s="1220">
        <f>((D124*(1-E124))-K124)*7.6%</f>
        <v/>
      </c>
      <c r="N124" s="1221">
        <f>(H124+I124+J124)*9.25% + (H124+I124)*12%</f>
        <v/>
      </c>
      <c r="O124" s="1130" t="n"/>
      <c r="P124" s="1118" t="n">
        <v>82.39</v>
      </c>
      <c r="Q124" s="1024">
        <f>(D124*(1-E124)+(F124* O124)+N124)-(H124+I124+J124+K124+L124+M124+(P124*F124))</f>
        <v/>
      </c>
      <c r="R124" s="1002">
        <f>Q124/(D124*(1-E124))</f>
        <v/>
      </c>
      <c r="S124" s="1189" t="n"/>
      <c r="T124" s="1030" t="n"/>
    </row>
    <row r="125" ht="24.75" customHeight="1" s="1349">
      <c r="A125" s="1108" t="e">
        <v>#N/A</v>
      </c>
      <c r="B125" s="1053" t="inlineStr">
        <is>
          <t>Aplicador Duplo Apl400 Ancora Manual Profissional Epoxi400</t>
        </is>
      </c>
      <c r="C125" s="1054" t="n"/>
      <c r="D125" s="1132" t="n">
        <v>219</v>
      </c>
      <c r="E125" s="1061" t="n">
        <v>0.01</v>
      </c>
      <c r="F125" s="1132" t="n">
        <v>1</v>
      </c>
      <c r="G125" s="1113" t="n">
        <v>0.14</v>
      </c>
      <c r="H125" s="1024" t="n">
        <v>30.66</v>
      </c>
      <c r="I125" s="999" t="n">
        <v>26</v>
      </c>
      <c r="J125" s="999">
        <f>D125*(1-E125) * (3.5%)</f>
        <v/>
      </c>
      <c r="K125" s="1220">
        <f>D125*(1-E125)*18%</f>
        <v/>
      </c>
      <c r="L125" s="1220">
        <f>((D125*(1-E125))-K125)*1.65%</f>
        <v/>
      </c>
      <c r="M125" s="1220">
        <f>((D125*(1-E125))-K125)*7.6%</f>
        <v/>
      </c>
      <c r="N125" s="1221">
        <f>(H125+I125+J125)*9.25% + (H125+I125)*12%</f>
        <v/>
      </c>
      <c r="O125" s="1097" t="n">
        <v>13.26</v>
      </c>
      <c r="P125" s="708" t="n">
        <v>102.93</v>
      </c>
      <c r="Q125" s="1024">
        <f>(D125*(1-E125)+(F125* O125)+N125)-(H125+I125+J125+K125+L125+M125+(P125*F125))</f>
        <v/>
      </c>
      <c r="R125" s="1002">
        <f>Q125/(D125*(1-E125))</f>
        <v/>
      </c>
      <c r="S125" s="1189" t="n"/>
      <c r="T125" s="1030" t="n"/>
    </row>
    <row r="126" ht="24.75" customHeight="1" s="1349">
      <c r="A126" s="1108" t="n">
        <v>10034034166964</v>
      </c>
      <c r="B126" s="1071" t="inlineStr">
        <is>
          <t xml:space="preserve"> Adesivo de contato Cascola Alto desempenho S/ Tuluol Madeira Aço Concreto Couro Borracha Seca Rapido</t>
        </is>
      </c>
      <c r="C126" s="1059" t="n"/>
      <c r="D126" s="1132" t="n">
        <v>238</v>
      </c>
      <c r="E126" s="1061" t="n">
        <v>0.01</v>
      </c>
      <c r="F126" s="1132" t="n">
        <v>1</v>
      </c>
      <c r="G126" s="1113" t="n">
        <v>0.14</v>
      </c>
      <c r="H126" s="1024" t="n">
        <v>33.32</v>
      </c>
      <c r="I126" s="999" t="n">
        <v>26</v>
      </c>
      <c r="J126" s="999">
        <f>D126*(1-E126) * (3.5%)</f>
        <v/>
      </c>
      <c r="K126" s="1220">
        <f>D126*(1-E126)*18%</f>
        <v/>
      </c>
      <c r="L126" s="1220">
        <f>((D126*(1-E126))-K126)*1.65%</f>
        <v/>
      </c>
      <c r="M126" s="1220">
        <f>((D126*(1-E126))-K126)*7.6%</f>
        <v/>
      </c>
      <c r="N126" s="1221">
        <f>(H126+I126+J126)*9.25% + (H126+I126)*12%</f>
        <v/>
      </c>
      <c r="O126" s="1130" t="n"/>
      <c r="P126" s="1090" t="n">
        <v>138</v>
      </c>
      <c r="Q126" s="1024">
        <f>(D126*(1-E126)+(F126* O126)+N126)-(H126+I126+J126+K126+L126+M126+(P126*F126))</f>
        <v/>
      </c>
      <c r="R126" s="1002">
        <f>Q126/(D126*(1-E126))</f>
        <v/>
      </c>
      <c r="S126" s="1189" t="n"/>
      <c r="T126" s="1030" t="n"/>
    </row>
    <row r="127" ht="24.75" customHeight="1" s="1349">
      <c r="A127" s="1108" t="e">
        <v>#N/A</v>
      </c>
      <c r="B127" s="1053" t="inlineStr">
        <is>
          <t>Óculos De Segurança Incolor Summer Clear - Delta Plus</t>
        </is>
      </c>
      <c r="C127" s="1054" t="n"/>
      <c r="D127" s="1029" t="n">
        <v>10.32</v>
      </c>
      <c r="E127" s="1061" t="n">
        <v>0.01</v>
      </c>
      <c r="F127" s="1132" t="n">
        <v>1</v>
      </c>
      <c r="G127" s="1113" t="n">
        <v>0.2</v>
      </c>
      <c r="H127" s="1024" t="n">
        <v>2.064</v>
      </c>
      <c r="I127" s="999" t="n">
        <v>4</v>
      </c>
      <c r="J127" s="999">
        <f>D127*(1-E127) * (3.5%)</f>
        <v/>
      </c>
      <c r="K127" s="1220">
        <f>D127*(1-E127)*18%</f>
        <v/>
      </c>
      <c r="L127" s="1220">
        <f>((D127*(1-E127))-K127)*1.65%</f>
        <v/>
      </c>
      <c r="M127" s="1220">
        <f>((D127*(1-E127))-K127)*7.6%</f>
        <v/>
      </c>
      <c r="N127" s="1221">
        <f>(H127+I127+J127)*9.25% + (H127+I127)*12%</f>
        <v/>
      </c>
      <c r="O127" s="1130" t="n"/>
      <c r="P127" s="1050" t="n">
        <v>1.95</v>
      </c>
      <c r="Q127" s="1024">
        <f>(D127*(1-E127)+(F127* O127)+N127)-(H127+I127+J127+K127+L127+M127+(P127*F127))</f>
        <v/>
      </c>
      <c r="R127" s="1002">
        <f>Q127/(D127*(1-E127))</f>
        <v/>
      </c>
      <c r="S127" s="1189" t="n"/>
      <c r="T127" s="1030" t="n"/>
    </row>
    <row r="128" ht="24.75" customHeight="1" s="1349">
      <c r="A128" s="1108" t="e">
        <v>#N/A</v>
      </c>
      <c r="B128" s="1053" t="inlineStr">
        <is>
          <t>Kit 20 Tela Amarração Alvenaria Blocos Tel120 12cm X 50cm</t>
        </is>
      </c>
      <c r="C128" s="1054" t="n"/>
      <c r="D128" s="1029" t="n">
        <v>51.28</v>
      </c>
      <c r="E128" s="1061" t="n">
        <v>0.01</v>
      </c>
      <c r="F128" s="1132" t="n">
        <v>1</v>
      </c>
      <c r="G128" s="1113" t="n">
        <v>0.2</v>
      </c>
      <c r="H128" s="1024" t="n">
        <v>10.256</v>
      </c>
      <c r="I128" s="999" t="n">
        <v>4</v>
      </c>
      <c r="J128" s="999">
        <f>D128*(1-E128) * (3.5%)</f>
        <v/>
      </c>
      <c r="K128" s="1220">
        <f>D128*(1-E128)*18%</f>
        <v/>
      </c>
      <c r="L128" s="1220">
        <f>((D128*(1-E128))-K128)*1.65%</f>
        <v/>
      </c>
      <c r="M128" s="1220">
        <f>((D128*(1-E128))-K128)*7.6%</f>
        <v/>
      </c>
      <c r="N128" s="1221">
        <f>(H128+I128+J128)*9.25% + (H128+I128)*12%</f>
        <v/>
      </c>
      <c r="O128" s="1130" t="n"/>
      <c r="P128" s="1050" t="n">
        <v>26</v>
      </c>
      <c r="Q128" s="1024">
        <f>(D128*(1-E128)+(F128* O128)+N128)-(H128+I128+J128+K128+L128+M128+(P128*F128))</f>
        <v/>
      </c>
      <c r="R128" s="1002">
        <f>Q128/(D128*(1-E128))</f>
        <v/>
      </c>
      <c r="S128" s="1189" t="n"/>
      <c r="T128" s="1030" t="n"/>
    </row>
    <row r="129" ht="24.75" customHeight="1" s="1349">
      <c r="A129" s="1108" t="e">
        <v>#N/A</v>
      </c>
      <c r="B129" s="1053" t="inlineStr">
        <is>
          <t>Chumbador Quimico Epoxi Bi Componente Injecao Qep400 Ancora</t>
        </is>
      </c>
      <c r="C129" s="1054" t="n"/>
      <c r="D129" s="1029" t="n">
        <v>221</v>
      </c>
      <c r="E129" s="1061" t="n">
        <v>0.01</v>
      </c>
      <c r="F129" s="1132" t="n">
        <v>1</v>
      </c>
      <c r="G129" s="1113" t="n">
        <v>0.14</v>
      </c>
      <c r="H129" s="1024" t="n">
        <v>30.94</v>
      </c>
      <c r="I129" s="999" t="n">
        <v>26</v>
      </c>
      <c r="J129" s="999">
        <f>D129*(1-E129) * (3.5%)</f>
        <v/>
      </c>
      <c r="K129" s="1220">
        <f>D129*(1-E129)*18%</f>
        <v/>
      </c>
      <c r="L129" s="1220">
        <f>((D129*(1-E129))-K129)*1.65%</f>
        <v/>
      </c>
      <c r="M129" s="1220">
        <f>((D129*(1-E129))-K129)*7.6%</f>
        <v/>
      </c>
      <c r="N129" s="1221">
        <f>(H129+I129+J129)*9.25% + (H129+I129)*12%</f>
        <v/>
      </c>
      <c r="O129" s="1130" t="n"/>
      <c r="P129" s="1050" t="n">
        <v>123.37</v>
      </c>
      <c r="Q129" s="1024">
        <f>(D129*(1-E129)+(F129* O129)+N129)-(H129+I129+J129+K129+L129+M129+(P129*F129))</f>
        <v/>
      </c>
      <c r="R129" s="1002">
        <f>Q129/(D129*(1-E129))</f>
        <v/>
      </c>
      <c r="S129" s="1189" t="n"/>
      <c r="T129" s="1030" t="n"/>
    </row>
    <row r="130" ht="24.75" customHeight="1" s="1349">
      <c r="A130" s="1108" t="e">
        <v>#N/A</v>
      </c>
      <c r="B130" s="1053" t="inlineStr">
        <is>
          <t>Kit 50 Tela Amarração Alvenaria Ancora Tel120 12 X 50 Bloco</t>
        </is>
      </c>
      <c r="C130" s="1054" t="n"/>
      <c r="D130" s="1029" t="n">
        <v>140</v>
      </c>
      <c r="E130" s="1061" t="n">
        <v>0.01</v>
      </c>
      <c r="F130" s="1132" t="n">
        <v>1</v>
      </c>
      <c r="G130" s="1113" t="n">
        <v>0.14</v>
      </c>
      <c r="H130" s="1024" t="n">
        <v>19.6</v>
      </c>
      <c r="I130" s="999" t="n">
        <v>20</v>
      </c>
      <c r="J130" s="999">
        <f>D130*(1-E130) * (3.5%)</f>
        <v/>
      </c>
      <c r="K130" s="1220">
        <f>D130*(1-E130)*18%</f>
        <v/>
      </c>
      <c r="L130" s="1220">
        <f>((D130*(1-E130))-K130)*1.65%</f>
        <v/>
      </c>
      <c r="M130" s="1220">
        <f>((D130*(1-E130))-K130)*7.6%</f>
        <v/>
      </c>
      <c r="N130" s="1221">
        <f>(H130+I130+J130)*9.25% + (H130+I130)*12%</f>
        <v/>
      </c>
      <c r="O130" s="1130" t="n"/>
      <c r="P130" s="1050" t="n">
        <v>65</v>
      </c>
      <c r="Q130" s="1024">
        <f>(D130*(1-E130)+(F130* O130)+N130)-(H130+I130+J130+K130+L130+M130+(P130*F130))</f>
        <v/>
      </c>
      <c r="R130" s="1002">
        <f>Q130/(D130*(1-E130))</f>
        <v/>
      </c>
      <c r="S130" s="1189" t="n"/>
      <c r="T130" s="1030" t="n"/>
    </row>
    <row r="131" ht="24.75" customHeight="1" s="1349">
      <c r="A131" s="1108" t="e">
        <v>#N/A</v>
      </c>
      <c r="B131" s="1053" t="inlineStr">
        <is>
          <t>Refil Pad Recorte Acabamento Alinhamento Em Pinturas Atlas</t>
        </is>
      </c>
      <c r="C131" s="1054" t="n"/>
      <c r="D131" s="1029" t="n">
        <v>24.75</v>
      </c>
      <c r="E131" s="1061" t="n">
        <v>0.01</v>
      </c>
      <c r="F131" s="1132" t="n">
        <v>1</v>
      </c>
      <c r="G131" s="1113" t="n">
        <v>0.2</v>
      </c>
      <c r="H131" s="1024" t="n">
        <v>4.95</v>
      </c>
      <c r="I131" s="999" t="n">
        <v>4</v>
      </c>
      <c r="J131" s="999">
        <f>D131*(1-E131) * (3.5%)</f>
        <v/>
      </c>
      <c r="K131" s="1220">
        <f>D131*(1-E131)*18%</f>
        <v/>
      </c>
      <c r="L131" s="1220">
        <f>((D131*(1-E131))-K131)*1.65%</f>
        <v/>
      </c>
      <c r="M131" s="1220">
        <f>((D131*(1-E131))-K131)*7.6%</f>
        <v/>
      </c>
      <c r="N131" s="1221">
        <f>(H131+I131+J131)*9.25% + (H131+I131)*12%</f>
        <v/>
      </c>
      <c r="O131" s="1130" t="n"/>
      <c r="P131" s="1050" t="n">
        <v>10.04</v>
      </c>
      <c r="Q131" s="1024">
        <f>(D131*(1-E131)+(F131* O131)+N131)-(H131+I131+J131+K131+L131+M131+(P131*F131))</f>
        <v/>
      </c>
      <c r="R131" s="1002">
        <f>Q131/(D131*(1-E131))</f>
        <v/>
      </c>
      <c r="S131" s="1189" t="n"/>
      <c r="T131" s="1030" t="n"/>
    </row>
    <row r="132" ht="24.75" customHeight="1" s="1349">
      <c r="A132" s="1108" t="e">
        <v>#N/A</v>
      </c>
      <c r="B132" s="1070" t="inlineStr">
        <is>
          <t>Luva Crup Cotton Reforçada Pigmentada Industria Reforma c/ CA</t>
        </is>
      </c>
      <c r="C132" s="1070" t="n"/>
      <c r="D132" s="1029" t="n">
        <v>9.75</v>
      </c>
      <c r="E132" s="1061" t="n">
        <v>0.01</v>
      </c>
      <c r="F132" s="1132" t="n">
        <v>1</v>
      </c>
      <c r="G132" s="1113" t="n">
        <v>0.2</v>
      </c>
      <c r="H132" s="1024" t="n">
        <v>1.95</v>
      </c>
      <c r="I132" s="999" t="n">
        <v>4</v>
      </c>
      <c r="J132" s="999">
        <f>D132*(1-E132) * (3.5%)</f>
        <v/>
      </c>
      <c r="K132" s="1220">
        <f>D132*(1-E132)*18%</f>
        <v/>
      </c>
      <c r="L132" s="1220">
        <f>((D132*(1-E132))-K132)*1.65%</f>
        <v/>
      </c>
      <c r="M132" s="1220">
        <f>((D132*(1-E132))-K132)*7.6%</f>
        <v/>
      </c>
      <c r="N132" s="1221">
        <f>(H132+I132+J132)*9.25% + (H132+I132)*12%</f>
        <v/>
      </c>
      <c r="O132" s="1130" t="n"/>
      <c r="P132" s="1050" t="n">
        <v>1.54</v>
      </c>
      <c r="Q132" s="1024">
        <f>(D132*(1-E132)+(F132* O132)+N132)-(H132+I132+J132+K132+L132+M132+(P132*F132))</f>
        <v/>
      </c>
      <c r="R132" s="1002">
        <f>Q132/(D132*(1-E132))</f>
        <v/>
      </c>
      <c r="S132" s="1189" t="n"/>
      <c r="T132" s="1030" t="n"/>
    </row>
    <row r="133" ht="24.75" customHeight="1" s="1349">
      <c r="A133" s="1108" t="inlineStr">
        <is>
          <t>AM27</t>
        </is>
      </c>
      <c r="B133" s="1051" t="inlineStr">
        <is>
          <t>Fincapino Calibre.27 Magazinado Amarelo Am27 C/100un</t>
        </is>
      </c>
      <c r="C133" s="1054" t="n"/>
      <c r="D133" s="1132" t="n">
        <v>64.98999999999999</v>
      </c>
      <c r="E133" s="1061" t="n">
        <v>0.01</v>
      </c>
      <c r="F133" s="1132" t="n">
        <v>1</v>
      </c>
      <c r="G133" s="1113" t="n">
        <v>0.2</v>
      </c>
      <c r="H133" s="1024" t="n">
        <v>12.998</v>
      </c>
      <c r="I133" s="999" t="n">
        <v>4</v>
      </c>
      <c r="J133" s="999">
        <f>D133*(1-E133) * (3.5%)</f>
        <v/>
      </c>
      <c r="K133" s="1220">
        <f>D133*(1-E133)*18%</f>
        <v/>
      </c>
      <c r="L133" s="1220">
        <f>((D133*(1-E133))-K133)*1.65%</f>
        <v/>
      </c>
      <c r="M133" s="1220">
        <f>((D133*(1-E133))-K133)*7.6%</f>
        <v/>
      </c>
      <c r="N133" s="1221">
        <f>(H133+I133+J133)*9.25% + (H133+I133)*12%</f>
        <v/>
      </c>
      <c r="O133" s="1097" t="n">
        <v>3.86</v>
      </c>
      <c r="P133" s="708" t="n">
        <v>31.95</v>
      </c>
      <c r="Q133" s="1024">
        <f>(D133*(1-E133)+(F133* O133)+N133)-(H133+I133+J133+K133+L133+M133+(P133*F133))</f>
        <v/>
      </c>
      <c r="R133" s="1002">
        <f>Q133/(D133*(1-E133))</f>
        <v/>
      </c>
      <c r="S133" s="1189" t="n"/>
      <c r="T133" s="1030" t="n"/>
    </row>
    <row r="134" ht="24.75" customHeight="1" s="1349">
      <c r="A134" s="1108" t="n"/>
      <c r="B134" s="1095" t="inlineStr">
        <is>
          <t xml:space="preserve">20 peças Fincapino Calibre.27 </t>
        </is>
      </c>
      <c r="C134" s="1054" t="n"/>
      <c r="D134" s="1132" t="n">
        <v>18.2</v>
      </c>
      <c r="E134" s="1061" t="n">
        <v>0.01</v>
      </c>
      <c r="F134" s="1132" t="n">
        <v>1</v>
      </c>
      <c r="G134" s="1113" t="n">
        <v>0.2</v>
      </c>
      <c r="H134" s="1024" t="n">
        <v>3.38</v>
      </c>
      <c r="I134" s="999" t="n">
        <v>4</v>
      </c>
      <c r="J134" s="999">
        <f>D134*(1-E134) * (3.5%)</f>
        <v/>
      </c>
      <c r="K134" s="1220">
        <f>D134*(1-E134)*18%</f>
        <v/>
      </c>
      <c r="L134" s="1220">
        <f>((D134*(1-E134))-K134)*1.65%</f>
        <v/>
      </c>
      <c r="M134" s="1220">
        <f>((D134*(1-E134))-K134)*7.6%</f>
        <v/>
      </c>
      <c r="N134" s="1221">
        <f>(H134+I134+J134)*9.25% + (H134+I134)*12%</f>
        <v/>
      </c>
      <c r="O134" s="1097" t="n">
        <v>0.76</v>
      </c>
      <c r="P134" s="708" t="n">
        <v>6.27</v>
      </c>
      <c r="Q134" s="1024">
        <f>(D134*(1-E134)+(F134* O134)+N134)-(H134+I134+J134+K134+L134+M134+(P134*F134))</f>
        <v/>
      </c>
      <c r="R134" s="1002">
        <f>Q134/(D134*(1-E134))</f>
        <v/>
      </c>
      <c r="S134" s="1189" t="n"/>
      <c r="T134" s="1030" t="n"/>
    </row>
    <row r="135" ht="24.75" customHeight="1" s="1349">
      <c r="A135" s="1108" t="n"/>
      <c r="B135" s="1095" t="inlineStr">
        <is>
          <t xml:space="preserve">30 peças Fincapino Calibre.27 </t>
        </is>
      </c>
      <c r="C135" s="1054" t="n"/>
      <c r="D135" s="1132" t="n">
        <v>23.2</v>
      </c>
      <c r="E135" s="1061" t="n">
        <v>0.01</v>
      </c>
      <c r="F135" s="1132" t="n">
        <v>1</v>
      </c>
      <c r="G135" s="1113" t="n">
        <v>0.2</v>
      </c>
      <c r="H135" s="1024" t="n">
        <v>3.6</v>
      </c>
      <c r="I135" s="999" t="n">
        <v>4</v>
      </c>
      <c r="J135" s="999">
        <f>D135*(1-E135) * (3.5%)</f>
        <v/>
      </c>
      <c r="K135" s="1220">
        <f>D135*(1-E135)*18%</f>
        <v/>
      </c>
      <c r="L135" s="1220">
        <f>((D135*(1-E135))-K135)*1.65%</f>
        <v/>
      </c>
      <c r="M135" s="1220">
        <f>((D135*(1-E135))-K135)*7.6%</f>
        <v/>
      </c>
      <c r="N135" s="1221">
        <f>(H135+I135+J135)*9.25% + (H135+I135)*12%</f>
        <v/>
      </c>
      <c r="O135" s="1097" t="n">
        <v>1.14</v>
      </c>
      <c r="P135" s="708" t="n">
        <v>9.4</v>
      </c>
      <c r="Q135" s="1024">
        <f>(D135*(1-E135)+(F135* O135)+N135)-(H135+I135+J135+K135+L135+M135+(P135*F135))</f>
        <v/>
      </c>
      <c r="R135" s="1002">
        <f>Q135/(D135*(1-E135))</f>
        <v/>
      </c>
      <c r="S135" s="1189" t="n"/>
      <c r="T135" s="1030" t="n"/>
    </row>
    <row r="136" ht="24.75" customHeight="1" s="1349">
      <c r="A136" s="1108" t="n"/>
      <c r="B136" s="1095" t="inlineStr">
        <is>
          <t xml:space="preserve">40 peças Fincapino Calibre.27 </t>
        </is>
      </c>
      <c r="C136" s="1054" t="n"/>
      <c r="D136" s="1132" t="n">
        <v>29.2</v>
      </c>
      <c r="E136" s="1061" t="n">
        <v>0.01</v>
      </c>
      <c r="F136" s="1132" t="n">
        <v>1</v>
      </c>
      <c r="G136" s="1113" t="n">
        <v>0.2</v>
      </c>
      <c r="H136" s="1024" t="n">
        <v>5</v>
      </c>
      <c r="I136" s="999" t="n">
        <v>4</v>
      </c>
      <c r="J136" s="999">
        <f>D136*(1-E136) * (3.5%)</f>
        <v/>
      </c>
      <c r="K136" s="1220">
        <f>D136*(1-E136)*18%</f>
        <v/>
      </c>
      <c r="L136" s="1220">
        <f>((D136*(1-E136))-K136)*1.65%</f>
        <v/>
      </c>
      <c r="M136" s="1220">
        <f>((D136*(1-E136))-K136)*7,6TikTop_Shop[AFILIADOS(%)]</f>
        <v/>
      </c>
      <c r="N136" s="1221">
        <f>(H136+I136+J136)*9.25% + (H136+I136)*12%</f>
        <v/>
      </c>
      <c r="O136" s="1097" t="n">
        <v>1.52</v>
      </c>
      <c r="P136" s="708" t="n">
        <v>12.53</v>
      </c>
      <c r="Q136" s="1024">
        <f>(D136*(1-E136)+(F136* O136)+N136)-(H136+I136+J136+K136+L136+M136+(P136*F136))</f>
        <v/>
      </c>
      <c r="R136" s="1002">
        <f>Q136/(D136*(1-E136))</f>
        <v/>
      </c>
      <c r="S136" s="1189" t="n"/>
      <c r="T136" s="1030" t="n"/>
    </row>
    <row r="137" ht="24.75" customHeight="1" s="1349">
      <c r="A137" s="1108" t="n"/>
      <c r="B137" s="1095" t="inlineStr">
        <is>
          <t xml:space="preserve">50 peças Fincapino Calibre.27 </t>
        </is>
      </c>
      <c r="C137" s="1054" t="n"/>
      <c r="D137" s="1132" t="n">
        <v>36.2</v>
      </c>
      <c r="E137" s="1061" t="n">
        <v>0.01</v>
      </c>
      <c r="F137" s="1132" t="n">
        <v>1</v>
      </c>
      <c r="G137" s="1113" t="n">
        <v>0.2</v>
      </c>
      <c r="H137" s="1024" t="n">
        <v>7</v>
      </c>
      <c r="I137" s="999" t="n">
        <v>4</v>
      </c>
      <c r="J137" s="999">
        <f>D137*(1-E137) * (3.5%)</f>
        <v/>
      </c>
      <c r="K137" s="1220">
        <f>D137*(1-E137)*18%</f>
        <v/>
      </c>
      <c r="L137" s="1220">
        <f>((D137*(1-E137))-K137)*1.65%</f>
        <v/>
      </c>
      <c r="M137" s="1220">
        <f>((D137*(1-E137))-K137)*7.6%</f>
        <v/>
      </c>
      <c r="N137" s="1221">
        <f>(H137+I137+J137)*9.25% + (H137+I137)*12%</f>
        <v/>
      </c>
      <c r="O137" s="1097" t="n">
        <v>1.89</v>
      </c>
      <c r="P137" s="708" t="n">
        <v>15.67</v>
      </c>
      <c r="Q137" s="1024">
        <f>(D137*(1-E137)+(F137* O137)+N137)-(H137+I137+J137+K137+L137+M137+(P137*F137))</f>
        <v/>
      </c>
      <c r="R137" s="1002">
        <f>Q137/(D137*(1-E137))</f>
        <v/>
      </c>
      <c r="S137" s="1189" t="n"/>
      <c r="T137" s="1030" t="n"/>
    </row>
    <row r="138" ht="24.75" customHeight="1" s="1349">
      <c r="A138" s="1108" t="n"/>
      <c r="B138" s="1095" t="inlineStr">
        <is>
          <t xml:space="preserve">60 peças Fincapino Calibre.27 </t>
        </is>
      </c>
      <c r="C138" s="1054" t="n"/>
      <c r="D138" s="1132" t="n">
        <v>42.2</v>
      </c>
      <c r="E138" s="1061" t="n">
        <v>0.01</v>
      </c>
      <c r="F138" s="1132" t="n">
        <v>1</v>
      </c>
      <c r="G138" s="1113" t="n">
        <v>0.2</v>
      </c>
      <c r="H138" s="1024" t="n">
        <v>8</v>
      </c>
      <c r="I138" s="999" t="n">
        <v>4</v>
      </c>
      <c r="J138" s="999">
        <f>D138*(1-E138) * (3.5%)</f>
        <v/>
      </c>
      <c r="K138" s="1220">
        <f>D138*(1-E138)*18%</f>
        <v/>
      </c>
      <c r="L138" s="1220">
        <f>((D138*(1-E138))-K138)*1.65%</f>
        <v/>
      </c>
      <c r="M138" s="1220">
        <f>((D138*(1-E138))-K138)*7.6%</f>
        <v/>
      </c>
      <c r="N138" s="1221">
        <f>(H138+I138+J138)*9.25% + (H138+I138)*12%</f>
        <v/>
      </c>
      <c r="O138" s="1097" t="n">
        <v>2.28</v>
      </c>
      <c r="P138" s="708" t="n">
        <v>18.83</v>
      </c>
      <c r="Q138" s="1024">
        <f>(D138*(1-E138)+(F138* O138)+N138)-(H138+I138+J138+K138+L138+M138+(P138*F138))</f>
        <v/>
      </c>
      <c r="R138" s="1002">
        <f>Q138/(D138*(1-E138))</f>
        <v/>
      </c>
      <c r="S138" s="1189" t="n"/>
      <c r="T138" s="1030" t="n"/>
    </row>
    <row r="139" ht="24.75" customHeight="1" s="1349">
      <c r="A139" s="1108" t="n">
        <v>912297</v>
      </c>
      <c r="B139" s="1058" t="inlineStr">
        <is>
          <t>Bota Botina Couro Impermeável Nobuck Velcro Deltaplus Vitoria Bidensidade Conforto Bico PVC CA5437</t>
        </is>
      </c>
      <c r="C139" s="1059" t="n"/>
      <c r="D139" s="1132" t="n">
        <v>185.9</v>
      </c>
      <c r="E139" s="1061" t="n">
        <v>0.01</v>
      </c>
      <c r="F139" s="1132" t="n">
        <v>1</v>
      </c>
      <c r="G139" s="1113" t="n">
        <v>0.14</v>
      </c>
      <c r="H139" s="1024" t="n">
        <v>26.026</v>
      </c>
      <c r="I139" s="999" t="n">
        <v>20</v>
      </c>
      <c r="J139" s="999">
        <f>D139*(1-E139) * (3.5%)</f>
        <v/>
      </c>
      <c r="K139" s="1220">
        <f>D139*(1-E139)*18%</f>
        <v/>
      </c>
      <c r="L139" s="1220">
        <f>((D139*(1-E139))-K139)*1.65%</f>
        <v/>
      </c>
      <c r="M139" s="1220">
        <f>((D139*(1-E139))-K139)*7.6%</f>
        <v/>
      </c>
      <c r="N139" s="1221">
        <f>(H139+I139+J139)*9.25% + (H139+I139)*12%</f>
        <v/>
      </c>
      <c r="O139" s="1097" t="n">
        <v>21.69</v>
      </c>
      <c r="P139" s="708" t="n">
        <v>107.47</v>
      </c>
      <c r="Q139" s="1024">
        <f>(D139*(1-E139)+(F139* O139)+N139)-(H139+I139+J139+K139+L139+M139+(P139*F139))</f>
        <v/>
      </c>
      <c r="R139" s="1002">
        <f>Q139/(D139*(1-E139))</f>
        <v/>
      </c>
      <c r="S139" s="1189" t="n"/>
      <c r="T139" s="1030" t="n"/>
    </row>
    <row r="140" ht="24.75" customHeight="1" s="1349">
      <c r="A140" s="1108" t="e">
        <v>#N/A</v>
      </c>
      <c r="B140" s="1053" t="inlineStr">
        <is>
          <t>Abafador Audi Som Protetor Auricular Tipo Concha Ruido 18db</t>
        </is>
      </c>
      <c r="C140" s="1054" t="n"/>
      <c r="D140" s="1029" t="n">
        <v>26.25</v>
      </c>
      <c r="E140" s="1061" t="n">
        <v>0.01</v>
      </c>
      <c r="F140" s="1132" t="n">
        <v>1</v>
      </c>
      <c r="G140" s="1113" t="n">
        <v>0.2</v>
      </c>
      <c r="H140" s="1024" t="n">
        <v>5.25</v>
      </c>
      <c r="I140" s="999" t="n">
        <v>4</v>
      </c>
      <c r="J140" s="999">
        <f>D140*(1-E140) * (3.5%)</f>
        <v/>
      </c>
      <c r="K140" s="1220">
        <f>D140*(1-E140)*18%</f>
        <v/>
      </c>
      <c r="L140" s="1220">
        <f>((D140*(1-E140))-K140)*1.65%</f>
        <v/>
      </c>
      <c r="M140" s="1220">
        <f>((D140*(1-E140))-K140)*7.6%</f>
        <v/>
      </c>
      <c r="N140" s="1221">
        <f>(H140+I140+J140)*9.25% + (H140+I140)*12%</f>
        <v/>
      </c>
      <c r="O140" s="1130" t="n"/>
      <c r="P140" s="1050" t="n">
        <v>11.08</v>
      </c>
      <c r="Q140" s="1024">
        <f>(D140*(1-E140)+(F140* O140)+N140)-(H140+I140+J140+K140+L140+M140+(P140*F140))</f>
        <v/>
      </c>
      <c r="R140" s="1002">
        <f>Q140/(D140*(1-E140))</f>
        <v/>
      </c>
      <c r="S140" s="1189" t="n"/>
      <c r="T140" s="1030" t="n"/>
    </row>
    <row r="141" ht="24.75" customHeight="1" s="1349">
      <c r="A141" s="1108" t="inlineStr">
        <is>
          <t>700302-42</t>
        </is>
      </c>
      <c r="B141" s="1051" t="inlineStr">
        <is>
          <t>Bota De Segurança Marluvas Vulcaflex Bico De Pvc - Ca 43377</t>
        </is>
      </c>
      <c r="C141" s="1054" t="n"/>
      <c r="D141" s="1132" t="n">
        <v>93.2</v>
      </c>
      <c r="E141" s="1061" t="n">
        <v>0.01</v>
      </c>
      <c r="F141" s="1132" t="n">
        <v>1</v>
      </c>
      <c r="G141" s="1113" t="n">
        <v>0.14</v>
      </c>
      <c r="H141" s="1024" t="n">
        <v>12.586</v>
      </c>
      <c r="I141" s="999" t="n">
        <v>16</v>
      </c>
      <c r="J141" s="999">
        <f>D141*(1-E141) * (2.5%)</f>
        <v/>
      </c>
      <c r="K141" s="1220">
        <f>D141*(1-E141)*18%</f>
        <v/>
      </c>
      <c r="L141" s="1220">
        <f>((D141*(1-E141))-K141)*1.65%</f>
        <v/>
      </c>
      <c r="M141" s="1220">
        <f>((D141*(1-E141))-K141)*7.6%</f>
        <v/>
      </c>
      <c r="N141" s="1221">
        <f>(H141+I141+J141)*9.25% + (H141+I141)*12%</f>
        <v/>
      </c>
      <c r="O141" s="1097" t="n">
        <v>9.42</v>
      </c>
      <c r="P141" s="708" t="n">
        <v>46.74</v>
      </c>
      <c r="Q141" s="1024">
        <f>(D141*(1-E141)+(F141* O141)+N141)-(H141+I141+J141+K141+L141+M141+(P141*F141))</f>
        <v/>
      </c>
      <c r="R141" s="1002" t="n"/>
      <c r="S141" s="1189" t="n"/>
      <c r="T141" s="1030" t="n"/>
    </row>
    <row r="142" ht="24.75" customHeight="1" s="1349">
      <c r="A142" s="1108" t="n">
        <v>10034034167426</v>
      </c>
      <c r="B142" s="1056" t="inlineStr">
        <is>
          <t>Kit 10 mangote manga plastica</t>
        </is>
      </c>
      <c r="C142" s="1070" t="n"/>
      <c r="D142" s="1132" t="n">
        <v>13.92</v>
      </c>
      <c r="E142" s="1061" t="n">
        <v>0.01</v>
      </c>
      <c r="F142" s="1132" t="n">
        <v>1</v>
      </c>
      <c r="G142" s="1113" t="n">
        <v>0.14</v>
      </c>
      <c r="H142" s="1024" t="n">
        <v>12.586</v>
      </c>
      <c r="I142" s="999" t="n">
        <v>16</v>
      </c>
      <c r="J142" s="999">
        <f>D142*(1-E142) * (2.5%)</f>
        <v/>
      </c>
      <c r="K142" s="1220">
        <f>D142*(1-E142)*18%</f>
        <v/>
      </c>
      <c r="L142" s="1220">
        <f>((D142*(1-E142))-K142)*1.65%</f>
        <v/>
      </c>
      <c r="M142" s="1220">
        <f>((D142*(1-E142))-K142)*7.6%</f>
        <v/>
      </c>
      <c r="N142" s="1221">
        <f>(H142+I142+J142)*9.25% + (H142+I142)*12%</f>
        <v/>
      </c>
      <c r="O142" s="715">
        <f>1.39/5</f>
        <v/>
      </c>
      <c r="P142" s="1096">
        <f>11.18/5</f>
        <v/>
      </c>
      <c r="Q142" s="1024">
        <f>(D142*(1-E142)+(F142* O142)+N142)-(H142+I142+J142+K142+L142+M142+(P142*F142))</f>
        <v/>
      </c>
      <c r="R142" s="1002">
        <f>Q142/(D142*(1-E142))</f>
        <v/>
      </c>
      <c r="S142" s="1189" t="n"/>
      <c r="T142" s="1030" t="n"/>
    </row>
    <row r="143" ht="24.75" customHeight="1" s="1349">
      <c r="A143" s="1108" t="n">
        <v>10034034166809</v>
      </c>
      <c r="B143" s="1071" t="inlineStr">
        <is>
          <t>Óculos Maçariqueiro Solda com Visor Articulado Lente Verde Tonalidade 5 WPS0281 Delta Plus CA 17573</t>
        </is>
      </c>
      <c r="C143" s="1059" t="n"/>
      <c r="D143" s="1132" t="n">
        <v>24.5</v>
      </c>
      <c r="E143" s="1061" t="n">
        <v>0.01</v>
      </c>
      <c r="F143" s="1132" t="n">
        <v>1</v>
      </c>
      <c r="G143" s="1113" t="n">
        <v>0.2</v>
      </c>
      <c r="H143" s="1024" t="n">
        <v>4.9</v>
      </c>
      <c r="I143" s="999" t="n">
        <v>4</v>
      </c>
      <c r="J143" s="999">
        <f>D143*(1-E143) * (3.5%)</f>
        <v/>
      </c>
      <c r="K143" s="1220">
        <f>D143*(1-E143)*18%</f>
        <v/>
      </c>
      <c r="L143" s="1220">
        <f>((D143*(1-E143))-K143)*1.65%</f>
        <v/>
      </c>
      <c r="M143" s="1220">
        <f>((D143*(1-E143))-K143)*7.6%</f>
        <v/>
      </c>
      <c r="N143" s="1221">
        <f>(H143+I143+J143)*9.25% + (H143+I143)*12%</f>
        <v/>
      </c>
      <c r="O143" s="1097" t="n">
        <v>2.83</v>
      </c>
      <c r="P143" s="701" t="n">
        <v>11.44</v>
      </c>
      <c r="Q143" s="1024">
        <f>(D143*(1-E143)+(F143* O143)+N143)-(H143+I143+J143+K143+L143+M143+(P143*F143))</f>
        <v/>
      </c>
      <c r="R143" s="1002">
        <f>Q143/(D143*(1-E143))</f>
        <v/>
      </c>
      <c r="S143" s="1189" t="n"/>
      <c r="T143" s="1030" t="n"/>
    </row>
    <row r="144" ht="24.75" customHeight="1" s="1349">
      <c r="A144" s="1108" t="n"/>
      <c r="B144" s="1071" t="inlineStr">
        <is>
          <t>Bota Motosafe Bracol Motociclista Impermeável Pvc Motoqueiro Motoboy Unissex Confortável Proteção</t>
        </is>
      </c>
      <c r="C144" s="1059" t="n"/>
      <c r="D144" s="1132" t="n">
        <v>98.15000000000001</v>
      </c>
      <c r="E144" s="1061" t="n">
        <v>0.01</v>
      </c>
      <c r="F144" s="1132" t="n">
        <v>1</v>
      </c>
      <c r="G144" s="1113" t="n">
        <v>0.14</v>
      </c>
      <c r="H144" s="1024" t="n">
        <v>13.741</v>
      </c>
      <c r="I144" s="999" t="n">
        <v>16</v>
      </c>
      <c r="J144" s="999">
        <f>D144*(1-E144) * (3.5%)</f>
        <v/>
      </c>
      <c r="K144" s="1220">
        <f>D144*(1-E144)*18%</f>
        <v/>
      </c>
      <c r="L144" s="1220">
        <f>((D144*(1-E144))-K144)*1.65%</f>
        <v/>
      </c>
      <c r="M144" s="1220">
        <f>((D144*(1-E144))-K144)*7.6%</f>
        <v/>
      </c>
      <c r="N144" s="1221">
        <f>(H144+I144+J144)*9.25% + (H144+I144)*12%</f>
        <v/>
      </c>
      <c r="O144" s="1097" t="n">
        <v>10.54</v>
      </c>
      <c r="P144" s="197" t="n">
        <v>52.33</v>
      </c>
      <c r="Q144" s="1024">
        <f>(D144*(1-E144)+(F144* O144)+N144)-(H144+I144+J144+K144+L144+M144+(P144*F144))</f>
        <v/>
      </c>
      <c r="R144" s="1002">
        <f>Q144/(D144*(1-E144))</f>
        <v/>
      </c>
      <c r="S144" s="1189" t="n"/>
      <c r="T144" s="1030" t="n"/>
    </row>
    <row r="145" ht="24.75" customHeight="1" s="1349">
      <c r="A145" s="1108" t="n">
        <v>10034034167378</v>
      </c>
      <c r="B145" s="1058" t="inlineStr">
        <is>
          <t>Kit 1000 Abraçadeiras de Nylon Cintas Plásticas Enforca Fita Presilha Reforçada 7,2x400 Lacre 40cm</t>
        </is>
      </c>
      <c r="C145" s="1059" t="n"/>
      <c r="D145" s="1132" t="n">
        <v>502.6</v>
      </c>
      <c r="E145" s="1061" t="n">
        <v>0.01</v>
      </c>
      <c r="F145" s="1132" t="n">
        <v>1</v>
      </c>
      <c r="G145" s="1113" t="n">
        <v>0.14</v>
      </c>
      <c r="H145" s="1024" t="n">
        <v>53.06</v>
      </c>
      <c r="I145" s="999" t="n">
        <v>26</v>
      </c>
      <c r="J145" s="999">
        <f>D145*(1-E145) * (3.5%)</f>
        <v/>
      </c>
      <c r="K145" s="1220">
        <f>D145*(1-E145)*18%</f>
        <v/>
      </c>
      <c r="L145" s="1220">
        <f>((D145*(1-E145))-K145)*1.65%</f>
        <v/>
      </c>
      <c r="M145" s="1220">
        <f>((D145*(1-E145))-K145)*7.6%</f>
        <v/>
      </c>
      <c r="N145" s="1221">
        <f>(H145+I145+J145)*9.25% + (H145+I145)*12%</f>
        <v/>
      </c>
      <c r="O145" s="715" t="n">
        <v>27</v>
      </c>
      <c r="P145" s="1118" t="n">
        <v>292</v>
      </c>
      <c r="Q145" s="1024">
        <f>(D145*(1-E145)+(F145* O145)+N145)-(H145+I145+J145+K145+L145+M145+(P145*F145))</f>
        <v/>
      </c>
      <c r="R145" s="1002">
        <f>Q145/(D145*(1-E145))</f>
        <v/>
      </c>
      <c r="S145" s="1189" t="n"/>
      <c r="T145" s="1030" t="n"/>
    </row>
    <row r="146" ht="24.75" customHeight="1" s="1349">
      <c r="A146" s="1108" t="n">
        <v>10034034167377</v>
      </c>
      <c r="B146" s="1070" t="inlineStr">
        <is>
          <t>kit 500 abraçadeira 7,2 x 400</t>
        </is>
      </c>
      <c r="C146" s="1070" t="n"/>
      <c r="D146" s="1132" t="n">
        <v>280.2</v>
      </c>
      <c r="E146" s="1061" t="n">
        <v>0.01</v>
      </c>
      <c r="F146" s="1132" t="n">
        <v>1</v>
      </c>
      <c r="G146" s="1113" t="n">
        <v>0.14</v>
      </c>
      <c r="H146" s="1024" t="n">
        <v>27.44</v>
      </c>
      <c r="I146" s="999" t="n">
        <v>20</v>
      </c>
      <c r="J146" s="999">
        <f>D146*(1-E146) * (3.5%)</f>
        <v/>
      </c>
      <c r="K146" s="1220">
        <f>D146*(1-E146)*18%</f>
        <v/>
      </c>
      <c r="L146" s="1220">
        <f>((D146*(1-E146))-K146)*1.65%</f>
        <v/>
      </c>
      <c r="M146" s="1220">
        <f>((D146*(1-E146))-K146)*7.6%</f>
        <v/>
      </c>
      <c r="N146" s="1221">
        <f>(H146+I146+J146)*9.25% + (H146+I146)*12%</f>
        <v/>
      </c>
      <c r="O146" s="1130" t="n"/>
      <c r="P146" s="1118" t="n">
        <v>146</v>
      </c>
      <c r="Q146" s="1024">
        <f>(D146*(1-E146)+(F146* O146)+N146)-(H146+I146+J146+K146+L146+M146+(P146*F146))</f>
        <v/>
      </c>
      <c r="R146" s="1002">
        <f>Q146/(D146*(1-E146))</f>
        <v/>
      </c>
      <c r="S146" s="1189" t="n"/>
      <c r="T146" s="1030" t="n"/>
    </row>
    <row r="147" ht="24.75" customHeight="1" s="1349">
      <c r="A147" s="1108" t="n">
        <v>10034034167379</v>
      </c>
      <c r="B147" s="1070" t="inlineStr">
        <is>
          <t>kit 1000 abraçadeira 4,8x300</t>
        </is>
      </c>
      <c r="C147" s="1070" t="n"/>
      <c r="D147" s="1132" t="n">
        <v>260.2</v>
      </c>
      <c r="E147" s="1061" t="n">
        <v>0.01</v>
      </c>
      <c r="F147" s="1132" t="n">
        <v>1</v>
      </c>
      <c r="G147" s="1113" t="n">
        <v>0.14</v>
      </c>
      <c r="H147" s="1024" t="n">
        <v>36.288</v>
      </c>
      <c r="I147" s="999" t="n">
        <v>26</v>
      </c>
      <c r="J147" s="999">
        <f>D147*(1-E147) * (3.5%)</f>
        <v/>
      </c>
      <c r="K147" s="1220">
        <f>D147*(1-E147)*18%</f>
        <v/>
      </c>
      <c r="L147" s="1220">
        <f>((D147*(1-E147))-K147)*1.65%</f>
        <v/>
      </c>
      <c r="M147" s="1220">
        <f>((D147*(1-E147))-K147)*7.6%</f>
        <v/>
      </c>
      <c r="N147" s="1221">
        <f>(H147+I147+J147)*9.25% + (H147+I147)*12%</f>
        <v/>
      </c>
      <c r="O147" s="715" t="n">
        <v>6.17</v>
      </c>
      <c r="P147" s="1118" t="n">
        <v>125</v>
      </c>
      <c r="Q147" s="1024">
        <f>(D147*(1-E147)+(F147* O147)+N147)-(H147+I147+J147+K147+L147+M147+(P147*F147))</f>
        <v/>
      </c>
      <c r="R147" s="1002">
        <f>Q147/(D147*(1-E147))</f>
        <v/>
      </c>
      <c r="S147" s="1189" t="n"/>
      <c r="T147" s="1030" t="n"/>
    </row>
    <row r="148" ht="24.75" customHeight="1" s="1349">
      <c r="A148" s="1098" t="n">
        <v>10034034167376</v>
      </c>
      <c r="B148" s="1099" t="inlineStr">
        <is>
          <t>kit 500 abraçadeira 4,8x300</t>
        </is>
      </c>
      <c r="C148" s="1070" t="n"/>
      <c r="D148" s="1132" t="n">
        <v>155.6</v>
      </c>
      <c r="E148" s="1061" t="n">
        <v>0.01</v>
      </c>
      <c r="F148" s="1132" t="n">
        <v>1</v>
      </c>
      <c r="G148" s="1113" t="n">
        <v>0.14</v>
      </c>
      <c r="H148" s="1024" t="n">
        <v>20.426</v>
      </c>
      <c r="I148" s="999" t="n">
        <v>20</v>
      </c>
      <c r="J148" s="999">
        <f>D148*(1-E148) * (3.5%)</f>
        <v/>
      </c>
      <c r="K148" s="1220">
        <f>D148*(1-E148)*18%</f>
        <v/>
      </c>
      <c r="L148" s="1220">
        <f>((D148*(1-E148))-K148)*1.65%</f>
        <v/>
      </c>
      <c r="M148" s="1220">
        <f>((D148*(1-E148))-K148)*7.6%</f>
        <v/>
      </c>
      <c r="N148" s="1221">
        <f>(H148+I148+J148)*9.25% + (H148+I148)*12%</f>
        <v/>
      </c>
      <c r="O148" s="715" t="n"/>
      <c r="P148" s="1118" t="n">
        <v>62.5</v>
      </c>
      <c r="Q148" s="1024">
        <f>(D148*(1-E148)+(F148* O148)+N148)-(H148+I148+J148+K148+L148+M148+(P148*F148))</f>
        <v/>
      </c>
      <c r="R148" s="1002">
        <f>Q148/(D148*(1-E148))</f>
        <v/>
      </c>
      <c r="S148" s="1189" t="n"/>
      <c r="T148" s="1030" t="n"/>
    </row>
    <row r="149" ht="24.75" customHeight="1" s="1349">
      <c r="A149" s="1108" t="n">
        <v>10034034167379</v>
      </c>
      <c r="B149" s="1004" t="inlineStr">
        <is>
          <t>Kit 1000 Abraçadeiras de Nylon Cintas Plásticas Enforca Presilha Reforçada 4,8x300 Lacre 30cm</t>
        </is>
      </c>
      <c r="C149" s="1132" t="n"/>
      <c r="D149" s="1132" t="n">
        <v>180</v>
      </c>
      <c r="E149" s="1061" t="n">
        <v>0.01</v>
      </c>
      <c r="F149" s="1132" t="n">
        <v>10</v>
      </c>
      <c r="G149" s="1113" t="n">
        <v>0.14</v>
      </c>
      <c r="H149" s="1024" t="n">
        <v>25.2</v>
      </c>
      <c r="I149" s="999" t="n">
        <v>20</v>
      </c>
      <c r="J149" s="999">
        <f>D149*(1-E149) * (3.5%)</f>
        <v/>
      </c>
      <c r="K149" s="1220">
        <f>D149*(1-E149)*18%</f>
        <v/>
      </c>
      <c r="L149" s="1220">
        <f>((D149*(1-E149))-K149)*1.65%</f>
        <v/>
      </c>
      <c r="M149" s="1220">
        <f>((D149*(1-E149))-K149)*7.6%</f>
        <v/>
      </c>
      <c r="N149" s="1221">
        <f>(H149+I149+J149)*9.25% + (H149+I149)*12%</f>
        <v/>
      </c>
      <c r="O149" s="1130" t="n"/>
      <c r="P149" s="1090" t="n">
        <v>9.6</v>
      </c>
      <c r="Q149" s="1024">
        <f>(D149*(1-E149)+(F149* O149)+N149)-(H149+I149+J149+K149+L149+M149+(P149*F149))</f>
        <v/>
      </c>
      <c r="R149" s="1002">
        <f>Q149/(D149*(1-E149))</f>
        <v/>
      </c>
      <c r="S149" s="1189" t="inlineStr">
        <is>
          <t>1000</t>
        </is>
      </c>
      <c r="T149" s="1030" t="n"/>
    </row>
    <row r="150" outlineLevel="1" ht="24.75" customHeight="1" s="1349">
      <c r="A150" s="1100" t="n">
        <v>10034034167322</v>
      </c>
      <c r="B150" s="1071" t="inlineStr">
        <is>
          <t>Kit Abafador Concha Protetor Auditivo Auricular Autismo Construção Industria Inter Pro C/ CA 22dB</t>
        </is>
      </c>
      <c r="C150" s="1059" t="n"/>
      <c r="D150" s="1132" t="n">
        <v>167</v>
      </c>
      <c r="E150" s="1061" t="n">
        <v>0.01</v>
      </c>
      <c r="F150" s="1132" t="n">
        <v>4</v>
      </c>
      <c r="G150" s="1113" t="n">
        <v>0.14</v>
      </c>
      <c r="H150" s="1024" t="n">
        <v>23.38</v>
      </c>
      <c r="I150" s="999" t="n">
        <v>20</v>
      </c>
      <c r="J150" s="999">
        <f>D150*(1-E150) * (3.5%)</f>
        <v/>
      </c>
      <c r="K150" s="1220">
        <f>D150*(1-E150)*18%</f>
        <v/>
      </c>
      <c r="L150" s="1220">
        <f>((D150*(1-E150))-K150)*1.65%</f>
        <v/>
      </c>
      <c r="M150" s="1220">
        <f>((D150*(1-E150))-K150)*7.6%</f>
        <v/>
      </c>
      <c r="N150" s="1221">
        <f>(H150+I150+J150)*9.25% + (H150+I150)*12%</f>
        <v/>
      </c>
      <c r="O150" s="1097" t="n">
        <v>4.47</v>
      </c>
      <c r="P150" s="701" t="n">
        <v>24.36</v>
      </c>
      <c r="Q150" s="1024">
        <f>(D150*(1-E150)+(F150* O150)+N150)-(H150+I150+J150+K150+L150+M150+(P150*F150))</f>
        <v/>
      </c>
      <c r="R150" s="1002">
        <f>Q150/(D150*(1-E150))</f>
        <v/>
      </c>
      <c r="S150" s="1189" t="n"/>
      <c r="T150" s="1030" t="n"/>
    </row>
    <row r="151" outlineLevel="1" ht="24.75" customHeight="1" s="1349">
      <c r="A151" s="1100" t="n">
        <v>10034034167322</v>
      </c>
      <c r="B151" s="1071" t="inlineStr">
        <is>
          <t>Kit Abafador Concha Protetor Auditivo Auricular Autismo Construção Industria Inter Pro C/ CA 22dB</t>
        </is>
      </c>
      <c r="C151" s="1059" t="n"/>
      <c r="D151" s="1132" t="n">
        <v>93.06</v>
      </c>
      <c r="E151" s="1061" t="n">
        <v>0.01</v>
      </c>
      <c r="F151" s="1132" t="n">
        <v>2</v>
      </c>
      <c r="G151" s="1113" t="n">
        <v>0.14</v>
      </c>
      <c r="H151" s="1024" t="n">
        <v>13.0284</v>
      </c>
      <c r="I151" s="999" t="n">
        <v>16</v>
      </c>
      <c r="J151" s="999">
        <f>D151*(1-E151) * (3.5%)</f>
        <v/>
      </c>
      <c r="K151" s="1220">
        <f>D151*(1-E151)*18%</f>
        <v/>
      </c>
      <c r="L151" s="1220">
        <f>((D151*(1-E151))-K151)*1.65%</f>
        <v/>
      </c>
      <c r="M151" s="1220">
        <f>((D151*(1-E151))-K151)*7.6%</f>
        <v/>
      </c>
      <c r="N151" s="1221">
        <f>(H151+I151+J151)*9.25% + (H151+I151)*12%</f>
        <v/>
      </c>
      <c r="O151" s="1097" t="n">
        <v>4.47</v>
      </c>
      <c r="P151" s="701" t="n">
        <v>24.36</v>
      </c>
      <c r="Q151" s="1024">
        <f>(D151*(1-E151)+(F151* O151)+N151)-(H151+I151+J151+K151+L151+M151+(P151*F151))</f>
        <v/>
      </c>
      <c r="R151" s="1002">
        <f>Q151/(D151*(1-E151))</f>
        <v/>
      </c>
      <c r="S151" s="1189" t="n"/>
      <c r="T151" s="1030" t="n"/>
      <c r="U151" s="579" t="n"/>
      <c r="V151" s="579" t="n"/>
      <c r="W151" s="579" t="n"/>
      <c r="X151" s="579" t="n"/>
      <c r="Y151" s="579" t="n"/>
      <c r="Z151" s="579" t="n"/>
      <c r="AA151" s="579" t="n"/>
      <c r="AB151" s="579" t="n"/>
      <c r="AC151" s="579" t="n"/>
      <c r="AD151" s="579" t="n"/>
      <c r="AE151" s="579" t="n"/>
      <c r="AF151" s="579" t="n"/>
      <c r="AG151" s="579" t="n"/>
      <c r="AH151" s="579" t="n"/>
      <c r="AI151" s="579" t="n"/>
      <c r="AJ151" s="579" t="n"/>
      <c r="AK151" s="579" t="n"/>
      <c r="AL151" s="579" t="n"/>
      <c r="AM151" s="579" t="n"/>
      <c r="AN151" s="579" t="n"/>
      <c r="AO151" s="579" t="n"/>
      <c r="AP151" s="579" t="n"/>
      <c r="AQ151" s="579" t="n"/>
      <c r="AR151" s="579" t="n"/>
      <c r="AS151" s="579" t="n"/>
      <c r="AT151" s="579" t="n"/>
      <c r="AU151" s="579" t="n"/>
    </row>
    <row r="152" outlineLevel="1" ht="24.75" customHeight="1" s="1349">
      <c r="A152" s="1100" t="n">
        <v>10034034167322</v>
      </c>
      <c r="B152" s="1071" t="inlineStr">
        <is>
          <t>Kit Abafador Concha Protetor Auditivo Auricular Autismo Construção Industria Inter Pro C/ CA 22dB</t>
        </is>
      </c>
      <c r="C152" s="1059" t="n"/>
      <c r="D152" s="1101" t="n">
        <v>47</v>
      </c>
      <c r="E152" s="1061" t="n">
        <v>0.01</v>
      </c>
      <c r="F152" s="1102" t="n">
        <v>1</v>
      </c>
      <c r="G152" s="1063" t="n">
        <v>0.2</v>
      </c>
      <c r="H152" s="1064" t="n">
        <v>9.4</v>
      </c>
      <c r="I152" s="1066" t="n">
        <v>4</v>
      </c>
      <c r="J152" s="1066">
        <f>D152*(1-E152) * (3.5%)</f>
        <v/>
      </c>
      <c r="K152" s="1220">
        <f>D152*(1-E152)*18%</f>
        <v/>
      </c>
      <c r="L152" s="1220">
        <f>((D152*(1-E152))-K152)*1.65%</f>
        <v/>
      </c>
      <c r="M152" s="1220">
        <f>((D152*(1-E152))-K152)*7.6%</f>
        <v/>
      </c>
      <c r="N152" s="1221">
        <f>(H152+I152+J152)*9.25% + (H152+I152)*12%</f>
        <v/>
      </c>
      <c r="O152" s="1097" t="n">
        <v>4.47</v>
      </c>
      <c r="P152" s="701" t="n">
        <v>24.36</v>
      </c>
      <c r="Q152" s="1024">
        <f>(D152*(1-E152)+(F152* O152)+N152)-(H152+I152+J152+K152+L152+M152+(P152*F152))</f>
        <v/>
      </c>
      <c r="R152" s="1002">
        <f>Q152/(D152*(1-E152))</f>
        <v/>
      </c>
      <c r="S152" s="1103" t="n"/>
      <c r="T152" s="595" t="n"/>
      <c r="U152" s="579" t="n"/>
      <c r="V152" s="579" t="n"/>
      <c r="W152" s="579" t="n"/>
      <c r="X152" s="579" t="n"/>
      <c r="Y152" s="579" t="n"/>
      <c r="Z152" s="579" t="n"/>
      <c r="AA152" s="579" t="n"/>
      <c r="AB152" s="579" t="n"/>
      <c r="AC152" s="579" t="n"/>
      <c r="AD152" s="579" t="n"/>
      <c r="AE152" s="579" t="n"/>
      <c r="AF152" s="579" t="n"/>
      <c r="AG152" s="579" t="n"/>
      <c r="AH152" s="579" t="n"/>
      <c r="AI152" s="579" t="n"/>
      <c r="AJ152" s="579" t="n"/>
      <c r="AK152" s="579" t="n"/>
      <c r="AL152" s="579" t="n"/>
      <c r="AM152" s="579" t="n"/>
      <c r="AN152" s="579" t="n"/>
      <c r="AO152" s="579" t="n"/>
      <c r="AP152" s="579" t="n"/>
      <c r="AQ152" s="579" t="n"/>
      <c r="AR152" s="579" t="n"/>
      <c r="AS152" s="579" t="n"/>
      <c r="AT152" s="579" t="n"/>
      <c r="AU152" s="579" t="n"/>
    </row>
    <row r="153" ht="24.75" customHeight="1" s="1349">
      <c r="A153" s="1108" t="inlineStr">
        <is>
          <t>800200C</t>
        </is>
      </c>
      <c r="B153" s="1058" t="inlineStr">
        <is>
          <t>Abafador de Ruidos Concha Protetor Auditivo Auricular C200 Camper Autismo Construção Industria 18dB</t>
        </is>
      </c>
      <c r="C153" s="1059" t="n"/>
      <c r="D153" s="1104" t="n">
        <v>34.96</v>
      </c>
      <c r="E153" s="1061" t="n">
        <v>0.01</v>
      </c>
      <c r="F153" s="1105" t="n">
        <v>1</v>
      </c>
      <c r="G153" s="1106" t="n">
        <v>0.2</v>
      </c>
      <c r="H153" s="1064" t="n">
        <v>6.992000000000001</v>
      </c>
      <c r="I153" s="1066" t="n">
        <v>4</v>
      </c>
      <c r="J153" s="1066">
        <f>D153*(1-E153) * (2.5%)</f>
        <v/>
      </c>
      <c r="K153" s="1220">
        <f>D153*(1-E153)*18%</f>
        <v/>
      </c>
      <c r="L153" s="1220">
        <f>((D153*(1-E153))-K153)*1.65%</f>
        <v/>
      </c>
      <c r="M153" s="1220">
        <f>((D153*(1-E153))-K153)*7.6%</f>
        <v/>
      </c>
      <c r="N153" s="1221">
        <f>(H153+I153+J153)*9.25% + (H153+I153)*12%</f>
        <v/>
      </c>
      <c r="O153" s="715" t="n">
        <v>0.99</v>
      </c>
      <c r="P153" s="1118" t="n">
        <v>15.03</v>
      </c>
      <c r="Q153" s="1024">
        <f>(D153*(1-E153)+(F153* O153)+N153)-(H153+I153+J153+K153+L153+M153+(P153*F153))</f>
        <v/>
      </c>
      <c r="R153" s="1002">
        <f>Q153/(D153*(1-E153))</f>
        <v/>
      </c>
      <c r="S153" s="1107" t="n"/>
      <c r="T153" s="595" t="n"/>
    </row>
    <row r="154" ht="24.75" customHeight="1" s="1349">
      <c r="A154" s="1108" t="n">
        <v>10034034167686</v>
      </c>
      <c r="B154" s="1109" t="inlineStr">
        <is>
          <t>Abafador de Ruido Concha Protetor Auricular Interlagos Auditivo Autismo Obra Industria Confort 29db</t>
        </is>
      </c>
      <c r="C154" s="1110" t="n"/>
      <c r="D154" s="1132" t="n">
        <v>157.9</v>
      </c>
      <c r="E154" s="1061" t="n">
        <v>0.01</v>
      </c>
      <c r="F154" s="1132" t="n">
        <v>1</v>
      </c>
      <c r="G154" s="1113" t="n">
        <v>0.14</v>
      </c>
      <c r="H154" s="1064" t="n">
        <v>22.106</v>
      </c>
      <c r="I154" s="999" t="n">
        <v>20</v>
      </c>
      <c r="J154" s="1066">
        <f>D154*(1-E154) * (3.5%)</f>
        <v/>
      </c>
      <c r="K154" s="1220">
        <f>D154*(1-E154)*18%</f>
        <v/>
      </c>
      <c r="L154" s="1220">
        <f>((D154*(1-E154))-K154)*1.65%</f>
        <v/>
      </c>
      <c r="M154" s="1220">
        <f>((D154*(1-E154))-K154)*7.6%</f>
        <v/>
      </c>
      <c r="N154" s="1221">
        <f>(H154+I154+J154)*9.25% + (H154+I154)*12%</f>
        <v/>
      </c>
      <c r="O154" s="1130" t="n"/>
      <c r="P154" s="1118" t="n">
        <v>67.78</v>
      </c>
      <c r="Q154" s="1024">
        <f>(D154*(1-E154)+(F154* O154)+N154)-(H154+I154+J154+K154+L154+M154+(P154*F154))</f>
        <v/>
      </c>
      <c r="R154" s="1002">
        <f>Q154/(D154*(1-E154))</f>
        <v/>
      </c>
      <c r="S154" s="1189" t="n"/>
      <c r="T154" s="1030" t="n"/>
    </row>
    <row r="155" ht="24.75" customHeight="1" s="1349">
      <c r="A155" s="1108" t="n">
        <v>10034034166495</v>
      </c>
      <c r="B155" s="1114" t="inlineStr">
        <is>
          <t>Abafador Auditivo Proteção Auditiva Inter Pro Acoplável Para Capacetes Atenuação 17db Confortável</t>
        </is>
      </c>
      <c r="C155" s="1182" t="n"/>
      <c r="D155" s="1132" t="n">
        <v>78.65000000000001</v>
      </c>
      <c r="E155" s="1061" t="n">
        <v>0.01</v>
      </c>
      <c r="F155" s="1132" t="n">
        <v>1</v>
      </c>
      <c r="G155" s="1113" t="n">
        <v>0.2</v>
      </c>
      <c r="H155" s="1024" t="n">
        <v>15.578</v>
      </c>
      <c r="I155" s="999" t="n">
        <v>4</v>
      </c>
      <c r="J155" s="999">
        <f>D155*(1-E155) * (3.5%)</f>
        <v/>
      </c>
      <c r="K155" s="1220">
        <f>D155*(1-E155)*18%</f>
        <v/>
      </c>
      <c r="L155" s="1220">
        <f>((D155*(1-E155))-K155)*1.65%</f>
        <v/>
      </c>
      <c r="M155" s="1220">
        <f>((D155*(1-E155))-K155)*7.6%</f>
        <v/>
      </c>
      <c r="N155" s="1221">
        <f>(H155+I155+J155)*9.25% + (H155+I155)*12%</f>
        <v/>
      </c>
      <c r="O155" s="715" t="n">
        <v>8.92</v>
      </c>
      <c r="P155" s="708" t="n">
        <v>44.3</v>
      </c>
      <c r="Q155" s="1024">
        <f>(D155*(1-E155)+(F155* O155)+N155)-(H155+I155+J155+K155+L155+M155+(P155*F155))</f>
        <v/>
      </c>
      <c r="R155" s="1002">
        <f>Q155/(D155*(1-E155))</f>
        <v/>
      </c>
      <c r="S155" s="1189" t="n"/>
      <c r="T155" s="1030" t="n"/>
    </row>
    <row r="156" ht="24.75" customHeight="1" s="1349">
      <c r="A156" s="1108" t="inlineStr">
        <is>
          <t>800202C</t>
        </is>
      </c>
      <c r="B156" s="1116" t="inlineStr">
        <is>
          <t>Abafador De Ruidos Auditivo P/ Acoplar Capacete Camper C/ Ca</t>
        </is>
      </c>
      <c r="C156" s="1182" t="n"/>
      <c r="D156" s="1132" t="n">
        <v>45.9</v>
      </c>
      <c r="E156" s="1061" t="n">
        <v>0.01</v>
      </c>
      <c r="F156" s="1132" t="n">
        <v>1</v>
      </c>
      <c r="G156" s="1113" t="n">
        <v>0.2</v>
      </c>
      <c r="H156" s="1024" t="n">
        <v>9.18</v>
      </c>
      <c r="I156" s="999" t="n">
        <v>4</v>
      </c>
      <c r="J156" s="999">
        <f>D156*(1-E156) * (3.5%)</f>
        <v/>
      </c>
      <c r="K156" s="1220">
        <f>D156*(1-E156)*18%</f>
        <v/>
      </c>
      <c r="L156" s="1220">
        <f>((D156*(1-E156))-K156)*1.65%</f>
        <v/>
      </c>
      <c r="M156" s="1220">
        <f>((D156*(1-E156))-K156)*7.6%</f>
        <v/>
      </c>
      <c r="N156" s="1221">
        <f>(H156+I156+J156)*9.25% + (H156+I156)*12%</f>
        <v/>
      </c>
      <c r="O156" s="1097" t="n">
        <v>4.17</v>
      </c>
      <c r="P156" s="708" t="n">
        <v>22.73</v>
      </c>
      <c r="Q156" s="1024">
        <f>(D156*(1-E156)+(F156* O156)+N156)-(H156+I156+J156+K156+L156+M156+(P156*F156))</f>
        <v/>
      </c>
      <c r="R156" s="1002">
        <f>Q156/(D156*(1-E156))</f>
        <v/>
      </c>
      <c r="S156" s="1189" t="n"/>
      <c r="T156" s="1030" t="n"/>
    </row>
    <row r="157" ht="24.75" customHeight="1" s="1349">
      <c r="A157" s="1108" t="n">
        <v>10034034167496</v>
      </c>
      <c r="B157" s="1116" t="inlineStr">
        <is>
          <t>Abafador Concha Camper Confort Plus CA48054 Protetor Auditivo Ruídos Autismo Serralheiro Indústria</t>
        </is>
      </c>
      <c r="C157" s="1182" t="n"/>
      <c r="D157" s="1132" t="n">
        <v>59.2</v>
      </c>
      <c r="E157" s="1061" t="n">
        <v>0.01</v>
      </c>
      <c r="F157" s="1132" t="n">
        <v>1</v>
      </c>
      <c r="G157" s="1113" t="n">
        <v>0.2</v>
      </c>
      <c r="H157" s="1024" t="n">
        <v>11.84</v>
      </c>
      <c r="I157" s="999" t="n">
        <v>4</v>
      </c>
      <c r="J157" s="999">
        <f>D157*(1-E157) * (3.5%)</f>
        <v/>
      </c>
      <c r="K157" s="1220">
        <f>D157*(1-E157)*18%</f>
        <v/>
      </c>
      <c r="L157" s="1220">
        <f>((D157*(1-E157))-K157)*1.65%</f>
        <v/>
      </c>
      <c r="M157" s="1220">
        <f>((D157*(1-E157))-K157)*7.6%</f>
        <v/>
      </c>
      <c r="N157" s="1221">
        <f>(H157+I157+J157)*9.25% + (H157+I157)*12%</f>
        <v/>
      </c>
      <c r="O157" s="1130" t="n"/>
      <c r="P157" s="1118" t="n">
        <v>30.19</v>
      </c>
      <c r="Q157" s="1024">
        <f>(D157*(1-E157)+(F157* O157)+N157)-(H157+I157+J157+K157+L157+M157+(P157*F157))</f>
        <v/>
      </c>
      <c r="R157" s="1002">
        <f>Q157/(D157*(1-E157))</f>
        <v/>
      </c>
      <c r="S157" s="1189" t="n"/>
      <c r="T157" s="1030" t="n"/>
    </row>
    <row r="158" ht="24.75" customHeight="1" s="1349">
      <c r="A158" s="1108" t="n">
        <v>10034034166269</v>
      </c>
      <c r="B158" s="1020" t="inlineStr">
        <is>
          <t>Capacete C/ Suporte E Jugular + Abafador Ouvido Acoplar 18db</t>
        </is>
      </c>
      <c r="C158" s="1026" t="n"/>
      <c r="D158" s="1132" t="n">
        <v>45.5</v>
      </c>
      <c r="E158" s="1061" t="n">
        <v>0.01</v>
      </c>
      <c r="F158" s="1132" t="n">
        <v>1</v>
      </c>
      <c r="G158" s="1113" t="n">
        <v>0.2</v>
      </c>
      <c r="H158" s="1024" t="n">
        <v>9.1</v>
      </c>
      <c r="I158" s="999" t="n">
        <v>4</v>
      </c>
      <c r="J158" s="999">
        <f>D158*(1-E158) * (3.5%)</f>
        <v/>
      </c>
      <c r="K158" s="1220">
        <f>D158*(1-E158)*18%</f>
        <v/>
      </c>
      <c r="L158" s="1220">
        <f>((D158*(1-E158))-K158)*1.65%</f>
        <v/>
      </c>
      <c r="M158" s="1220">
        <f>((D158*(1-E158))-K158)*7.6%</f>
        <v/>
      </c>
      <c r="N158" s="1221">
        <f>(H158+I158+J158)*9.25% + (H158+I158)*12%</f>
        <v/>
      </c>
      <c r="O158" s="1097" t="n">
        <v>5.2</v>
      </c>
      <c r="P158" s="708" t="n">
        <v>21.82</v>
      </c>
      <c r="Q158" s="1024">
        <f>(D158*(1-E158)+(F158* O158)+N158)-(H158+I158+J158+K158+L158+M158+(P158*F158))</f>
        <v/>
      </c>
      <c r="R158" s="1002">
        <f>Q158/(D158*(1-E158))</f>
        <v/>
      </c>
      <c r="S158" s="1189" t="n"/>
      <c r="T158" s="1030" t="n"/>
    </row>
    <row r="159" ht="24.75" customHeight="1" s="1349">
      <c r="A159" s="1108" t="n">
        <v>10034034167465</v>
      </c>
      <c r="B159" s="1051" t="inlineStr">
        <is>
          <t>Disco de corte Diamantado nove54 Nº 3 Segmentado 105mm Serve em 115mm 4.1/2 Concreto Mármore Granito</t>
        </is>
      </c>
      <c r="C159" s="1052" t="n"/>
      <c r="D159" s="1132" t="n">
        <v>19</v>
      </c>
      <c r="E159" s="1061" t="n">
        <v>0.01</v>
      </c>
      <c r="F159" s="1132" t="n">
        <v>1</v>
      </c>
      <c r="G159" s="1113" t="n">
        <v>0.2</v>
      </c>
      <c r="H159" s="1024" t="n">
        <v>3.8</v>
      </c>
      <c r="I159" s="999" t="n">
        <v>4</v>
      </c>
      <c r="J159" s="999">
        <f>D159*(1-E159) * (3.5%)</f>
        <v/>
      </c>
      <c r="K159" s="1220">
        <f>D159*(1-E159)*18%</f>
        <v/>
      </c>
      <c r="L159" s="1220">
        <f>((D159*(1-E159))-K159)*1.65%</f>
        <v/>
      </c>
      <c r="M159" s="1220">
        <f>((D159*(1-E159))-K159)*7.6%</f>
        <v/>
      </c>
      <c r="N159" s="1221">
        <f>(H159+I159+J159)*9.25% + (H159+I159)*12%</f>
        <v/>
      </c>
      <c r="O159" s="1097" t="n">
        <v>2.04</v>
      </c>
      <c r="P159" s="701" t="n">
        <v>7.99</v>
      </c>
      <c r="Q159" s="1024">
        <f>(D159*(1-E159)+(F159* O159)+N159)-(H159+I159+J159+K159+L159+M159+(P159*F159))</f>
        <v/>
      </c>
      <c r="R159" s="1002">
        <f>Q159/(D159*(1-E159))</f>
        <v/>
      </c>
      <c r="S159" s="1189" t="n"/>
      <c r="T159" s="1030" t="n"/>
    </row>
    <row r="160" ht="24.75" customHeight="1" s="1349">
      <c r="A160" s="1108" t="n">
        <v>10034034166650</v>
      </c>
      <c r="B160" s="1071" t="inlineStr">
        <is>
          <t>Kit 8 Luva Segurança DA36201 Danny Nitrílica Nitrasolv Reforçada Com Forro Proteção Química CA 25313</t>
        </is>
      </c>
      <c r="C160" s="1059" t="n"/>
      <c r="D160" s="1132" t="n">
        <v>119.79</v>
      </c>
      <c r="E160" s="1061" t="n">
        <v>0.01</v>
      </c>
      <c r="F160" s="1132" t="n">
        <v>8</v>
      </c>
      <c r="G160" s="1113" t="n">
        <v>0.14</v>
      </c>
      <c r="H160" s="1024" t="n">
        <v>16.7706</v>
      </c>
      <c r="I160" s="999" t="n">
        <v>20</v>
      </c>
      <c r="J160" s="999">
        <f>D160*(1-E160) * (3.5%)</f>
        <v/>
      </c>
      <c r="K160" s="1220">
        <f>D160*(1-E160)*18%</f>
        <v/>
      </c>
      <c r="L160" s="1220">
        <f>((D160*(1-E160))-K160)*1.65%</f>
        <v/>
      </c>
      <c r="M160" s="1220">
        <f>((D160*(1-E160))-K160)*7.6%</f>
        <v/>
      </c>
      <c r="N160" s="1221">
        <f>(H160+I160+J160)*9.25% + (H160+I160)*12%</f>
        <v/>
      </c>
      <c r="O160" s="1097">
        <f>0.86</f>
        <v/>
      </c>
      <c r="P160" s="701">
        <f>6.64</f>
        <v/>
      </c>
      <c r="Q160" s="1024">
        <f>(D160*(1-E160)+(F160* O160)+N160)-(H160+I160+J160+K160+L160+M160+(P160*F160))</f>
        <v/>
      </c>
      <c r="R160" s="1002">
        <f>Q160/(D160*(1-E160))</f>
        <v/>
      </c>
      <c r="S160" s="1189" t="n"/>
      <c r="T160" s="1030" t="n"/>
    </row>
    <row r="161" ht="24.75" customHeight="1" s="1349">
      <c r="A161" s="1108" t="n">
        <v>10034034167319</v>
      </c>
      <c r="B161" s="1071" t="inlineStr">
        <is>
          <t>RegeDerme G3 Creme Hidratante Corporal Nutriex Profissional 200g Cui</t>
        </is>
      </c>
      <c r="C161" s="1059" t="n"/>
      <c r="D161" s="1132" t="n">
        <v>21</v>
      </c>
      <c r="E161" s="1061" t="n">
        <v>0.01</v>
      </c>
      <c r="F161" s="1132" t="n">
        <v>1</v>
      </c>
      <c r="G161" s="1113" t="n">
        <v>0.2</v>
      </c>
      <c r="H161" s="1024" t="n">
        <v>4.2</v>
      </c>
      <c r="I161" s="999" t="n">
        <v>4</v>
      </c>
      <c r="J161" s="999">
        <f>D161*(1-E161) * (3.5%)</f>
        <v/>
      </c>
      <c r="K161" s="1220">
        <f>D161*(1-E161)*18%</f>
        <v/>
      </c>
      <c r="L161" s="1117" t="n">
        <v>0</v>
      </c>
      <c r="M161" s="1117" t="n">
        <v>0</v>
      </c>
      <c r="N161" s="1221">
        <f>(H161+I161+J161)*9.25% + (H161+I161)*12%</f>
        <v/>
      </c>
      <c r="O161" s="1097" t="n">
        <v>0.84</v>
      </c>
      <c r="P161" s="1096" t="n">
        <v>7.99</v>
      </c>
      <c r="Q161" s="1024">
        <f>(D161*(1-E161)+(F161* O161)+N161)-(H161+I161+J161+K161+L161+M161+(P161*F161))</f>
        <v/>
      </c>
      <c r="R161" s="1002">
        <f>Q161/(D161*(1-E161))</f>
        <v/>
      </c>
      <c r="S161" s="1189" t="n"/>
      <c r="T161" s="1030" t="n"/>
    </row>
    <row r="162" ht="24.75" customHeight="1" s="1349">
      <c r="A162" s="1108" t="e">
        <v>#N/A</v>
      </c>
      <c r="B162" s="1070" t="inlineStr">
        <is>
          <t>Refletor Slim Led 100w Ip65 Prova de Chuva Amarelo 3000k Holofote Av</t>
        </is>
      </c>
      <c r="C162" s="1070" t="n"/>
      <c r="D162" s="1132" t="n">
        <v>69</v>
      </c>
      <c r="E162" s="1061" t="n">
        <v>0.01</v>
      </c>
      <c r="F162" s="1132" t="n">
        <v>1</v>
      </c>
      <c r="G162" s="1113" t="n">
        <v>0.2</v>
      </c>
      <c r="H162" s="1024" t="n">
        <v>13.8</v>
      </c>
      <c r="I162" s="999" t="n">
        <v>4</v>
      </c>
      <c r="J162" s="999">
        <f>D162*(1-E162) * (3.5%)</f>
        <v/>
      </c>
      <c r="K162" s="1220">
        <f>D162*(1-E162)*18%</f>
        <v/>
      </c>
      <c r="L162" s="1220">
        <f>((D162*(1-E162))-K162)*1.65%</f>
        <v/>
      </c>
      <c r="M162" s="1220">
        <f>((D162*(1-E162))-K162)*7.6%</f>
        <v/>
      </c>
      <c r="N162" s="1221">
        <f>(H162+I162+J162)*9.25% + (H162+I162)*12%</f>
        <v/>
      </c>
      <c r="O162" s="1130" t="n"/>
      <c r="P162" s="1118" t="n">
        <v>35.75</v>
      </c>
      <c r="Q162" s="1024">
        <f>(D162*(1-E162)+(F162* O162)+N162)-(H162+I162+J162+K162+L162+M162+(P162*F162))</f>
        <v/>
      </c>
      <c r="R162" s="1002">
        <f>Q162/(D162*(1-E162))</f>
        <v/>
      </c>
      <c r="S162" s="1189" t="n"/>
      <c r="T162" s="1030" t="n"/>
    </row>
    <row r="163" ht="24.75" customHeight="1" s="1349">
      <c r="A163" s="1108" t="n">
        <v>10034034166649</v>
      </c>
      <c r="B163" s="1053" t="inlineStr">
        <is>
          <t>Kit 4 Luva de Proteção Látex Danny Max Orange Resistente Antiderrapan</t>
        </is>
      </c>
      <c r="C163" s="1054" t="n"/>
      <c r="D163" s="1029" t="n">
        <v>54.45</v>
      </c>
      <c r="E163" s="1061" t="n">
        <v>0.01</v>
      </c>
      <c r="F163" s="1132" t="n">
        <v>4</v>
      </c>
      <c r="G163" s="1113" t="n">
        <v>0.2</v>
      </c>
      <c r="H163" s="1024" t="n">
        <v>10.89</v>
      </c>
      <c r="I163" s="999" t="n">
        <v>4</v>
      </c>
      <c r="J163" s="999">
        <f>D163*(1-E163) * (3.5%)</f>
        <v/>
      </c>
      <c r="K163" s="1220">
        <f>D163*(1-E163)*18%</f>
        <v/>
      </c>
      <c r="L163" s="1220">
        <f>((D163*(1-E163))-K163)*1.65%</f>
        <v/>
      </c>
      <c r="M163" s="1220">
        <f>((D163*(1-E163))-K163)*7.6%</f>
        <v/>
      </c>
      <c r="N163" s="1221">
        <f>(H163+I163+J163)*9.25% + (H163+I163)*12%</f>
        <v/>
      </c>
      <c r="O163" s="1130" t="n"/>
      <c r="P163" s="1118" t="n">
        <v>6.64</v>
      </c>
      <c r="Q163" s="1024">
        <f>(D163*(1-E163)+(F163* O163)+N163)-(H163+I163+J163+K163+L163+M163+(P163*F163))</f>
        <v/>
      </c>
      <c r="R163" s="1002">
        <f>Q163/(D163*(1-E163))</f>
        <v/>
      </c>
      <c r="S163" s="1189" t="n"/>
      <c r="T163" s="1030" t="n"/>
    </row>
    <row r="164" ht="24.75" customHeight="1" s="1349">
      <c r="A164" s="1108" t="n">
        <v>10034034166955</v>
      </c>
      <c r="B164" s="1071" t="inlineStr">
        <is>
          <t>Fita Dupla Face Adesiva Transparente Massa Acrílica Fixa forte 15cm aguenta até 400gr 12mm x 20m</t>
        </is>
      </c>
      <c r="C164" s="1059" t="n"/>
      <c r="D164" s="1132" t="n">
        <v>29.9</v>
      </c>
      <c r="E164" s="1061" t="n">
        <v>0.01</v>
      </c>
      <c r="F164" s="1132" t="n">
        <v>1</v>
      </c>
      <c r="G164" s="1113" t="n">
        <v>0.2</v>
      </c>
      <c r="H164" s="1024" t="n">
        <v>5.98</v>
      </c>
      <c r="I164" s="999" t="n">
        <v>4</v>
      </c>
      <c r="J164" s="999">
        <f>D164*(1-E164) * (3.5%)</f>
        <v/>
      </c>
      <c r="K164" s="1220">
        <f>D164*(1-E164)*18%</f>
        <v/>
      </c>
      <c r="L164" s="1220">
        <f>((D164*(1-E164))-K164)*1.65%</f>
        <v/>
      </c>
      <c r="M164" s="1220">
        <f>((D164*(1-E164))-K164)*7.6%</f>
        <v/>
      </c>
      <c r="N164" s="1221">
        <f>(H164+I164+J164)*9.25% + (H164+I164)*12%</f>
        <v/>
      </c>
      <c r="O164" s="1097" t="n">
        <v>4.26</v>
      </c>
      <c r="P164" s="701" t="n">
        <v>16.65</v>
      </c>
      <c r="Q164" s="1024">
        <f>(D164*(1-E164)+(F164* O164)+N164)-(H164+I164+J164+K164+L164+M164+(P164*F164))</f>
        <v/>
      </c>
      <c r="R164" s="1002">
        <f>Q164/(D164*(1-E164))</f>
        <v/>
      </c>
      <c r="S164" s="1189" t="n"/>
      <c r="T164" s="1030" t="n"/>
    </row>
    <row r="165" ht="24.75" customHeight="1" s="1349">
      <c r="A165" s="1108" t="n">
        <v>10034034166811</v>
      </c>
      <c r="B165" s="1071" t="inlineStr">
        <is>
          <t>Suporte Para Visor Delta Plus Holder Acoplar Capacete Universal MSA Camper Diamond Beryl Plastcor</t>
        </is>
      </c>
      <c r="C165" s="1059" t="n"/>
      <c r="D165" s="1132" t="n">
        <v>44.9</v>
      </c>
      <c r="E165" s="1061" t="n">
        <v>0.01</v>
      </c>
      <c r="F165" s="1132" t="n">
        <v>1</v>
      </c>
      <c r="G165" s="1113" t="n">
        <v>0.2</v>
      </c>
      <c r="H165" s="1024" t="n">
        <v>8.98</v>
      </c>
      <c r="I165" s="999" t="n">
        <v>4</v>
      </c>
      <c r="J165" s="999">
        <f>D165*(1-E165) * (3.5%)</f>
        <v/>
      </c>
      <c r="K165" s="1220">
        <f>D165*(1-E165)*18%</f>
        <v/>
      </c>
      <c r="L165" s="1220">
        <f>((D165*(1-E165))-K165)*1.65%</f>
        <v/>
      </c>
      <c r="M165" s="1220">
        <f>((D165*(1-E165))-K165)*7.6%</f>
        <v/>
      </c>
      <c r="N165" s="1221">
        <f>(H165+I165+J165)*9.25% + (H165+I165)*12%</f>
        <v/>
      </c>
      <c r="O165" s="1130" t="n"/>
      <c r="P165" s="1118" t="n">
        <v>21.47</v>
      </c>
      <c r="Q165" s="1024">
        <f>(D165*(1-E165)+(F165* O165)+N165)-(H165+I165+J165+K165+L165+M165+(P165*F165))</f>
        <v/>
      </c>
      <c r="R165" s="1002">
        <f>Q165/(D165*(1-E165))</f>
        <v/>
      </c>
      <c r="S165" s="1189" t="n"/>
      <c r="T165" s="1030" t="n"/>
    </row>
    <row r="166" ht="24.75" customHeight="1" s="1349">
      <c r="A166" s="1108" t="e">
        <v>#N/A</v>
      </c>
      <c r="B166" s="1070" t="inlineStr">
        <is>
          <t>Fix All High Tack Soudal 420g Super Fixa Cola Tudo Até 320kg Alvenaria Metais Silicone Vidro Madeira</t>
        </is>
      </c>
      <c r="C166" s="1070" t="n"/>
      <c r="D166" s="1132" t="n">
        <v>68</v>
      </c>
      <c r="E166" s="1061" t="n">
        <v>0.01</v>
      </c>
      <c r="F166" s="1132" t="n">
        <v>1</v>
      </c>
      <c r="G166" s="1113" t="n">
        <v>0.2</v>
      </c>
      <c r="H166" s="1024" t="n">
        <v>13.6</v>
      </c>
      <c r="I166" s="999" t="n">
        <v>4</v>
      </c>
      <c r="J166" s="999">
        <f>D166*(1-E166) * (3.5%)</f>
        <v/>
      </c>
      <c r="K166" s="1220">
        <f>D166*(1-E166)*18%</f>
        <v/>
      </c>
      <c r="L166" s="1220">
        <f>((D166*(1-E166))-K166)*1.65%</f>
        <v/>
      </c>
      <c r="M166" s="1220">
        <f>((D166*(1-E166))-K166)*7.6%</f>
        <v/>
      </c>
      <c r="N166" s="1221">
        <f>(H166+I166+J166)*9.25% + (H166+I166)*12%</f>
        <v/>
      </c>
      <c r="O166" s="1130" t="n"/>
      <c r="P166" s="1118" t="n">
        <v>34.53</v>
      </c>
      <c r="Q166" s="1024">
        <f>(D166*(1-E166)+(F166* O166)+N166)-(H166+I166+J166+K166+L166+M166+(P166*F166))</f>
        <v/>
      </c>
      <c r="R166" s="1002">
        <f>Q166/(D166*(1-E166))</f>
        <v/>
      </c>
      <c r="S166" s="1189" t="inlineStr">
        <is>
          <t>preto</t>
        </is>
      </c>
      <c r="T166" s="1030" t="n"/>
    </row>
    <row r="167" ht="24.75" customHeight="1" s="1349">
      <c r="A167" s="1108" t="e">
        <v>#N/A</v>
      </c>
      <c r="B167" s="1053" t="inlineStr">
        <is>
          <t>Fix All High Tack Soudal 420g Fixa Tudo 320kg Branco Alvenaria Madeira Metais Silicone Vidro madeira</t>
        </is>
      </c>
      <c r="C167" s="1054" t="n"/>
      <c r="D167" s="1132" t="n">
        <v>68</v>
      </c>
      <c r="E167" s="1061" t="n">
        <v>0.01</v>
      </c>
      <c r="F167" s="1132" t="n">
        <v>1</v>
      </c>
      <c r="G167" s="1113" t="n">
        <v>0.2</v>
      </c>
      <c r="H167" s="1024" t="n">
        <v>13.6</v>
      </c>
      <c r="I167" s="999" t="n">
        <v>4</v>
      </c>
      <c r="J167" s="999">
        <f>D167*(1-E167) * (3.5%)</f>
        <v/>
      </c>
      <c r="K167" s="1220">
        <f>D167*(1-E167)*18%</f>
        <v/>
      </c>
      <c r="L167" s="1220">
        <f>((D167*(1-E167))-K167)*1.65%</f>
        <v/>
      </c>
      <c r="M167" s="1220">
        <f>((D167*(1-E167))-K167)*7.6%</f>
        <v/>
      </c>
      <c r="N167" s="1221">
        <f>(H167+I167+J167)*9.25% + (H167+I167)*12%</f>
        <v/>
      </c>
      <c r="O167" s="1097" t="n">
        <v>9.27</v>
      </c>
      <c r="P167" s="708" t="n">
        <v>36.24</v>
      </c>
      <c r="Q167" s="1024">
        <f>(D167*(1-E167)+(F167* O167)+N167)-(H167+I167+J167+K167+L167+M167+(P167*F167))</f>
        <v/>
      </c>
      <c r="R167" s="1002">
        <f>Q167/(D167*(1-E167))</f>
        <v/>
      </c>
      <c r="S167" s="1189" t="inlineStr">
        <is>
          <t>branco</t>
        </is>
      </c>
      <c r="T167" s="1030" t="n"/>
    </row>
    <row r="168" ht="24.75" customHeight="1" s="1349">
      <c r="A168" s="1108" t="n">
        <v>10034034167105</v>
      </c>
      <c r="B168" s="1071" t="inlineStr">
        <is>
          <t>Protetor Viseira Facial Incolor Acoplar Capacete Universal CA 36318 Ca</t>
        </is>
      </c>
      <c r="C168" s="1059" t="n"/>
      <c r="D168" s="1029" t="n">
        <v>71.09999999999999</v>
      </c>
      <c r="E168" s="1061" t="n">
        <v>0.01</v>
      </c>
      <c r="F168" s="1132" t="n">
        <v>1</v>
      </c>
      <c r="G168" s="1113" t="n">
        <v>0.2</v>
      </c>
      <c r="H168" s="1024" t="n">
        <v>14.22</v>
      </c>
      <c r="I168" s="999" t="n">
        <v>4</v>
      </c>
      <c r="J168" s="999">
        <f>D168*(1-E168) * (3.5%)</f>
        <v/>
      </c>
      <c r="K168" s="1220">
        <f>D168*(1-E168)*18%</f>
        <v/>
      </c>
      <c r="L168" s="1220">
        <f>((D168*(1-E168))-K168)*1.65%</f>
        <v/>
      </c>
      <c r="M168" s="1220">
        <f>((D168*(1-E168))-K168)*7.6%</f>
        <v/>
      </c>
      <c r="N168" s="1221">
        <f>(H168+I168+J168)*9.25% + (H168+I168)*12%</f>
        <v/>
      </c>
      <c r="O168" s="1130" t="n"/>
      <c r="P168" s="1090" t="n">
        <v>36.96</v>
      </c>
      <c r="Q168" s="1024">
        <f>(D168*(1-E168)+(F168* O168)+N168)-(H168+I168+J168+K168+L168+M168+(P168*F168))</f>
        <v/>
      </c>
      <c r="R168" s="1002">
        <f>Q168/(D168*(1-E168))</f>
        <v/>
      </c>
      <c r="S168" s="1189" t="n"/>
      <c r="T168" s="1030" t="n"/>
    </row>
    <row r="169" ht="24.75" customHeight="1" s="1349">
      <c r="A169" s="1108" t="e">
        <v>#N/A</v>
      </c>
      <c r="B169" s="1070" t="inlineStr">
        <is>
          <t>Óculos Proteção Sobrepor Hekla2 Antiembaçante Antirrisco Delta Plus I</t>
        </is>
      </c>
      <c r="C169" s="1070" t="n"/>
      <c r="D169" s="1132" t="n">
        <v>29.9</v>
      </c>
      <c r="E169" s="1061" t="n">
        <v>0.01</v>
      </c>
      <c r="F169" s="1132" t="n">
        <v>1</v>
      </c>
      <c r="G169" s="1113" t="n">
        <v>0.2</v>
      </c>
      <c r="H169" s="1024" t="n">
        <v>5.98</v>
      </c>
      <c r="I169" s="999" t="n">
        <v>4</v>
      </c>
      <c r="J169" s="999">
        <f>D169*(1-E169) * (3.5%)</f>
        <v/>
      </c>
      <c r="K169" s="1220">
        <f>D169*(1-E169)*18%</f>
        <v/>
      </c>
      <c r="L169" s="1220">
        <f>((D169*(1-E169))-K169)*1.65%</f>
        <v/>
      </c>
      <c r="M169" s="1220">
        <f>((D169*(1-E169))-K169)*7.6%</f>
        <v/>
      </c>
      <c r="N169" s="1221">
        <f>(H169+I169+J169)*9.25% + (H169+I169)*12%</f>
        <v/>
      </c>
      <c r="O169" s="1130" t="n"/>
      <c r="P169" s="1118" t="n">
        <v>12.89</v>
      </c>
      <c r="Q169" s="1024">
        <f>(D169*(1-E169)+(F169* O169)+N169)-(H169+I169+J169+K169+L169+M169+(P169*F169))</f>
        <v/>
      </c>
      <c r="R169" s="1002">
        <f>Q169/(D169*(1-E169))</f>
        <v/>
      </c>
      <c r="S169" s="1189" t="n"/>
      <c r="T169" s="1030" t="n"/>
    </row>
    <row r="170" ht="24.75" customHeight="1" s="1349">
      <c r="A170" s="1108" t="e">
        <v>#N/A</v>
      </c>
      <c r="B170" s="1070" t="inlineStr">
        <is>
          <t>Óculos Proteção Ampla Visão Clara Galeras Delta Plus CA 35268 Anti R</t>
        </is>
      </c>
      <c r="C170" s="1070" t="n"/>
      <c r="D170" s="1029" t="n">
        <v>56.1</v>
      </c>
      <c r="E170" s="1061" t="n">
        <v>0.01</v>
      </c>
      <c r="F170" s="1132" t="n">
        <v>1</v>
      </c>
      <c r="G170" s="1113" t="n">
        <v>0.2</v>
      </c>
      <c r="H170" s="1024" t="n">
        <v>11.22</v>
      </c>
      <c r="I170" s="999" t="n">
        <v>4</v>
      </c>
      <c r="J170" s="999">
        <f>D170*(1-E170) * (3.5%)</f>
        <v/>
      </c>
      <c r="K170" s="1220">
        <f>D170*(1-E170)*18%</f>
        <v/>
      </c>
      <c r="L170" s="1220">
        <f>((D170*(1-E170))-K170)*1.65%</f>
        <v/>
      </c>
      <c r="M170" s="1220">
        <f>((D170*(1-E170))-K170)*7.6%</f>
        <v/>
      </c>
      <c r="N170" s="1221">
        <f>(H170+I170+J170)*9.25% + (H170+I170)*12%</f>
        <v/>
      </c>
      <c r="O170" s="1130" t="n"/>
      <c r="P170" s="1118" t="n">
        <v>27.75</v>
      </c>
      <c r="Q170" s="1024">
        <f>(D170*(1-E170)+(F170* O170)+N170)-(H170+I170+J170+K170+L170+M170+(P170*F170))</f>
        <v/>
      </c>
      <c r="R170" s="1002">
        <f>Q170/(D170*(1-E170))</f>
        <v/>
      </c>
      <c r="S170" s="1189" t="n"/>
      <c r="T170" s="1030" t="n"/>
    </row>
    <row r="171" ht="24.75" customHeight="1" s="1349">
      <c r="A171" s="1108" t="e">
        <v>#N/A</v>
      </c>
      <c r="B171" s="1070" t="inlineStr">
        <is>
          <t>Super Cola Tudo Forte até 380kg Rapida em 20min Soudal Fix All Turbo</t>
        </is>
      </c>
      <c r="C171" s="1070" t="n"/>
      <c r="D171" s="1132" t="n">
        <v>69.52</v>
      </c>
      <c r="E171" s="1061" t="n">
        <v>0.01</v>
      </c>
      <c r="F171" s="1132" t="n">
        <v>1</v>
      </c>
      <c r="G171" s="1113" t="n">
        <v>0.2</v>
      </c>
      <c r="H171" s="1024" t="n">
        <v>13.904</v>
      </c>
      <c r="I171" s="999" t="n">
        <v>4</v>
      </c>
      <c r="J171" s="999">
        <f>D171*(1-E171) * (3.5%)</f>
        <v/>
      </c>
      <c r="K171" s="1220">
        <f>D171*(1-E171)*18%</f>
        <v/>
      </c>
      <c r="L171" s="1220">
        <f>((D171*(1-E171))-K171)*1.65%</f>
        <v/>
      </c>
      <c r="M171" s="1220">
        <f>((D171*(1-E171))-K171)*7.6%</f>
        <v/>
      </c>
      <c r="N171" s="1221">
        <f>(H171+I171+J171)*9.25% + (H171+I171)*12%</f>
        <v/>
      </c>
      <c r="O171" s="1130" t="n"/>
      <c r="P171" s="1118" t="n">
        <v>36.24</v>
      </c>
      <c r="Q171" s="1024">
        <f>(D171*(1-E171)+(F171* O171)+N171)-(H171+I171+J171+K171+L171+M171+(P171*F171))</f>
        <v/>
      </c>
      <c r="R171" s="1002">
        <f>Q171/(D171*(1-E171))</f>
        <v/>
      </c>
      <c r="S171" s="1189" t="n"/>
      <c r="T171" s="1030" t="n"/>
    </row>
    <row r="172" ht="24.75" customHeight="1" s="1349">
      <c r="A172" s="1108" t="e">
        <v>#N/A</v>
      </c>
      <c r="B172" s="1058" t="inlineStr">
        <is>
          <t>Aguarrás Solvente Tinta Itaqua Esmaltes Sintéticos Verniz Ferramenta Máquina Limpeza em geral 900ml</t>
        </is>
      </c>
      <c r="C172" s="1119" t="n"/>
      <c r="D172" s="1132" t="n">
        <v>29.99</v>
      </c>
      <c r="E172" s="1061" t="n">
        <v>0.01</v>
      </c>
      <c r="F172" s="1132" t="n">
        <v>1</v>
      </c>
      <c r="G172" s="1113" t="n">
        <v>0.2</v>
      </c>
      <c r="H172" s="1024" t="n">
        <v>5.998</v>
      </c>
      <c r="I172" s="999" t="n">
        <v>4</v>
      </c>
      <c r="J172" s="999">
        <f>D172*(1-E172) * (3.5%)</f>
        <v/>
      </c>
      <c r="K172" s="1220">
        <f>D172*(1-E172)*18%</f>
        <v/>
      </c>
      <c r="L172" s="1220">
        <f>((D172*(1-E172))-K172)*1.65%</f>
        <v/>
      </c>
      <c r="M172" s="1220">
        <f>((D172*(1-E172))-K172)*7.6%</f>
        <v/>
      </c>
      <c r="N172" s="1221">
        <f>(H172+I172+J172)*9.25% + (H172+I172)*12%</f>
        <v/>
      </c>
      <c r="O172" s="1130" t="n"/>
      <c r="P172" s="197" t="n">
        <v>13.78</v>
      </c>
      <c r="Q172" s="1024">
        <f>(D172*(1-E172)+(F172* O172)+N172)-(H172+I172+J172+K172+L172+M172+(P172*F172))</f>
        <v/>
      </c>
      <c r="R172" s="1002">
        <f>Q172/(D172*(1-E172))</f>
        <v/>
      </c>
      <c r="S172" s="1189" t="n"/>
      <c r="T172" s="1030" t="n"/>
    </row>
    <row r="173" ht="24.75" customHeight="1" s="1349">
      <c r="A173" s="1108" t="n"/>
      <c r="B173" s="1058" t="inlineStr">
        <is>
          <t>Capa de Chuva Impermeável Amarela PVC Forrada c/ Capuz Vinilseg CA35562 Resistente Reforçada Trevira</t>
        </is>
      </c>
      <c r="C173" s="1059" t="n"/>
      <c r="D173" s="1132" t="n">
        <v>39.9</v>
      </c>
      <c r="E173" s="1061" t="n">
        <v>0.01</v>
      </c>
      <c r="F173" s="1132" t="n">
        <v>1</v>
      </c>
      <c r="G173" s="1113" t="n">
        <v>0.2</v>
      </c>
      <c r="H173" s="1024" t="n">
        <v>7.98</v>
      </c>
      <c r="I173" s="999" t="n">
        <v>4</v>
      </c>
      <c r="J173" s="999">
        <f>D173*(1-E173) * (3.5%)</f>
        <v/>
      </c>
      <c r="K173" s="1220">
        <f>D173*(1-E173)*18%</f>
        <v/>
      </c>
      <c r="L173" s="1220">
        <f>((D173*(1-E173))-K173)*1.65%</f>
        <v/>
      </c>
      <c r="M173" s="1220">
        <f>((D173*(1-E173))-K173)*7.6%</f>
        <v/>
      </c>
      <c r="N173" s="1221">
        <f>(H173+I173+J173)*9.25% + (H173+I173)*12%</f>
        <v/>
      </c>
      <c r="O173" s="1097" t="n">
        <v>3.64</v>
      </c>
      <c r="P173" s="701" t="n">
        <v>18.05</v>
      </c>
      <c r="Q173" s="1024">
        <f>(D173*(1-E173)+(F173* O173)+N173)-(H173+I173+J173+K173+L173+M173+(P173*F173))</f>
        <v/>
      </c>
      <c r="R173" s="1002">
        <f>Q173/(D173*(1-E173))</f>
        <v/>
      </c>
      <c r="S173" s="1189" t="n"/>
      <c r="T173" s="1030" t="n"/>
    </row>
    <row r="174" ht="24.75" customHeight="1" s="1349">
      <c r="A174" s="1108" t="n"/>
      <c r="B174" s="1058" t="inlineStr">
        <is>
          <t>Capa De Chuva Reforçada Amarela PVC Forrada Refletiva C/ Capuz Construção Limpeza Urbana CA33304</t>
        </is>
      </c>
      <c r="C174" s="1059" t="n"/>
      <c r="D174" s="1132" t="n">
        <v>52.8</v>
      </c>
      <c r="E174" s="1061" t="n">
        <v>0.01</v>
      </c>
      <c r="F174" s="1132" t="n">
        <v>1</v>
      </c>
      <c r="G174" s="1113" t="n">
        <v>0.2</v>
      </c>
      <c r="H174" s="1024" t="n">
        <v>10.56</v>
      </c>
      <c r="I174" s="999" t="n">
        <v>4</v>
      </c>
      <c r="J174" s="999">
        <f>D174*(1-E174) * (3.5%)</f>
        <v/>
      </c>
      <c r="K174" s="1220">
        <f>D174*(1-E174)*18%</f>
        <v/>
      </c>
      <c r="L174" s="1220">
        <f>((D174*(1-E174))-K174)*1.65%</f>
        <v/>
      </c>
      <c r="M174" s="1220">
        <f>((D174*(1-E174))-K174)*7.6%</f>
        <v/>
      </c>
      <c r="N174" s="1221">
        <f>(H174+I174+J174)*9.25% + (H174+I174)*12%</f>
        <v/>
      </c>
      <c r="O174" s="1120" t="n">
        <v>5.24</v>
      </c>
      <c r="P174" s="708" t="n">
        <v>26</v>
      </c>
      <c r="Q174" s="1024">
        <f>(D174*(1-E174)+(F174* O174)+N174)-(H174+I174+J174+K174+L174+M174+(P174*F174))</f>
        <v/>
      </c>
      <c r="R174" s="1002">
        <f>Q174/(D174*(1-E174))</f>
        <v/>
      </c>
      <c r="S174" s="1189" t="n"/>
      <c r="T174" s="1030" t="n"/>
    </row>
    <row r="175" ht="24.75" customHeight="1" s="1349">
      <c r="A175" s="1108" t="n">
        <v>240</v>
      </c>
      <c r="B175" s="1071" t="inlineStr">
        <is>
          <t>Capa De Chuva Com Forro Soft PVC Amarela Resistente a chuva com capuz IT Botão Obras Uso Geral C/ CA</t>
        </is>
      </c>
      <c r="C175" s="1059" t="n"/>
      <c r="D175" s="1132" t="n">
        <v>30</v>
      </c>
      <c r="E175" s="1061" t="n">
        <v>0.01</v>
      </c>
      <c r="F175" s="1132" t="n">
        <v>1</v>
      </c>
      <c r="G175" s="1113" t="n">
        <v>0.2</v>
      </c>
      <c r="H175" s="1024" t="n">
        <v>6</v>
      </c>
      <c r="I175" s="999" t="n">
        <v>4</v>
      </c>
      <c r="J175" s="999">
        <f>D175*(1-E175) * (3.5%)</f>
        <v/>
      </c>
      <c r="K175" s="1220">
        <f>D175*(1-E175)*18%</f>
        <v/>
      </c>
      <c r="L175" s="1220">
        <f>((D175*(1-E175))-K175)*1.65%</f>
        <v/>
      </c>
      <c r="M175" s="1220">
        <f>((D175*(1-E175))-K175)*7.6%</f>
        <v/>
      </c>
      <c r="N175" s="1221">
        <f>(H175+I175+J175)*9.25% + (H175+I175)*12%</f>
        <v/>
      </c>
      <c r="O175" s="1130" t="n"/>
      <c r="P175" s="1118" t="n">
        <v>13.25</v>
      </c>
      <c r="Q175" s="1024">
        <f>(D175*(1-E175)+(F175* O175)+N175)-(H175+I175+J175+K175+L175+M175+(P175*F175))</f>
        <v/>
      </c>
      <c r="R175" s="1002">
        <f>Q175/(D175*(1-E175))</f>
        <v/>
      </c>
      <c r="S175" s="1189" t="n"/>
      <c r="T175" s="1030" t="n"/>
    </row>
    <row r="176" ht="24.75" customHeight="1" s="1349">
      <c r="A176" s="1108" t="n">
        <v>119</v>
      </c>
      <c r="B176" s="1071" t="inlineStr">
        <is>
          <t>Capa de Chuva Descartável Reforçada c/ Capuz Transparente</t>
        </is>
      </c>
      <c r="C176" s="1059" t="n"/>
      <c r="D176" s="1132" t="n">
        <v>10.05</v>
      </c>
      <c r="E176" s="1061" t="n">
        <v>0.01</v>
      </c>
      <c r="F176" s="1132" t="n">
        <v>1</v>
      </c>
      <c r="G176" s="1113" t="n">
        <v>0.2</v>
      </c>
      <c r="H176" s="1024" t="n">
        <v>2.01</v>
      </c>
      <c r="I176" s="999" t="n">
        <v>4</v>
      </c>
      <c r="J176" s="999">
        <f>D176*(1-E176) * (3.5%)</f>
        <v/>
      </c>
      <c r="K176" s="1220">
        <f>D176*(1-E176)*18%</f>
        <v/>
      </c>
      <c r="L176" s="1220">
        <f>((D176*(1-E176))-K176)*1.65%</f>
        <v/>
      </c>
      <c r="M176" s="1220">
        <f>((D176*(1-E176))-K176)*7.6%</f>
        <v/>
      </c>
      <c r="N176" s="1221">
        <f>(H176+I176+J176)*9.25% + (H176+I176)*12%</f>
        <v/>
      </c>
      <c r="O176" s="1130" t="n"/>
      <c r="P176" s="708" t="n">
        <v>1.7</v>
      </c>
      <c r="Q176" s="1024">
        <f>(D176*(1-E176)+(F176* O176)+N176)-(H176+I176+J176+K176+L176+M176+(P176*F176))</f>
        <v/>
      </c>
      <c r="R176" s="1002">
        <f>Q176/(D176*(1-E176))</f>
        <v/>
      </c>
      <c r="S176" s="1189" t="n"/>
      <c r="T176" s="1030" t="n"/>
    </row>
    <row r="177" outlineLevel="1" ht="24.75" customHeight="1" s="1349">
      <c r="A177" s="1108" t="e">
        <v>#N/A</v>
      </c>
      <c r="B177" s="1071" t="inlineStr">
        <is>
          <t>Kit Capa De Chuva Descartável Reforçada Transparente Com Capuz</t>
        </is>
      </c>
      <c r="C177" s="1059" t="n"/>
      <c r="D177" s="1132" t="n">
        <v>19.5</v>
      </c>
      <c r="E177" s="1061" t="n">
        <v>0.01</v>
      </c>
      <c r="F177" s="1132" t="n">
        <v>2</v>
      </c>
      <c r="G177" s="1113" t="n">
        <v>0.2</v>
      </c>
      <c r="H177" s="1024" t="n">
        <v>3.9</v>
      </c>
      <c r="I177" s="999" t="n">
        <v>4</v>
      </c>
      <c r="J177" s="999">
        <f>D177*(1-E177) * (3.5%)</f>
        <v/>
      </c>
      <c r="K177" s="1220">
        <f>D177*(1-E177)*18%</f>
        <v/>
      </c>
      <c r="L177" s="1220">
        <f>((D177*(1-E177))-K177)*1.65%</f>
        <v/>
      </c>
      <c r="M177" s="1220">
        <f>((D177*(1-E177))-K177)*7.6%</f>
        <v/>
      </c>
      <c r="N177" s="1221">
        <f>(H177+I177+J177)*9.25% + (H177+I177)*12%</f>
        <v/>
      </c>
      <c r="O177" s="1130" t="n"/>
      <c r="P177" s="708">
        <f>1.7</f>
        <v/>
      </c>
      <c r="Q177" s="1024">
        <f>(D177*(1-E177)+(F177* O177)+N177)-(H177+I177+J177+K177+L177+M177+(P177*F177))</f>
        <v/>
      </c>
      <c r="R177" s="1002">
        <f>Q177/(D177*(1-E177))</f>
        <v/>
      </c>
      <c r="S177" s="1189" t="n"/>
      <c r="T177" s="1030" t="n"/>
    </row>
    <row r="178" outlineLevel="1" ht="24.75" customHeight="1" s="1349">
      <c r="A178" s="1108" t="e">
        <v>#N/A</v>
      </c>
      <c r="B178" s="1071" t="inlineStr">
        <is>
          <t>Kit Capa De Chuva Descartável Reforçada Transparente Com Capuz</t>
        </is>
      </c>
      <c r="C178" s="1059" t="n"/>
      <c r="D178" s="1132" t="n">
        <v>24.5</v>
      </c>
      <c r="E178" s="1061" t="n">
        <v>0.01</v>
      </c>
      <c r="F178" s="1132" t="n">
        <v>6</v>
      </c>
      <c r="G178" s="1113" t="n">
        <v>0.2</v>
      </c>
      <c r="H178" s="1024" t="n">
        <v>4.9</v>
      </c>
      <c r="I178" s="999" t="n">
        <v>4</v>
      </c>
      <c r="J178" s="999">
        <f>D178*(1-E178) * (3.5%)</f>
        <v/>
      </c>
      <c r="K178" s="1220">
        <f>D178*(1-E178)*18%</f>
        <v/>
      </c>
      <c r="L178" s="1220">
        <f>((D178*(1-E178))-K178)*1.65%</f>
        <v/>
      </c>
      <c r="M178" s="1220">
        <f>((D178*(1-E178))-K178)*7.6%</f>
        <v/>
      </c>
      <c r="N178" s="1221">
        <f>(H178+I178+J178)*9.25% + (H178+I178)*12%</f>
        <v/>
      </c>
      <c r="O178" s="1130" t="n"/>
      <c r="P178" s="708">
        <f>1.7</f>
        <v/>
      </c>
      <c r="Q178" s="1024">
        <f>(D178*(1-E178)+(F178* O178)+N178)-(H178+I178+J178+K178+L178+M178+(P178*F178))</f>
        <v/>
      </c>
      <c r="R178" s="1002">
        <f>Q178/(D178*(1-E178))</f>
        <v/>
      </c>
      <c r="S178" s="1189" t="n"/>
      <c r="T178" s="1030" t="n"/>
    </row>
    <row r="179" outlineLevel="1" ht="24.75" customHeight="1" s="1349">
      <c r="A179" s="1108" t="e">
        <v>#N/A</v>
      </c>
      <c r="B179" s="1071" t="inlineStr">
        <is>
          <t>Kit Capa De Chuva Descartável Reforçada Transparente Com Capuz</t>
        </is>
      </c>
      <c r="C179" s="1059" t="n"/>
      <c r="D179" s="1132" t="n">
        <v>43.2</v>
      </c>
      <c r="E179" s="1061" t="n">
        <v>0.01</v>
      </c>
      <c r="F179" s="1132" t="n">
        <v>12</v>
      </c>
      <c r="G179" s="1113" t="n">
        <v>0.2</v>
      </c>
      <c r="H179" s="1024" t="n">
        <v>8.640000000000001</v>
      </c>
      <c r="I179" s="999" t="n">
        <v>4</v>
      </c>
      <c r="J179" s="999">
        <f>D179*(1-E179) * (3.5%)</f>
        <v/>
      </c>
      <c r="K179" s="1220">
        <f>D179*(1-E179)*18%</f>
        <v/>
      </c>
      <c r="L179" s="1220">
        <f>((D179*(1-E179))-K179)*1.65%</f>
        <v/>
      </c>
      <c r="M179" s="1220">
        <f>((D179*(1-E179))-K179)*7.6%</f>
        <v/>
      </c>
      <c r="N179" s="1221">
        <f>(H179+I179+J179)*9.25% + (H179+I179)*12%</f>
        <v/>
      </c>
      <c r="O179" s="1130" t="n"/>
      <c r="P179" s="708">
        <f>1.7</f>
        <v/>
      </c>
      <c r="Q179" s="1024">
        <f>(D179*(1-E179)+(F179* O179)+N179)-(H179+I179+J179+K179+L179+M179+(P179*F179))</f>
        <v/>
      </c>
      <c r="R179" s="1002">
        <f>Q179/(D179*(1-E179))</f>
        <v/>
      </c>
      <c r="S179" s="1189" t="n"/>
      <c r="T179" s="1030" t="n"/>
    </row>
    <row r="180" ht="24.75" customHeight="1" s="1349">
      <c r="A180" s="1108" t="e">
        <v>#N/A</v>
      </c>
      <c r="B180" s="1071" t="inlineStr">
        <is>
          <t>Kit Capa De Chuva Descartável Reforçada Transparente Com Capuz</t>
        </is>
      </c>
      <c r="C180" s="1059" t="n"/>
      <c r="D180" s="1132" t="n">
        <v>78</v>
      </c>
      <c r="E180" s="1061" t="n">
        <v>0.01</v>
      </c>
      <c r="F180" s="1132" t="n">
        <v>24</v>
      </c>
      <c r="G180" s="1113" t="n">
        <v>0.2</v>
      </c>
      <c r="H180" s="1024" t="n">
        <v>15.6</v>
      </c>
      <c r="I180" s="999" t="n">
        <v>4</v>
      </c>
      <c r="J180" s="999">
        <f>D180*(1-E180) * (3.5%)</f>
        <v/>
      </c>
      <c r="K180" s="1220">
        <f>D180*(1-E180)*18%</f>
        <v/>
      </c>
      <c r="L180" s="1220">
        <f>((D180*(1-E180))-K180)*1.65%</f>
        <v/>
      </c>
      <c r="M180" s="1220">
        <f>((D180*(1-E180))-K180)*7.6%</f>
        <v/>
      </c>
      <c r="N180" s="1221">
        <f>(H180+I180+J180)*9.25% + (H180+I180)*12%</f>
        <v/>
      </c>
      <c r="O180" s="1130" t="n"/>
      <c r="P180" s="708">
        <f>1.7</f>
        <v/>
      </c>
      <c r="Q180" s="1024">
        <f>(D180*(1-E180)+(F180* O180)+N180)-(H180+I180+J180+K180+L180+M180+(P180*F180))</f>
        <v/>
      </c>
      <c r="R180" s="1002">
        <f>Q180/(D180*(1-E180))</f>
        <v/>
      </c>
      <c r="S180" s="1189" t="n"/>
      <c r="T180" s="1030" t="n"/>
    </row>
    <row r="181" ht="24.75" customHeight="1" s="1349">
      <c r="A181" s="1108" t="n">
        <v>912194</v>
      </c>
      <c r="B181" s="1071" t="inlineStr">
        <is>
          <t>Luva Banhada Nitrila Punho Malha Azul Volk Proteção Química</t>
        </is>
      </c>
      <c r="C181" s="1059" t="n"/>
      <c r="D181" s="1132" t="n">
        <v>19.9</v>
      </c>
      <c r="E181" s="1061" t="n">
        <v>0.01</v>
      </c>
      <c r="F181" s="1132" t="n">
        <v>1</v>
      </c>
      <c r="G181" s="1113" t="n">
        <v>0.2</v>
      </c>
      <c r="H181" s="1024" t="n">
        <v>3.98</v>
      </c>
      <c r="I181" s="999" t="n">
        <v>4</v>
      </c>
      <c r="J181" s="999">
        <f>D181*(1-E181) * (3.5%)</f>
        <v/>
      </c>
      <c r="K181" s="1220">
        <f>D181*(1-E181)*18%</f>
        <v/>
      </c>
      <c r="L181" s="1220">
        <f>((D181*(1-E181))-K181)*1.65%</f>
        <v/>
      </c>
      <c r="M181" s="1220">
        <f>((D181*(1-E181))-K181)*7.6%</f>
        <v/>
      </c>
      <c r="N181" s="1221">
        <f>(H181+I181+J181)*9.25% + (H181+I181)*12%</f>
        <v/>
      </c>
      <c r="O181" s="1130" t="n"/>
      <c r="P181" s="1118" t="n">
        <v>7.14</v>
      </c>
      <c r="Q181" s="1024">
        <f>(D181*(1-E181)+(F181* O181)+N181)-(H181+I181+J181+K181+L181+M181+(P181*F181))</f>
        <v/>
      </c>
      <c r="R181" s="1002">
        <f>Q181/(D181*(1-E181))</f>
        <v/>
      </c>
      <c r="S181" s="1189" t="n"/>
      <c r="T181" s="1030" t="n"/>
    </row>
    <row r="182" ht="24.75" customHeight="1" s="1349">
      <c r="A182" s="1108" t="e">
        <v>#N/A</v>
      </c>
      <c r="B182" s="1070" t="inlineStr">
        <is>
          <t>Botina Couro Nobuck Premier Marluvas Antitorção Biqueira PVC</t>
        </is>
      </c>
      <c r="C182" s="1070" t="n"/>
      <c r="D182" s="1029" t="n">
        <v>264</v>
      </c>
      <c r="E182" s="1061" t="n">
        <v>0.01</v>
      </c>
      <c r="F182" s="1132" t="n">
        <v>1</v>
      </c>
      <c r="G182" s="1113" t="n">
        <v>0.14</v>
      </c>
      <c r="H182" s="1024" t="n">
        <v>36.96</v>
      </c>
      <c r="I182" s="999" t="n">
        <v>26</v>
      </c>
      <c r="J182" s="999">
        <f>D182*(1-E182) * (3.5%)</f>
        <v/>
      </c>
      <c r="K182" s="1220">
        <f>D182*(1-E182)*18%</f>
        <v/>
      </c>
      <c r="L182" s="1220">
        <f>((D182*(1-E182))-K182)*1.65%</f>
        <v/>
      </c>
      <c r="M182" s="1220">
        <f>((D182*(1-E182))-K182)*7.6%</f>
        <v/>
      </c>
      <c r="N182" s="1221">
        <f>(H182+I182+J182)*9.25% + (H182+I182)*12%</f>
        <v/>
      </c>
      <c r="O182" s="1130" t="n"/>
      <c r="P182" s="1050" t="n">
        <v>161.02</v>
      </c>
      <c r="Q182" s="1024">
        <f>(D182*(1-E182)+(F182* O182)+N182)-(H182+I182+J182+K182+L182+M182+(P182*F182))</f>
        <v/>
      </c>
      <c r="R182" s="1002">
        <f>Q182/(D182*(1-E182))</f>
        <v/>
      </c>
      <c r="S182" s="1189" t="n"/>
      <c r="T182" s="1030" t="n"/>
    </row>
    <row r="183" ht="24.75" customHeight="1" s="1349">
      <c r="A183" s="1108" t="n">
        <v>10034034167558</v>
      </c>
      <c r="B183" s="1004" t="inlineStr">
        <is>
          <t>Kit Shampoo e Condicionador Infantil Minions 500ml Nutriex Fragrância Leve Suave Hidratação Extrato Banana Kids - Kit 2 em 1</t>
        </is>
      </c>
      <c r="C183" s="1132" t="n"/>
      <c r="D183" s="1132" t="n">
        <v>42.1</v>
      </c>
      <c r="E183" s="1061" t="n">
        <v>0.01</v>
      </c>
      <c r="F183" s="1132" t="n">
        <v>1</v>
      </c>
      <c r="G183" s="1113" t="n">
        <v>0.2</v>
      </c>
      <c r="H183" s="1024" t="n">
        <v>7.82</v>
      </c>
      <c r="I183" s="999" t="n">
        <v>4</v>
      </c>
      <c r="J183" s="999">
        <f>D183*(1-E183) * (3.5%)</f>
        <v/>
      </c>
      <c r="K183" s="1220">
        <f>D183*(1-E183)*18%</f>
        <v/>
      </c>
      <c r="L183" s="1220">
        <f>((D183*(1-E183))-K183)*1.65%</f>
        <v/>
      </c>
      <c r="M183" s="1220">
        <f>((D183*(1-E183))-K183)*7.6%</f>
        <v/>
      </c>
      <c r="N183" s="1221">
        <f>(H183+I183+J183)*9.25% + (H183+I183)*12%</f>
        <v/>
      </c>
      <c r="O183" s="715" t="n">
        <v>2.36</v>
      </c>
      <c r="P183" s="1118" t="n">
        <v>19.69</v>
      </c>
      <c r="Q183" s="1024">
        <f>(D183*(1-E183)+(F183* O183)+N183)-(H183+I183+J183+K183+L183+M183+(P183*F183))</f>
        <v/>
      </c>
      <c r="R183" s="1002">
        <f>Q183/(D183*(1-E183))</f>
        <v/>
      </c>
      <c r="S183" s="1189" t="inlineStr">
        <is>
          <t>kit</t>
        </is>
      </c>
      <c r="T183" s="1030" t="n"/>
      <c r="U183" s="579" t="n"/>
      <c r="V183" s="579" t="n"/>
      <c r="W183" s="579" t="n"/>
      <c r="X183" s="579" t="n"/>
      <c r="Y183" s="579" t="n"/>
      <c r="Z183" s="579" t="n"/>
      <c r="AA183" s="579" t="n"/>
      <c r="AB183" s="579" t="n"/>
      <c r="AC183" s="579" t="n"/>
      <c r="AD183" s="579" t="n"/>
      <c r="AE183" s="579" t="n"/>
      <c r="AF183" s="579" t="n"/>
      <c r="AG183" s="579" t="n"/>
      <c r="AH183" s="579" t="n"/>
      <c r="AI183" s="579" t="n"/>
      <c r="AJ183" s="579" t="n"/>
      <c r="AK183" s="579" t="n"/>
      <c r="AL183" s="579" t="n"/>
      <c r="AM183" s="579" t="n"/>
      <c r="AN183" s="579" t="n"/>
      <c r="AO183" s="579" t="n"/>
      <c r="AP183" s="579" t="n"/>
      <c r="AQ183" s="579" t="n"/>
      <c r="AR183" s="579" t="n"/>
      <c r="AS183" s="579" t="n"/>
      <c r="AT183" s="579" t="n"/>
      <c r="AU183" s="579" t="n"/>
    </row>
    <row r="184" ht="24.75" customHeight="1" s="1349">
      <c r="A184" s="1121" t="n">
        <v>10034034167569</v>
      </c>
      <c r="B184" s="1122" t="inlineStr">
        <is>
          <t>Shampoo Infantil Minions 500ml Nutriex Fragrância Leve Suave Hidratação Extrato Banana Kids - Kit 2 em 1</t>
        </is>
      </c>
      <c r="C184" s="1123" t="n"/>
      <c r="D184" s="1124" t="n">
        <v>22.54</v>
      </c>
      <c r="E184" s="1061" t="n">
        <v>0.01</v>
      </c>
      <c r="F184" s="1125" t="n">
        <v>1</v>
      </c>
      <c r="G184" s="1126" t="n">
        <v>0.2</v>
      </c>
      <c r="H184" s="1024" t="n">
        <v>4.508</v>
      </c>
      <c r="I184" s="999" t="n">
        <v>4</v>
      </c>
      <c r="J184" s="999">
        <f>D184*(1-E184) * (3.5%)</f>
        <v/>
      </c>
      <c r="K184" s="1220">
        <f>D184*(1-E184)*18%</f>
        <v/>
      </c>
      <c r="L184" s="1220">
        <f>((D184*(1-E184))-K184)*1.65%</f>
        <v/>
      </c>
      <c r="M184" s="1220">
        <f>((D184*(1-E184))-K184)*7.6%</f>
        <v/>
      </c>
      <c r="N184" s="1221">
        <f>(H184+I184+J184)*9.25% + (H184+I184)*12%</f>
        <v/>
      </c>
      <c r="O184" s="715" t="n">
        <v>1.16</v>
      </c>
      <c r="P184" s="1175" t="n">
        <v>9.699999999999999</v>
      </c>
      <c r="Q184" s="1024">
        <f>(D184*(1-E184)+(F184* O184)+N184)-(H184+I184+J184+K184+L184+M184+(P184*F184))</f>
        <v/>
      </c>
      <c r="R184" s="1002">
        <f>Q184/(D184*(1-E184))</f>
        <v/>
      </c>
      <c r="S184" s="1128" t="inlineStr">
        <is>
          <t>shampoo</t>
        </is>
      </c>
      <c r="T184" s="1129" t="n"/>
      <c r="U184" s="579" t="n"/>
      <c r="V184" s="579" t="n"/>
      <c r="W184" s="579" t="n"/>
      <c r="X184" s="579" t="n"/>
      <c r="Y184" s="579" t="n"/>
      <c r="Z184" s="579" t="n"/>
      <c r="AA184" s="579" t="n"/>
      <c r="AB184" s="579" t="n"/>
      <c r="AC184" s="579" t="n"/>
      <c r="AD184" s="579" t="n"/>
      <c r="AE184" s="579" t="n"/>
      <c r="AF184" s="579" t="n"/>
      <c r="AG184" s="579" t="n"/>
      <c r="AH184" s="579" t="n"/>
      <c r="AI184" s="579" t="n"/>
      <c r="AJ184" s="579" t="n"/>
      <c r="AK184" s="579" t="n"/>
      <c r="AL184" s="579" t="n"/>
      <c r="AM184" s="579" t="n"/>
      <c r="AN184" s="579" t="n"/>
      <c r="AO184" s="579" t="n"/>
      <c r="AP184" s="579" t="n"/>
      <c r="AQ184" s="579" t="n"/>
      <c r="AR184" s="579" t="n"/>
      <c r="AS184" s="579" t="n"/>
      <c r="AT184" s="579" t="n"/>
      <c r="AU184" s="579" t="n"/>
    </row>
    <row r="185" ht="24.75" customHeight="1" s="1349">
      <c r="A185" s="1121" t="n">
        <v>10034034167569</v>
      </c>
      <c r="B185" s="1122" t="inlineStr">
        <is>
          <t>Condicionador Infantil Minions 500ml Nutriex Fragrância Leve Suave Hidratação Extrato Banana Kids - Kit 2 em 1</t>
        </is>
      </c>
      <c r="C185" s="1123" t="n"/>
      <c r="D185" s="1124" t="n">
        <v>22.77</v>
      </c>
      <c r="E185" s="1061" t="n">
        <v>0.01</v>
      </c>
      <c r="F185" s="1125" t="n">
        <v>1</v>
      </c>
      <c r="G185" s="1126" t="n">
        <v>0.2</v>
      </c>
      <c r="H185" s="1024" t="n">
        <v>4.554</v>
      </c>
      <c r="I185" s="999" t="n">
        <v>4</v>
      </c>
      <c r="J185" s="999">
        <f>D185*(1-E185) * (3.5%)</f>
        <v/>
      </c>
      <c r="K185" s="1220">
        <f>D185*(1-E185)*18%</f>
        <v/>
      </c>
      <c r="L185" s="1220">
        <f>((D185*(1-E185))-K185)*1.65%</f>
        <v/>
      </c>
      <c r="M185" s="1220">
        <f>((D185*(1-E185))-K185)*7.6%</f>
        <v/>
      </c>
      <c r="N185" s="1221">
        <f>(H185+I185+J185)*9.25% + (H185+I185)*12%</f>
        <v/>
      </c>
      <c r="O185" s="1130" t="n">
        <v>1.2</v>
      </c>
      <c r="P185" s="1175" t="n">
        <v>9.99</v>
      </c>
      <c r="Q185" s="1024">
        <f>(D185*(1-E185)+(F185* O185)+N185)-(H185+I185+J185+K185+L185+M185+(P185*F185))</f>
        <v/>
      </c>
      <c r="R185" s="1002">
        <f>Q185/(D185*(1-E185))</f>
        <v/>
      </c>
      <c r="S185" s="1128" t="inlineStr">
        <is>
          <t>condicionador</t>
        </is>
      </c>
      <c r="T185" s="1129" t="n"/>
    </row>
    <row r="186" ht="24.75" customHeight="1" s="1349">
      <c r="A186" s="1108" t="e">
        <v>#N/A</v>
      </c>
      <c r="B186" s="1131" t="inlineStr">
        <is>
          <t>Protetor Solar Minions FPS 30 e FPS 60 p/ Crianças Infantil Nutriex Kids benefícios a Pele Proteção contra Raios UVB UVA</t>
        </is>
      </c>
      <c r="C186" s="1132" t="n"/>
      <c r="D186" s="1132" t="n">
        <v>35.9</v>
      </c>
      <c r="E186" s="1061" t="n">
        <v>0.01</v>
      </c>
      <c r="F186" s="1132" t="n">
        <v>1</v>
      </c>
      <c r="G186" s="1113" t="n">
        <v>0.2</v>
      </c>
      <c r="H186" s="1024" t="n">
        <v>7.18</v>
      </c>
      <c r="I186" s="999" t="n">
        <v>4</v>
      </c>
      <c r="J186" s="999">
        <f>D186*(1-E186) * (3.5%)</f>
        <v/>
      </c>
      <c r="K186" s="1220">
        <f>D186*(1-E186)*18%</f>
        <v/>
      </c>
      <c r="L186" s="1117" t="n">
        <v>0</v>
      </c>
      <c r="M186" s="1117" t="n">
        <v>0</v>
      </c>
      <c r="N186" s="1221">
        <f>(H186+I186+J186)*9.25% + (H186+I186)*12%</f>
        <v/>
      </c>
      <c r="O186" s="1097" t="n">
        <v>2.04</v>
      </c>
      <c r="P186" s="701" t="n">
        <v>16.99</v>
      </c>
      <c r="Q186" s="1024">
        <f>(D186*(1-E186)+(F186* O186)+N186)-(H186+I186+J186+K186+L186+M186+(P186*F186))</f>
        <v/>
      </c>
      <c r="R186" s="1002">
        <f>Q186/(D186*(1-E186))</f>
        <v/>
      </c>
      <c r="S186" s="1189" t="inlineStr">
        <is>
          <t>fps 60</t>
        </is>
      </c>
      <c r="T186" s="1030" t="n"/>
    </row>
    <row r="187" ht="24.75" customHeight="1" s="1349">
      <c r="A187" s="1108" t="e">
        <v>#N/A</v>
      </c>
      <c r="B187" s="1131" t="inlineStr">
        <is>
          <t>Protetor Solar Minions FPS 30 e FPS 60 p/ Crianças Infantil Nutriex Kids benefícios a Pele Proteção contra Raios UVB UVA</t>
        </is>
      </c>
      <c r="C187" s="1132" t="n"/>
      <c r="D187" s="1132" t="n">
        <v>28.99</v>
      </c>
      <c r="E187" s="1061" t="n">
        <v>0.01</v>
      </c>
      <c r="F187" s="1132" t="n">
        <v>1</v>
      </c>
      <c r="G187" s="1113" t="n">
        <v>0.2</v>
      </c>
      <c r="H187" s="1024" t="n">
        <v>5.798</v>
      </c>
      <c r="I187" s="999" t="n">
        <v>4</v>
      </c>
      <c r="J187" s="999">
        <f>D187*(1-E187) * (3.5%)</f>
        <v/>
      </c>
      <c r="K187" s="1220">
        <f>D187*(1-E187)*18%</f>
        <v/>
      </c>
      <c r="L187" s="1117" t="n">
        <v>0</v>
      </c>
      <c r="M187" s="1117" t="n">
        <v>0</v>
      </c>
      <c r="N187" s="1221">
        <f>(H187+I187+J187)*9.25% + (H187+I187)*12%</f>
        <v/>
      </c>
      <c r="O187" s="1097" t="n">
        <v>1.32</v>
      </c>
      <c r="P187" s="701" t="n">
        <v>10.99</v>
      </c>
      <c r="Q187" s="1024">
        <f>(D187*(1-E187)+(F187* O187)+N187)-(H187+I187+J187+K187+L187+M187+(P187*F187))</f>
        <v/>
      </c>
      <c r="R187" s="1002">
        <f>Q187/(D187*(1-E187))</f>
        <v/>
      </c>
      <c r="S187" s="1189" t="inlineStr">
        <is>
          <t>fps 30</t>
        </is>
      </c>
      <c r="T187" s="1030" t="n"/>
    </row>
    <row r="188" ht="24.75" customHeight="1" s="1349">
      <c r="A188" s="1108" t="e">
        <v>#N/A</v>
      </c>
      <c r="B188" s="1133">
        <f>HYPERLINK("https://shopee.com.br/product/409809114/22294415854/","Kit Toy Story Shampoo e Sabonete Liquindo 2 em 1 Formula Aloe Vera Babosa Kids Infantil Woody Buzz")</f>
        <v/>
      </c>
      <c r="C188" s="1136" t="n"/>
      <c r="D188" s="1132" t="n">
        <v>36.99</v>
      </c>
      <c r="E188" s="1061" t="n">
        <v>0.01</v>
      </c>
      <c r="F188" s="1132" t="n">
        <v>1</v>
      </c>
      <c r="G188" s="1113" t="n">
        <v>0.2</v>
      </c>
      <c r="H188" s="1024" t="n">
        <v>7.398000000000001</v>
      </c>
      <c r="I188" s="999" t="n">
        <v>4</v>
      </c>
      <c r="J188" s="999">
        <f>D188*(1-E188) * (3.5%)</f>
        <v/>
      </c>
      <c r="K188" s="1220">
        <f>D188*(1-E188)*18%</f>
        <v/>
      </c>
      <c r="L188" s="1220">
        <f>((D188*(1-E188))-K188)*1.65%</f>
        <v/>
      </c>
      <c r="M188" s="1220">
        <f>((D188*(1-E188))-K188)*7.6%</f>
        <v/>
      </c>
      <c r="N188" s="1221">
        <f>(H188+I188+J188)*9.25% + (H188+I188)*12%</f>
        <v/>
      </c>
      <c r="O188" s="1130" t="n"/>
      <c r="P188" s="1118" t="n">
        <v>13.83</v>
      </c>
      <c r="Q188" s="1024">
        <f>(D188*(1-E188)+(F188* O188)+N188)-(H188+I188+J188+K188+L188+M188+(P188*F188))</f>
        <v/>
      </c>
      <c r="R188" s="1002">
        <f>Q188/(D188*(1-E188))</f>
        <v/>
      </c>
      <c r="S188" s="1189" t="n"/>
      <c r="T188" s="1030" t="n"/>
    </row>
    <row r="189" ht="24.75" customHeight="1" s="1349">
      <c r="A189" s="1108" t="n">
        <v>10034034167562</v>
      </c>
      <c r="B189" s="1131" t="inlineStr">
        <is>
          <t>Protetor Solar FPS 60 Lilo Stitch Infantil Kids Para Bebês Nutriex 100ml Proteção contra UV Bloqueador Solar</t>
        </is>
      </c>
      <c r="C189" s="1132" t="n"/>
      <c r="D189" s="1132" t="n">
        <v>36.5</v>
      </c>
      <c r="E189" s="1061" t="n">
        <v>0.01</v>
      </c>
      <c r="F189" s="1132" t="n">
        <v>1</v>
      </c>
      <c r="G189" s="1113" t="n">
        <v>0.2</v>
      </c>
      <c r="H189" s="1024" t="n">
        <v>7.300000000000001</v>
      </c>
      <c r="I189" s="999" t="n">
        <v>4</v>
      </c>
      <c r="J189" s="999">
        <f>D189*(1-E189) * (3.5%)</f>
        <v/>
      </c>
      <c r="K189" s="1220">
        <f>D189*(1-E189)*18%</f>
        <v/>
      </c>
      <c r="L189" s="1117" t="n">
        <v>0</v>
      </c>
      <c r="M189" s="1117" t="n">
        <v>0</v>
      </c>
      <c r="N189" s="1221">
        <f>(H189+I189+J189)*9.25% + (H189+I189)*12%</f>
        <v/>
      </c>
      <c r="O189" s="1097" t="n">
        <v>2.22</v>
      </c>
      <c r="P189" s="701" t="n">
        <v>18.51</v>
      </c>
      <c r="Q189" s="1024">
        <f>(D189*(1-E189)+(F189* O189)+N189)-(H189+I189+J189+K189+L189+M189+(P189*F189))</f>
        <v/>
      </c>
      <c r="R189" s="1002">
        <f>Q189/(D189*(1-E189))</f>
        <v/>
      </c>
      <c r="S189" s="1189" t="n"/>
      <c r="T189" s="1030" t="n"/>
    </row>
    <row r="190" ht="24.75" customHeight="1" s="1349">
      <c r="A190" s="1108" t="n">
        <v>10034034167557</v>
      </c>
      <c r="B190" s="1135">
        <f>HYPERLINK("https://shopee.com.br/product/409809114/21198308586/","Kit Minnie Mouse Shampoo e Condicionador + Brinde Kids Infantil Fragrância Suave Hidratante")</f>
        <v/>
      </c>
      <c r="C190" s="1136" t="n"/>
      <c r="D190" s="1132" t="n">
        <v>29.9</v>
      </c>
      <c r="E190" s="1061" t="n">
        <v>0.01</v>
      </c>
      <c r="F190" s="1132" t="n">
        <v>1</v>
      </c>
      <c r="G190" s="1113" t="n">
        <v>0.2</v>
      </c>
      <c r="H190" s="1024" t="n">
        <v>5.98</v>
      </c>
      <c r="I190" s="999" t="n">
        <v>4</v>
      </c>
      <c r="J190" s="999">
        <f>D190*(1-E190) * (3.5%)</f>
        <v/>
      </c>
      <c r="K190" s="1220">
        <f>D190*(1-E190)*18%</f>
        <v/>
      </c>
      <c r="L190" s="1117" t="n">
        <v>0</v>
      </c>
      <c r="M190" s="1117" t="n">
        <v>0</v>
      </c>
      <c r="N190" s="1221">
        <f>(H190+I190+J190)*9.25% + (H190+I190)*12%</f>
        <v/>
      </c>
      <c r="O190" s="1097" t="n">
        <v>1.68</v>
      </c>
      <c r="P190" s="701" t="n">
        <v>14</v>
      </c>
      <c r="Q190" s="1024">
        <f>(D190*(1-E190)+(F190* O190)+N190)-(H190+I190+J190+K190+L190+M190+(P190*F190))</f>
        <v/>
      </c>
      <c r="R190" s="1002">
        <f>Q190/(D190*(1-E190))</f>
        <v/>
      </c>
      <c r="S190" s="1189" t="n"/>
      <c r="T190" s="1030" t="n"/>
    </row>
    <row r="191" ht="24.75" customHeight="1" s="1349">
      <c r="A191" s="1268" t="n">
        <v>10034034167560</v>
      </c>
      <c r="B191" s="1138" t="inlineStr">
        <is>
          <t>Shampoo E Condicionador Moranguinho Linha Kids Infantil Nutriex Hidratação Cabelos Formula Suave</t>
        </is>
      </c>
      <c r="C191" s="1206" t="n"/>
      <c r="D191" s="1132" t="n">
        <v>39</v>
      </c>
      <c r="E191" s="1061" t="n">
        <v>0.01</v>
      </c>
      <c r="F191" s="1132" t="n">
        <v>1</v>
      </c>
      <c r="G191" s="1113" t="n">
        <v>0.2</v>
      </c>
      <c r="H191" s="1024" t="n">
        <v>7.800000000000001</v>
      </c>
      <c r="I191" s="999" t="n">
        <v>4</v>
      </c>
      <c r="J191" s="999">
        <f>D191*(1-E191) * (3.5%)</f>
        <v/>
      </c>
      <c r="K191" s="1220">
        <f>D191*(1-E191)*18%</f>
        <v/>
      </c>
      <c r="L191" s="1117" t="n">
        <v>0</v>
      </c>
      <c r="M191" s="1117" t="n">
        <v>0</v>
      </c>
      <c r="N191" s="1221">
        <f>(H191+I191+J191)*9.25% + (H191+I191)*12%</f>
        <v/>
      </c>
      <c r="O191" s="1097" t="n">
        <v>2.39</v>
      </c>
      <c r="P191" s="701" t="n">
        <v>19.9</v>
      </c>
      <c r="Q191" s="1024">
        <f>(D191*(1-E191)+(F191* O191)+N191)-(H191+I191+J191+K191+L191+M191+(P191*F191))</f>
        <v/>
      </c>
      <c r="R191" s="1002">
        <f>Q191/(D191*(1-E191))</f>
        <v/>
      </c>
      <c r="S191" s="1189" t="n"/>
      <c r="T191" s="1030" t="n"/>
    </row>
    <row r="192" ht="24.75" customHeight="1" s="1349">
      <c r="A192" s="1108" t="e">
        <v>#N/A</v>
      </c>
      <c r="B192" s="1131" t="inlineStr">
        <is>
          <t>Botina Amazonas Horizon Couro Hidrofugado Bidensidade Bico Pvc Bracol Airtech CA 40872</t>
        </is>
      </c>
      <c r="C192" s="1132" t="n"/>
      <c r="D192" s="1132" t="n">
        <v>249</v>
      </c>
      <c r="E192" s="1061" t="n">
        <v>0.01</v>
      </c>
      <c r="F192" s="1132" t="n">
        <v>1</v>
      </c>
      <c r="G192" s="1113" t="n">
        <v>0.14</v>
      </c>
      <c r="H192" s="1024" t="n">
        <v>34.86000000000001</v>
      </c>
      <c r="I192" s="999" t="n">
        <v>26</v>
      </c>
      <c r="J192" s="999">
        <f>D192*(1-E192) * (3.5%)</f>
        <v/>
      </c>
      <c r="K192" s="1220">
        <f>D192*(1-E192)*18%</f>
        <v/>
      </c>
      <c r="L192" s="1220">
        <f>((D192*(1-E192))-K192)*1.65%</f>
        <v/>
      </c>
      <c r="M192" s="1220">
        <f>((D192*(1-E192))-K192)*7.6%</f>
        <v/>
      </c>
      <c r="N192" s="1221">
        <f>(H192+I192+J192)*9.25% + (H192+I192)*12%</f>
        <v/>
      </c>
      <c r="O192" s="1130" t="n"/>
      <c r="P192" s="1118" t="n">
        <v>147.78</v>
      </c>
      <c r="Q192" s="1024">
        <f>(D192*(1-E192)+(F192* O192)+N192)-(H192+I192+J192+K192+L192+M192+(P192*F192))</f>
        <v/>
      </c>
      <c r="R192" s="1002">
        <f>Q192/(D192*(1-E192))</f>
        <v/>
      </c>
      <c r="S192" s="1189" t="n"/>
      <c r="T192" s="1030" t="n"/>
      <c r="W192" s="1139" t="n"/>
      <c r="X192" s="1140" t="n"/>
      <c r="Y192" s="1139" t="n"/>
      <c r="Z192" s="1141" t="n"/>
      <c r="AA192" s="1139" t="n"/>
      <c r="AB192" s="1141" t="n"/>
      <c r="AC192" s="1139" t="n"/>
      <c r="AD192" s="1141" t="n"/>
      <c r="AE192" s="1142" t="n"/>
    </row>
    <row r="193" ht="24.75" customHeight="1" s="1349">
      <c r="A193" s="1108" t="n">
        <v>10034034167000</v>
      </c>
      <c r="B193" s="1131" t="inlineStr">
        <is>
          <t>Botina Atacama Linha Horizon Biqueira PVC Airtech Couro Hidrofugado Bidensidade Bracol CA 40872</t>
        </is>
      </c>
      <c r="C193" s="1132" t="n"/>
      <c r="D193" s="1132" t="n">
        <v>320</v>
      </c>
      <c r="E193" s="1061" t="n">
        <v>0.01</v>
      </c>
      <c r="F193" s="1132" t="n">
        <v>1</v>
      </c>
      <c r="G193" s="1113" t="n">
        <v>0.14</v>
      </c>
      <c r="H193" s="1024" t="n">
        <v>44.8</v>
      </c>
      <c r="I193" s="999" t="n">
        <v>26</v>
      </c>
      <c r="J193" s="999">
        <f>D193*(1-E193) * (3.5%)</f>
        <v/>
      </c>
      <c r="K193" s="1220">
        <f>D193*(1-E193)*18%</f>
        <v/>
      </c>
      <c r="L193" s="1220">
        <f>((D193*(1-E193))-K193)*1.65%</f>
        <v/>
      </c>
      <c r="M193" s="1220">
        <f>((D193*(1-E193))-K193)*7.6%</f>
        <v/>
      </c>
      <c r="N193" s="1221">
        <f>(H193+I193+J193)*9.25% + (H193+I193)*12%</f>
        <v/>
      </c>
      <c r="O193" s="1130" t="n"/>
      <c r="P193" s="1118" t="n">
        <v>169.57</v>
      </c>
      <c r="Q193" s="1024">
        <f>(D193*(1-E193)+(F193* O193)+N193)-(H193+I193+J193+K193+L193+M193+(P193*F193))</f>
        <v/>
      </c>
      <c r="R193" s="1002">
        <f>Q193/(D193*(1-E193))</f>
        <v/>
      </c>
      <c r="S193" s="1189" t="n"/>
      <c r="T193" s="1030" t="n"/>
      <c r="V193" s="1143" t="n"/>
      <c r="W193" s="1139" t="n"/>
      <c r="X193" s="1140" t="n"/>
      <c r="Y193" s="1139" t="n"/>
      <c r="Z193" s="1141" t="n"/>
      <c r="AA193" s="1139" t="n"/>
      <c r="AB193" s="1141" t="n"/>
      <c r="AC193" s="1139" t="n"/>
      <c r="AD193" s="1141" t="n"/>
      <c r="AE193" s="1142" t="n"/>
    </row>
    <row r="194" ht="24.75" customHeight="1" s="1349">
      <c r="A194" s="1108" t="n">
        <v>10034034167251</v>
      </c>
      <c r="B194" s="1131" t="inlineStr">
        <is>
          <t>Bota de PVC Cano Longo Preta Biqueira Aço Com Forro Bracol 85BPL200PA Resistência Química</t>
        </is>
      </c>
      <c r="C194" s="1132" t="n"/>
      <c r="D194" s="1132" t="n">
        <v>99</v>
      </c>
      <c r="E194" s="1061" t="n">
        <v>0.01</v>
      </c>
      <c r="F194" s="1132" t="n">
        <v>1</v>
      </c>
      <c r="G194" s="1113" t="n">
        <v>0.14</v>
      </c>
      <c r="H194" s="1024" t="n">
        <v>13.86</v>
      </c>
      <c r="I194" s="999" t="n">
        <v>16</v>
      </c>
      <c r="J194" s="999">
        <f>D194*(1-E194) * (3.5%)</f>
        <v/>
      </c>
      <c r="K194" s="1220">
        <f>D194*(1-E194)*18%</f>
        <v/>
      </c>
      <c r="L194" s="1220">
        <f>((D194*(1-E194))-K194)*1.65%</f>
        <v/>
      </c>
      <c r="M194" s="1220">
        <f>((D194*(1-E194))-K194)*7.6%</f>
        <v/>
      </c>
      <c r="N194" s="1221">
        <f>(H194+I194+J194)*9.25% + (H194+I194)*12%</f>
        <v/>
      </c>
      <c r="O194" s="1130" t="n"/>
      <c r="P194" s="1118" t="n">
        <v>55.61</v>
      </c>
      <c r="Q194" s="1024">
        <f>(D194*(1-E194)+(F194* O194)+N194)-(H194+I194+J194+K194+L194+M194+(P194*F194))</f>
        <v/>
      </c>
      <c r="R194" s="1002">
        <f>Q194/(D194*(1-E194))</f>
        <v/>
      </c>
      <c r="S194" s="1189" t="n"/>
      <c r="T194" s="1030" t="n"/>
      <c r="V194" s="1143" t="n"/>
      <c r="W194" s="1144" t="n"/>
      <c r="X194" s="1140" t="n"/>
      <c r="Y194" s="1144" t="n"/>
      <c r="Z194" s="1145" t="n"/>
      <c r="AA194" s="1144" t="n"/>
      <c r="AB194" s="1145" t="n"/>
      <c r="AC194" s="1144" t="n"/>
      <c r="AD194" s="1145" t="n"/>
      <c r="AE194" s="1142" t="n"/>
    </row>
    <row r="195" ht="24.75" customHeight="1" s="1349">
      <c r="A195" s="1108" t="n">
        <v>10034034167611</v>
      </c>
      <c r="B195" s="1131" t="inlineStr">
        <is>
          <t>Bota Térmica Frigorífica Alaska Baixa Temperatura Bidensidade Velcro biqueira PVC Bracol 4011BDVM4600LL</t>
        </is>
      </c>
      <c r="C195" s="1132" t="n"/>
      <c r="D195" s="1132" t="n">
        <v>220.41</v>
      </c>
      <c r="E195" s="1061" t="n">
        <v>0.01</v>
      </c>
      <c r="F195" s="1132" t="n">
        <v>1</v>
      </c>
      <c r="G195" s="1113" t="n">
        <v>0.14</v>
      </c>
      <c r="H195" s="1024" t="n">
        <v>30.8574</v>
      </c>
      <c r="I195" s="999" t="n">
        <v>26</v>
      </c>
      <c r="J195" s="999">
        <f>D195*(1-E195) * (3.5%)</f>
        <v/>
      </c>
      <c r="K195" s="1220">
        <f>D195*(1-E195)*18%</f>
        <v/>
      </c>
      <c r="L195" s="1220">
        <f>((D195*(1-E195))-K195)*1.65%</f>
        <v/>
      </c>
      <c r="M195" s="1220">
        <f>((D195*(1-E195))-K195)*7.6%</f>
        <v/>
      </c>
      <c r="N195" s="1221">
        <f>(H195+I195+J195)*9.25% + (H195+I195)*12%</f>
        <v/>
      </c>
      <c r="O195" s="1130" t="n"/>
      <c r="P195" s="1118" t="n">
        <v>118.19</v>
      </c>
      <c r="Q195" s="1024">
        <f>(D195*(1-E195)+(F195* O195)+N195)-(H195+I195+J195+K195+L195+M195+(P195*F195))</f>
        <v/>
      </c>
      <c r="R195" s="1002">
        <f>Q195/(D195*(1-E195))</f>
        <v/>
      </c>
      <c r="S195" s="1189" t="n"/>
      <c r="T195" s="1030" t="n"/>
      <c r="V195" s="1143" t="n"/>
      <c r="W195" s="1139" t="n"/>
      <c r="X195" s="1140" t="n"/>
      <c r="Y195" s="1139" t="n"/>
      <c r="Z195" s="1141" t="n"/>
      <c r="AA195" s="1139" t="n"/>
      <c r="AB195" s="1141" t="n"/>
      <c r="AC195" s="1139" t="n"/>
      <c r="AD195" s="1141" t="n"/>
      <c r="AE195" s="1142" t="n"/>
    </row>
    <row r="196" ht="24.75" customHeight="1" s="1349">
      <c r="A196" s="1108" t="n">
        <v>10034034167358</v>
      </c>
      <c r="B196" s="1146" t="inlineStr">
        <is>
          <t>Luva Vaqueta Natural Petroleira Resistencia Mecânica Valcan Confortável Durável Trabalhos pesados</t>
        </is>
      </c>
      <c r="C196" s="1147" t="n"/>
      <c r="D196" s="1132" t="n">
        <v>27.5</v>
      </c>
      <c r="E196" s="1061" t="n">
        <v>0.01</v>
      </c>
      <c r="F196" s="1132" t="n">
        <v>1</v>
      </c>
      <c r="G196" s="1113" t="n">
        <v>0.2</v>
      </c>
      <c r="H196" s="1024" t="n">
        <v>5.5</v>
      </c>
      <c r="I196" s="999" t="n">
        <v>4</v>
      </c>
      <c r="J196" s="999">
        <f>D196*(1-E196) * (3.5%)</f>
        <v/>
      </c>
      <c r="K196" s="1220">
        <f>D196*(1-E196)*18%</f>
        <v/>
      </c>
      <c r="L196" s="1220">
        <f>((D196*(1-E196))-K196)*1.65%</f>
        <v/>
      </c>
      <c r="M196" s="1220">
        <f>((D196*(1-E196))-K196)*7.6%</f>
        <v/>
      </c>
      <c r="N196" s="1221">
        <f>(H196+I196+J196)*9.25% + (H196+I196)*12%</f>
        <v/>
      </c>
      <c r="O196" s="1130" t="n"/>
      <c r="P196" s="1118" t="n">
        <v>12.5</v>
      </c>
      <c r="Q196" s="1024">
        <f>(D196*(1-E196)+(F196* O196)+N196)-(H196+I196+J196+K196+L196+M196+(P196*F196))</f>
        <v/>
      </c>
      <c r="R196" s="1002">
        <f>Q196/(D196*(1-E196))</f>
        <v/>
      </c>
      <c r="S196" s="1189" t="n"/>
      <c r="T196" s="1030" t="n"/>
      <c r="AF196" s="1148" t="n"/>
      <c r="AG196" s="1148" t="n"/>
      <c r="AH196" s="1148" t="n"/>
      <c r="AI196" s="1148" t="n"/>
      <c r="AJ196" s="1148" t="n"/>
      <c r="AK196" s="1148" t="n"/>
      <c r="AL196" s="1148" t="n"/>
      <c r="AM196" s="1148" t="n"/>
      <c r="AN196" s="1148" t="n"/>
      <c r="AO196" s="1148" t="n"/>
      <c r="AP196" s="1148" t="n"/>
      <c r="AQ196" s="1148" t="n"/>
      <c r="AR196" s="1149" t="n"/>
      <c r="AS196" s="1149" t="n"/>
      <c r="AT196" s="1149" t="n"/>
    </row>
    <row r="197" ht="24.75" customHeight="1" s="1349">
      <c r="A197" s="1108" t="e">
        <v>#N/A</v>
      </c>
      <c r="B197" s="1131" t="inlineStr">
        <is>
          <t>Luva Raspa Cano Curto Petroleira Resistencia Mecânica Epi Cano Curto RP401 Resistente Durável Para Trabalhos Pesados</t>
        </is>
      </c>
      <c r="C197" s="1132" t="n"/>
      <c r="D197" s="1132" t="n">
        <v>23.5</v>
      </c>
      <c r="E197" s="1061" t="n">
        <v>0.01</v>
      </c>
      <c r="F197" s="1132" t="n">
        <v>1</v>
      </c>
      <c r="G197" s="1113" t="n">
        <v>0.2</v>
      </c>
      <c r="H197" s="1024" t="n">
        <v>4.7</v>
      </c>
      <c r="I197" s="999" t="n">
        <v>4</v>
      </c>
      <c r="J197" s="999">
        <f>D197*(1-E197) * (3.5%)</f>
        <v/>
      </c>
      <c r="K197" s="1220">
        <f>D197*(1-E197)*18%</f>
        <v/>
      </c>
      <c r="L197" s="1220">
        <f>((D197*(1-E197))-K197)*1.65%</f>
        <v/>
      </c>
      <c r="M197" s="1220">
        <f>((D197*(1-E197))-K197)*7.6%</f>
        <v/>
      </c>
      <c r="N197" s="1221">
        <f>(H197+I197+J197)*9.25% + (H197+I197)*12%</f>
        <v/>
      </c>
      <c r="O197" s="1130" t="n"/>
      <c r="P197" s="1118" t="n">
        <v>9.69</v>
      </c>
      <c r="Q197" s="1024">
        <f>(D197*(1-E197)+(F197* O197)+N197)-(H197+I197+J197+K197+L197+M197+(P197*F197))</f>
        <v/>
      </c>
      <c r="R197" s="1002">
        <f>Q197/(D197*(1-E197))</f>
        <v/>
      </c>
      <c r="S197" s="1189" t="n"/>
      <c r="T197" s="1030" t="n"/>
      <c r="W197" s="1249" t="n"/>
      <c r="X197" s="1163" t="n"/>
      <c r="Y197" s="1152" t="n"/>
      <c r="Z197" s="1249" t="n"/>
      <c r="AA197" s="1249" t="n"/>
      <c r="AB197" s="1154" t="n"/>
      <c r="AC197" s="1152" t="n"/>
      <c r="AD197" s="1154" t="n"/>
      <c r="AE197" s="1249" t="n"/>
      <c r="AF197" s="1154" t="n"/>
      <c r="AG197" s="1155" t="n"/>
      <c r="AH197" s="1148" t="n"/>
      <c r="AI197" s="1148" t="n"/>
      <c r="AJ197" s="1148" t="n"/>
      <c r="AK197" s="1148" t="n"/>
      <c r="AL197" s="1148" t="n"/>
      <c r="AM197" s="1148" t="n"/>
      <c r="AN197" s="1148" t="n"/>
      <c r="AO197" s="1148" t="n"/>
      <c r="AP197" s="1148" t="n"/>
      <c r="AQ197" s="1148" t="n"/>
      <c r="AR197" s="1156" t="n"/>
      <c r="AS197" s="1156" t="n"/>
      <c r="AT197" s="1156" t="n"/>
      <c r="AU197" s="1156" t="n"/>
    </row>
    <row r="198" ht="24.75" customHeight="1" s="1349">
      <c r="A198" s="1108" t="n">
        <v>10034034167362</v>
      </c>
      <c r="B198" s="1131" t="inlineStr">
        <is>
          <t>Blusão Raspa Vaqueta Couro Bl600 Fechamento em Velcro Solda Metalurgia Valcan Proteção Tronco</t>
        </is>
      </c>
      <c r="C198" s="1132" t="n"/>
      <c r="D198" s="1132" t="n">
        <v>145</v>
      </c>
      <c r="E198" s="1061" t="n">
        <v>0.01</v>
      </c>
      <c r="F198" s="1132" t="n">
        <v>1</v>
      </c>
      <c r="G198" s="1113" t="n">
        <v>0.14</v>
      </c>
      <c r="H198" s="1024" t="n">
        <v>20.3</v>
      </c>
      <c r="I198" s="999" t="n">
        <v>20</v>
      </c>
      <c r="J198" s="999">
        <f>D198*(1-E198) * (3.5%)</f>
        <v/>
      </c>
      <c r="K198" s="1220">
        <f>D198*(1-E198)*18%</f>
        <v/>
      </c>
      <c r="L198" s="1220">
        <f>((D198*(1-E198))-K198)*1.65%</f>
        <v/>
      </c>
      <c r="M198" s="1220">
        <f>((D198*(1-E198))-K198)*7.6%</f>
        <v/>
      </c>
      <c r="N198" s="1221">
        <f>(H198+I198+J198)*9.25% + (H198+I198)*12%</f>
        <v/>
      </c>
      <c r="O198" s="1097" t="n">
        <v>16.07</v>
      </c>
      <c r="P198" s="708" t="n">
        <v>79.79000000000001</v>
      </c>
      <c r="Q198" s="1024">
        <f>(D198*(1-E198)+(F198* O198)+N198)-(H198+I198+J198+K198+L198+M198+(P198*F198))</f>
        <v/>
      </c>
      <c r="R198" s="1002">
        <f>Q198/(D198*(1-E198))</f>
        <v/>
      </c>
      <c r="S198" s="1189" t="n"/>
      <c r="T198" s="1030" t="n"/>
      <c r="W198" s="1249" t="n"/>
      <c r="X198" s="1163" t="n"/>
      <c r="Y198" s="1152" t="n"/>
      <c r="Z198" s="1249" t="n"/>
      <c r="AA198" s="1249" t="n"/>
      <c r="AB198" s="1154" t="n"/>
      <c r="AC198" s="1152" t="n"/>
      <c r="AD198" s="1154" t="n"/>
      <c r="AE198" s="1249" t="n"/>
      <c r="AF198" s="1154" t="n"/>
      <c r="AG198" s="1155" t="n"/>
      <c r="AH198" s="1157" t="n"/>
      <c r="AI198" s="1157" t="n"/>
      <c r="AJ198" s="1157" t="n"/>
      <c r="AK198" s="1157" t="n"/>
      <c r="AL198" s="1157" t="n"/>
      <c r="AM198" s="1157" t="n"/>
      <c r="AN198" s="1157" t="n"/>
      <c r="AO198" s="1157" t="n"/>
      <c r="AP198" s="1157" t="n"/>
      <c r="AQ198" s="1157" t="n"/>
      <c r="AR198" s="1158" t="n"/>
      <c r="AS198" s="1158" t="n"/>
      <c r="AT198" s="1158" t="n"/>
      <c r="AU198" s="1158" t="n"/>
    </row>
    <row r="199" ht="24.75" customHeight="1" s="1349">
      <c r="A199" s="1108" t="n">
        <v>10034034167635</v>
      </c>
      <c r="B199" s="1004" t="inlineStr">
        <is>
          <t>Bota Galocha Pvc All Work Forro Interno Impermeável Solado Antiderrapante Tipo D 100AWORK- Marluvas</t>
        </is>
      </c>
      <c r="C199" s="1132" t="n"/>
      <c r="D199" s="1132" t="n">
        <v>52.89</v>
      </c>
      <c r="E199" s="1061" t="n">
        <v>0.01</v>
      </c>
      <c r="F199" s="1132" t="n">
        <v>1</v>
      </c>
      <c r="G199" s="1113" t="n">
        <v>0.2</v>
      </c>
      <c r="H199" s="1024" t="n">
        <v>10.98</v>
      </c>
      <c r="I199" s="999" t="n">
        <v>4</v>
      </c>
      <c r="J199" s="999">
        <f>D199*(1-E199) * (3.5%)</f>
        <v/>
      </c>
      <c r="K199" s="1220">
        <f>D199*(1-E199)*18%</f>
        <v/>
      </c>
      <c r="L199" s="1220">
        <f>((D199*(1-E199))-K199)*1.65%</f>
        <v/>
      </c>
      <c r="M199" s="1220">
        <f>((D199*(1-E199))-K199)*7.6%</f>
        <v/>
      </c>
      <c r="N199" s="1221">
        <f>(H199+I199+J199)*9.25% + (H199+I199)*12%</f>
        <v/>
      </c>
      <c r="O199" s="1097" t="n">
        <v>5.63</v>
      </c>
      <c r="P199" s="703" t="n">
        <v>27.96</v>
      </c>
      <c r="Q199" s="1024">
        <f>(D199*(1-E199)+(F199* O199)+N199)-(H199+I199+J199+K199+L199+M199+(P199*F199))</f>
        <v/>
      </c>
      <c r="R199" s="1002">
        <f>Q199/(D199*(1-E199))</f>
        <v/>
      </c>
      <c r="S199" s="1189" t="n"/>
      <c r="T199" s="1030" t="n"/>
      <c r="W199" s="1159" t="n"/>
      <c r="X199" s="1160" t="n"/>
      <c r="Y199" s="1161" t="n"/>
      <c r="Z199" s="1249" t="n"/>
      <c r="AA199" s="1249" t="n"/>
      <c r="AB199" s="1154" t="n"/>
      <c r="AC199" s="1152" t="n"/>
      <c r="AD199" s="1154" t="n"/>
      <c r="AE199" s="1249" t="n"/>
      <c r="AF199" s="1154" t="n"/>
      <c r="AG199" s="1162" t="n"/>
    </row>
    <row r="200" ht="24.75" customHeight="1" s="1349">
      <c r="A200" s="1108" t="n">
        <v>10034034167669</v>
      </c>
      <c r="B200" s="1131" t="inlineStr">
        <is>
          <t>Kit Pistola De Fixação Ação Indireta FAI72N + 100 Cartucho Magazinado + 100 Pino C/ Arruela Cônica - Âncora</t>
        </is>
      </c>
      <c r="C200" s="1132" t="n"/>
      <c r="D200" s="1132" t="n">
        <v>999.46</v>
      </c>
      <c r="E200" s="1061" t="n">
        <v>0.01</v>
      </c>
      <c r="F200" s="1132" t="n">
        <v>1</v>
      </c>
      <c r="G200" s="1113" t="n">
        <v>0.14</v>
      </c>
      <c r="H200" s="1024" t="n">
        <v>139.9244</v>
      </c>
      <c r="I200" s="999" t="n">
        <v>26</v>
      </c>
      <c r="J200" s="999">
        <f>D200*(1-E200) * (3.5%)</f>
        <v/>
      </c>
      <c r="K200" s="1220">
        <f>D200*(1-E200)*18%</f>
        <v/>
      </c>
      <c r="L200" s="1220">
        <f>((D200*(1-E200))-K200)*1.65%</f>
        <v/>
      </c>
      <c r="M200" s="1220">
        <f>((D200*(1-E200))-K200)*7.6%</f>
        <v/>
      </c>
      <c r="N200" s="1221">
        <f>(H200+I200+J200)*9.25% + (H200+I200)*12%</f>
        <v/>
      </c>
      <c r="O200" s="1097" t="n">
        <v>107.12</v>
      </c>
      <c r="P200" s="708" t="n">
        <v>668.91</v>
      </c>
      <c r="Q200" s="1024">
        <f>(D200*(1-E200)+(F200* O200)+N200)-(H200+I200+J200+K200+L200+M200+(P200*F200))</f>
        <v/>
      </c>
      <c r="R200" s="1002">
        <f>Q200/(D200*(1-E200))</f>
        <v/>
      </c>
      <c r="S200" s="1189" t="n"/>
      <c r="T200" s="1030" t="n"/>
      <c r="W200" s="1249" t="n"/>
      <c r="X200" s="1163" t="n"/>
      <c r="Y200" s="1152" t="n"/>
      <c r="Z200" s="1249" t="n"/>
      <c r="AA200" s="1249" t="n"/>
      <c r="AB200" s="1154" t="n"/>
      <c r="AC200" s="1152" t="n"/>
      <c r="AD200" s="1154" t="n"/>
      <c r="AE200" s="1249" t="n"/>
      <c r="AF200" s="1154" t="n"/>
      <c r="AG200" s="1155" t="n"/>
    </row>
    <row r="201" outlineLevel="1" ht="24.75" customHeight="1" s="1349">
      <c r="A201" s="1310" t="n"/>
      <c r="B201" s="636" t="inlineStr">
        <is>
          <t>Fita Zebrada Preta e Amarela 70mm x 200 mtrs Demarcação Sinalização Isolamento Plastcor</t>
        </is>
      </c>
      <c r="C201" s="1218" t="n"/>
      <c r="D201" s="1132" t="n">
        <v>18.75</v>
      </c>
      <c r="E201" s="1061" t="n">
        <v>0.01</v>
      </c>
      <c r="F201" s="1132" t="n">
        <v>1</v>
      </c>
      <c r="G201" s="1113" t="n">
        <v>0.2</v>
      </c>
      <c r="H201" s="1024" t="n">
        <v>3.75</v>
      </c>
      <c r="I201" s="999" t="n">
        <v>4</v>
      </c>
      <c r="J201" s="999">
        <f>D201*(1-E201) * (3.5%)</f>
        <v/>
      </c>
      <c r="K201" s="1220">
        <f>D201*(1-E201)*18%</f>
        <v/>
      </c>
      <c r="L201" s="1220">
        <f>((D201*(1-E201))-K201)*1.65%</f>
        <v/>
      </c>
      <c r="M201" s="1220">
        <f>((D201*(1-E201))-K201)*7.6%</f>
        <v/>
      </c>
      <c r="N201" s="1221">
        <f>(H201+I201+J201)*9.25% + (H201+I201)*12%</f>
        <v/>
      </c>
      <c r="O201" s="1130" t="n"/>
      <c r="P201" s="1118" t="n">
        <v>7.46</v>
      </c>
      <c r="Q201" s="1024">
        <f>(D201*(1-E201)+(F201* O201)+N201)-(H201+I201+J201+K201+L201+M201+(P201*F201))</f>
        <v/>
      </c>
      <c r="R201" s="1002">
        <f>Q201/(D201*(1-E201))</f>
        <v/>
      </c>
      <c r="S201" s="1189" t="n"/>
      <c r="T201" s="1030" t="n"/>
    </row>
    <row r="202" outlineLevel="1" ht="24.75" customHeight="1" s="1349">
      <c r="A202" s="1310" t="e">
        <v>#N/A</v>
      </c>
      <c r="B202" s="636" t="inlineStr">
        <is>
          <t>Fita Zebrada Preta e Amarela 70mm x 200 mtrs Demarcação Sinalização Isolamento Plastcor</t>
        </is>
      </c>
      <c r="C202" s="1218" t="n"/>
      <c r="D202" s="1132" t="n">
        <v>33.5</v>
      </c>
      <c r="E202" s="1061" t="n">
        <v>0.01</v>
      </c>
      <c r="F202" s="1132" t="n">
        <v>2</v>
      </c>
      <c r="G202" s="1113" t="n">
        <v>0.2</v>
      </c>
      <c r="H202" s="1024" t="n">
        <v>6.7</v>
      </c>
      <c r="I202" s="999" t="n">
        <v>4</v>
      </c>
      <c r="J202" s="999">
        <f>D202*(1-E202) * (3.5%)</f>
        <v/>
      </c>
      <c r="K202" s="1220">
        <f>D202*(1-E202)*18%</f>
        <v/>
      </c>
      <c r="L202" s="1220">
        <f>((D202*(1-E202))-K202)*1.65%</f>
        <v/>
      </c>
      <c r="M202" s="1220">
        <f>((D202*(1-E202))-K202)*7.6%</f>
        <v/>
      </c>
      <c r="N202" s="1221">
        <f>(H202+I202+J202)*9.25% + (H202+I202)*12%</f>
        <v/>
      </c>
      <c r="O202" s="1130" t="n"/>
      <c r="P202" s="1118" t="n">
        <v>7.46</v>
      </c>
      <c r="Q202" s="1024">
        <f>(D202*(1-E202)+(F202* O202)+N202)-(H202+I202+J202+K202+L202+M202+(P202*F202))</f>
        <v/>
      </c>
      <c r="R202" s="1002">
        <f>Q202/(D202*(1-E202))</f>
        <v/>
      </c>
      <c r="S202" s="1189" t="n"/>
      <c r="T202" s="1030" t="n"/>
      <c r="U202" s="579" t="n"/>
      <c r="V202" s="579" t="n"/>
      <c r="W202" s="579" t="n"/>
      <c r="X202" s="579" t="n"/>
      <c r="Y202" s="579" t="n"/>
      <c r="Z202" s="579" t="n"/>
      <c r="AA202" s="579" t="n"/>
      <c r="AB202" s="579" t="n"/>
      <c r="AC202" s="579" t="n"/>
      <c r="AD202" s="579" t="n"/>
      <c r="AE202" s="579" t="n"/>
      <c r="AF202" s="579" t="n"/>
      <c r="AG202" s="579" t="n"/>
      <c r="AH202" s="579" t="n"/>
    </row>
    <row r="203" ht="24.75" customHeight="1" s="1349">
      <c r="A203" s="1165" t="e">
        <v>#N/A</v>
      </c>
      <c r="B203" s="1166" t="inlineStr">
        <is>
          <t>Fita Zebrada Preta e Amarela 70mm x 200 mtrs Demarcação Sinalização Isolamento Plastcor</t>
        </is>
      </c>
      <c r="C203" s="1167" t="n"/>
      <c r="D203" s="1168" t="n">
        <v>72.90000000000001</v>
      </c>
      <c r="E203" s="1061" t="n">
        <v>0.01</v>
      </c>
      <c r="F203" s="1132" t="n">
        <v>5</v>
      </c>
      <c r="G203" s="1113" t="n">
        <v>0.2</v>
      </c>
      <c r="H203" s="1024" t="n">
        <v>14.58</v>
      </c>
      <c r="I203" s="999" t="n">
        <v>4</v>
      </c>
      <c r="J203" s="999">
        <f>D203*(1-E203) * (3.5%)</f>
        <v/>
      </c>
      <c r="K203" s="1220">
        <f>D203*(1-E203)*18%</f>
        <v/>
      </c>
      <c r="L203" s="1220">
        <f>((D203*(1-E203))-K203)*1.65%</f>
        <v/>
      </c>
      <c r="M203" s="1220">
        <f>((D203*(1-E203))-K203)*7.6%</f>
        <v/>
      </c>
      <c r="N203" s="1221">
        <f>(H203+I203+J203)*9.25% + (H203+I203)*12%</f>
        <v/>
      </c>
      <c r="O203" s="1130" t="n"/>
      <c r="P203" s="1118" t="n">
        <v>7.46</v>
      </c>
      <c r="Q203" s="1024">
        <f>(D203*(1-E203)+(F203* O203)+N203)-(H203+I203+J203+K203+L203+M203+(P203*F203))</f>
        <v/>
      </c>
      <c r="R203" s="1002">
        <f>Q203/(D203*(1-E203))</f>
        <v/>
      </c>
      <c r="S203" s="1169" t="n"/>
      <c r="T203" s="1170" t="n"/>
      <c r="U203" s="579" t="n"/>
      <c r="V203" s="579" t="n"/>
      <c r="W203" s="579" t="n"/>
      <c r="X203" s="579" t="n"/>
      <c r="Y203" s="579" t="n"/>
      <c r="Z203" s="579" t="n"/>
      <c r="AA203" s="579" t="n"/>
      <c r="AB203" s="579" t="n"/>
      <c r="AC203" s="579" t="n"/>
      <c r="AD203" s="579" t="n"/>
      <c r="AE203" s="579" t="n"/>
      <c r="AF203" s="579" t="n"/>
      <c r="AG203" s="579" t="n"/>
      <c r="AH203" s="579" t="n"/>
    </row>
    <row r="204" outlineLevel="1" ht="24.75" customHeight="1" s="1349">
      <c r="A204" s="1310" t="n"/>
      <c r="B204" s="1166" t="inlineStr">
        <is>
          <t>Fita Zebrada Preta e Amarela 70mm x 200 mtrs Demarcação Sinalização Isolamento Plastcor</t>
        </is>
      </c>
      <c r="C204" s="1167" t="n"/>
      <c r="D204" s="1168" t="n">
        <v>140</v>
      </c>
      <c r="E204" s="1061" t="n">
        <v>0.01</v>
      </c>
      <c r="F204" s="1132" t="n">
        <v>10</v>
      </c>
      <c r="G204" s="1113" t="n">
        <v>0.14</v>
      </c>
      <c r="H204" s="1024" t="n">
        <v>19.6</v>
      </c>
      <c r="I204" s="999" t="n">
        <v>20</v>
      </c>
      <c r="J204" s="999">
        <f>D204*(1-E204) * (3.5%)</f>
        <v/>
      </c>
      <c r="K204" s="1220">
        <f>D204*(1-E204)*18%</f>
        <v/>
      </c>
      <c r="L204" s="1220">
        <f>((D204*(1-E204))-K204)*1.65%</f>
        <v/>
      </c>
      <c r="M204" s="1220">
        <f>((D204*(1-E204))-K204)*7.6%</f>
        <v/>
      </c>
      <c r="N204" s="1221">
        <f>(H204+I204+J204)*9.25% + (H204+I204)*12%</f>
        <v/>
      </c>
      <c r="O204" s="1130" t="n"/>
      <c r="P204" s="1118" t="n">
        <v>7.46</v>
      </c>
      <c r="Q204" s="1024">
        <f>(D204*(1-E204)+(F204* O204)+N204)-(H204+I204+J204+K204+L204+M204+(P204*F204))</f>
        <v/>
      </c>
      <c r="R204" s="1002">
        <f>Q204/(D204*(1-E204))</f>
        <v/>
      </c>
      <c r="S204" s="1171" t="n"/>
      <c r="T204" s="1170" t="n"/>
    </row>
    <row r="205" ht="24.75" customHeight="1" s="1349">
      <c r="A205" s="1108" t="e">
        <v>#N/A</v>
      </c>
      <c r="B205" s="1172" t="inlineStr">
        <is>
          <t>Fita Zebrada Preta e Amarela 70mm x 200 mtrs Demarcação Sinalização Isolamento Interdição Segurança</t>
        </is>
      </c>
      <c r="C205" s="1218" t="n"/>
      <c r="D205" s="1132" t="n">
        <v>269</v>
      </c>
      <c r="E205" s="1061" t="n">
        <v>0.01</v>
      </c>
      <c r="F205" s="1132" t="n">
        <v>20</v>
      </c>
      <c r="G205" s="1113" t="n">
        <v>0.14</v>
      </c>
      <c r="H205" s="1024" t="n">
        <v>37.66</v>
      </c>
      <c r="I205" s="999" t="n">
        <v>26</v>
      </c>
      <c r="J205" s="999">
        <f>D205*(1-E205) * (3.5%)</f>
        <v/>
      </c>
      <c r="K205" s="1220">
        <f>D205*(1-E205)*18%</f>
        <v/>
      </c>
      <c r="L205" s="1220">
        <f>((D205*(1-E205))-K205)*1.65%</f>
        <v/>
      </c>
      <c r="M205" s="1220">
        <f>((D205*(1-E205))-K205)*7.6%</f>
        <v/>
      </c>
      <c r="N205" s="1221">
        <f>(H205+I205+J205)*9.25% + (H205+I205)*12%</f>
        <v/>
      </c>
      <c r="O205" s="1130" t="n"/>
      <c r="P205" s="1118" t="n">
        <v>7.46</v>
      </c>
      <c r="Q205" s="1024">
        <f>(D205*(1-E205)+(F205* O205)+N205)-(H205+I205+J205+K205+L205+M205+(P205*F205))</f>
        <v/>
      </c>
      <c r="R205" s="1002">
        <f>Q205/(D205*(1-E205))</f>
        <v/>
      </c>
      <c r="S205" s="1189" t="n"/>
      <c r="T205" s="1030" t="n"/>
      <c r="W205" s="1139" t="n"/>
      <c r="X205" s="1140" t="n"/>
      <c r="Y205" s="1139" t="n"/>
      <c r="Z205" s="1141" t="n"/>
      <c r="AA205" s="1139" t="n"/>
      <c r="AB205" s="1141" t="n"/>
      <c r="AC205" s="1139" t="n"/>
      <c r="AD205" s="1141" t="n"/>
      <c r="AE205" s="1142" t="n"/>
      <c r="AF205" s="753" t="n"/>
    </row>
    <row r="206" ht="24.75" customHeight="1" s="1349">
      <c r="A206" s="1108" t="n">
        <v>10034034167991</v>
      </c>
      <c r="B206" s="1172" t="inlineStr">
        <is>
          <t>Tênis Sapato Detroit Lite Preto Microfibra Solado PU Tridensidade CA 48508 Lançamento Ergonômico</t>
        </is>
      </c>
      <c r="C206" s="1218" t="n"/>
      <c r="D206" s="1132" t="n">
        <v>286.11</v>
      </c>
      <c r="E206" s="1061" t="n">
        <v>0.01</v>
      </c>
      <c r="F206" s="1132" t="n">
        <v>1</v>
      </c>
      <c r="G206" s="1113" t="n">
        <v>0.14</v>
      </c>
      <c r="H206" s="1024" t="n">
        <v>40.05540000000001</v>
      </c>
      <c r="I206" s="999" t="n">
        <v>26</v>
      </c>
      <c r="J206" s="999">
        <f>D206*(1-E206) * (3.5%)</f>
        <v/>
      </c>
      <c r="K206" s="1220">
        <f>D206*(1-E206)*18%</f>
        <v/>
      </c>
      <c r="L206" s="1220">
        <f>((D206*(1-E206))-K206)*1.65%</f>
        <v/>
      </c>
      <c r="M206" s="1220">
        <f>((D206*(1-E206))-K206)*7.6%</f>
        <v/>
      </c>
      <c r="N206" s="1221">
        <f>(H206+I206+J206)*9.25% + (H206+I206)*12%</f>
        <v/>
      </c>
      <c r="O206" s="715" t="n">
        <v>32.54</v>
      </c>
      <c r="P206" s="1118" t="n">
        <v>161.59</v>
      </c>
      <c r="Q206" s="1024">
        <f>(D206*(1-E206)+(F206* O206)+N206)-(H206+I206+J206+K206+L206+M206+(P206*F206))</f>
        <v/>
      </c>
      <c r="R206" s="1002">
        <f>Q206/(D206*(1-E206))</f>
        <v/>
      </c>
      <c r="S206" s="1189" t="n"/>
      <c r="T206" s="1030" t="n"/>
      <c r="W206" s="1163" t="n"/>
      <c r="X206" s="1152" t="n"/>
      <c r="Y206" s="1249" t="n"/>
      <c r="Z206" s="1249" t="n"/>
      <c r="AA206" s="1154" t="n"/>
      <c r="AB206" s="1152" t="n"/>
      <c r="AC206" s="1154" t="n"/>
      <c r="AD206" s="1249" t="n"/>
      <c r="AE206" s="1154" t="n"/>
      <c r="AF206" s="1155" t="n"/>
      <c r="AG206" s="1249" t="n"/>
    </row>
    <row r="207" ht="24.75" customHeight="1" s="1349">
      <c r="A207" s="1108" t="n">
        <v>10034034167711</v>
      </c>
      <c r="B207" s="1172" t="inlineStr">
        <is>
          <t>Botina Branca Belf Bel Ocupacional Microfibra Impermeável Resistente Perfuração Bracol CA 29492</t>
        </is>
      </c>
      <c r="C207" s="1218" t="n"/>
      <c r="D207" s="1132" t="n">
        <v>139.9</v>
      </c>
      <c r="E207" s="1061" t="n">
        <v>0.01</v>
      </c>
      <c r="F207" s="1132" t="n">
        <v>1</v>
      </c>
      <c r="G207" s="1113" t="n">
        <v>0.14</v>
      </c>
      <c r="H207" s="1024" t="n">
        <v>19.586</v>
      </c>
      <c r="I207" s="999" t="n">
        <v>20</v>
      </c>
      <c r="J207" s="999">
        <f>D207*(1-E207) * (3.5%)</f>
        <v/>
      </c>
      <c r="K207" s="1220">
        <f>D207*(1-E207)*18%</f>
        <v/>
      </c>
      <c r="L207" s="1220">
        <f>((D207*(1-E207))-K207)*1.65%</f>
        <v/>
      </c>
      <c r="M207" s="1220">
        <f>((D207*(1-E207))-K207)*7.6%</f>
        <v/>
      </c>
      <c r="N207" s="1221">
        <f>(H207+I207+J207)*9.25% + (H207+I207)*12%</f>
        <v/>
      </c>
      <c r="O207" s="1097" t="n">
        <v>15.24</v>
      </c>
      <c r="P207" s="701" t="n">
        <v>75.76000000000001</v>
      </c>
      <c r="Q207" s="1024">
        <f>(D207*(1-E207)+(F207* O207)+N207)-(H207+I207+J207+K207+L207+M207+(P207*F207))</f>
        <v/>
      </c>
      <c r="R207" s="1002">
        <f>Q207/(D207*(1-E207))</f>
        <v/>
      </c>
      <c r="S207" s="1189" t="n"/>
      <c r="T207" s="1030" t="n"/>
    </row>
    <row r="208" ht="24.75" customHeight="1" s="1349">
      <c r="A208" s="1108" t="n">
        <v>10034034167992</v>
      </c>
      <c r="B208" s="1172" t="inlineStr">
        <is>
          <t>Botina Esmeralda Cor Areia Amarrar Microfibra Resistente Penetração Bico PVC Feminino CA 42307</t>
        </is>
      </c>
      <c r="C208" s="1218" t="n"/>
      <c r="D208" s="1132" t="n">
        <v>269.9</v>
      </c>
      <c r="E208" s="1061" t="n">
        <v>0.01</v>
      </c>
      <c r="F208" s="1132" t="n">
        <v>1</v>
      </c>
      <c r="G208" s="1113" t="n">
        <v>0.14</v>
      </c>
      <c r="H208" s="1024" t="n">
        <v>37.786</v>
      </c>
      <c r="I208" s="999" t="n">
        <v>26</v>
      </c>
      <c r="J208" s="999">
        <f>D208*(1-E208) * (3.5%)</f>
        <v/>
      </c>
      <c r="K208" s="1220">
        <f>D208*(1-E208)*18%</f>
        <v/>
      </c>
      <c r="L208" s="1220">
        <f>((D208*(1-E208))-K208)*1.65%</f>
        <v/>
      </c>
      <c r="M208" s="1220">
        <f>((D208*(1-E208))-K208)*7.6%</f>
        <v/>
      </c>
      <c r="N208" s="1221">
        <f>(H208+I208+J208)*9.25% + (H208+I208)*12%</f>
        <v/>
      </c>
      <c r="O208" s="1130" t="n"/>
      <c r="P208" s="1118" t="n">
        <v>169.56</v>
      </c>
      <c r="Q208" s="1024">
        <f>(D208*(1-E208)+(F208* O208)+N208)-(H208+I208+J208+K208+L208+M208+(P208*F208))</f>
        <v/>
      </c>
      <c r="R208" s="1002">
        <f>Q208/(D208*(1-E208))</f>
        <v/>
      </c>
      <c r="S208" s="1189" t="n"/>
      <c r="T208" s="1030" t="n"/>
    </row>
    <row r="209" ht="24.75" customHeight="1" s="1349">
      <c r="A209" s="1108" t="n">
        <v>20</v>
      </c>
      <c r="B209" s="1116" t="inlineStr">
        <is>
          <t>Capacete Proteção Segurança Camper Avant Casco Reforçado Todas As Cores Com Jugular E Carneira</t>
        </is>
      </c>
      <c r="C209" s="1182" t="n"/>
      <c r="D209" s="1132" t="n">
        <v>19.6</v>
      </c>
      <c r="E209" s="1061" t="n">
        <v>0.01</v>
      </c>
      <c r="F209" s="1132" t="n">
        <v>1</v>
      </c>
      <c r="G209" s="1113" t="n">
        <v>0.2</v>
      </c>
      <c r="H209" s="1024" t="n">
        <v>3.92</v>
      </c>
      <c r="I209" s="999" t="n">
        <v>4</v>
      </c>
      <c r="J209" s="999">
        <f>D209*(1-E209) * (3.5%)</f>
        <v/>
      </c>
      <c r="K209" s="1220">
        <f>D209*(1-E209)*18%</f>
        <v/>
      </c>
      <c r="L209" s="1220">
        <f>((D209*(1-E209))-K209)*1.65%</f>
        <v/>
      </c>
      <c r="M209" s="1220">
        <f>((D209*(1-E209))-K209)*7.6%</f>
        <v/>
      </c>
      <c r="N209" s="1221">
        <f>(H209+I209+J209)*9.25% + (H209+I209)*12%</f>
        <v/>
      </c>
      <c r="O209" s="1130" t="n"/>
      <c r="P209" s="1118" t="n">
        <v>7.84</v>
      </c>
      <c r="Q209" s="1024">
        <f>(D209*(1-E209)+(F209* O209)+N209)-(H209+I209+J209+K209+L209+M209+(P209*F209))</f>
        <v/>
      </c>
      <c r="R209" s="1002">
        <f>Q209/(D209*(1-E209))</f>
        <v/>
      </c>
      <c r="S209" s="1189" t="n"/>
      <c r="T209" s="1030" t="n"/>
    </row>
    <row r="210" ht="24.75" customHeight="1" s="1349">
      <c r="A210" s="1108" t="n"/>
      <c r="B210" s="1172" t="inlineStr">
        <is>
          <t>Bota PVC Work Galocha Borracha Preta Branca Cano Médio Impermeável Motoboy Confortável Limpeza Epi</t>
        </is>
      </c>
      <c r="C210" s="1218" t="n"/>
      <c r="D210" s="1132" t="n">
        <v>59.25</v>
      </c>
      <c r="E210" s="1061" t="n">
        <v>0.01</v>
      </c>
      <c r="F210" s="1132" t="n">
        <v>1</v>
      </c>
      <c r="G210" s="1113" t="n">
        <v>0.2</v>
      </c>
      <c r="H210" s="1024" t="n">
        <v>11.85</v>
      </c>
      <c r="I210" s="999" t="n">
        <v>4</v>
      </c>
      <c r="J210" s="999">
        <f>D210*(1-E210) * (3.5%)</f>
        <v/>
      </c>
      <c r="K210" s="1220">
        <f>D210*(1-E210)*18%</f>
        <v/>
      </c>
      <c r="L210" s="1220">
        <f>((D210*(1-E210))-K210)*1.65%</f>
        <v/>
      </c>
      <c r="M210" s="1220">
        <f>((D210*(1-E210))-K210)*7.6%</f>
        <v/>
      </c>
      <c r="N210" s="1221">
        <f>(H210+I210+J210)*9.25% + (H210+I210)*12%</f>
        <v/>
      </c>
      <c r="O210" s="1130" t="n"/>
      <c r="P210" s="1118" t="n">
        <v>23.25</v>
      </c>
      <c r="Q210" s="1024">
        <f>(D210*(1-E210)+(F210* O210)+N210)-(H210+I210+J210+K210+L210+M210+(P210*F210))</f>
        <v/>
      </c>
      <c r="R210" s="1002">
        <f>Q210/(D210*(1-E210))</f>
        <v/>
      </c>
      <c r="S210" s="1189" t="n"/>
      <c r="T210" s="1030" t="n"/>
    </row>
    <row r="211" ht="24.75" customHeight="1" s="1349">
      <c r="A211" s="1108" t="n">
        <v>10034034167870</v>
      </c>
      <c r="B211" s="1116" t="inlineStr">
        <is>
          <t>Luva Algodão Látex Térmica Gladiador Vulcanizada Reforçada CA 8082 Profissional Alta Temperatura</t>
        </is>
      </c>
      <c r="C211" s="1182" t="n"/>
      <c r="D211" s="1132" t="n">
        <v>17</v>
      </c>
      <c r="E211" s="1061" t="n">
        <v>0.01</v>
      </c>
      <c r="F211" s="1132" t="n">
        <v>1</v>
      </c>
      <c r="G211" s="1113" t="n">
        <v>0.2</v>
      </c>
      <c r="H211" s="1024" t="n">
        <v>3.4</v>
      </c>
      <c r="I211" s="999" t="n">
        <v>4</v>
      </c>
      <c r="J211" s="999">
        <f>D211*(1-E211) * (3.5%)</f>
        <v/>
      </c>
      <c r="K211" s="1220">
        <f>D211*(1-E211)*18%</f>
        <v/>
      </c>
      <c r="L211" s="1220">
        <f>((D211*(1-E211))-K211)*1.65%</f>
        <v/>
      </c>
      <c r="M211" s="1220">
        <f>((D211*(1-E211))-K211)*7.6%</f>
        <v/>
      </c>
      <c r="N211" s="1221">
        <f>(H211+I211+J211)*9.25% + (H211+I211)*12%</f>
        <v/>
      </c>
      <c r="O211" s="1130" t="n"/>
      <c r="P211" s="1118" t="n">
        <v>5.94</v>
      </c>
      <c r="Q211" s="1024">
        <f>(D211*(1-E211)+(F211* O211)+N211)-(H211+I211+J211+K211+L211+M211+(P211*F211))</f>
        <v/>
      </c>
      <c r="R211" s="1002">
        <f>Q211/(D211*(1-E211))</f>
        <v/>
      </c>
      <c r="S211" s="1189" t="n"/>
      <c r="T211" s="1030" t="n"/>
    </row>
    <row r="212" ht="24.75" customHeight="1" s="1349">
      <c r="A212" s="1108" t="e">
        <v>#N/A</v>
      </c>
      <c r="B212" s="1116" t="inlineStr">
        <is>
          <t>Silicone Acético Bisnaga Blister Construção 50g Transparente Vedação Antifungo Alta Adesão</t>
        </is>
      </c>
      <c r="C212" s="1182" t="n"/>
      <c r="D212" s="1132" t="n">
        <v>12.8</v>
      </c>
      <c r="E212" s="1061" t="n">
        <v>0.01</v>
      </c>
      <c r="F212" s="1132" t="n">
        <v>1</v>
      </c>
      <c r="G212" s="1113" t="n">
        <v>0.2</v>
      </c>
      <c r="H212" s="1024" t="n">
        <v>2.56</v>
      </c>
      <c r="I212" s="999" t="n">
        <v>4</v>
      </c>
      <c r="J212" s="999">
        <f>D212*(1-E212) * (3.5%)</f>
        <v/>
      </c>
      <c r="K212" s="1220">
        <f>D212*(1-E212)*18%</f>
        <v/>
      </c>
      <c r="L212" s="1220">
        <f>((D212*(1-E212))-K212)*1.65%</f>
        <v/>
      </c>
      <c r="M212" s="1220">
        <f>((D212*(1-E212))-K212)*7.6%</f>
        <v/>
      </c>
      <c r="N212" s="1221">
        <f>(H212+I212+J212)*9.25% + (H212+I212)*12%</f>
        <v/>
      </c>
      <c r="O212" s="1130" t="n"/>
      <c r="P212" s="1118" t="n">
        <v>3.67</v>
      </c>
      <c r="Q212" s="1024">
        <f>(D212*(1-E212)+(F212* O212)+N212)-(H212+I212+J212+K212+L212+M212+(P212*F212))</f>
        <v/>
      </c>
      <c r="R212" s="1002">
        <f>Q212/(D212*(1-E212))</f>
        <v/>
      </c>
      <c r="S212" s="1189" t="n"/>
      <c r="T212" s="1030" t="n"/>
    </row>
    <row r="213" outlineLevel="1" ht="24.75" customHeight="1" s="1349">
      <c r="A213" s="1108" t="n">
        <v>10034034166317</v>
      </c>
      <c r="B213" s="1116" t="inlineStr">
        <is>
          <t>Kit Luva Orange Vulcanizada Industria Obra Paisagismo c/ Ca</t>
        </is>
      </c>
      <c r="C213" s="1182" t="n"/>
      <c r="D213" s="1132" t="n">
        <v>40.5</v>
      </c>
      <c r="E213" s="1061" t="n">
        <v>0.01</v>
      </c>
      <c r="F213" s="1102" t="n">
        <v>4</v>
      </c>
      <c r="G213" s="1063" t="n">
        <v>0.2</v>
      </c>
      <c r="H213" s="1024" t="n">
        <v>8.1</v>
      </c>
      <c r="I213" s="999" t="n">
        <v>4</v>
      </c>
      <c r="J213" s="999">
        <f>D213*(1-E213) * (3.5%)</f>
        <v/>
      </c>
      <c r="K213" s="1220">
        <f>D213*(1-E213)*18%</f>
        <v/>
      </c>
      <c r="L213" s="1220">
        <f>((D213*(1-E213))-K213)*1.65%</f>
        <v/>
      </c>
      <c r="M213" s="1220">
        <f>((D213*(1-E213))-K213)*7.6%</f>
        <v/>
      </c>
      <c r="N213" s="1221">
        <f>(H213+I213+J213)*9.25% + (H213+I213)*12%</f>
        <v/>
      </c>
      <c r="O213" s="1130" t="n"/>
      <c r="P213" s="1175" t="n">
        <v>4.78</v>
      </c>
      <c r="Q213" s="1024">
        <f>(D213*(1-E213)+(F213* O213)+N213)-(H213+I213+J213+K213+L213+M213+(P213*F213))</f>
        <v/>
      </c>
      <c r="R213" s="1002">
        <f>Q213/(D213*(1-E213))</f>
        <v/>
      </c>
      <c r="S213" s="1189" t="n"/>
      <c r="T213" s="1030" t="n"/>
    </row>
    <row r="214" outlineLevel="1" ht="24.75" customHeight="1" s="1349">
      <c r="A214" s="1108" t="e">
        <v>#N/A</v>
      </c>
      <c r="B214" s="1116" t="inlineStr">
        <is>
          <t>Kit Luva Orange Vulcanizada Industria Obra Paisagismo c/ Ca</t>
        </is>
      </c>
      <c r="C214" s="1182" t="n"/>
      <c r="D214" s="1132" t="n">
        <v>55.8</v>
      </c>
      <c r="E214" s="1061" t="n">
        <v>0.01</v>
      </c>
      <c r="F214" s="1102" t="n">
        <v>6</v>
      </c>
      <c r="G214" s="1063" t="n">
        <v>0.2</v>
      </c>
      <c r="H214" s="1024" t="n">
        <v>11.16</v>
      </c>
      <c r="I214" s="999" t="n">
        <v>4</v>
      </c>
      <c r="J214" s="999">
        <f>D214*(1-E214) * (3.5%)</f>
        <v/>
      </c>
      <c r="K214" s="1220">
        <f>D214*(1-E214)*18%</f>
        <v/>
      </c>
      <c r="L214" s="1220">
        <f>((D214*(1-E214))-K214)*1.65%</f>
        <v/>
      </c>
      <c r="M214" s="1220">
        <f>((D214*(1-E214))-K214)*7.6%</f>
        <v/>
      </c>
      <c r="N214" s="1221">
        <f>(H214+I214+J214)*9.25% + (H214+I214)*12%</f>
        <v/>
      </c>
      <c r="O214" s="1130" t="n"/>
      <c r="P214" s="1175" t="n">
        <v>4.78</v>
      </c>
      <c r="Q214" s="1024">
        <f>(D214*(1-E214)+(F214* O214)+N214)-(H214+I214+J214+K214+L214+M214+(P214*F214))</f>
        <v/>
      </c>
      <c r="R214" s="1002">
        <f>Q214/(D214*(1-E214))</f>
        <v/>
      </c>
      <c r="S214" s="1189" t="n"/>
      <c r="T214" s="1030" t="n"/>
    </row>
    <row r="215" outlineLevel="1" ht="24.75" customHeight="1" s="1349">
      <c r="A215" s="1108" t="e">
        <v>#N/A</v>
      </c>
      <c r="B215" s="1116" t="inlineStr">
        <is>
          <t>Kit Luva Orange Vulcanizada Industria Obra Paisagismo c/ Ca</t>
        </is>
      </c>
      <c r="C215" s="1182" t="n"/>
      <c r="D215" s="1132" t="n">
        <v>69.3</v>
      </c>
      <c r="E215" s="1061" t="n">
        <v>0.01</v>
      </c>
      <c r="F215" s="1102" t="n">
        <v>8</v>
      </c>
      <c r="G215" s="1063" t="n">
        <v>0.2</v>
      </c>
      <c r="H215" s="1024" t="n">
        <v>13.86</v>
      </c>
      <c r="I215" s="999" t="n">
        <v>4</v>
      </c>
      <c r="J215" s="999">
        <f>D215*(1-E215) * (3.5%)</f>
        <v/>
      </c>
      <c r="K215" s="1220">
        <f>D215*(1-E215)*18%</f>
        <v/>
      </c>
      <c r="L215" s="1220">
        <f>((D215*(1-E215))-K215)*1.65%</f>
        <v/>
      </c>
      <c r="M215" s="1220">
        <f>((D215*(1-E215))-K215)*7.6%</f>
        <v/>
      </c>
      <c r="N215" s="1221">
        <f>(H215+I215+J215)*9.25% + (H215+I215)*12%</f>
        <v/>
      </c>
      <c r="O215" s="1130" t="n"/>
      <c r="P215" s="1175" t="n">
        <v>4.78</v>
      </c>
      <c r="Q215" s="1024">
        <f>(D215*(1-E215)+(F215* O215)+N215)-(H215+I215+J215+K215+L215+M215+(P215*F215))</f>
        <v/>
      </c>
      <c r="R215" s="1002">
        <f>Q215/(D215*(1-E215))</f>
        <v/>
      </c>
      <c r="S215" s="1189" t="n"/>
      <c r="T215" s="1030" t="n"/>
    </row>
    <row r="216" ht="24.75" customHeight="1" s="1349">
      <c r="A216" s="1108" t="e">
        <v>#N/A</v>
      </c>
      <c r="B216" s="1116" t="inlineStr">
        <is>
          <t>Kit Luva Orange Vulcanizada Industria Obra Paisagismo c/ Ca</t>
        </is>
      </c>
      <c r="C216" s="1182" t="n"/>
      <c r="D216" s="1132" t="n">
        <v>81.90000000000001</v>
      </c>
      <c r="E216" s="1061" t="n">
        <v>0.01</v>
      </c>
      <c r="F216" s="1102" t="n">
        <v>10</v>
      </c>
      <c r="G216" s="1063" t="n">
        <v>0.14</v>
      </c>
      <c r="H216" s="1024" t="n">
        <v>11.466</v>
      </c>
      <c r="I216" s="999" t="n">
        <v>16</v>
      </c>
      <c r="J216" s="999">
        <f>D216*(1-E216) * (3.5%)</f>
        <v/>
      </c>
      <c r="K216" s="1220">
        <f>D216*(1-E216)*18%</f>
        <v/>
      </c>
      <c r="L216" s="1220">
        <f>((D216*(1-E216))-K216)*1.65%</f>
        <v/>
      </c>
      <c r="M216" s="1220">
        <f>((D216*(1-E216))-K216)*7.6%</f>
        <v/>
      </c>
      <c r="N216" s="1221">
        <f>(H216+I216+J216)*9.25% + (H216+I216)*12%</f>
        <v/>
      </c>
      <c r="O216" s="1130" t="n"/>
      <c r="P216" s="1175" t="n">
        <v>4.78</v>
      </c>
      <c r="Q216" s="1024">
        <f>(D216*(1-E216)+(F216* O216)+N216)-(H216+I216+J216+K216+L216+M216+(P216*F216))</f>
        <v/>
      </c>
      <c r="R216" s="1002">
        <f>Q216/(D216*(1-E216))</f>
        <v/>
      </c>
      <c r="S216" s="1189" t="n"/>
      <c r="T216" s="1030" t="n"/>
    </row>
    <row r="217" ht="24.75" customHeight="1" s="1349">
      <c r="A217" s="1176" t="n">
        <v>10034034168054</v>
      </c>
      <c r="B217" s="1177" t="inlineStr">
        <is>
          <t xml:space="preserve"> Luva Orange Vulcanizada Antiderrapante Reforçada Obra Industria</t>
        </is>
      </c>
      <c r="C217" s="1182" t="n"/>
      <c r="D217" s="1132" t="n">
        <v>21.8</v>
      </c>
      <c r="E217" s="1061" t="n">
        <v>0.01</v>
      </c>
      <c r="F217" s="1102" t="n">
        <v>1</v>
      </c>
      <c r="G217" s="1063" t="n">
        <v>0.2</v>
      </c>
      <c r="H217" s="1024" t="n">
        <v>2.85</v>
      </c>
      <c r="I217" s="999" t="n">
        <v>4</v>
      </c>
      <c r="J217" s="999">
        <f>D217*(1-E217) * (3.5%)</f>
        <v/>
      </c>
      <c r="K217" s="1220">
        <f>D217*(1-E217)*18%</f>
        <v/>
      </c>
      <c r="L217" s="1220">
        <f>((D217*(1-E217))-K217)*1.65%</f>
        <v/>
      </c>
      <c r="M217" s="1220">
        <f>((D217*(1-E217))-K217)*7.6%</f>
        <v/>
      </c>
      <c r="N217" s="1221">
        <f>(H217+I217+J217)*9.25% + (H217+I217)*12%</f>
        <v/>
      </c>
      <c r="O217" s="715" t="n">
        <v>1.24</v>
      </c>
      <c r="P217" s="1175" t="n">
        <v>9.56</v>
      </c>
      <c r="Q217" s="1024">
        <f>(D217*(1-E217)+(F217* O217)+N217)-(H217+I217+J217+K217+L217+M217+(P217*F217))</f>
        <v/>
      </c>
      <c r="R217" s="1002">
        <f>Q217/(D217*(1-E217))</f>
        <v/>
      </c>
      <c r="S217" s="1189" t="n"/>
      <c r="T217" s="1030" t="n"/>
    </row>
    <row r="218" ht="24.75" customHeight="1" s="1349">
      <c r="A218" s="1108" t="n">
        <v>10034034166649</v>
      </c>
      <c r="B218" s="1116" t="inlineStr">
        <is>
          <t xml:space="preserve"> Kit 4 Luva de Proteção Látex Danny Max Orange Resistente Antiderrapante Confortável DA208D CA 11286</t>
        </is>
      </c>
      <c r="C218" s="1182" t="n"/>
      <c r="D218" s="1132" t="n">
        <v>54.45</v>
      </c>
      <c r="E218" s="1061" t="n">
        <v>0.01</v>
      </c>
      <c r="F218" s="1102" t="n">
        <v>4</v>
      </c>
      <c r="G218" s="1063" t="n">
        <v>0.2</v>
      </c>
      <c r="H218" s="1024" t="n">
        <v>10.89</v>
      </c>
      <c r="I218" s="999" t="n">
        <v>4</v>
      </c>
      <c r="J218" s="999">
        <f>D218*(1-E218) * (3.5%)</f>
        <v/>
      </c>
      <c r="K218" s="1220">
        <f>D218*(1-E218)*18%</f>
        <v/>
      </c>
      <c r="L218" s="1220">
        <f>((D218*(1-E218))-K218)*1.65%</f>
        <v/>
      </c>
      <c r="M218" s="1220">
        <f>((D218*(1-E218))-K218)*7.6%</f>
        <v/>
      </c>
      <c r="N218" s="1221">
        <f>(H218+I218+J218)*9.25% + (H218+I218)*12%</f>
        <v/>
      </c>
      <c r="O218" s="1130" t="n"/>
      <c r="P218" s="1175" t="n">
        <v>6.24</v>
      </c>
      <c r="Q218" s="1024">
        <f>(D218*(1-E218)+(F218* O218)+N218)-(H218+I218+J218+K218+L218+M218+(P218*F218))</f>
        <v/>
      </c>
      <c r="R218" s="1002">
        <f>Q218/(D218*(1-E218))</f>
        <v/>
      </c>
      <c r="S218" s="1189" t="n"/>
      <c r="T218" s="1030" t="n"/>
    </row>
    <row r="219" ht="24.75" customHeight="1" s="1349">
      <c r="A219" s="1183" t="n">
        <v>10034034166319</v>
      </c>
      <c r="B219" s="1116" t="inlineStr">
        <is>
          <t xml:space="preserve"> Luva de Uso Geral Obra Paisagismo Industria Volk Orange Ca21367</t>
        </is>
      </c>
      <c r="C219" s="1182" t="n"/>
      <c r="D219" s="1132" t="n">
        <v>96.90000000000001</v>
      </c>
      <c r="E219" s="1061" t="n">
        <v>0.01</v>
      </c>
      <c r="F219" s="1102" t="n">
        <v>10</v>
      </c>
      <c r="G219" s="1063" t="n">
        <v>0.14</v>
      </c>
      <c r="H219" s="1024" t="n">
        <v>13.566</v>
      </c>
      <c r="I219" s="999" t="n">
        <v>16</v>
      </c>
      <c r="J219" s="999">
        <f>D219*(1-E219) * (3.5%)</f>
        <v/>
      </c>
      <c r="K219" s="1220">
        <f>D219*(1-E219)*18%</f>
        <v/>
      </c>
      <c r="L219" s="1220">
        <f>((D219*(1-E219))-K219)*1.65%</f>
        <v/>
      </c>
      <c r="M219" s="1220">
        <f>((D219*(1-E219))-K219)*7.6%</f>
        <v/>
      </c>
      <c r="N219" s="1221">
        <f>(H219+I219+J219)*9.25% + (H219+I219)*12%</f>
        <v/>
      </c>
      <c r="O219" s="1130" t="n"/>
      <c r="P219" s="1175" t="n">
        <v>4.78</v>
      </c>
      <c r="Q219" s="1024">
        <f>(D219*(1-E219)+(F219* O219)+N219)-(H219+I219+J219+K219+L219+M219+(P219*F219))</f>
        <v/>
      </c>
      <c r="R219" s="1002">
        <f>Q219/(D219*(1-E219))</f>
        <v/>
      </c>
      <c r="S219" s="1189" t="inlineStr">
        <is>
          <t>kit 10</t>
        </is>
      </c>
      <c r="T219" s="1030" t="n"/>
    </row>
    <row r="220" ht="24.75" customHeight="1" s="1349">
      <c r="A220" s="1183" t="n">
        <v>10034034167454</v>
      </c>
      <c r="B220" s="1116" t="inlineStr">
        <is>
          <t>Disco de Corte Diamantado Turbo 110x20mm Pro Marmorista Norton Serra Marmore Granito Pedra Alvenaria</t>
        </is>
      </c>
      <c r="C220" s="1182" t="n"/>
      <c r="D220" s="1132" t="n">
        <v>35</v>
      </c>
      <c r="E220" s="1061" t="n">
        <v>0.01</v>
      </c>
      <c r="F220" s="1102" t="n">
        <v>1</v>
      </c>
      <c r="G220" s="1063" t="n">
        <v>0.2</v>
      </c>
      <c r="H220" s="1024" t="n">
        <v>7</v>
      </c>
      <c r="I220" s="999" t="n">
        <v>4</v>
      </c>
      <c r="J220" s="999">
        <f>D220*(1-E220) * (3.5%)</f>
        <v/>
      </c>
      <c r="K220" s="1220">
        <f>D220*(1-E220)*18%</f>
        <v/>
      </c>
      <c r="L220" s="1220">
        <f>((D220*(1-E220))-K220)*1.65%</f>
        <v/>
      </c>
      <c r="M220" s="1220">
        <f>((D220*(1-E220))-K220)*7.6%</f>
        <v/>
      </c>
      <c r="N220" s="1221">
        <f>(H220+I220+J220)*9.25% + (H220+I220)*12%</f>
        <v/>
      </c>
      <c r="O220" s="1130" t="n"/>
      <c r="P220" s="1181" t="n">
        <v>16.68</v>
      </c>
      <c r="Q220" s="1024">
        <f>(D220*(1-E220)+(F220* O220)+N220)-(H220+I220+J220+K220+L220+M220+(P220*F220))</f>
        <v/>
      </c>
      <c r="R220" s="1002">
        <f>Q220/(D220*(1-E220))</f>
        <v/>
      </c>
      <c r="S220" s="1189" t="n"/>
      <c r="T220" s="1030" t="n"/>
    </row>
    <row r="221" ht="24.75" customHeight="1" s="1349">
      <c r="A221" s="1183" t="e">
        <v>#N/A</v>
      </c>
      <c r="B221" s="1182" t="inlineStr">
        <is>
          <t>gorila</t>
        </is>
      </c>
      <c r="C221" s="1182" t="n"/>
      <c r="D221" s="1132" t="n">
        <v>78.98999999999999</v>
      </c>
      <c r="E221" s="1061" t="n">
        <v>0.01</v>
      </c>
      <c r="F221" s="1102" t="n">
        <v>1</v>
      </c>
      <c r="G221" s="1063" t="n">
        <v>0.2</v>
      </c>
      <c r="H221" s="1024" t="n">
        <v>15.798</v>
      </c>
      <c r="I221" s="999" t="n">
        <v>4</v>
      </c>
      <c r="J221" s="999">
        <f>D221*(1-E221) * (3.5%)</f>
        <v/>
      </c>
      <c r="K221" s="1220">
        <f>D221*(1-E221)*18%</f>
        <v/>
      </c>
      <c r="L221" s="1220">
        <f>((D221*(1-E221))-K221)*1.65%</f>
        <v/>
      </c>
      <c r="M221" s="1220">
        <f>((D221*(1-E221))-K221)*7.6%</f>
        <v/>
      </c>
      <c r="N221" s="1221">
        <f>(H221+I221+J221)*9.25% + (H221+I221)*12%</f>
        <v/>
      </c>
      <c r="O221" s="1130" t="n"/>
      <c r="P221" s="1175" t="n">
        <v>47.67</v>
      </c>
      <c r="Q221" s="1024">
        <f>(D221*(1-E221)+(F221* O221)+N221)-(H221+I221+J221+K221+L221+M221+(P221*F221))</f>
        <v/>
      </c>
      <c r="R221" s="1002">
        <f>Q221/(D221*(1-E221))</f>
        <v/>
      </c>
      <c r="S221" s="1189" t="n"/>
      <c r="T221" s="1030" t="n"/>
    </row>
    <row r="222" ht="24.75" customHeight="1" s="1349">
      <c r="A222" s="1183" t="n">
        <v>10034034166825</v>
      </c>
      <c r="B222" s="1182" t="inlineStr">
        <is>
          <t>HIGH TACK PRETO</t>
        </is>
      </c>
      <c r="C222" s="1182" t="n"/>
      <c r="D222" s="1132" t="n">
        <v>68</v>
      </c>
      <c r="E222" s="1061" t="n">
        <v>0.01</v>
      </c>
      <c r="F222" s="1102" t="n">
        <v>1</v>
      </c>
      <c r="G222" s="1063" t="n">
        <v>0.2</v>
      </c>
      <c r="H222" s="1024" t="n">
        <v>13.6</v>
      </c>
      <c r="I222" s="999" t="n">
        <v>4</v>
      </c>
      <c r="J222" s="999">
        <f>D222*(1-E222) * (3.5%)</f>
        <v/>
      </c>
      <c r="K222" s="1220">
        <f>D222*(1-E222)*18%</f>
        <v/>
      </c>
      <c r="L222" s="1220">
        <f>((D222*(1-E222))-K222)*1.65%</f>
        <v/>
      </c>
      <c r="M222" s="1220">
        <f>((D222*(1-E222))-K222)*7.6%</f>
        <v/>
      </c>
      <c r="N222" s="1221">
        <f>(H222+I222+J222)*9.25% + (H222+I222)*12%</f>
        <v/>
      </c>
      <c r="O222" s="1130" t="n"/>
      <c r="P222" s="1175" t="n">
        <v>34.53</v>
      </c>
      <c r="Q222" s="1024">
        <f>(D222*(1-E222)+(F222* O222)+N222)-(H222+I222+J222+K222+L222+M222+(P222*F222))</f>
        <v/>
      </c>
      <c r="R222" s="1002">
        <f>Q222/(D222*(1-E222))</f>
        <v/>
      </c>
      <c r="S222" s="1189" t="inlineStr">
        <is>
          <t>Preto</t>
        </is>
      </c>
      <c r="T222" s="1030" t="n"/>
    </row>
    <row r="223" ht="24.75" customHeight="1" s="1349">
      <c r="A223" s="1183" t="e">
        <v>#N/A</v>
      </c>
      <c r="B223" s="1182" t="inlineStr">
        <is>
          <t>Kit 2 luva segurança super silver</t>
        </is>
      </c>
      <c r="C223" s="1182" t="n"/>
      <c r="D223" s="1132" t="n">
        <v>19.9</v>
      </c>
      <c r="E223" s="1061" t="n">
        <v>0.01</v>
      </c>
      <c r="F223" s="1102" t="n">
        <v>2</v>
      </c>
      <c r="G223" s="1063" t="n">
        <v>0.2</v>
      </c>
      <c r="H223" s="1024" t="n">
        <v>3.98</v>
      </c>
      <c r="I223" s="999" t="n">
        <v>4</v>
      </c>
      <c r="J223" s="999">
        <f>D223*(1-E223) * (3.5%)</f>
        <v/>
      </c>
      <c r="K223" s="1220">
        <f>D223*(1-E223)*18%</f>
        <v/>
      </c>
      <c r="L223" s="1220">
        <f>((D223*(1-E223))-K223)*1.65%</f>
        <v/>
      </c>
      <c r="M223" s="1220">
        <f>((D223*(1-E223))-K223)*7.6%</f>
        <v/>
      </c>
      <c r="N223" s="1221">
        <f>(H223+I223+J223)*9.25% + (H223+I223)*12%</f>
        <v/>
      </c>
      <c r="O223" s="1130" t="n"/>
      <c r="P223" s="1175" t="n">
        <v>3.67</v>
      </c>
      <c r="Q223" s="1024">
        <f>(D223*(1-E223)+(F223* O223)+N223)-(H223+I223+J223+K223+L223+M223+(P223*F223))</f>
        <v/>
      </c>
      <c r="R223" s="1002">
        <f>Q223/(D223*(1-E223))</f>
        <v/>
      </c>
      <c r="S223" s="1189" t="n"/>
      <c r="T223" s="1030" t="n"/>
    </row>
    <row r="224" ht="24.75" customHeight="1" s="1349">
      <c r="A224" s="1183" t="e">
        <v>#N/A</v>
      </c>
      <c r="B224" s="1185" t="inlineStr">
        <is>
          <t>LUVA RANHURADA</t>
        </is>
      </c>
      <c r="C224" s="1185" t="n"/>
      <c r="D224" s="1132" t="n">
        <v>19.9</v>
      </c>
      <c r="E224" s="1061" t="n">
        <v>0.01</v>
      </c>
      <c r="F224" s="1102" t="n">
        <v>1</v>
      </c>
      <c r="G224" s="1063" t="n">
        <v>0.2</v>
      </c>
      <c r="H224" s="1024" t="n">
        <v>3.98</v>
      </c>
      <c r="I224" s="999" t="n">
        <v>4</v>
      </c>
      <c r="J224" s="999">
        <f>D224*(1-E224) * (3.5%)</f>
        <v/>
      </c>
      <c r="K224" s="1220">
        <f>D224*(1-E224)*18%</f>
        <v/>
      </c>
      <c r="L224" s="1220">
        <f>((D224*(1-E224))-K224)*1.65%</f>
        <v/>
      </c>
      <c r="M224" s="1220">
        <f>((D224*(1-E224))-K224)*7.6%</f>
        <v/>
      </c>
      <c r="N224" s="1221">
        <f>(H224+I224+J224)*9.25% + (H224+I224)*12%</f>
        <v/>
      </c>
      <c r="O224" s="715" t="n">
        <v>0.77</v>
      </c>
      <c r="P224" s="1175" t="n">
        <v>5.98</v>
      </c>
      <c r="Q224" s="1024">
        <f>(D224*(1-E224)+(F224* O224)+N224)-(H224+I224+J224+K224+L224+M224+(P224*F224))</f>
        <v/>
      </c>
      <c r="R224" s="1002">
        <f>Q224/(D224*(1-E224))</f>
        <v/>
      </c>
      <c r="S224" s="1189" t="n"/>
      <c r="T224" s="1030" t="n"/>
    </row>
    <row r="225" outlineLevel="1" ht="24.75" customHeight="1" s="1349">
      <c r="A225" s="1183" t="e">
        <v>#N/A</v>
      </c>
      <c r="B225" s="1182" t="inlineStr">
        <is>
          <t>Lápis Azul Quadrado Madeira 18cm IRWIN Ferramenta Profissional Obra Pedreiro Carpinteiro Marceneiro</t>
        </is>
      </c>
      <c r="C225" s="1182" t="n"/>
      <c r="D225" s="1132" t="n">
        <v>12.5</v>
      </c>
      <c r="E225" s="1061" t="n">
        <v>0.01</v>
      </c>
      <c r="F225" s="1102" t="n">
        <v>1</v>
      </c>
      <c r="G225" s="1063" t="n">
        <v>0.2</v>
      </c>
      <c r="H225" s="1024" t="n">
        <v>2.5</v>
      </c>
      <c r="I225" s="999" t="n">
        <v>4</v>
      </c>
      <c r="J225" s="999">
        <f>D225*(1-E225) * (3.5%)</f>
        <v/>
      </c>
      <c r="K225" s="1220">
        <f>D225*(1-E225)*18%</f>
        <v/>
      </c>
      <c r="L225" s="1220">
        <f>((D225*(1-E225))-K225)*1.65%</f>
        <v/>
      </c>
      <c r="M225" s="1220">
        <f>((D225*(1-E225))-K225)*7.6%</f>
        <v/>
      </c>
      <c r="N225" s="1221">
        <f>(H225+I225+J225)*9.25% + (H225+I225)*12%</f>
        <v/>
      </c>
      <c r="O225" s="715" t="n">
        <v>0.35</v>
      </c>
      <c r="P225" s="1175" t="n">
        <v>1.37</v>
      </c>
      <c r="Q225" s="1024">
        <f>(D225*(1-E225)+(F225* O225)+N225)-(H225+I225+J225+K225+L225+M225+(P225*F225))</f>
        <v/>
      </c>
      <c r="R225" s="1002">
        <f>Q225/(D225*(1-E225))</f>
        <v/>
      </c>
      <c r="S225" s="1189" t="n"/>
      <c r="T225" s="1030" t="n"/>
    </row>
    <row r="226" outlineLevel="1" ht="24.75" customHeight="1" s="1349">
      <c r="A226" s="1183" t="e">
        <v>#N/A</v>
      </c>
      <c r="B226" s="1182" t="inlineStr">
        <is>
          <t>Lápis Azul Quadrado Madeira 18cm IRWIN Ferramenta Profissional Obra Pedreiro Carpinteiro Marceneiro</t>
        </is>
      </c>
      <c r="C226" s="1182" t="n"/>
      <c r="D226" s="1132" t="n">
        <v>29.9</v>
      </c>
      <c r="E226" s="1061" t="n">
        <v>0.01</v>
      </c>
      <c r="F226" s="1102" t="n">
        <v>6</v>
      </c>
      <c r="G226" s="1063" t="n">
        <v>0.2</v>
      </c>
      <c r="H226" s="1024" t="n">
        <v>5.98</v>
      </c>
      <c r="I226" s="999" t="n">
        <v>4</v>
      </c>
      <c r="J226" s="999">
        <f>D226*(1-E226) * (3.5%)</f>
        <v/>
      </c>
      <c r="K226" s="1220">
        <f>D226*(1-E226)*18%</f>
        <v/>
      </c>
      <c r="L226" s="1220">
        <f>((D226*(1-E226))-K226)*1.65%</f>
        <v/>
      </c>
      <c r="M226" s="1220">
        <f>((D226*(1-E226))-K226)*7.6%</f>
        <v/>
      </c>
      <c r="N226" s="1221">
        <f>(H226+I226+J226)*9.25% + (H226+I226)*12%</f>
        <v/>
      </c>
      <c r="O226" s="715" t="n">
        <v>0.35</v>
      </c>
      <c r="P226" s="1175" t="n">
        <v>1.37</v>
      </c>
      <c r="Q226" s="1024">
        <f>(D226*(1-E226)+(F226* O226)+N226)-(H226+I226+J226+K226+L226+M226+(P226*F226))</f>
        <v/>
      </c>
      <c r="R226" s="1002">
        <f>Q226/(D226*(1-E226))</f>
        <v/>
      </c>
      <c r="S226" s="1189" t="n"/>
      <c r="T226" s="1030" t="n"/>
    </row>
    <row r="227" ht="24.75" customHeight="1" s="1349">
      <c r="A227" s="1183" t="e">
        <v>#N/A</v>
      </c>
      <c r="B227" s="1182" t="inlineStr">
        <is>
          <t>Lápis Azul Quadrado Madeira 18cm IRWIN Ferramenta Profissional Obra Pedreiro Carpinteiro Marceneiro</t>
        </is>
      </c>
      <c r="C227" s="1182" t="n"/>
      <c r="D227" s="1132" t="n">
        <v>28.9</v>
      </c>
      <c r="E227" s="1061" t="n">
        <v>0.01</v>
      </c>
      <c r="F227" s="1102" t="n">
        <v>10</v>
      </c>
      <c r="G227" s="1063" t="n">
        <v>0.2</v>
      </c>
      <c r="H227" s="1024" t="n">
        <v>5.78</v>
      </c>
      <c r="I227" s="999" t="n">
        <v>4</v>
      </c>
      <c r="J227" s="999">
        <f>D227*(1-E227) * (3.5%)</f>
        <v/>
      </c>
      <c r="K227" s="1220">
        <f>D227*(1-E227)*18%</f>
        <v/>
      </c>
      <c r="L227" s="1220">
        <f>((D227*(1-E227))-K227)*1.65%</f>
        <v/>
      </c>
      <c r="M227" s="1220">
        <f>((D227*(1-E227))-K227)*7.6%</f>
        <v/>
      </c>
      <c r="N227" s="1221">
        <f>(H227+I227+J227)*9.25% + (H227+I227)*12%</f>
        <v/>
      </c>
      <c r="O227" s="715" t="n">
        <v>0.35</v>
      </c>
      <c r="P227" s="1175" t="n">
        <v>1.37</v>
      </c>
      <c r="Q227" s="1024">
        <f>(D227*(1-E227)+(F227* O227)+N227)-(H227+I227+J227+K227+L227+M227+(P227*F227))</f>
        <v/>
      </c>
      <c r="R227" s="1002">
        <f>Q227/(D227*(1-E227))</f>
        <v/>
      </c>
      <c r="S227" s="1189" t="n"/>
      <c r="T227" s="1030" t="n"/>
    </row>
    <row r="228" ht="24.75" customHeight="1" s="1349">
      <c r="A228" s="1212" t="n"/>
      <c r="B228" s="1040" t="inlineStr">
        <is>
          <t>Sapato Marluvas Tênis Botina Preto Fechamento Elástico 10VT48 Bico PVC Segurança BI Densidade Epi CA</t>
        </is>
      </c>
      <c r="C228" s="1187" t="n"/>
      <c r="D228" s="1218" t="n">
        <v>88.8</v>
      </c>
      <c r="E228" s="1217" t="n">
        <v>0.01</v>
      </c>
      <c r="F228" s="1218" t="n">
        <v>1</v>
      </c>
      <c r="G228" s="1219" t="n">
        <v>0.14</v>
      </c>
      <c r="H228" s="1024" t="n">
        <v>12.432</v>
      </c>
      <c r="I228" s="999" t="n">
        <v>16</v>
      </c>
      <c r="J228" s="999">
        <f>D228*(1-E228) * (3.5%)</f>
        <v/>
      </c>
      <c r="K228" s="1220">
        <f>D228*(1-E228)*18%</f>
        <v/>
      </c>
      <c r="L228" s="1220">
        <f>((D228*(1-E228))-K228)*1.65%</f>
        <v/>
      </c>
      <c r="M228" s="1220">
        <f>((D228*(1-E228))-K228)*7.6%</f>
        <v/>
      </c>
      <c r="N228" s="1221">
        <f>(H228+I228+J228)*9.25% + (H228+I228)*12%</f>
        <v/>
      </c>
      <c r="O228" s="715" t="n"/>
      <c r="P228" s="1096" t="n">
        <v>49.33</v>
      </c>
      <c r="Q228" s="1024">
        <f>(D228*(1-E228)+(F228* O228)+N228)-(H228+I228+J228+K228+L228+M228+(P228*F228))</f>
        <v/>
      </c>
      <c r="R228" s="1002">
        <f>Q228/(D228*(1-E228))</f>
        <v/>
      </c>
      <c r="S228" s="1216" t="n"/>
      <c r="T228" s="1206" t="n"/>
    </row>
    <row r="229" ht="24.75" customHeight="1" s="1349">
      <c r="A229" s="1212" t="e">
        <v>#N/A</v>
      </c>
      <c r="B229" s="1213" t="inlineStr">
        <is>
          <t>Kit 1/2/5m Corrente Plástico Preta/Amarela Plastcor Sinalização Segurança Isolamento Tráfego Obra</t>
        </is>
      </c>
      <c r="C229" s="1213" t="n"/>
      <c r="D229" s="1218" t="n">
        <v>14.75</v>
      </c>
      <c r="E229" s="1217" t="n">
        <v>0.01</v>
      </c>
      <c r="F229" s="1218" t="n">
        <v>1</v>
      </c>
      <c r="G229" s="1219" t="n">
        <v>0.2</v>
      </c>
      <c r="H229" s="1024" t="n">
        <v>2.95</v>
      </c>
      <c r="I229" s="999" t="n">
        <v>4</v>
      </c>
      <c r="J229" s="999">
        <f>D229*(1-E229) * (3.5%)</f>
        <v/>
      </c>
      <c r="K229" s="1220">
        <f>D229*(1-E229)*18%</f>
        <v/>
      </c>
      <c r="L229" s="1220">
        <f>((D229*(1-E229))-K229)*1.65%</f>
        <v/>
      </c>
      <c r="M229" s="1220">
        <f>((D229*(1-E229))-K229)*7.6%</f>
        <v/>
      </c>
      <c r="N229" s="1221">
        <f>(H229+I229+J229)*9.25% + (H229+I229)*12%</f>
        <v/>
      </c>
      <c r="O229" s="715" t="n">
        <v>1</v>
      </c>
      <c r="P229" s="1096" t="n">
        <v>4.27</v>
      </c>
      <c r="Q229" s="1024">
        <f>(D229*(1-E229)+(F229* O229)+N229)-(H229+I229+J229+K229+L229+M229+(P229*F229))</f>
        <v/>
      </c>
      <c r="R229" s="1002">
        <f>Q229/(D229*(1-E229))</f>
        <v/>
      </c>
      <c r="S229" s="1189" t="inlineStr">
        <is>
          <t>1M</t>
        </is>
      </c>
      <c r="T229" s="1030" t="n"/>
    </row>
    <row r="230" ht="24.75" customHeight="1" s="1349">
      <c r="A230" s="1212" t="e">
        <v>#N/A</v>
      </c>
      <c r="B230" s="1213" t="inlineStr">
        <is>
          <t>Kit 1/2/5m Corrente Plástico Preta/Amarela Plastcor Sinalização Segurança Isolamento Tráfego Obra</t>
        </is>
      </c>
      <c r="C230" s="1213" t="n"/>
      <c r="D230" s="1218" t="n">
        <v>21.4</v>
      </c>
      <c r="E230" s="1217" t="n">
        <v>0.01</v>
      </c>
      <c r="F230" s="1218" t="n">
        <v>1</v>
      </c>
      <c r="G230" s="1219" t="n">
        <v>0.2</v>
      </c>
      <c r="H230" s="1024" t="n">
        <v>4.28</v>
      </c>
      <c r="I230" s="999" t="n">
        <v>4</v>
      </c>
      <c r="J230" s="999">
        <f>D230*(1-E230) * (3.5%)</f>
        <v/>
      </c>
      <c r="K230" s="1220">
        <f>D230*(1-E230)*18%</f>
        <v/>
      </c>
      <c r="L230" s="1220">
        <f>((D230*(1-E230))-K230)*1.65%</f>
        <v/>
      </c>
      <c r="M230" s="1220">
        <f>((D230*(1-E230))-K230)*7.6%</f>
        <v/>
      </c>
      <c r="N230" s="1221">
        <f>(H230+I230+J230)*9.25% + (H230+I230)*12%</f>
        <v/>
      </c>
      <c r="O230" s="715" t="n">
        <v>2</v>
      </c>
      <c r="P230" s="1096" t="n">
        <v>8.539999999999999</v>
      </c>
      <c r="Q230" s="1024">
        <f>(D230*(1-E230)+(F230* O230)+N230)-(H230+I230+J230+K230+L230+M230+(P230*F230))</f>
        <v/>
      </c>
      <c r="R230" s="1002">
        <f>Q230/(D230*(1-E230))</f>
        <v/>
      </c>
      <c r="S230" s="1189" t="inlineStr">
        <is>
          <t>2M</t>
        </is>
      </c>
      <c r="T230" s="1030" t="n"/>
    </row>
    <row r="231" ht="24.75" customHeight="1" s="1349">
      <c r="A231" s="1212" t="e">
        <v>#N/A</v>
      </c>
      <c r="B231" s="1213" t="inlineStr">
        <is>
          <t>Kit 1/2/5m Corrente Plástico Preta/Amarela Plastcor Sinalização Segurança Isolamento Tráfego Obra</t>
        </is>
      </c>
      <c r="C231" s="1213" t="n"/>
      <c r="D231" s="1218" t="n">
        <v>41.3</v>
      </c>
      <c r="E231" s="1217" t="n">
        <v>0.01</v>
      </c>
      <c r="F231" s="1218" t="n">
        <v>1</v>
      </c>
      <c r="G231" s="1219" t="n">
        <v>0.2</v>
      </c>
      <c r="H231" s="1024" t="n">
        <v>8.26</v>
      </c>
      <c r="I231" s="999" t="n">
        <v>4</v>
      </c>
      <c r="J231" s="999">
        <f>D231*(1-E231) * (3.5%)</f>
        <v/>
      </c>
      <c r="K231" s="1220">
        <f>D231*(1-E231)*18%</f>
        <v/>
      </c>
      <c r="L231" s="1220">
        <f>((D231*(1-E231))-K231)*1.65%</f>
        <v/>
      </c>
      <c r="M231" s="1220">
        <f>((D231*(1-E231))-K231)*7.6%</f>
        <v/>
      </c>
      <c r="N231" s="1221">
        <f>(H231+I231+J231)*9.25% + (H231+I231)*12%</f>
        <v/>
      </c>
      <c r="O231" s="715" t="n">
        <v>5</v>
      </c>
      <c r="P231" s="1096" t="n">
        <v>21.35</v>
      </c>
      <c r="Q231" s="1024">
        <f>(D231*(1-E231)+(F231* O231)+N231)-(H231+I231+J231+K231+L231+M231+(P231*F231))</f>
        <v/>
      </c>
      <c r="R231" s="1002">
        <f>Q231/(D231*(1-E231))</f>
        <v/>
      </c>
      <c r="S231" s="1189" t="inlineStr">
        <is>
          <t>5M</t>
        </is>
      </c>
      <c r="T231" s="1030" t="n"/>
    </row>
    <row r="232" ht="24.75" customHeight="1" s="1349">
      <c r="A232" s="1212" t="e">
        <v>#N/A</v>
      </c>
      <c r="B232" s="1213" t="inlineStr">
        <is>
          <t xml:space="preserve">Corrente Plástica 10m Plastcor Elo Pequeno Zebrada Demarcação Divisória Garagem Estacionamento Cone </t>
        </is>
      </c>
      <c r="C232" s="1213" t="n"/>
      <c r="D232" s="1218" t="n">
        <v>74.25</v>
      </c>
      <c r="E232" s="1217" t="n">
        <v>0.01</v>
      </c>
      <c r="F232" s="1218" t="n">
        <v>1</v>
      </c>
      <c r="G232" s="1219" t="n">
        <v>0.2</v>
      </c>
      <c r="H232" s="1024" t="n">
        <v>14.85</v>
      </c>
      <c r="I232" s="999" t="n">
        <v>4</v>
      </c>
      <c r="J232" s="999">
        <f>D232*(1-E232) * (3.5%)</f>
        <v/>
      </c>
      <c r="K232" s="1220">
        <f>D232*(1-E232)*18%</f>
        <v/>
      </c>
      <c r="L232" s="1220">
        <f>((D232*(1-E232))-K232)*1.65%</f>
        <v/>
      </c>
      <c r="M232" s="1220">
        <f>((D232*(1-E232))-K232)*7.6%</f>
        <v/>
      </c>
      <c r="N232" s="1221">
        <f>(H232+I232+J232)*9.25% + (H232+I232)*12%</f>
        <v/>
      </c>
      <c r="O232" s="715" t="n">
        <v>10</v>
      </c>
      <c r="P232" s="1096" t="n">
        <v>42.7</v>
      </c>
      <c r="Q232" s="1024">
        <f>(D232*(1-E232)+(F232* O232)+N232)-(H232+I232+J232+K232+L232+M232+(P232*F232))</f>
        <v/>
      </c>
      <c r="R232" s="1002">
        <f>Q232/(D232*(1-E232))</f>
        <v/>
      </c>
      <c r="S232" s="1189" t="inlineStr">
        <is>
          <t>10M</t>
        </is>
      </c>
      <c r="T232" s="1030" t="n"/>
    </row>
    <row r="233" ht="24.75" customHeight="1" s="1349">
      <c r="A233" s="1212" t="e">
        <v>#N/A</v>
      </c>
      <c r="B233" s="1213" t="inlineStr">
        <is>
          <t>Corrente Plástica 50m Preta/Amarela Plastcor Isolamento Segurança Delimitação Tráfego Evento Obra</t>
        </is>
      </c>
      <c r="C233" s="1213" t="n"/>
      <c r="D233" s="1218" t="n">
        <v>340</v>
      </c>
      <c r="E233" s="1217" t="n">
        <v>0.01</v>
      </c>
      <c r="F233" s="1218" t="n">
        <v>1</v>
      </c>
      <c r="G233" s="1219" t="n">
        <v>0.14</v>
      </c>
      <c r="H233" s="1024" t="n">
        <v>47.6</v>
      </c>
      <c r="I233" s="999" t="n">
        <v>26</v>
      </c>
      <c r="J233" s="999">
        <f>D233*(1-E233) * (3.5%)</f>
        <v/>
      </c>
      <c r="K233" s="1220">
        <f>D233*(1-E233)*18%</f>
        <v/>
      </c>
      <c r="L233" s="1220">
        <f>((D233*(1-E233))-K233)*1.65%</f>
        <v/>
      </c>
      <c r="M233" s="1220">
        <f>((D233*(1-E233))-K233)*7.6%</f>
        <v/>
      </c>
      <c r="N233" s="1221">
        <f>(H233+I233+J233)*9.25% + (H233+I233)*12%</f>
        <v/>
      </c>
      <c r="O233" s="715" t="n">
        <v>50</v>
      </c>
      <c r="P233" s="1096" t="n">
        <v>213.5</v>
      </c>
      <c r="Q233" s="1024">
        <f>(D233*(1-E233)+(F233* O233)+N233)-(H233+I233+J233+K233+L233+M233+(P233*F233))</f>
        <v/>
      </c>
      <c r="R233" s="1002">
        <f>Q233/(D233*(1-E233))</f>
        <v/>
      </c>
      <c r="S233" s="1189" t="inlineStr">
        <is>
          <t>50M</t>
        </is>
      </c>
      <c r="T233" s="1030" t="n"/>
    </row>
    <row r="234" ht="24.75" customHeight="1" s="1349">
      <c r="A234" s="1212" t="e">
        <v>#N/A</v>
      </c>
      <c r="B234" s="1213" t="inlineStr">
        <is>
          <t>Kit 1 ou 2kg Arruela Lisa Zincada 1/4 Polegada Parafuso Âncora Construção Fixação Montagem Mecânica</t>
        </is>
      </c>
      <c r="C234" s="1213" t="n"/>
      <c r="D234" s="1218" t="n">
        <v>40.5</v>
      </c>
      <c r="E234" s="1217" t="n">
        <v>0.01</v>
      </c>
      <c r="F234" s="1218" t="n">
        <v>1</v>
      </c>
      <c r="G234" s="1219" t="n">
        <v>0.2</v>
      </c>
      <c r="H234" s="1024" t="n">
        <v>8.1</v>
      </c>
      <c r="I234" s="999" t="n">
        <v>4</v>
      </c>
      <c r="J234" s="999">
        <f>D234*(1-E234) * (3.5%)</f>
        <v/>
      </c>
      <c r="K234" s="1220">
        <f>D234*(1-E234)*18%</f>
        <v/>
      </c>
      <c r="L234" s="1220">
        <f>((D234*(1-E234))-K234)*1.65%</f>
        <v/>
      </c>
      <c r="M234" s="1220">
        <f>((D234*(1-E234))-K234)*7.6%</f>
        <v/>
      </c>
      <c r="N234" s="1221">
        <f>(H234+I234+J234)*9.25% + (H234+I234)*12%</f>
        <v/>
      </c>
      <c r="O234" s="715" t="n">
        <v>2.2</v>
      </c>
      <c r="P234" s="1096" t="n">
        <v>18.17</v>
      </c>
      <c r="Q234" s="1024">
        <f>(D234*(1-E234)+(F234* O234)+N234)-(H234+I234+J234+K234+L234+M234+(P234*F234))</f>
        <v/>
      </c>
      <c r="R234" s="1002">
        <f>Q234/(D234*(1-E234))</f>
        <v/>
      </c>
      <c r="S234" s="1189" t="inlineStr">
        <is>
          <t>1kg</t>
        </is>
      </c>
      <c r="T234" s="1030" t="n"/>
    </row>
    <row r="235" ht="24.75" customHeight="1" s="1349">
      <c r="A235" s="1212" t="e">
        <v>#N/A</v>
      </c>
      <c r="B235" s="1213" t="inlineStr">
        <is>
          <t>Kit 1 ou 2kg Arruela Lisa Zincada 1/4 Polegada Parafuso Âncora Construção Fixação Montagem Mecânica</t>
        </is>
      </c>
      <c r="C235" s="1213" t="n"/>
      <c r="D235" s="1218" t="n">
        <v>72.75</v>
      </c>
      <c r="E235" s="1217" t="n">
        <v>0.01</v>
      </c>
      <c r="F235" s="1218" t="n">
        <v>1</v>
      </c>
      <c r="G235" s="1219" t="n">
        <v>0.2</v>
      </c>
      <c r="H235" s="1024" t="n">
        <v>14.55</v>
      </c>
      <c r="I235" s="999" t="n">
        <v>4</v>
      </c>
      <c r="J235" s="999">
        <f>D235*(1-E235) * (3.5%)</f>
        <v/>
      </c>
      <c r="K235" s="1220">
        <f>D235*(1-E235)*18%</f>
        <v/>
      </c>
      <c r="L235" s="1220">
        <f>((D235*(1-E235))-K235)*1.65%</f>
        <v/>
      </c>
      <c r="M235" s="1220">
        <f>((D235*(1-E235))-K235)*7.6%</f>
        <v/>
      </c>
      <c r="N235" s="1221">
        <f>(H235+I235+J235)*9.25% + (H235+I235)*12%</f>
        <v/>
      </c>
      <c r="O235" s="715" t="n">
        <v>4.4</v>
      </c>
      <c r="P235" s="1096" t="n">
        <v>36.34</v>
      </c>
      <c r="Q235" s="1024">
        <f>(D235*(1-E235)+(F235* O235)+N235)-(H235+I235+J235+K235+L235+M235+(P235*F235))</f>
        <v/>
      </c>
      <c r="R235" s="1002">
        <f>Q235/(D235*(1-E235))</f>
        <v/>
      </c>
      <c r="S235" s="1189" t="inlineStr">
        <is>
          <t>2kg</t>
        </is>
      </c>
      <c r="T235" s="1030" t="n"/>
    </row>
    <row r="236" ht="24.75" customHeight="1" s="1349">
      <c r="A236" s="1212" t="e">
        <v>#N/A</v>
      </c>
      <c r="B236" s="1213" t="inlineStr">
        <is>
          <t>Botina Couro Elástico Bracol BELS Plus CA 42016 Bidensidade Segurança Trabalho Conforto Flexível EPI</t>
        </is>
      </c>
      <c r="C236" s="1213" t="n"/>
      <c r="D236" s="1218" t="n">
        <v>110</v>
      </c>
      <c r="E236" s="1217" t="n">
        <v>0.01</v>
      </c>
      <c r="F236" s="1218" t="n">
        <v>1</v>
      </c>
      <c r="G236" s="1219" t="n">
        <v>0.14</v>
      </c>
      <c r="H236" s="1024" t="n">
        <v>15.4</v>
      </c>
      <c r="I236" s="999" t="n">
        <v>20</v>
      </c>
      <c r="J236" s="999">
        <f>D236*(1-E236) * (3.5%)</f>
        <v/>
      </c>
      <c r="K236" s="1220">
        <f>D236*(1-E236)*18%</f>
        <v/>
      </c>
      <c r="L236" s="1220">
        <f>((D236*(1-E236))-K236)*1.65%</f>
        <v/>
      </c>
      <c r="M236" s="1220">
        <f>((D236*(1-E236))-K236)*7.6%</f>
        <v/>
      </c>
      <c r="N236" s="1221">
        <f>(H236+I236+J236)*9.25% + (H236+I236)*12%</f>
        <v/>
      </c>
      <c r="O236" s="715" t="n">
        <v>11.81</v>
      </c>
      <c r="P236" s="1096" t="n">
        <v>58.62</v>
      </c>
      <c r="Q236" s="1024">
        <f>(D236*(1-E236)+(F236* O236)+N236)-(H236+I236+J236+K236+L236+M236+(P236*F236))</f>
        <v/>
      </c>
      <c r="R236" s="1002">
        <f>Q236/(D236*(1-E236))</f>
        <v/>
      </c>
      <c r="S236" s="1189" t="inlineStr">
        <is>
          <t>36 a 46</t>
        </is>
      </c>
      <c r="T236" s="1030" t="n"/>
    </row>
    <row r="237" ht="24.75" customHeight="1" s="1349">
      <c r="A237" s="1212" t="e">
        <v>#N/A</v>
      </c>
      <c r="B237" s="1213" t="inlineStr">
        <is>
          <t>Bota Vulcaflex PVC Cano Médio Amarela Marluvas 110VFLEXF CA 42291 Impermeável Limpeza Galocha EPI</t>
        </is>
      </c>
      <c r="C237" s="1213" t="n"/>
      <c r="D237" s="1218" t="n">
        <v>64</v>
      </c>
      <c r="E237" s="1217" t="n">
        <v>0.01</v>
      </c>
      <c r="F237" s="1218" t="n">
        <v>1</v>
      </c>
      <c r="G237" s="1219" t="n">
        <v>0.2</v>
      </c>
      <c r="H237" s="1024" t="n">
        <v>12.8</v>
      </c>
      <c r="I237" s="999" t="n">
        <v>4</v>
      </c>
      <c r="J237" s="999">
        <f>D237*(1-E237) * (3.5%)</f>
        <v/>
      </c>
      <c r="K237" s="1220">
        <f>D237*(1-E237)*18%</f>
        <v/>
      </c>
      <c r="L237" s="1220">
        <f>((D237*(1-E237))-K237)*1.65%</f>
        <v/>
      </c>
      <c r="M237" s="1220">
        <f>((D237*(1-E237))-K237)*7.6%</f>
        <v/>
      </c>
      <c r="N237" s="1221">
        <f>(H237+I237+J237)*9.25% + (H237+I237)*12%</f>
        <v/>
      </c>
      <c r="O237" s="715" t="n"/>
      <c r="P237" s="1096" t="n">
        <v>29.01</v>
      </c>
      <c r="Q237" s="1024">
        <f>(D237*(1-E237)+(F237* O237)+N237)-(H237+I237+J237+K237+L237+M237+(P237*F237))</f>
        <v/>
      </c>
      <c r="R237" s="1002">
        <f>Q237/(D237*(1-E237))</f>
        <v/>
      </c>
      <c r="S237" s="1189" t="inlineStr">
        <is>
          <t>37 a 45</t>
        </is>
      </c>
      <c r="T237" s="1030" t="n"/>
    </row>
    <row r="238" ht="24.75" customHeight="1" s="1349">
      <c r="A238" s="1212" t="e">
        <v>#N/A</v>
      </c>
      <c r="B238" s="1213" t="inlineStr">
        <is>
          <t>Capa de Chuva Vinilseg CA 33304 PVC Forrado Preta Impermeável Motoboy Profissional Trabalho Moto EPI</t>
        </is>
      </c>
      <c r="C238" s="1213" t="n"/>
      <c r="D238" s="1218" t="n">
        <v>42</v>
      </c>
      <c r="E238" s="1217" t="n">
        <v>0.01</v>
      </c>
      <c r="F238" s="1218" t="n">
        <v>1</v>
      </c>
      <c r="G238" s="1219" t="n">
        <v>0.2</v>
      </c>
      <c r="H238" s="1024" t="n">
        <v>8.4</v>
      </c>
      <c r="I238" s="999" t="n">
        <v>4</v>
      </c>
      <c r="J238" s="999">
        <f>D238*(1-E238) * (3.5%)</f>
        <v/>
      </c>
      <c r="K238" s="1220">
        <f>D238*(1-E238)*18%</f>
        <v/>
      </c>
      <c r="L238" s="1220">
        <f>((D238*(1-E238))-K238)*1.65%</f>
        <v/>
      </c>
      <c r="M238" s="1220">
        <f>((D238*(1-E238))-K238)*7.6%</f>
        <v/>
      </c>
      <c r="N238" s="1221">
        <f>(H238+I238+J238)*9.25% + (H238+I238)*12%</f>
        <v/>
      </c>
      <c r="O238" s="715" t="n">
        <v>2.88</v>
      </c>
      <c r="P238" s="1096" t="n">
        <v>18.95</v>
      </c>
      <c r="Q238" s="1024">
        <f>(D238*(1-E238)+(F238* O238)+N238)-(H238+I238+J238+K238+L238+M238+(P238*F238))</f>
        <v/>
      </c>
      <c r="R238" s="1002">
        <f>Q238/(D238*(1-E238))</f>
        <v/>
      </c>
      <c r="S238" s="1189" t="inlineStr">
        <is>
          <t>P a GG</t>
        </is>
      </c>
      <c r="T238" s="1030" t="n"/>
    </row>
    <row r="239" ht="24.75" customHeight="1" s="1349">
      <c r="A239" s="1212" t="e">
        <v>#N/A</v>
      </c>
      <c r="B239" s="1213" t="inlineStr">
        <is>
          <t>Capa de Chuva Vinilseg CA 33304 PVC Forrado Preta Impermeável Motoboy Profissional Trabalho Moto EPI</t>
        </is>
      </c>
      <c r="C239" s="1213" t="n"/>
      <c r="D239" s="1218" t="n">
        <v>45</v>
      </c>
      <c r="E239" s="1217" t="n">
        <v>0.01</v>
      </c>
      <c r="F239" s="1218" t="n">
        <v>1</v>
      </c>
      <c r="G239" s="1219" t="n">
        <v>0.2</v>
      </c>
      <c r="H239" s="1024" t="n">
        <v>9</v>
      </c>
      <c r="I239" s="999" t="n">
        <v>4</v>
      </c>
      <c r="J239" s="999">
        <f>D239*(1-E239) * (3.5%)</f>
        <v/>
      </c>
      <c r="K239" s="1220">
        <f>D239*(1-E239)*18%</f>
        <v/>
      </c>
      <c r="L239" s="1220">
        <f>((D239*(1-E239))-K239)*1.65%</f>
        <v/>
      </c>
      <c r="M239" s="1220">
        <f>((D239*(1-E239))-K239)*7.6%</f>
        <v/>
      </c>
      <c r="N239" s="1221">
        <f>(H239+I239+J239)*9.25% + (H239+I239)*12%</f>
        <v/>
      </c>
      <c r="O239" s="715" t="n">
        <v>3.13</v>
      </c>
      <c r="P239" s="1096" t="n">
        <v>20.55</v>
      </c>
      <c r="Q239" s="1024">
        <f>(D239*(1-E239)+(F239* O239)+N239)-(H239+I239+J239+K239+L239+M239+(P239*F239))</f>
        <v/>
      </c>
      <c r="R239" s="1002">
        <f>Q239/(D239*(1-E239))</f>
        <v/>
      </c>
      <c r="S239" s="1189" t="inlineStr">
        <is>
          <t>EXG</t>
        </is>
      </c>
      <c r="T239" s="1030" t="n"/>
    </row>
    <row r="240" ht="24.75" customHeight="1" s="1349">
      <c r="A240" s="1212" t="e">
        <v>#N/A</v>
      </c>
      <c r="B240" s="1213" t="inlineStr">
        <is>
          <t>Bota Cano Médio PVC Impermeável Antiderrapante Marluvas Vulcaflex CA 42291 EPI Limpeza Indústria</t>
        </is>
      </c>
      <c r="C240" s="1213" t="n"/>
      <c r="D240" s="1218" t="n">
        <v>68</v>
      </c>
      <c r="E240" s="1217" t="n">
        <v>0.01</v>
      </c>
      <c r="F240" s="1218" t="n">
        <v>1</v>
      </c>
      <c r="G240" s="1219" t="n">
        <v>0.2</v>
      </c>
      <c r="H240" s="1024" t="n">
        <v>13.6</v>
      </c>
      <c r="I240" s="999" t="n">
        <v>4</v>
      </c>
      <c r="J240" s="999">
        <f>D240*(1-E240) * (3.5%)</f>
        <v/>
      </c>
      <c r="K240" s="1220">
        <f>D240*(1-E240)*18%</f>
        <v/>
      </c>
      <c r="L240" s="1220">
        <f>((D240*(1-E240))-K240)*1.65%</f>
        <v/>
      </c>
      <c r="M240" s="1220">
        <f>((D240*(1-E240))-K240)*7.6%</f>
        <v/>
      </c>
      <c r="N240" s="1221">
        <f>(H240+I240+J240)*9.25% + (H240+I240)*12%</f>
        <v/>
      </c>
      <c r="O240" s="1130" t="n"/>
      <c r="P240" s="1190" t="n">
        <v>29.01</v>
      </c>
      <c r="Q240" s="1024">
        <f>(D240*(1-E240)+(F240* O240)+N240)-(H240+I240+J240+K240+L240+M240+(P240*F240))</f>
        <v/>
      </c>
      <c r="R240" s="1002">
        <f>Q240/(D240*(1-E240))</f>
        <v/>
      </c>
      <c r="S240" s="1189" t="inlineStr">
        <is>
          <t>37 a 45</t>
        </is>
      </c>
      <c r="T240" s="1030" t="n"/>
    </row>
    <row r="241" ht="24.75" customHeight="1" s="1349">
      <c r="A241" s="1212" t="e">
        <v>#N/A</v>
      </c>
      <c r="B241" s="1213" t="inlineStr">
        <is>
          <t>Botina Segurança Couro Hidrofugado Antichamas Marluvas 50B22 CA 9148 EPI NR10 Eletricista Trabalho</t>
        </is>
      </c>
      <c r="C241" s="1213" t="n"/>
      <c r="D241" s="1218" t="n">
        <v>240</v>
      </c>
      <c r="E241" s="1217" t="n">
        <v>0.01</v>
      </c>
      <c r="F241" s="1218" t="n">
        <v>1</v>
      </c>
      <c r="G241" s="1219" t="n">
        <v>0.14</v>
      </c>
      <c r="H241" s="1024" t="n">
        <v>33.6</v>
      </c>
      <c r="I241" s="999" t="n">
        <v>26</v>
      </c>
      <c r="J241" s="999">
        <f>D241*(1-E241) * (3.5%)</f>
        <v/>
      </c>
      <c r="K241" s="1220">
        <f>D241*(1-E241)*18%</f>
        <v/>
      </c>
      <c r="L241" s="1220">
        <f>((D241*(1-E241))-K241)*1.65%</f>
        <v/>
      </c>
      <c r="M241" s="1220">
        <f>((D241*(1-E241))-K241)*7.6%</f>
        <v/>
      </c>
      <c r="N241" s="1221">
        <f>(H241+I241+J241)*9.25% + (H241+I241)*12%</f>
        <v/>
      </c>
      <c r="O241" s="715" t="n">
        <v>28.44</v>
      </c>
      <c r="P241" s="1096" t="n">
        <v>141.2</v>
      </c>
      <c r="Q241" s="1024">
        <f>(D241*(1-E241)+(F241* O241)+N241)-(H241+I241+J241+K241+L241+M241+(P241*F241))</f>
        <v/>
      </c>
      <c r="R241" s="1002">
        <f>Q241/(D241*(1-E241))</f>
        <v/>
      </c>
      <c r="S241" s="1189" t="inlineStr">
        <is>
          <t>33 a 39</t>
        </is>
      </c>
      <c r="T241" s="1030" t="n"/>
    </row>
    <row r="242" ht="24.75" customHeight="1" s="1349">
      <c r="A242" s="1212" t="e">
        <v>#N/A</v>
      </c>
      <c r="B242" s="1213" t="inlineStr">
        <is>
          <t>Kit 10 Caixa Fincapino Magazinado Amarelo Calibre .27 1000un Âncora Fixação Concreto Aço Construção</t>
        </is>
      </c>
      <c r="C242" s="1213" t="n"/>
      <c r="D242" s="1218" t="n">
        <v>573</v>
      </c>
      <c r="E242" s="1217" t="n">
        <v>0.01</v>
      </c>
      <c r="F242" s="1218" t="n">
        <v>1</v>
      </c>
      <c r="G242" s="1219" t="n">
        <v>0.14</v>
      </c>
      <c r="H242" s="1024" t="n">
        <v>80.22000000000001</v>
      </c>
      <c r="I242" s="999" t="n">
        <v>26</v>
      </c>
      <c r="J242" s="999">
        <f>D242*(1-E242) * (3.5%)</f>
        <v/>
      </c>
      <c r="K242" s="1220">
        <f>D242*(1-E242)*18%</f>
        <v/>
      </c>
      <c r="L242" s="1220">
        <f>((D242*(1-E242))-K242)*1.65%</f>
        <v/>
      </c>
      <c r="M242" s="1220">
        <f>((D242*(1-E242))-K242)*7.6%</f>
        <v/>
      </c>
      <c r="N242" s="1221">
        <f>(H242+I242+J242)*9.25% + (H242+I242)*12%</f>
        <v/>
      </c>
      <c r="O242" s="1097">
        <f>3.86*10</f>
        <v/>
      </c>
      <c r="P242" s="708">
        <f>31.95*10</f>
        <v/>
      </c>
      <c r="Q242" s="1024">
        <f>(D242*(1-E242)+(F242* O242)+N242)-(H242+I242+J242+K242+L242+M242+(P242*F242))</f>
        <v/>
      </c>
      <c r="R242" s="1002">
        <f>Q242/(D242*(1-E242))</f>
        <v/>
      </c>
      <c r="S242" s="1216" t="n"/>
      <c r="T242" s="1206" t="n"/>
    </row>
    <row r="243" ht="24.75" customHeight="1" s="1349">
      <c r="A243" s="1212" t="e">
        <v>#N/A</v>
      </c>
      <c r="B243" s="1213" t="inlineStr">
        <is>
          <t>Botina Segurança Couro Hidrofugado Isolante Térmico Marluvas 60B19V CA 40952 EPI Eletricista Obra</t>
        </is>
      </c>
      <c r="C243" s="1213" t="n"/>
      <c r="D243" s="1218" t="n">
        <v>200</v>
      </c>
      <c r="E243" s="1217" t="n">
        <v>0.01</v>
      </c>
      <c r="F243" s="1218" t="n">
        <v>1</v>
      </c>
      <c r="G243" s="1219" t="n">
        <v>0.14</v>
      </c>
      <c r="H243" s="1024" t="n">
        <v>28</v>
      </c>
      <c r="I243" s="999" t="n">
        <v>26</v>
      </c>
      <c r="J243" s="999">
        <f>D243*(1-E243) * (3.5%)</f>
        <v/>
      </c>
      <c r="K243" s="1220">
        <f>D243*(1-E243)*18%</f>
        <v/>
      </c>
      <c r="L243" s="1220">
        <f>((D243*(1-E243))-K243)*1.65%</f>
        <v/>
      </c>
      <c r="M243" s="1220">
        <f>((D243*(1-E243))-K243)*7.6%</f>
        <v/>
      </c>
      <c r="N243" s="1221">
        <f>(H243+I243+J243)*9.25% + (H243+I243)*12%</f>
        <v/>
      </c>
      <c r="O243" s="715" t="n">
        <v>22.93</v>
      </c>
      <c r="P243" s="1096" t="n">
        <v>113.87</v>
      </c>
      <c r="Q243" s="1024">
        <f>(D243*(1-E243)+(F243* O243)+N243)-(H243+I243+J243+K243+L243+M243+(P243*F243))</f>
        <v/>
      </c>
      <c r="R243" s="1002">
        <f>Q243/(D243*(1-E243))</f>
        <v/>
      </c>
      <c r="S243" s="1189" t="inlineStr">
        <is>
          <t>38 a 42</t>
        </is>
      </c>
      <c r="T243" s="1030" t="n"/>
    </row>
    <row r="244" ht="24.75" customHeight="1" s="1349">
      <c r="A244" s="1212" t="e">
        <v>#N/A</v>
      </c>
      <c r="B244" s="1213" t="inlineStr">
        <is>
          <t>Alicate Universal IRWIN 8 Pol 203mm Aço Forjado Profissional Corte Aperto Eletricista Mecânico</t>
        </is>
      </c>
      <c r="C244" s="1213" t="n"/>
      <c r="D244" s="1218" t="n">
        <v>100.1</v>
      </c>
      <c r="E244" s="1217" t="n">
        <v>0.01</v>
      </c>
      <c r="F244" s="1218" t="n">
        <v>1</v>
      </c>
      <c r="G244" s="1219" t="n">
        <v>0.14</v>
      </c>
      <c r="H244" s="1024" t="n">
        <v>14.014</v>
      </c>
      <c r="I244" s="999" t="n">
        <v>20</v>
      </c>
      <c r="J244" s="999">
        <f>D244*(1-E244) * (3.5%)</f>
        <v/>
      </c>
      <c r="K244" s="1220">
        <f>D244*(1-E244)*18%</f>
        <v/>
      </c>
      <c r="L244" s="1220">
        <f>((D244*(1-E244))-K244)*1.65%</f>
        <v/>
      </c>
      <c r="M244" s="1220">
        <f>((D244*(1-E244))-K244)*7.6%</f>
        <v/>
      </c>
      <c r="N244" s="1221">
        <f>(H244+I244+J244)*9.25% + (H244+I244)*12%</f>
        <v/>
      </c>
      <c r="O244" s="1130" t="n"/>
      <c r="P244" s="1096" t="n">
        <v>32.85</v>
      </c>
      <c r="Q244" s="1024">
        <f>(D244*(1-E244)+(F244* O244)+N244)-(H244+I244+J244+K244+L244+M244+(P244*F244))</f>
        <v/>
      </c>
      <c r="R244" s="1002">
        <f>Q244/(D244*(1-E244))</f>
        <v/>
      </c>
      <c r="S244" s="1216" t="n"/>
      <c r="T244" s="1206" t="n"/>
    </row>
    <row r="245" ht="24.75" customHeight="1" s="1349">
      <c r="A245" s="1212" t="e">
        <v>#N/A</v>
      </c>
      <c r="B245" s="1213" t="inlineStr">
        <is>
          <t>Bota Segurança PU Impermeável Antiderrapante Bracol CA 34671 91FPUL100AP EPI Agrícola Limpeza Lama</t>
        </is>
      </c>
      <c r="C245" s="1213" t="n"/>
      <c r="D245" s="1218" t="n">
        <v>230</v>
      </c>
      <c r="E245" s="1217" t="n">
        <v>0.01</v>
      </c>
      <c r="F245" s="1218" t="n">
        <v>1</v>
      </c>
      <c r="G245" s="1219" t="n">
        <v>0.14</v>
      </c>
      <c r="H245" s="1024" t="n">
        <v>32.2</v>
      </c>
      <c r="I245" s="999" t="n">
        <v>26</v>
      </c>
      <c r="J245" s="999">
        <f>D245*(1-E245) * (3.5%)</f>
        <v/>
      </c>
      <c r="K245" s="1220">
        <f>D245*(1-E245)*18%</f>
        <v/>
      </c>
      <c r="L245" s="1220">
        <f>((D245*(1-E245))-K245)*1.65%</f>
        <v/>
      </c>
      <c r="M245" s="1220">
        <f>((D245*(1-E245))-K245)*7.6%</f>
        <v/>
      </c>
      <c r="N245" s="1221">
        <f>(H245+I245+J245)*9.25% + (H245+I245)*12%</f>
        <v/>
      </c>
      <c r="O245" s="715" t="n">
        <v>26.73</v>
      </c>
      <c r="P245" s="1096" t="n">
        <v>132.73</v>
      </c>
      <c r="Q245" s="1024">
        <f>(D245*(1-E245)+(F245* O245)+N245)-(H245+I245+J245+K245+L245+M245+(P245*F245))</f>
        <v/>
      </c>
      <c r="R245" s="1002">
        <f>Q245/(D245*(1-E245))</f>
        <v/>
      </c>
      <c r="S245" s="1189" t="inlineStr">
        <is>
          <t>38 a 44</t>
        </is>
      </c>
      <c r="T245" s="1030" t="n"/>
    </row>
    <row r="246" ht="24.75" customHeight="1" s="1349">
      <c r="A246" s="1212" t="e">
        <v>#N/A</v>
      </c>
      <c r="B246" s="1192" t="inlineStr">
        <is>
          <t>SEM FOTO</t>
        </is>
      </c>
      <c r="C246" s="1192" t="n"/>
      <c r="D246" s="1218" t="n"/>
      <c r="E246" s="1217" t="n"/>
      <c r="F246" s="1218" t="n"/>
      <c r="G246" s="1219" t="n"/>
      <c r="H246" s="1024" t="n"/>
      <c r="I246" s="999" t="n"/>
      <c r="J246" s="999">
        <f>D246*(1-E246) * (3.5%)</f>
        <v/>
      </c>
      <c r="K246" s="1220">
        <f>D246*(1-E246)*18%</f>
        <v/>
      </c>
      <c r="L246" s="1220">
        <f>((D246*(1-E246))-K246)*1.65%</f>
        <v/>
      </c>
      <c r="M246" s="1220">
        <f>((D246*(1-E246))-K246)*7.6%</f>
        <v/>
      </c>
      <c r="N246" s="1221">
        <f>(H246+I246+J246)*9.25% + (H246+I246)*12%</f>
        <v/>
      </c>
      <c r="O246" s="1130" t="n"/>
      <c r="P246" s="1096" t="n"/>
      <c r="Q246" s="1024">
        <f>(D246*(1-E246)+(F246* O246)+N246)-(H246+I246+J246+K246+L246+M246+(P246*F246))</f>
        <v/>
      </c>
      <c r="R246" s="1002">
        <f>Q246/(D246*(1-E246))</f>
        <v/>
      </c>
      <c r="S246" s="1216" t="n"/>
      <c r="T246" s="1206" t="n"/>
    </row>
    <row r="247" ht="24.75" customHeight="1" s="1349">
      <c r="A247" s="1212" t="e">
        <v>#N/A</v>
      </c>
      <c r="B247" s="1213" t="inlineStr">
        <is>
          <t>Bota Segurança PU Impermeável Térmica Bracol Ecoboots CA 34671 91BPUL100PA EPI Frigorífico Limpeza</t>
        </is>
      </c>
      <c r="C247" s="1213" t="n"/>
      <c r="D247" s="1218" t="n">
        <v>210</v>
      </c>
      <c r="E247" s="1217" t="n">
        <v>0.01</v>
      </c>
      <c r="F247" s="1218" t="n">
        <v>1</v>
      </c>
      <c r="G247" s="1219" t="n">
        <v>0.14</v>
      </c>
      <c r="H247" s="1024" t="n">
        <v>29.4</v>
      </c>
      <c r="I247" s="999" t="n">
        <v>26</v>
      </c>
      <c r="J247" s="999">
        <f>D247*(1-E247) * (3.5%)</f>
        <v/>
      </c>
      <c r="K247" s="1220">
        <f>D247*(1-E247)*18%</f>
        <v/>
      </c>
      <c r="L247" s="1220">
        <f>((D247*(1-E247))-K247)*1.65%</f>
        <v/>
      </c>
      <c r="M247" s="1220">
        <f>((D247*(1-E247))-K247)*7.6%</f>
        <v/>
      </c>
      <c r="N247" s="1221">
        <f>(H247+I247+J247)*9.25% + (H247+I247)*12%</f>
        <v/>
      </c>
      <c r="O247" s="715" t="n">
        <v>24.16</v>
      </c>
      <c r="P247" s="1096" t="n">
        <v>119.95</v>
      </c>
      <c r="Q247" s="1024">
        <f>(D247*(1-E247)+(F247* O247)+N247)-(H247+I247+J247+K247+L247+M247+(P247*F247))</f>
        <v/>
      </c>
      <c r="R247" s="1002">
        <f>Q247/(D247*(1-E247))</f>
        <v/>
      </c>
      <c r="S247" s="1189" t="inlineStr">
        <is>
          <t>38 a 44</t>
        </is>
      </c>
      <c r="T247" s="1030" t="n"/>
    </row>
    <row r="248" ht="24.75" customHeight="1" s="1349">
      <c r="A248" s="1212" t="e">
        <v>#N/A</v>
      </c>
      <c r="B248" s="1213" t="inlineStr">
        <is>
          <t>Kit 3 Adesivo Silicone Acético 280g Tekbond Transparente Colagem Vedação Vidro Box Banheiro Obra Pvc</t>
        </is>
      </c>
      <c r="C248" s="1213" t="n"/>
      <c r="D248" s="1218" t="n">
        <v>63</v>
      </c>
      <c r="E248" s="1217" t="n">
        <v>0.01</v>
      </c>
      <c r="F248" s="1218" t="n">
        <v>1</v>
      </c>
      <c r="G248" s="1219" t="n">
        <v>0.2</v>
      </c>
      <c r="H248" s="1024" t="n">
        <v>12.6</v>
      </c>
      <c r="I248" s="999" t="n">
        <v>4</v>
      </c>
      <c r="J248" s="999">
        <f>D248*(1-E248) * (3.5%)</f>
        <v/>
      </c>
      <c r="K248" s="1220">
        <f>D248*(1-E248)*18%</f>
        <v/>
      </c>
      <c r="L248" s="1220">
        <f>((D248*(1-E248))-K248)*1.65%</f>
        <v/>
      </c>
      <c r="M248" s="1220">
        <f>((D248*(1-E248))-K248)*7.6%</f>
        <v/>
      </c>
      <c r="N248" s="1221">
        <f>(H248+I248+J248)*9.25% + (H248+I248)*12%</f>
        <v/>
      </c>
      <c r="O248" s="715" t="n">
        <v>8.720000000000001</v>
      </c>
      <c r="P248" s="1096" t="n">
        <v>34.08</v>
      </c>
      <c r="Q248" s="1024">
        <f>(D248*(1-E248)+(F248* O248)+N248)-(H248+I248+J248+K248+L248+M248+(P248*F248))</f>
        <v/>
      </c>
      <c r="R248" s="1002">
        <f>Q248/(D248*(1-E248))</f>
        <v/>
      </c>
      <c r="S248" s="1216" t="n"/>
      <c r="T248" s="1206" t="n"/>
    </row>
    <row r="249" ht="22.5" customHeight="1" s="1349">
      <c r="A249" s="1212" t="e">
        <v>#N/A</v>
      </c>
      <c r="B249" s="1213" t="inlineStr">
        <is>
          <t>Kit 10 Adesivo Silicone Acético 280g Tekbond Transparente Anti-Mofo Selante Vidro Banheiro Obra PVC</t>
        </is>
      </c>
      <c r="C249" s="1213" t="n"/>
      <c r="D249" s="1218" t="n">
        <v>180</v>
      </c>
      <c r="E249" s="1217" t="n">
        <v>0.01</v>
      </c>
      <c r="F249" s="1218" t="n">
        <v>1</v>
      </c>
      <c r="G249" s="1219" t="n">
        <v>0.14</v>
      </c>
      <c r="H249" s="1024" t="n">
        <v>25.2</v>
      </c>
      <c r="I249" s="999" t="n">
        <v>20</v>
      </c>
      <c r="J249" s="999">
        <f>D249*(1-E249) * (3.5%)</f>
        <v/>
      </c>
      <c r="K249" s="1220">
        <f>D249*(1-E249)*18%</f>
        <v/>
      </c>
      <c r="L249" s="1220">
        <f>((D249*(1-E249))-K249)*1.65%</f>
        <v/>
      </c>
      <c r="M249" s="1220">
        <f>((D249*(1-E249))-K249)*7.6%</f>
        <v/>
      </c>
      <c r="N249" s="1221">
        <f>(H249+I249+J249)*9.25% + (H249+I249)*12%</f>
        <v/>
      </c>
      <c r="O249" s="715" t="n">
        <v>29.1</v>
      </c>
      <c r="P249" s="1096" t="n">
        <v>113.6</v>
      </c>
      <c r="Q249" s="1024">
        <f>(D249*(1-E249)+(F249* O249)+N249)-(H249+I249+J249+K249+L249+M249+(P249*F249))</f>
        <v/>
      </c>
      <c r="R249" s="1002">
        <f>Q249/(D249*(1-E249))</f>
        <v/>
      </c>
      <c r="S249" s="1216" t="n"/>
      <c r="T249" s="1206" t="n"/>
    </row>
    <row r="250" ht="22.5" customHeight="1" s="1349">
      <c r="A250" s="1212" t="e">
        <v>#N/A</v>
      </c>
      <c r="B250" s="1213" t="inlineStr">
        <is>
          <t>Kit 10un Bucha Plastica A10 Walsywa Montagem Fixação Tijolo Maciço Concreto Alvenaria Construção</t>
        </is>
      </c>
      <c r="C250" s="1213" t="n"/>
      <c r="D250" s="1218" t="n">
        <v>10.5</v>
      </c>
      <c r="E250" s="1217" t="n">
        <v>0.01</v>
      </c>
      <c r="F250" s="1218" t="n">
        <v>1</v>
      </c>
      <c r="G250" s="1219" t="n">
        <v>0.2</v>
      </c>
      <c r="H250" s="1024" t="n">
        <v>2.1</v>
      </c>
      <c r="I250" s="999" t="n">
        <v>4</v>
      </c>
      <c r="J250" s="999">
        <f>D250*(1-E250) * (3.5%)</f>
        <v/>
      </c>
      <c r="K250" s="1220">
        <f>D250*(1-E250)*18%</f>
        <v/>
      </c>
      <c r="L250" s="1220">
        <f>((D250*(1-E250))-K250)*1.65%</f>
        <v/>
      </c>
      <c r="M250" s="1220">
        <f>((D250*(1-E250))-K250)*7.6%</f>
        <v/>
      </c>
      <c r="N250" s="1221">
        <f>(H250+I250+J250)*9.25% + (H250+I250)*12%</f>
        <v/>
      </c>
      <c r="O250" s="715" t="n">
        <v>0.15</v>
      </c>
      <c r="P250" s="1096" t="n">
        <v>1.25</v>
      </c>
      <c r="Q250" s="1024">
        <f>(D250*(1-E250)+(F250* O250)+N250)-(H250+I250+J250+K250+L250+M250+(P250*F250))</f>
        <v/>
      </c>
      <c r="R250" s="1002">
        <f>Q250/(D250*(1-E250))</f>
        <v/>
      </c>
      <c r="S250" s="1216" t="n"/>
      <c r="T250" s="1206" t="n"/>
    </row>
    <row r="251" ht="22.5" customHeight="1" s="1349">
      <c r="A251" s="1212" t="e">
        <v>#N/A</v>
      </c>
      <c r="B251" s="1213" t="inlineStr">
        <is>
          <t>Kit 50 Bucha Nylon A10 Fixacao Parafuso Concreto Alvenaria Construção Civil Uso Profissional Obra</t>
        </is>
      </c>
      <c r="C251" s="1213" t="n"/>
      <c r="D251" s="1218" t="n">
        <v>20</v>
      </c>
      <c r="E251" s="1217" t="n">
        <v>0.01</v>
      </c>
      <c r="F251" s="1218" t="n">
        <v>1</v>
      </c>
      <c r="G251" s="1219" t="n">
        <v>0.2</v>
      </c>
      <c r="H251" s="1024" t="n">
        <v>4</v>
      </c>
      <c r="I251" s="999" t="n">
        <v>4</v>
      </c>
      <c r="J251" s="999">
        <f>D251*(1-E251) * (3.5%)</f>
        <v/>
      </c>
      <c r="K251" s="1220">
        <f>D251*(1-E251)*18%</f>
        <v/>
      </c>
      <c r="L251" s="1220">
        <f>((D251*(1-E251))-K251)*1.65%</f>
        <v/>
      </c>
      <c r="M251" s="1220">
        <f>((D251*(1-E251))-K251)*7.6%</f>
        <v/>
      </c>
      <c r="N251" s="1221">
        <f>(H251+I251+J251)*9.25% + (H251+I251)*12%</f>
        <v/>
      </c>
      <c r="O251" s="715" t="n">
        <v>0.75</v>
      </c>
      <c r="P251" s="1096" t="n">
        <v>6.25</v>
      </c>
      <c r="Q251" s="1024">
        <f>(D251*(1-E251)+(F251* O251)+N251)-(H251+I251+J251+K251+L251+M251+(P251*F251))</f>
        <v/>
      </c>
      <c r="R251" s="1002">
        <f>Q251/(D251*(1-E251))</f>
        <v/>
      </c>
      <c r="S251" s="1216" t="n"/>
      <c r="T251" s="1206" t="n"/>
    </row>
    <row r="252" ht="22.5" customHeight="1" s="1349">
      <c r="A252" s="1212" t="e">
        <v>#N/A</v>
      </c>
      <c r="B252" s="1213" t="inlineStr">
        <is>
          <t>Kit 100 Bucha Nylon A10 Fixação Expansão Parede Maciça Tijolo Construção Civil Reparo Manutenção</t>
        </is>
      </c>
      <c r="C252" s="1213" t="n"/>
      <c r="D252" s="1218" t="n">
        <v>32</v>
      </c>
      <c r="E252" s="1217" t="n">
        <v>0.01</v>
      </c>
      <c r="F252" s="1218" t="n">
        <v>1</v>
      </c>
      <c r="G252" s="1219" t="n">
        <v>0.2</v>
      </c>
      <c r="H252" s="1024" t="n">
        <v>6.4</v>
      </c>
      <c r="I252" s="999" t="n">
        <v>4</v>
      </c>
      <c r="J252" s="999">
        <f>D252*(1-E252) * (3.5%)</f>
        <v/>
      </c>
      <c r="K252" s="1220">
        <f>D252*(1-E252)*18%</f>
        <v/>
      </c>
      <c r="L252" s="1220">
        <f>((D252*(1-E252))-K252)*1.65%</f>
        <v/>
      </c>
      <c r="M252" s="1220">
        <f>((D252*(1-E252))-K252)*7.6%</f>
        <v/>
      </c>
      <c r="N252" s="1221">
        <f>(H252+I252+J252)*9.25% + (H252+I252)*12%</f>
        <v/>
      </c>
      <c r="O252" s="715" t="n">
        <v>1.5</v>
      </c>
      <c r="P252" s="1096" t="n">
        <v>12.5</v>
      </c>
      <c r="Q252" s="1024">
        <f>(D252*(1-E252)+(F252* O252)+N252)-(H252+I252+J252+K252+L252+M252+(P252*F252))</f>
        <v/>
      </c>
      <c r="R252" s="1002">
        <f>Q252/(D252*(1-E252))</f>
        <v/>
      </c>
      <c r="S252" s="1216" t="n"/>
      <c r="T252" s="1206" t="n"/>
    </row>
    <row r="253" ht="22.5" customHeight="1" s="1349">
      <c r="A253" s="1212" t="e">
        <v>#N/A</v>
      </c>
      <c r="B253" s="1213" t="inlineStr">
        <is>
          <t>Botina Segurança Couro Bracol U-Safe Elástico CA 48413 EPI Proteção Pé Construção Civil Indústria</t>
        </is>
      </c>
      <c r="C253" s="1213" t="n"/>
      <c r="D253" s="1218" t="n">
        <v>79</v>
      </c>
      <c r="E253" s="1217" t="n">
        <v>0.01</v>
      </c>
      <c r="F253" s="1218" t="n">
        <v>1</v>
      </c>
      <c r="G253" s="1219" t="n">
        <v>0.2</v>
      </c>
      <c r="H253" s="1024" t="n">
        <v>15.8</v>
      </c>
      <c r="I253" s="999" t="n">
        <v>4</v>
      </c>
      <c r="J253" s="999">
        <f>D253*(1-E253) * (3.5%)</f>
        <v/>
      </c>
      <c r="K253" s="1220">
        <f>D253*(1-E253)*18%</f>
        <v/>
      </c>
      <c r="L253" s="1220">
        <f>((D253*(1-E253))-K253)*1.65%</f>
        <v/>
      </c>
      <c r="M253" s="1220">
        <f>((D253*(1-E253))-K253)*7.6%</f>
        <v/>
      </c>
      <c r="N253" s="1221">
        <f>(H253+I253+J253)*9.25% + (H253+I253)*12%</f>
        <v/>
      </c>
      <c r="O253" s="1195" t="n">
        <v>8.640000000000001</v>
      </c>
      <c r="P253" s="1190" t="n">
        <v>42.92</v>
      </c>
      <c r="Q253" s="1024">
        <f>(D253*(1-E253)+(F253* O253)+N253)-(H253+I253+J253+K253+L253+M253+(P253*F253))</f>
        <v/>
      </c>
      <c r="R253" s="1002">
        <f>Q253/(D253*(1-E253))</f>
        <v/>
      </c>
      <c r="S253" s="1189" t="inlineStr">
        <is>
          <t>37 a 39, 43 e 45</t>
        </is>
      </c>
      <c r="T253" s="1030" t="n"/>
    </row>
    <row r="254" ht="22.5" customHeight="1" s="1349">
      <c r="A254" s="1212" t="e">
        <v>#N/A</v>
      </c>
      <c r="B254" s="1213" t="inlineStr">
        <is>
          <t>Botina Segurança Couro Bracol U-Safe Elástico CA 48413 EPI Proteção Pé Construção Civil Indústria</t>
        </is>
      </c>
      <c r="C254" s="1213" t="n"/>
      <c r="D254" s="1218" t="n">
        <v>80</v>
      </c>
      <c r="E254" s="1217" t="n">
        <v>0.01</v>
      </c>
      <c r="F254" s="1218" t="n">
        <v>1</v>
      </c>
      <c r="G254" s="1219" t="n">
        <v>0.14</v>
      </c>
      <c r="H254" s="1024" t="n">
        <v>11.2</v>
      </c>
      <c r="I254" s="999" t="n">
        <v>16</v>
      </c>
      <c r="J254" s="999">
        <f>D254*(1-E254) * (3.5%)</f>
        <v/>
      </c>
      <c r="K254" s="1220">
        <f>D254*(1-E254)*18%</f>
        <v/>
      </c>
      <c r="L254" s="1220">
        <f>((D254*(1-E254))-K254)*1.65%</f>
        <v/>
      </c>
      <c r="M254" s="1220">
        <f>((D254*(1-E254))-K254)*7.6%</f>
        <v/>
      </c>
      <c r="N254" s="1221">
        <f>(H254+I254+J254)*9.25% + (H254+I254)*12%</f>
        <v/>
      </c>
      <c r="O254" s="715" t="n">
        <v>8.77</v>
      </c>
      <c r="P254" s="1096" t="n">
        <v>43.53</v>
      </c>
      <c r="Q254" s="1024">
        <f>(D254*(1-E254)+(F254* O254)+N254)-(H254+I254+J254+K254+L254+M254+(P254*F254))</f>
        <v/>
      </c>
      <c r="R254" s="1002">
        <f>Q254/(D254*(1-E254))</f>
        <v/>
      </c>
      <c r="S254" s="1189" t="inlineStr">
        <is>
          <t>40 a 42 e 44</t>
        </is>
      </c>
      <c r="T254" s="1030" t="n"/>
    </row>
    <row r="255" ht="22.5" customHeight="1" s="1349">
      <c r="A255" s="1212" t="e">
        <v>#N/A</v>
      </c>
      <c r="B255" s="1213" t="inlineStr">
        <is>
          <t>Alicate Corte Diagonal 6” IRWIN 1000V Profissional Isolado Eletricista Manutenção Industrial</t>
        </is>
      </c>
      <c r="C255" s="1213" t="n"/>
      <c r="D255" s="1218" t="n">
        <v>94</v>
      </c>
      <c r="E255" s="1217" t="n">
        <v>0.01</v>
      </c>
      <c r="F255" s="1218" t="n">
        <v>1</v>
      </c>
      <c r="G255" s="1219" t="n">
        <v>0.14</v>
      </c>
      <c r="H255" s="1024" t="n">
        <v>13.16</v>
      </c>
      <c r="I255" s="999" t="n">
        <v>16</v>
      </c>
      <c r="J255" s="999">
        <f>D255*(1-E255) * (3.5%)</f>
        <v/>
      </c>
      <c r="K255" s="1220">
        <f>D255*(1-E255)*18%</f>
        <v/>
      </c>
      <c r="L255" s="1220">
        <f>((D255*(1-E255))-K255)*1.65%</f>
        <v/>
      </c>
      <c r="M255" s="1220">
        <f>((D255*(1-E255))-K255)*7.6%</f>
        <v/>
      </c>
      <c r="N255" s="1221">
        <f>(H255+I255+J255)*9.25% + (H255+I255)*12%</f>
        <v/>
      </c>
      <c r="O255" s="1130" t="n"/>
      <c r="P255" s="1096" t="n">
        <v>42.71</v>
      </c>
      <c r="Q255" s="1024">
        <f>(D255*(1-E255)+(F255* O255)+N255)-(H255+I255+J255+K255+L255+M255+(P255*F255))</f>
        <v/>
      </c>
      <c r="R255" s="1002">
        <f>Q255/(D255*(1-E255))</f>
        <v/>
      </c>
      <c r="S255" s="1216" t="n"/>
      <c r="T255" s="1206" t="n"/>
    </row>
    <row r="256" ht="22.5" customHeight="1" s="1349">
      <c r="A256" s="1212" t="e">
        <v>#N/A</v>
      </c>
      <c r="B256" s="1213" t="inlineStr">
        <is>
          <t>Kit 3 Adesivo Silicone Acético 50g Tekbond Transparente Vedação Vidro Box Banheiro Cola Pvc Selante</t>
        </is>
      </c>
      <c r="C256" s="1213" t="n"/>
      <c r="D256" s="1218" t="n">
        <v>26</v>
      </c>
      <c r="E256" s="1217" t="n">
        <v>0.01</v>
      </c>
      <c r="F256" s="1218" t="n">
        <v>1</v>
      </c>
      <c r="G256" s="1219" t="n">
        <v>0.2</v>
      </c>
      <c r="H256" s="1024" t="n">
        <v>5.2</v>
      </c>
      <c r="I256" s="999" t="n">
        <v>4</v>
      </c>
      <c r="J256" s="999">
        <f>D256*(1-E256) * (3.5%)</f>
        <v/>
      </c>
      <c r="K256" s="1220">
        <f>D256*(1-E256)*18%</f>
        <v/>
      </c>
      <c r="L256" s="1220">
        <f>((D256*(1-E256))-K256)*1.65%</f>
        <v/>
      </c>
      <c r="M256" s="1220">
        <f>((D256*(1-E256))-K256)*7.6%</f>
        <v/>
      </c>
      <c r="N256" s="1221">
        <f>(H256+I256+J256)*9.25% + (H256+I256)*12%</f>
        <v/>
      </c>
      <c r="O256" s="715" t="n">
        <v>2.82</v>
      </c>
      <c r="P256" s="1096" t="n">
        <v>11.01</v>
      </c>
      <c r="Q256" s="1024">
        <f>(D256*(1-E256)+(F256* O256)+N256)-(H256+I256+J256+K256+L256+M256+(P256*F256))</f>
        <v/>
      </c>
      <c r="R256" s="1002">
        <f>Q256/(D256*(1-E256))</f>
        <v/>
      </c>
      <c r="S256" s="1216" t="n"/>
      <c r="T256" s="1206" t="n"/>
    </row>
    <row r="257" ht="22.5" customHeight="1" s="1349">
      <c r="A257" s="1212" t="e">
        <v>#N/A</v>
      </c>
      <c r="B257" s="1213" t="inlineStr">
        <is>
          <t>Kit 2 Avental Forrado Branco Pvc Impermeável Proteção Vinilseg 1,20x0,70 CA 33301 Cozinha Indústria</t>
        </is>
      </c>
      <c r="C257" s="1213" t="n"/>
      <c r="D257" s="1218" t="n">
        <v>36</v>
      </c>
      <c r="E257" s="1217" t="n">
        <v>0.01</v>
      </c>
      <c r="F257" s="1218" t="n">
        <v>1</v>
      </c>
      <c r="G257" s="1219" t="n">
        <v>0.2</v>
      </c>
      <c r="H257" s="1024" t="n">
        <v>7.2</v>
      </c>
      <c r="I257" s="999" t="n">
        <v>4</v>
      </c>
      <c r="J257" s="999">
        <f>D257*(1-E257) * (3.5%)</f>
        <v/>
      </c>
      <c r="K257" s="1220">
        <f>D257*(1-E257)*18%</f>
        <v/>
      </c>
      <c r="L257" s="1220">
        <f>((D257*(1-E257))-K257)*1.65%</f>
        <v/>
      </c>
      <c r="M257" s="1220">
        <f>((D257*(1-E257))-K257)*7.6%</f>
        <v/>
      </c>
      <c r="N257" s="1221">
        <f>(H257+I257+J257)*9.25% + (H257+I257)*12%</f>
        <v/>
      </c>
      <c r="O257" s="715" t="n">
        <v>0.51</v>
      </c>
      <c r="P257" s="1096" t="n">
        <v>13.5</v>
      </c>
      <c r="Q257" s="1024">
        <f>(D257*(1-E257)+(F257* O257)+N257)-(H257+I257+J257+K257+L257+M257+(P257*F257))</f>
        <v/>
      </c>
      <c r="R257" s="1002">
        <f>Q257/(D257*(1-E257))</f>
        <v/>
      </c>
      <c r="S257" s="1216" t="n"/>
      <c r="T257" s="1206" t="n"/>
    </row>
    <row r="258" ht="22.5" customHeight="1" s="1349">
      <c r="A258" s="1212" t="e">
        <v>#N/A</v>
      </c>
      <c r="B258" s="1213" t="inlineStr">
        <is>
          <t>Kit 10 Bucha Nylon A12 Fixação Parafuso Concreto Alvenaria Construção Civil Uso Profissional Obras</t>
        </is>
      </c>
      <c r="C258" s="1213" t="n"/>
      <c r="D258" s="1218" t="n">
        <v>12</v>
      </c>
      <c r="E258" s="1217" t="n">
        <v>0.01</v>
      </c>
      <c r="F258" s="1218" t="n">
        <v>1</v>
      </c>
      <c r="G258" s="1219" t="n">
        <v>0.2</v>
      </c>
      <c r="H258" s="1024" t="n">
        <v>2.4</v>
      </c>
      <c r="I258" s="999" t="n">
        <v>4</v>
      </c>
      <c r="J258" s="999">
        <f>D258*(1-E258) * (3.5%)</f>
        <v/>
      </c>
      <c r="K258" s="1220">
        <f>D258*(1-E258)*18%</f>
        <v/>
      </c>
      <c r="L258" s="1220">
        <f>((D258*(1-E258))-K258)*1.65%</f>
        <v/>
      </c>
      <c r="M258" s="1220">
        <f>((D258*(1-E258))-K258)*7.6%</f>
        <v/>
      </c>
      <c r="N258" s="1221">
        <f>(H258+I258+J258)*9.25% + (H258+I258)*12%</f>
        <v/>
      </c>
      <c r="O258" s="715" t="n">
        <v>0.26</v>
      </c>
      <c r="P258" s="1096" t="n">
        <v>2.18</v>
      </c>
      <c r="Q258" s="1024">
        <f>(D258*(1-E258)+(F258* O258)+N258)-(H258+I258+J258+K258+L258+M258+(P258*F258))</f>
        <v/>
      </c>
      <c r="R258" s="1002">
        <f>Q258/(D258*(1-E258))</f>
        <v/>
      </c>
      <c r="S258" s="1216" t="n"/>
      <c r="T258" s="1206" t="n"/>
    </row>
    <row r="259" ht="22.5" customHeight="1" s="1349">
      <c r="A259" s="1212" t="e">
        <v>#N/A</v>
      </c>
      <c r="B259" s="1213" t="inlineStr">
        <is>
          <t>Kit 50 Bucha Nylon A12 Fixação Expansão Ancoragem Pesada Parede Concreto Obra Engenharia Construção</t>
        </is>
      </c>
      <c r="C259" s="1213" t="n"/>
      <c r="D259" s="1218" t="n">
        <v>28</v>
      </c>
      <c r="E259" s="1217" t="n">
        <v>0.01</v>
      </c>
      <c r="F259" s="1218" t="n">
        <v>1</v>
      </c>
      <c r="G259" s="1219" t="n">
        <v>0.2</v>
      </c>
      <c r="H259" s="1024" t="n">
        <v>5.600000000000001</v>
      </c>
      <c r="I259" s="999" t="n">
        <v>4</v>
      </c>
      <c r="J259" s="999">
        <f>D259*(1-E259) * (3.5%)</f>
        <v/>
      </c>
      <c r="K259" s="1220">
        <f>D259*(1-E259)*18%</f>
        <v/>
      </c>
      <c r="L259" s="1220">
        <f>((D259*(1-E259))-K259)*1.65%</f>
        <v/>
      </c>
      <c r="M259" s="1220">
        <f>((D259*(1-E259))-K259)*7.6%</f>
        <v/>
      </c>
      <c r="N259" s="1221">
        <f>(H259+I259+J259)*9.25% + (H259+I259)*12%</f>
        <v/>
      </c>
      <c r="O259" s="715" t="n">
        <v>1.3</v>
      </c>
      <c r="P259" s="1096" t="n">
        <v>10.9</v>
      </c>
      <c r="Q259" s="1024">
        <f>(D259*(1-E259)+(F259* O259)+N259)-(H259+I259+J259+K259+L259+M259+(P259*F259))</f>
        <v/>
      </c>
      <c r="R259" s="1002">
        <f>Q259/(D259*(1-E259))</f>
        <v/>
      </c>
      <c r="S259" s="1216" t="n"/>
      <c r="T259" s="1206" t="n"/>
    </row>
    <row r="260" ht="22.5" customHeight="1" s="1349">
      <c r="A260" s="1212" t="e">
        <v>#N/A</v>
      </c>
      <c r="B260" s="1213" t="inlineStr">
        <is>
          <t>Célula de Gás Ferramenta FGA850 Âncora Refil 1000 Ciclos Carga Fixação Estrutura Indústria Medição</t>
        </is>
      </c>
      <c r="C260" s="1213" t="n"/>
      <c r="D260" s="1218" t="n">
        <v>233</v>
      </c>
      <c r="E260" s="1217" t="n">
        <v>0.01</v>
      </c>
      <c r="F260" s="1218" t="n">
        <v>1</v>
      </c>
      <c r="G260" s="1219" t="n">
        <v>0.14</v>
      </c>
      <c r="H260" s="1024" t="n">
        <v>32.62</v>
      </c>
      <c r="I260" s="999" t="n">
        <v>26</v>
      </c>
      <c r="J260" s="999">
        <f>D260*(1-E260) * (3.5%)</f>
        <v/>
      </c>
      <c r="K260" s="1220">
        <f>D260*(1-E260)*18%</f>
        <v/>
      </c>
      <c r="L260" s="1220">
        <f>((D260*(1-E260))-K260)*1.65%</f>
        <v/>
      </c>
      <c r="M260" s="1220">
        <f>((D260*(1-E260))-K260)*7.6%</f>
        <v/>
      </c>
      <c r="N260" s="1221">
        <f>(H260+I260+J260)*9.25% + (H260+I260)*12%</f>
        <v/>
      </c>
      <c r="O260" s="715" t="n">
        <v>16.1</v>
      </c>
      <c r="P260" s="1096" t="n">
        <v>125</v>
      </c>
      <c r="Q260" s="1024">
        <f>(D260*(1-E260)+(F260* O260)+N260)-(H260+I260+J260+K260+L260+M260+(P260*F260))</f>
        <v/>
      </c>
      <c r="R260" s="1002">
        <f>Q260/(D260*(1-E260))</f>
        <v/>
      </c>
      <c r="S260" s="1216" t="n"/>
      <c r="T260" s="1206" t="n"/>
    </row>
    <row r="261" ht="22.5" customHeight="1" s="1349">
      <c r="A261" s="1196" t="e">
        <v>#N/A</v>
      </c>
      <c r="B261" s="1198" t="inlineStr">
        <is>
          <t>Alicate Universal 8 Pol 1000V Irwin V-Grip Isolado Eletricista Profissional NR10 Uso Industrial Pro</t>
        </is>
      </c>
      <c r="C261" s="1198" t="n"/>
      <c r="D261" s="1218" t="n">
        <v>156</v>
      </c>
      <c r="E261" s="1217" t="n">
        <v>0.01</v>
      </c>
      <c r="F261" s="1218" t="n">
        <v>1</v>
      </c>
      <c r="G261" s="1219" t="n">
        <v>0.14</v>
      </c>
      <c r="H261" s="1024" t="n">
        <v>21.84</v>
      </c>
      <c r="I261" s="999" t="n">
        <v>20</v>
      </c>
      <c r="J261" s="999">
        <f>D261*(1-E261) * (3.5%)</f>
        <v/>
      </c>
      <c r="K261" s="1220">
        <f>D261*(1-E261)*18%</f>
        <v/>
      </c>
      <c r="L261" s="1220">
        <f>((D261*(1-E261))-K261)*1.65%</f>
        <v/>
      </c>
      <c r="M261" s="1220">
        <f>((D261*(1-E261))-K261)*7.6%</f>
        <v/>
      </c>
      <c r="N261" s="1221">
        <f>(H261+I261+J261)*9.25% + (H261+I261)*12%</f>
        <v/>
      </c>
      <c r="O261" s="1130" t="n"/>
      <c r="P261" s="1096" t="n">
        <v>52.93</v>
      </c>
      <c r="Q261" s="1024">
        <f>(D261*(1-E261)+(F261* O261)+N261)-(H261+I261+J261+K261+L261+M261+(P261*F261))</f>
        <v/>
      </c>
      <c r="R261" s="1002">
        <f>Q261/(D261*(1-E261))</f>
        <v/>
      </c>
      <c r="S261" s="1216" t="n"/>
      <c r="T261" s="1206" t="n"/>
    </row>
    <row r="262" ht="22.5" customHeight="1" s="1349">
      <c r="A262" s="1212" t="e">
        <v>#N/A</v>
      </c>
      <c r="B262" s="1213" t="inlineStr">
        <is>
          <t>Alicate Corte Diagonal 8 Pol Irwin IWHT84001 Corte Preciso Profissional Uso Industrial Oficina</t>
        </is>
      </c>
      <c r="C262" s="1213" t="n"/>
      <c r="D262" s="1218" t="n">
        <v>420</v>
      </c>
      <c r="E262" s="1217" t="n">
        <v>0.01</v>
      </c>
      <c r="F262" s="1218" t="n">
        <v>1</v>
      </c>
      <c r="G262" s="1219" t="n">
        <v>0.14</v>
      </c>
      <c r="H262" s="1024" t="n">
        <v>58.8</v>
      </c>
      <c r="I262" s="999" t="n">
        <v>26</v>
      </c>
      <c r="J262" s="999">
        <f>D262*(1-E262) * (3.5%)</f>
        <v/>
      </c>
      <c r="K262" s="1220">
        <f>D262*(1-E262)*18%</f>
        <v/>
      </c>
      <c r="L262" s="1220">
        <f>((D262*(1-E262))-K262)*1.65%</f>
        <v/>
      </c>
      <c r="M262" s="1220">
        <f>((D262*(1-E262))-K262)*7.6%</f>
        <v/>
      </c>
      <c r="N262" s="1221">
        <f>(H262+I262+J262)*9.25% + (H262+I262)*12%</f>
        <v/>
      </c>
      <c r="O262" s="1130" t="n"/>
      <c r="P262" s="1096" t="n">
        <v>149.45</v>
      </c>
      <c r="Q262" s="1024">
        <f>(D262*(1-E262)+(F262* O262)+N262)-(H262+I262+J262+K262+L262+M262+(P262*F262))</f>
        <v/>
      </c>
      <c r="R262" s="1002">
        <f>Q262/(D262*(1-E262))</f>
        <v/>
      </c>
      <c r="S262" s="1216" t="n"/>
      <c r="T262" s="1206" t="n"/>
    </row>
    <row r="263" ht="22.5" customHeight="1" s="1349">
      <c r="A263" s="1212" t="e">
        <v>#N/A</v>
      </c>
      <c r="B263" s="1213" t="inlineStr">
        <is>
          <t>Caixa Monobloco 18 Pol com Roda Organizador Carrinho Transporte Ferramenta Oficina Indústria Pesada</t>
        </is>
      </c>
      <c r="C263" s="1213" t="n"/>
      <c r="D263" s="1218" t="n">
        <v>410</v>
      </c>
      <c r="E263" s="1217" t="n">
        <v>0.01</v>
      </c>
      <c r="F263" s="1218" t="n">
        <v>1</v>
      </c>
      <c r="G263" s="1219" t="n">
        <v>0.14</v>
      </c>
      <c r="H263" s="1024" t="n">
        <v>57.40000000000001</v>
      </c>
      <c r="I263" s="999" t="n">
        <v>26</v>
      </c>
      <c r="J263" s="999">
        <f>D263*(1-E263) * (3.5%)</f>
        <v/>
      </c>
      <c r="K263" s="1220">
        <f>D263*(1-E263)*18%</f>
        <v/>
      </c>
      <c r="L263" s="1220">
        <f>((D263*(1-E263))-K263)*1.65%</f>
        <v/>
      </c>
      <c r="M263" s="1220">
        <f>((D263*(1-E263))-K263)*7.6%</f>
        <v/>
      </c>
      <c r="N263" s="1221">
        <f>(H263+I263+J263)*9.25% + (H263+I263)*12%</f>
        <v/>
      </c>
      <c r="O263" s="715" t="n">
        <v>68.44</v>
      </c>
      <c r="P263" s="1096" t="n">
        <v>259.69</v>
      </c>
      <c r="Q263" s="1024">
        <f>(D263*(1-E263)+(F263* O263)+N263)-(H263+I263+J263+K263+L263+M263+(P263*F263))</f>
        <v/>
      </c>
      <c r="R263" s="1002">
        <f>Q263/(D263*(1-E263))</f>
        <v/>
      </c>
      <c r="S263" s="1216" t="n"/>
      <c r="T263" s="1206" t="n"/>
    </row>
    <row r="264" ht="22.5" customHeight="1" s="1349">
      <c r="A264" s="1212" t="e">
        <v>#N/A</v>
      </c>
      <c r="B264" s="1213" t="inlineStr">
        <is>
          <t>Chave Grifo Vise Grip Irwin Ajustável Aperto Tubos Canos Uso Profissional Mecânico Industrial Pro 8''</t>
        </is>
      </c>
      <c r="C264" s="1213" t="n"/>
      <c r="D264" s="1218" t="n">
        <v>185</v>
      </c>
      <c r="E264" s="1217" t="n">
        <v>0.01</v>
      </c>
      <c r="F264" s="1218" t="n">
        <v>1</v>
      </c>
      <c r="G264" s="1219" t="n">
        <v>0.14</v>
      </c>
      <c r="H264" s="1024" t="n">
        <v>25.9</v>
      </c>
      <c r="I264" s="999" t="n">
        <v>20</v>
      </c>
      <c r="J264" s="999">
        <f>D264*(1-E264) * (3.5%)</f>
        <v/>
      </c>
      <c r="K264" s="1220">
        <f>D264*(1-E264)*18%</f>
        <v/>
      </c>
      <c r="L264" s="1220">
        <f>((D264*(1-E264))-K264)*1.65%</f>
        <v/>
      </c>
      <c r="M264" s="1220">
        <f>((D264*(1-E264))-K264)*7.6%</f>
        <v/>
      </c>
      <c r="N264" s="1221">
        <f>(H264+I264+J264)*9.25% + (H264+I264)*12%</f>
        <v/>
      </c>
      <c r="O264" s="1130" t="n"/>
      <c r="P264" s="1190" t="n">
        <v>63.53</v>
      </c>
      <c r="Q264" s="1024">
        <f>(D264*(1-E264)+(F264* O264)+N264)-(H264+I264+J264+K264+L264+M264+(P264*F264))</f>
        <v/>
      </c>
      <c r="R264" s="1002">
        <f>Q264/(D264*(1-E264))</f>
        <v/>
      </c>
      <c r="S264" s="1216" t="n"/>
      <c r="T264" s="1206" t="n"/>
    </row>
    <row r="265" ht="22.5" customHeight="1" s="1349">
      <c r="A265" s="1212" t="e">
        <v>#N/A</v>
      </c>
      <c r="B265" s="1213" t="inlineStr">
        <is>
          <t>Chave Grifo Vise Grip Irwin Ajustável Aperto Tubos Canos Uso Profissional Mecânico Industrial Pro 24''</t>
        </is>
      </c>
      <c r="C265" s="1213" t="n"/>
      <c r="D265" s="1218" t="n">
        <v>523</v>
      </c>
      <c r="E265" s="1217" t="n">
        <v>0.01</v>
      </c>
      <c r="F265" s="1218" t="n">
        <v>1</v>
      </c>
      <c r="G265" s="1219" t="n">
        <v>0.14</v>
      </c>
      <c r="H265" s="1024" t="n">
        <v>73.22000000000001</v>
      </c>
      <c r="I265" s="999" t="n">
        <v>26</v>
      </c>
      <c r="J265" s="999">
        <f>D265*(1-E265) * (3.5%)</f>
        <v/>
      </c>
      <c r="K265" s="1220">
        <f>D265*(1-E265)*18%</f>
        <v/>
      </c>
      <c r="L265" s="1220">
        <f>((D265*(1-E265))-K265)*1.65%</f>
        <v/>
      </c>
      <c r="M265" s="1220">
        <f>((D265*(1-E265))-K265)*7.6%</f>
        <v/>
      </c>
      <c r="N265" s="1221">
        <f>(H265+I265+J265)*9.25% + (H265+I265)*12%</f>
        <v/>
      </c>
      <c r="O265" s="1130" t="n"/>
      <c r="P265" s="1096" t="n">
        <v>190.66</v>
      </c>
      <c r="Q265" s="1024">
        <f>(D265*(1-E265)+(F265* O265)+N265)-(H265+I265+J265+K265+L265+M265+(P265*F265))</f>
        <v/>
      </c>
      <c r="R265" s="1002">
        <f>Q265/(D265*(1-E265))</f>
        <v/>
      </c>
      <c r="S265" s="1216" t="n"/>
      <c r="T265" s="1206" t="n"/>
    </row>
    <row r="266" ht="22.5" customHeight="1" s="1349">
      <c r="A266" s="1212" t="e">
        <v>#N/A</v>
      </c>
      <c r="B266" s="1213" t="inlineStr">
        <is>
          <t>Kit 1/2/5un Fita Adesiva Empacotamento 45mmx100m Koretech ProFix BR Selagem Caixa Papelão Embalagem</t>
        </is>
      </c>
      <c r="C266" s="1213" t="n"/>
      <c r="D266" s="1218" t="n">
        <v>16</v>
      </c>
      <c r="E266" s="1217" t="n">
        <v>0.01</v>
      </c>
      <c r="F266" s="1218" t="n">
        <v>1</v>
      </c>
      <c r="G266" s="1219" t="n">
        <v>0.2</v>
      </c>
      <c r="H266" s="1024" t="n">
        <v>3.2</v>
      </c>
      <c r="I266" s="999" t="n">
        <v>4</v>
      </c>
      <c r="J266" s="999">
        <f>D266*(1-E266) * (3.5%)</f>
        <v/>
      </c>
      <c r="K266" s="1220">
        <f>D266*(1-E266)*18%</f>
        <v/>
      </c>
      <c r="L266" s="1220">
        <f>((D266*(1-E266))-K266)*1.65%</f>
        <v/>
      </c>
      <c r="M266" s="1220">
        <f>((D266*(1-E266))-K266)*7.6%</f>
        <v/>
      </c>
      <c r="N266" s="1221">
        <f>(H266+I266+J266)*9.25% + (H266+I266)*12%</f>
        <v/>
      </c>
      <c r="O266" s="715" t="n">
        <v>1.29</v>
      </c>
      <c r="P266" s="1096" t="n">
        <v>5.04</v>
      </c>
      <c r="Q266" s="1024">
        <f>(D266*(1-E266)+(F266* O266)+N266)-(H266+I266+J266+K266+L266+M266+(P266*F266))</f>
        <v/>
      </c>
      <c r="R266" s="1002">
        <f>Q266/(D266*(1-E266))</f>
        <v/>
      </c>
      <c r="S266" s="1189" t="inlineStr">
        <is>
          <t>1</t>
        </is>
      </c>
      <c r="T266" s="1030" t="n"/>
    </row>
    <row r="267" ht="22.5" customHeight="1" s="1349">
      <c r="A267" s="1212" t="e">
        <v>#N/A</v>
      </c>
      <c r="B267" s="1213" t="inlineStr">
        <is>
          <t>Kit 1/2/5un Fita Adesiva Empacotamento 45mmx100m Koretech ProFix BR Selagem Caixa Papelão Embalagem</t>
        </is>
      </c>
      <c r="C267" s="1213" t="n"/>
      <c r="D267" s="1218" t="n">
        <v>24</v>
      </c>
      <c r="E267" s="1217" t="n">
        <v>0.01</v>
      </c>
      <c r="F267" s="1218" t="n">
        <v>1</v>
      </c>
      <c r="G267" s="1219" t="n">
        <v>0.2</v>
      </c>
      <c r="H267" s="1024" t="n">
        <v>4.800000000000001</v>
      </c>
      <c r="I267" s="999" t="n">
        <v>4</v>
      </c>
      <c r="J267" s="999">
        <f>D267*(1-E267) * (3.5%)</f>
        <v/>
      </c>
      <c r="K267" s="1220">
        <f>D267*(1-E267)*18%</f>
        <v/>
      </c>
      <c r="L267" s="1220">
        <f>((D267*(1-E267))-K267)*1.65%</f>
        <v/>
      </c>
      <c r="M267" s="1220">
        <f>((D267*(1-E267))-K267)*7.6%</f>
        <v/>
      </c>
      <c r="N267" s="1221">
        <f>(H267+I267+J267)*9.25% + (H267+I267)*12%</f>
        <v/>
      </c>
      <c r="O267" s="715" t="n">
        <v>2.58</v>
      </c>
      <c r="P267" s="1096" t="n">
        <v>10.08</v>
      </c>
      <c r="Q267" s="1024">
        <f>(D267*(1-E267)+(F267* O267)+N267)-(H267+I267+J267+K267+L267+M267+(P267*F267))</f>
        <v/>
      </c>
      <c r="R267" s="1002">
        <f>Q267/(D267*(1-E267))</f>
        <v/>
      </c>
      <c r="S267" s="1189" t="inlineStr">
        <is>
          <t>2</t>
        </is>
      </c>
      <c r="T267" s="1030" t="n"/>
    </row>
    <row r="268" ht="22.5" customHeight="1" s="1349">
      <c r="A268" s="1212" t="e">
        <v>#N/A</v>
      </c>
      <c r="B268" s="1213" t="inlineStr">
        <is>
          <t>Kit 1/2/5un Fita Adesiva Empacotamento 45mmx100m Koretech ProFix BR Selagem Caixa Papelão Embalagem</t>
        </is>
      </c>
      <c r="C268" s="1213" t="n"/>
      <c r="D268" s="1218" t="n">
        <v>48</v>
      </c>
      <c r="E268" s="1217" t="n">
        <v>0.01</v>
      </c>
      <c r="F268" s="1218" t="n">
        <v>1</v>
      </c>
      <c r="G268" s="1219" t="n">
        <v>0.2</v>
      </c>
      <c r="H268" s="1024" t="n">
        <v>9.600000000000001</v>
      </c>
      <c r="I268" s="999" t="n">
        <v>4</v>
      </c>
      <c r="J268" s="999">
        <f>D268*(1-E268) * (3.5%)</f>
        <v/>
      </c>
      <c r="K268" s="1220">
        <f>D268*(1-E268)*18%</f>
        <v/>
      </c>
      <c r="L268" s="1220">
        <f>((D268*(1-E268))-K268)*1.65%</f>
        <v/>
      </c>
      <c r="M268" s="1220">
        <f>((D268*(1-E268))-K268)*7.6%</f>
        <v/>
      </c>
      <c r="N268" s="1221">
        <f>(H268+I268+J268)*9.25% + (H268+I268)*12%</f>
        <v/>
      </c>
      <c r="O268" s="715" t="n">
        <v>6.45</v>
      </c>
      <c r="P268" s="1096" t="n">
        <v>25.2</v>
      </c>
      <c r="Q268" s="1024">
        <f>(D268*(1-E268)+(F268* O268)+N268)-(H268+I268+J268+K268+L268+M268+(P268*F268))</f>
        <v/>
      </c>
      <c r="R268" s="1002">
        <f>Q268/(D268*(1-E268))</f>
        <v/>
      </c>
      <c r="S268" s="1189" t="inlineStr">
        <is>
          <t>5</t>
        </is>
      </c>
      <c r="T268" s="1030" t="n"/>
    </row>
    <row r="269" ht="22.5" customHeight="1" s="1349">
      <c r="A269" s="1212" t="e">
        <v>#N/A</v>
      </c>
      <c r="B269" s="1213" t="inlineStr">
        <is>
          <t>Kit 10 Fita Adesiva Empacotamento 45mm X 100m Koretech Profix Br Selagem Caixa Papelão Atacado Obra</t>
        </is>
      </c>
      <c r="C269" s="1213" t="n"/>
      <c r="D269" s="1218" t="n">
        <v>87</v>
      </c>
      <c r="E269" s="1217" t="n">
        <v>0.01</v>
      </c>
      <c r="F269" s="1218" t="n">
        <v>1</v>
      </c>
      <c r="G269" s="1219" t="n">
        <v>0.14</v>
      </c>
      <c r="H269" s="1024" t="n">
        <v>12.18</v>
      </c>
      <c r="I269" s="999" t="n">
        <v>16</v>
      </c>
      <c r="J269" s="999">
        <f>D269*(1-E269) * (3.5%)</f>
        <v/>
      </c>
      <c r="K269" s="1220">
        <f>D269*(1-E269)*18%</f>
        <v/>
      </c>
      <c r="L269" s="1220">
        <f>((D269*(1-E269))-K269)*1.65%</f>
        <v/>
      </c>
      <c r="M269" s="1220">
        <f>((D269*(1-E269))-K269)*7.6%</f>
        <v/>
      </c>
      <c r="N269" s="1221">
        <f>(H269+I269+J269)*9.25% + (H269+I269)*12%</f>
        <v/>
      </c>
      <c r="O269" s="715" t="n">
        <v>12.9</v>
      </c>
      <c r="P269" s="1096" t="n">
        <v>50.4</v>
      </c>
      <c r="Q269" s="1024">
        <f>(D269*(1-E269)+(F269* O269)+N269)-(H269+I269+J269+K269+L269+M269+(P269*F269))</f>
        <v/>
      </c>
      <c r="R269" s="1002">
        <f>Q269/(D269*(1-E269))</f>
        <v/>
      </c>
      <c r="S269" s="1189" t="inlineStr">
        <is>
          <t>10</t>
        </is>
      </c>
      <c r="T269" s="1030" t="n"/>
    </row>
    <row r="270" ht="22.5" customHeight="1" s="1349">
      <c r="A270" s="1212" t="e">
        <v>#N/A</v>
      </c>
      <c r="B270" s="1213" t="inlineStr">
        <is>
          <t>Lapis Carpinteiro Irwin Marcacao Madeira Obra Construção Profissional Uso Oficina Industrial</t>
        </is>
      </c>
      <c r="C270" s="1213" t="n"/>
      <c r="D270" s="1218" t="n">
        <v>14.7</v>
      </c>
      <c r="E270" s="1217" t="n">
        <v>0.01</v>
      </c>
      <c r="F270" s="1218" t="n">
        <v>1</v>
      </c>
      <c r="G270" s="1219" t="n">
        <v>0.2</v>
      </c>
      <c r="H270" s="1024" t="n">
        <v>2.94</v>
      </c>
      <c r="I270" s="999" t="n">
        <v>4</v>
      </c>
      <c r="J270" s="999">
        <f>D270*(1-E270) * (3.5%)</f>
        <v/>
      </c>
      <c r="K270" s="1220">
        <f>D270*(1-E270)*18%</f>
        <v/>
      </c>
      <c r="L270" s="1220">
        <f>((D270*(1-E270))-K270)*1.65%</f>
        <v/>
      </c>
      <c r="M270" s="1220">
        <f>((D270*(1-E270))-K270)*7.6%</f>
        <v/>
      </c>
      <c r="N270" s="1221">
        <f>(H270+I270+J270)*9.25% + (H270+I270)*12%</f>
        <v/>
      </c>
      <c r="O270" s="1130" t="n"/>
      <c r="P270" s="1096" t="n">
        <v>1.37</v>
      </c>
      <c r="Q270" s="1024">
        <f>(D270*(1-E270)+(F270* O270)+N270)-(H270+I270+J270+K270+L270+M270+(P270*F270))</f>
        <v/>
      </c>
      <c r="R270" s="1002">
        <f>Q270/(D270*(1-E270))</f>
        <v/>
      </c>
      <c r="S270" s="1216" t="n"/>
      <c r="T270" s="1206" t="n"/>
    </row>
    <row r="271" ht="22.5" customHeight="1" s="1349">
      <c r="A271" s="1212" t="e">
        <v>#N/A</v>
      </c>
      <c r="B271" s="1213" t="inlineStr">
        <is>
          <t>Kit 6 Lapis Carpinteiro Irwin Profissional Madeira Grafite Marcenaria Construção Civil Oficina Pro</t>
        </is>
      </c>
      <c r="C271" s="1213" t="n"/>
      <c r="D271" s="1218" t="n">
        <v>33.5</v>
      </c>
      <c r="E271" s="1217" t="n">
        <v>0.01</v>
      </c>
      <c r="F271" s="1218" t="n">
        <v>6</v>
      </c>
      <c r="G271" s="1219" t="n">
        <v>0.2</v>
      </c>
      <c r="H271" s="1024" t="n">
        <v>6.7</v>
      </c>
      <c r="I271" s="999" t="n">
        <v>4</v>
      </c>
      <c r="J271" s="999">
        <f>D271*(1-E271) * (3.5%)</f>
        <v/>
      </c>
      <c r="K271" s="1220">
        <f>D271*(1-E271)*18%</f>
        <v/>
      </c>
      <c r="L271" s="1220">
        <f>((D271*(1-E271))-K271)*1.65%</f>
        <v/>
      </c>
      <c r="M271" s="1220">
        <f>((D271*(1-E271))-K271)*7.6%</f>
        <v/>
      </c>
      <c r="N271" s="1221">
        <f>(H271+I271+J271)*9.25% + (H271+I271)*12%</f>
        <v/>
      </c>
      <c r="O271" s="1130" t="n"/>
      <c r="P271" s="1096" t="n">
        <v>1.37</v>
      </c>
      <c r="Q271" s="1024">
        <f>(D271*(1-E271)+(F271* O271)+N271)-(H271+I271+J271+K271+L271+M271+(P271*F271))</f>
        <v/>
      </c>
      <c r="R271" s="1002">
        <f>Q271/(D271*(1-E271))</f>
        <v/>
      </c>
      <c r="S271" s="1216" t="n"/>
      <c r="T271" s="1206" t="n"/>
    </row>
    <row r="272" ht="22.5" customHeight="1" s="1349">
      <c r="A272" s="1212" t="e">
        <v>#N/A</v>
      </c>
      <c r="B272" s="1213" t="inlineStr">
        <is>
          <t>Kit 10 Lapis Carpinteiro Irwin Profissional Madeira Grafite Marcenaria Construção Civil Obras</t>
        </is>
      </c>
      <c r="C272" s="1213" t="n"/>
      <c r="D272" s="1218" t="n">
        <v>48.5</v>
      </c>
      <c r="E272" s="1217" t="n">
        <v>0.01</v>
      </c>
      <c r="F272" s="1218" t="n">
        <v>10</v>
      </c>
      <c r="G272" s="1219" t="n">
        <v>0.2</v>
      </c>
      <c r="H272" s="1024" t="n">
        <v>9.700000000000001</v>
      </c>
      <c r="I272" s="999" t="n">
        <v>4</v>
      </c>
      <c r="J272" s="999">
        <f>D272*(1-E272) * (3.5%)</f>
        <v/>
      </c>
      <c r="K272" s="1220">
        <f>D272*(1-E272)*18%</f>
        <v/>
      </c>
      <c r="L272" s="1220">
        <f>((D272*(1-E272))-K272)*1.65%</f>
        <v/>
      </c>
      <c r="M272" s="1220">
        <f>((D272*(1-E272))-K272)*7.6%</f>
        <v/>
      </c>
      <c r="N272" s="1221">
        <f>(H272+I272+J272)*9.25% + (H272+I272)*12%</f>
        <v/>
      </c>
      <c r="O272" s="1130" t="n"/>
      <c r="P272" s="1096" t="n">
        <v>1.37</v>
      </c>
      <c r="Q272" s="1024">
        <f>(D272*(1-E272)+(F272* O272)+N272)-(H272+I272+J272+K272+L272+M272+(P272*F272))</f>
        <v/>
      </c>
      <c r="R272" s="1002">
        <f>Q272/(D272*(1-E272))</f>
        <v/>
      </c>
      <c r="S272" s="1216" t="n"/>
      <c r="T272" s="1206" t="n"/>
    </row>
    <row r="273" ht="22.5" customHeight="1" s="1349">
      <c r="A273" s="1212" t="e">
        <v>#N/A</v>
      </c>
      <c r="B273" s="1213" t="inlineStr">
        <is>
          <t>Kit 72 Lápis para Carpinteiro Irwin Profissional Madeira Grafite Marcenaria Construção Civil Caixa</t>
        </is>
      </c>
      <c r="C273" s="1213" t="n"/>
      <c r="D273" s="1218" t="n">
        <v>338</v>
      </c>
      <c r="E273" s="1217" t="n">
        <v>0.01</v>
      </c>
      <c r="F273" s="1218" t="n">
        <v>72</v>
      </c>
      <c r="G273" s="1219" t="n">
        <v>0.14</v>
      </c>
      <c r="H273" s="1024" t="n">
        <v>47.32000000000001</v>
      </c>
      <c r="I273" s="999" t="n">
        <v>26</v>
      </c>
      <c r="J273" s="999">
        <f>D273*(1-E273) * (3.5%)</f>
        <v/>
      </c>
      <c r="K273" s="1220">
        <f>D273*(1-E273)*18%</f>
        <v/>
      </c>
      <c r="L273" s="1220">
        <f>((D273*(1-E273))-K273)*1.65%</f>
        <v/>
      </c>
      <c r="M273" s="1220">
        <f>((D273*(1-E273))-K273)*7.6%</f>
        <v/>
      </c>
      <c r="N273" s="1221">
        <f>(H273+I273+J273)*9.25% + (H273+I273)*12%</f>
        <v/>
      </c>
      <c r="O273" s="1130" t="n"/>
      <c r="P273" s="1096" t="n">
        <v>1.37</v>
      </c>
      <c r="Q273" s="1024">
        <f>(D273*(1-E273)+(F273* O273)+N273)-(H273+I273+J273+K273+L273+M273+(P273*F273))</f>
        <v/>
      </c>
      <c r="R273" s="1002">
        <f>Q273/(D273*(1-E273))</f>
        <v/>
      </c>
      <c r="S273" s="1216" t="n"/>
      <c r="T273" s="1206" t="n"/>
    </row>
    <row r="274" ht="22.5" customHeight="1" s="1349">
      <c r="A274" s="1212" t="e">
        <v>#N/A</v>
      </c>
      <c r="B274" s="1213" t="inlineStr">
        <is>
          <t>Kit 1/5un Disco Corte Metal Aço Inox Norton BNA12 115X1mm Esmerilhadeira Abrasivo Reparo Serralheria</t>
        </is>
      </c>
      <c r="C274" s="1213" t="n"/>
      <c r="D274" s="1218" t="n">
        <v>16</v>
      </c>
      <c r="E274" s="1217" t="n">
        <v>0.01</v>
      </c>
      <c r="F274" s="1218" t="n">
        <v>1</v>
      </c>
      <c r="G274" s="1219" t="n">
        <v>0.2</v>
      </c>
      <c r="H274" s="1024" t="n">
        <v>3.2</v>
      </c>
      <c r="I274" s="999" t="n">
        <v>4</v>
      </c>
      <c r="J274" s="999">
        <f>D274*(1-E274) * (3.5%)</f>
        <v/>
      </c>
      <c r="K274" s="1220">
        <f>D274*(1-E274)*18%</f>
        <v/>
      </c>
      <c r="L274" s="1220">
        <f>((D274*(1-E274))-K274)*1.65%</f>
        <v/>
      </c>
      <c r="M274" s="1220">
        <f>((D274*(1-E274))-K274)*7.6%</f>
        <v/>
      </c>
      <c r="N274" s="1221">
        <f>(H274+I274+J274)*9.25% + (H274+I274)*12%</f>
        <v/>
      </c>
      <c r="O274" s="715" t="n">
        <v>1.27</v>
      </c>
      <c r="P274" s="1096" t="n">
        <v>4.97</v>
      </c>
      <c r="Q274" s="1024">
        <f>(D274*(1-E274)+(F274* O274)+N274)-(H274+I274+J274+K274+L274+M274+(P274*F274))</f>
        <v/>
      </c>
      <c r="R274" s="1002">
        <f>Q274/(D274*(1-E274))</f>
        <v/>
      </c>
      <c r="S274" s="1189" t="inlineStr">
        <is>
          <t>1</t>
        </is>
      </c>
      <c r="T274" s="1030" t="n"/>
    </row>
    <row r="275" ht="22.5" customHeight="1" s="1349">
      <c r="A275" s="1212" t="e">
        <v>#N/A</v>
      </c>
      <c r="B275" s="1213" t="inlineStr">
        <is>
          <t>Kit 1/5un Disco Corte Metal Aço Inox Norton BNA12 115X1mm Esmerilhadeira Abrasivo Reparo Serralheria</t>
        </is>
      </c>
      <c r="C275" s="1213" t="n"/>
      <c r="D275" s="1218" t="n">
        <v>48</v>
      </c>
      <c r="E275" s="1217" t="n">
        <v>0.01</v>
      </c>
      <c r="F275" s="1218" t="n">
        <v>1</v>
      </c>
      <c r="G275" s="1219" t="n">
        <v>0.2</v>
      </c>
      <c r="H275" s="1024" t="n">
        <v>9.600000000000001</v>
      </c>
      <c r="I275" s="999" t="n">
        <v>4</v>
      </c>
      <c r="J275" s="999">
        <f>D275*(1-E275) * (3.5%)</f>
        <v/>
      </c>
      <c r="K275" s="1220">
        <f>D275*(1-E275)*18%</f>
        <v/>
      </c>
      <c r="L275" s="1220">
        <f>((D275*(1-E275))-K275)*1.65%</f>
        <v/>
      </c>
      <c r="M275" s="1220">
        <f>((D275*(1-E275))-K275)*7.6%</f>
        <v/>
      </c>
      <c r="N275" s="1221">
        <f>(H275+I275+J275)*9.25% + (H275+I275)*12%</f>
        <v/>
      </c>
      <c r="O275" s="715" t="n">
        <v>6.35</v>
      </c>
      <c r="P275" s="1096" t="n">
        <v>24.85</v>
      </c>
      <c r="Q275" s="1024">
        <f>(D275*(1-E275)+(F275* O275)+N275)-(H275+I275+J275+K275+L275+M275+(P275*F275))</f>
        <v/>
      </c>
      <c r="R275" s="1002">
        <f>Q275/(D275*(1-E275))</f>
        <v/>
      </c>
      <c r="S275" s="1189" t="inlineStr">
        <is>
          <t>5</t>
        </is>
      </c>
      <c r="T275" s="1030" t="n"/>
    </row>
    <row r="276" ht="22.5" customHeight="1" s="1349">
      <c r="A276" s="1212" t="e">
        <v>#N/A</v>
      </c>
      <c r="B276" s="1213" t="inlineStr">
        <is>
          <t>Kit 8 Disco Corte Metal Aço Inox Norton BNA12 115x1mm Esmerilhadeira Abrasivo Oficina Serralheria</t>
        </is>
      </c>
      <c r="C276" s="1213" t="n"/>
      <c r="D276" s="1218" t="n">
        <v>70</v>
      </c>
      <c r="E276" s="1217" t="n">
        <v>0.01</v>
      </c>
      <c r="F276" s="1218" t="n">
        <v>1</v>
      </c>
      <c r="G276" s="1219" t="n">
        <v>0.2</v>
      </c>
      <c r="H276" s="1024" t="n">
        <v>14</v>
      </c>
      <c r="I276" s="999" t="n">
        <v>4</v>
      </c>
      <c r="J276" s="999">
        <f>D276*(1-E276) * (3.5%)</f>
        <v/>
      </c>
      <c r="K276" s="1220">
        <f>D276*(1-E276)*18%</f>
        <v/>
      </c>
      <c r="L276" s="1220">
        <f>((D276*(1-E276))-K276)*1.65%</f>
        <v/>
      </c>
      <c r="M276" s="1220">
        <f>((D276*(1-E276))-K276)*7.6%</f>
        <v/>
      </c>
      <c r="N276" s="1221">
        <f>(H276+I276+J276)*9.25% + (H276+I276)*12%</f>
        <v/>
      </c>
      <c r="O276" s="715" t="n">
        <v>10.16</v>
      </c>
      <c r="P276" s="1096" t="n">
        <v>39.76</v>
      </c>
      <c r="Q276" s="1024">
        <f>(D276*(1-E276)+(F276* O276)+N276)-(H276+I276+J276+K276+L276+M276+(P276*F276))</f>
        <v/>
      </c>
      <c r="R276" s="1002">
        <f>Q276/(D276*(1-E276))</f>
        <v/>
      </c>
      <c r="S276" s="1216" t="n"/>
      <c r="T276" s="1206" t="n"/>
    </row>
    <row r="277" ht="22.5" customHeight="1" s="1349">
      <c r="A277" s="1212" t="e">
        <v>#N/A</v>
      </c>
      <c r="B277" s="1213" t="inlineStr">
        <is>
          <t>Kit 1 ou 4 Fita Perfurada Aço Galvanizado Âncora 17/19mmx30m Fixação Estrutura Construção Hidráulica</t>
        </is>
      </c>
      <c r="C277" s="1213" t="n"/>
      <c r="D277" s="1218" t="n">
        <v>60</v>
      </c>
      <c r="E277" s="1217" t="n">
        <v>0.01</v>
      </c>
      <c r="F277" s="1218" t="n">
        <v>1</v>
      </c>
      <c r="G277" s="1219" t="n">
        <v>0.2</v>
      </c>
      <c r="H277" s="1024" t="n">
        <v>12</v>
      </c>
      <c r="I277" s="999" t="n">
        <v>4</v>
      </c>
      <c r="J277" s="999">
        <f>D277*(1-E277) * (3.5%)</f>
        <v/>
      </c>
      <c r="K277" s="1220">
        <f>D277*(1-E277)*18%</f>
        <v/>
      </c>
      <c r="L277" s="1220">
        <f>((D277*(1-E277))-K277)*1.65%</f>
        <v/>
      </c>
      <c r="M277" s="1220">
        <f>((D277*(1-E277))-K277)*7.6%</f>
        <v/>
      </c>
      <c r="N277" s="1221">
        <f>(H277+I277+J277)*9.25% + (H277+I277)*12%</f>
        <v/>
      </c>
      <c r="O277" s="715" t="n">
        <v>3.26</v>
      </c>
      <c r="P277" s="1096" t="n">
        <v>26.15</v>
      </c>
      <c r="Q277" s="1024">
        <f>(D277*(1-E277)+(F277* O277)+N277)-(H277+I277+J277+K277+L277+M277+(P277*F277))</f>
        <v/>
      </c>
      <c r="R277" s="1002">
        <f>Q277/(D277*(1-E277))</f>
        <v/>
      </c>
      <c r="S277" s="1189" t="inlineStr">
        <is>
          <t>19x30 1</t>
        </is>
      </c>
      <c r="T277" s="1030" t="n"/>
    </row>
    <row r="278" ht="22.5" customHeight="1" s="1349">
      <c r="A278" s="1212" t="e">
        <v>#N/A</v>
      </c>
      <c r="B278" s="1213" t="inlineStr">
        <is>
          <t>Kit 1 ou 4 Fita Perfurada Aço Galvanizado Âncora 17/19mmx30m Fixação Estrutura Construção Hidráulica</t>
        </is>
      </c>
      <c r="C278" s="1213" t="n"/>
      <c r="D278" s="1218" t="n">
        <v>55</v>
      </c>
      <c r="E278" s="1217" t="n">
        <v>0.01</v>
      </c>
      <c r="F278" s="1218" t="n">
        <v>1</v>
      </c>
      <c r="G278" s="1219" t="n">
        <v>0.2</v>
      </c>
      <c r="H278" s="1024" t="n">
        <v>11</v>
      </c>
      <c r="I278" s="999" t="n">
        <v>4</v>
      </c>
      <c r="J278" s="999">
        <f>D278*(1-E278) * (3.5%)</f>
        <v/>
      </c>
      <c r="K278" s="1220">
        <f>D278*(1-E278)*18%</f>
        <v/>
      </c>
      <c r="L278" s="1220">
        <f>((D278*(1-E278))-K278)*1.65%</f>
        <v/>
      </c>
      <c r="M278" s="1220">
        <f>((D278*(1-E278))-K278)*7.6%</f>
        <v/>
      </c>
      <c r="N278" s="1221">
        <f>(H278+I278+J278)*9.25% + (H278+I278)*12%</f>
        <v/>
      </c>
      <c r="O278" s="715" t="n">
        <v>3.13</v>
      </c>
      <c r="P278" s="1096" t="n">
        <v>25.08</v>
      </c>
      <c r="Q278" s="1024">
        <f>(D278*(1-E278)+(F278* O278)+N278)-(H278+I278+J278+K278+L278+M278+(P278*F278))</f>
        <v/>
      </c>
      <c r="R278" s="1002">
        <f>Q278/(D278*(1-E278))</f>
        <v/>
      </c>
      <c r="S278" s="1189" t="inlineStr">
        <is>
          <t>17x30 1</t>
        </is>
      </c>
      <c r="T278" s="1030" t="n"/>
    </row>
    <row r="279" ht="22.5" customHeight="1" s="1349">
      <c r="A279" s="1212" t="e">
        <v>#N/A</v>
      </c>
      <c r="B279" s="1213" t="inlineStr">
        <is>
          <t>Kit 1 ou 4 Fita Perfurada Aço Galvanizado Âncora 17/19mmx30m Fixação Estrutura Construção Hidráulica</t>
        </is>
      </c>
      <c r="C279" s="1213" t="n"/>
      <c r="D279" s="1218" t="n">
        <v>210</v>
      </c>
      <c r="E279" s="1217" t="n">
        <v>0.01</v>
      </c>
      <c r="F279" s="1218" t="n">
        <v>1</v>
      </c>
      <c r="G279" s="1219" t="n">
        <v>0.14</v>
      </c>
      <c r="H279" s="1024" t="n">
        <v>29.4</v>
      </c>
      <c r="I279" s="999" t="n">
        <v>26</v>
      </c>
      <c r="J279" s="999">
        <f>D279*(1-E279) * (3.5%)</f>
        <v/>
      </c>
      <c r="K279" s="1220">
        <f>D279*(1-E279)*18%</f>
        <v/>
      </c>
      <c r="L279" s="1220">
        <f>((D279*(1-E279))-K279)*1.65%</f>
        <v/>
      </c>
      <c r="M279" s="1220">
        <f>((D279*(1-E279))-K279)*7.6%</f>
        <v/>
      </c>
      <c r="N279" s="1221">
        <f>(H279+I279+J279)*9.25% + (H279+I279)*12%</f>
        <v/>
      </c>
      <c r="O279" s="715" t="n">
        <v>13.04</v>
      </c>
      <c r="P279" s="1096" t="n">
        <v>104.6</v>
      </c>
      <c r="Q279" s="1024">
        <f>(D279*(1-E279)+(F279* O279)+N279)-(H279+I279+J279+K279+L279+M279+(P279*F279))</f>
        <v/>
      </c>
      <c r="R279" s="1002">
        <f>Q279/(D279*(1-E279))</f>
        <v/>
      </c>
      <c r="S279" s="1189" t="inlineStr">
        <is>
          <t>19x30 4</t>
        </is>
      </c>
      <c r="T279" s="1030" t="n"/>
    </row>
    <row r="280" ht="22.5" customHeight="1" s="1349">
      <c r="A280" s="1212" t="e">
        <v>#N/A</v>
      </c>
      <c r="B280" s="1213" t="inlineStr">
        <is>
          <t>Kit 1 ou 4 Fita Perfurada Aço Galvanizado Âncora 17/19mmx30m Fixação Estrutura Construção Hidráulica</t>
        </is>
      </c>
      <c r="C280" s="1213" t="n"/>
      <c r="D280" s="1218" t="n">
        <v>200</v>
      </c>
      <c r="E280" s="1217" t="n">
        <v>0.01</v>
      </c>
      <c r="F280" s="1218" t="n">
        <v>1</v>
      </c>
      <c r="G280" s="1219" t="n">
        <v>0.14</v>
      </c>
      <c r="H280" s="1024" t="n">
        <v>28</v>
      </c>
      <c r="I280" s="999" t="n">
        <v>26</v>
      </c>
      <c r="J280" s="999">
        <f>D280*(1-E280) * (3.5%)</f>
        <v/>
      </c>
      <c r="K280" s="1220">
        <f>D280*(1-E280)*18%</f>
        <v/>
      </c>
      <c r="L280" s="1220">
        <f>((D280*(1-E280))-K280)*1.65%</f>
        <v/>
      </c>
      <c r="M280" s="1220">
        <f>((D280*(1-E280))-K280)*7.6%</f>
        <v/>
      </c>
      <c r="N280" s="1221">
        <f>(H280+I280+J280)*9.25% + (H280+I280)*12%</f>
        <v/>
      </c>
      <c r="O280" s="715" t="n">
        <v>12.52</v>
      </c>
      <c r="P280" s="1096" t="n">
        <v>100.32</v>
      </c>
      <c r="Q280" s="1024">
        <f>(D280*(1-E280)+(F280* O280)+N280)-(H280+I280+J280+K280+L280+M280+(P280*F280))</f>
        <v/>
      </c>
      <c r="R280" s="1002">
        <f>Q280/(D280*(1-E280))</f>
        <v/>
      </c>
      <c r="S280" s="1189" t="inlineStr">
        <is>
          <t>17x30 4</t>
        </is>
      </c>
      <c r="T280" s="1030" t="n"/>
    </row>
    <row r="281" ht="22.5" customHeight="1" s="1349">
      <c r="A281" s="1212" t="n">
        <v>10034034167061</v>
      </c>
      <c r="B281" s="1213" t="inlineStr">
        <is>
          <t>Faixa Lombar Ergonômica Cinta Mazola Standard Sustentação Coluna Ajustável Velcro Peso Cinturão</t>
        </is>
      </c>
      <c r="C281" s="1213" t="n"/>
      <c r="D281" s="1218" t="n">
        <v>54.2</v>
      </c>
      <c r="E281" s="1217" t="n">
        <v>0.01</v>
      </c>
      <c r="F281" s="1218" t="n">
        <v>1</v>
      </c>
      <c r="G281" s="1219" t="n">
        <v>0.2</v>
      </c>
      <c r="H281" s="1024" t="n">
        <v>12</v>
      </c>
      <c r="I281" s="999" t="n">
        <v>4</v>
      </c>
      <c r="J281" s="999">
        <f>D281*(1-E281) * (3.5%)</f>
        <v/>
      </c>
      <c r="K281" s="1220">
        <f>D281*(1-E281)*18%</f>
        <v/>
      </c>
      <c r="L281" s="1220">
        <f>((D281*(1-E281))-K281)*1.65%</f>
        <v/>
      </c>
      <c r="M281" s="1220">
        <f>((D281*(1-E281))-K281)*7.6%</f>
        <v/>
      </c>
      <c r="N281" s="1221">
        <f>(H281+I281+J281)*9.25% + (H281+I281)*12%</f>
        <v/>
      </c>
      <c r="O281" s="715" t="n">
        <v>2.19</v>
      </c>
      <c r="P281" s="1096" t="n">
        <v>23.68</v>
      </c>
      <c r="Q281" s="1024">
        <f>(D281*(1-E281)+(F281* O281)+N281)-(H281+I281+J281+K281+L281+M281+(P281*F281))</f>
        <v/>
      </c>
      <c r="R281" s="1002">
        <f>Q281/(D281*(1-E281))</f>
        <v/>
      </c>
      <c r="S281" s="1189" t="inlineStr">
        <is>
          <t>M, G e GG</t>
        </is>
      </c>
      <c r="T281" s="1030" t="n"/>
    </row>
    <row r="282" ht="22.5" customHeight="1" s="1349">
      <c r="A282" s="1212" t="e">
        <v>#N/A</v>
      </c>
      <c r="B282" s="1213" t="inlineStr">
        <is>
          <t>Kit 3 Luva Danny Gladiador Látex Rugoso Térmica CA 8082 EPI Proteção Mecânica Construção Civil Carga</t>
        </is>
      </c>
      <c r="C282" s="1213" t="n"/>
      <c r="D282" s="1218" t="n">
        <v>42</v>
      </c>
      <c r="E282" s="1217" t="n">
        <v>0.01</v>
      </c>
      <c r="F282" s="1218" t="n">
        <v>1</v>
      </c>
      <c r="G282" s="1219" t="n">
        <v>0.2</v>
      </c>
      <c r="H282" s="1024" t="n">
        <v>8.4</v>
      </c>
      <c r="I282" s="999" t="n">
        <v>4</v>
      </c>
      <c r="J282" s="999">
        <f>D282*(1-E282) * (3.5%)</f>
        <v/>
      </c>
      <c r="K282" s="1220">
        <f>D282*(1-E282)*18%</f>
        <v/>
      </c>
      <c r="L282" s="1220">
        <f>((D282*(1-E282))-K282)*1.65%</f>
        <v/>
      </c>
      <c r="M282" s="1220">
        <f>((D282*(1-E282))-K282)*7.6%</f>
        <v/>
      </c>
      <c r="N282" s="1221">
        <f>(H282+I282+J282)*9.25% + (H282+I282)*12%</f>
        <v/>
      </c>
      <c r="O282" s="715" t="n">
        <v>2.3</v>
      </c>
      <c r="P282" s="1096" t="n">
        <v>17.82</v>
      </c>
      <c r="Q282" s="1024">
        <f>(D282*(1-E282)+(F282* O282)+N282)-(H282+I282+J282+K282+L282+M282+(P282*F282))</f>
        <v/>
      </c>
      <c r="R282" s="1002">
        <f>Q282/(D282*(1-E282))</f>
        <v/>
      </c>
      <c r="S282" s="1189" t="inlineStr">
        <is>
          <t>M a EXG</t>
        </is>
      </c>
      <c r="T282" s="1030" t="n"/>
    </row>
    <row r="283" ht="22.5" customHeight="1" s="1349">
      <c r="A283" s="1212" t="e">
        <v>#N/A</v>
      </c>
      <c r="B283" s="1213" t="inlineStr">
        <is>
          <t>Kit 2 Luva Anticorte HPPE Proteção Tátil Super Safety SS 1007 CA 32039 Indústria Montagem Eletrônica</t>
        </is>
      </c>
      <c r="C283" s="1213" t="n"/>
      <c r="D283" s="1218" t="n">
        <v>70</v>
      </c>
      <c r="E283" s="1217" t="n">
        <v>0.01</v>
      </c>
      <c r="F283" s="1218" t="n">
        <v>1</v>
      </c>
      <c r="G283" s="1219" t="n">
        <v>0.2</v>
      </c>
      <c r="H283" s="1024" t="n">
        <v>14</v>
      </c>
      <c r="I283" s="999" t="n">
        <v>4</v>
      </c>
      <c r="J283" s="999">
        <f>D283*(1-E283) * (3.5%)</f>
        <v/>
      </c>
      <c r="K283" s="1220">
        <f>D283*(1-E283)*18%</f>
        <v/>
      </c>
      <c r="L283" s="1220">
        <f>((D283*(1-E283))-K283)*1.65%</f>
        <v/>
      </c>
      <c r="M283" s="1220">
        <f>((D283*(1-E283))-K283)*7.6%</f>
        <v/>
      </c>
      <c r="N283" s="1221">
        <f>(H283+I283+J283)*9.25% + (H283+I283)*12%</f>
        <v/>
      </c>
      <c r="O283" s="715" t="n">
        <v>4.33</v>
      </c>
      <c r="P283" s="1096" t="n">
        <v>33.6</v>
      </c>
      <c r="Q283" s="1024">
        <f>(D283*(1-E283)+(F283* O283)+N283)-(H283+I283+J283+K283+L283+M283+(P283*F283))</f>
        <v/>
      </c>
      <c r="R283" s="1002">
        <f>Q283/(D283*(1-E283))</f>
        <v/>
      </c>
      <c r="S283" s="1216" t="n"/>
      <c r="T283" s="1206" t="n"/>
    </row>
    <row r="284" ht="22.5" customHeight="1" s="1349">
      <c r="A284" s="1212" t="e">
        <v>#N/A</v>
      </c>
      <c r="B284" s="1213" t="inlineStr">
        <is>
          <t>Kit 5 Luva Látex Natural Danny Confort Forrada Antiderrapante CA 15532 Limpeza Química Industrial</t>
        </is>
      </c>
      <c r="C284" s="1213" t="n"/>
      <c r="D284" s="1218" t="n">
        <v>29</v>
      </c>
      <c r="E284" s="1217" t="n">
        <v>0.01</v>
      </c>
      <c r="F284" s="1218" t="n">
        <v>1</v>
      </c>
      <c r="G284" s="1219" t="n">
        <v>0.2</v>
      </c>
      <c r="H284" s="1024" t="n">
        <v>5.800000000000001</v>
      </c>
      <c r="I284" s="999" t="n">
        <v>4</v>
      </c>
      <c r="J284" s="999">
        <f>D284*(1-E284) * (3.5%)</f>
        <v/>
      </c>
      <c r="K284" s="1220">
        <f>D284*(1-E284)*18%</f>
        <v/>
      </c>
      <c r="L284" s="1220">
        <f>((D284*(1-E284))-K284)*1.65%</f>
        <v/>
      </c>
      <c r="M284" s="1220">
        <f>((D284*(1-E284))-K284)*7.6%</f>
        <v/>
      </c>
      <c r="N284" s="1221">
        <f>(H284+I284+J284)*9.25% + (H284+I284)*12%</f>
        <v/>
      </c>
      <c r="O284" s="715" t="n">
        <v>1.5</v>
      </c>
      <c r="P284" s="1096" t="n">
        <v>11.55</v>
      </c>
      <c r="Q284" s="1024">
        <f>(D284*(1-E284)+(F284* O284)+N284)-(H284+I284+J284+K284+L284+M284+(P284*F284))</f>
        <v/>
      </c>
      <c r="R284" s="1002">
        <f>Q284/(D284*(1-E284))</f>
        <v/>
      </c>
      <c r="S284" s="1189" t="inlineStr">
        <is>
          <t>P, M e G</t>
        </is>
      </c>
      <c r="T284" s="1030" t="n"/>
    </row>
    <row r="285" ht="22.5" customHeight="1" s="1349">
      <c r="A285" s="1212" t="e">
        <v>#N/A</v>
      </c>
      <c r="B285" s="1213" t="inlineStr">
        <is>
          <t>Kit 12 Luva Danny Conforto Latex Amarelo Protecao Mecanica EPI Uso Profissional Industrial Seguro</t>
        </is>
      </c>
      <c r="C285" s="1213" t="n"/>
      <c r="D285" s="1218" t="n">
        <v>105</v>
      </c>
      <c r="E285" s="1217" t="n">
        <v>0.01</v>
      </c>
      <c r="F285" s="1218" t="n">
        <v>12</v>
      </c>
      <c r="G285" s="1219" t="n">
        <v>0.14</v>
      </c>
      <c r="H285" s="1024" t="n">
        <v>14.7</v>
      </c>
      <c r="I285" s="999" t="n">
        <v>20</v>
      </c>
      <c r="J285" s="999">
        <f>D285*(1-E285) * (3.5%)</f>
        <v/>
      </c>
      <c r="K285" s="1220">
        <f>D285*(1-E285)*18%</f>
        <v/>
      </c>
      <c r="L285" s="1220">
        <f>((D285*(1-E285))-K285)*1.65%</f>
        <v/>
      </c>
      <c r="M285" s="1220">
        <f>((D285*(1-E285))-K285)*7.6%</f>
        <v/>
      </c>
      <c r="N285" s="1221">
        <f>(H285+I285+J285)*9.25% + (H285+I285)*12%</f>
        <v/>
      </c>
      <c r="O285" s="1130" t="n"/>
      <c r="P285" s="1096" t="n">
        <v>2.31</v>
      </c>
      <c r="Q285" s="1024">
        <f>(D285*(1-E285)+(F285* O285)+N285)-(H285+I285+J285+K285+L285+M285+(P285*F285))</f>
        <v/>
      </c>
      <c r="R285" s="1002">
        <f>Q285/(D285*(1-E285))</f>
        <v/>
      </c>
      <c r="S285" s="1189" t="n"/>
      <c r="T285" s="1030" t="n"/>
    </row>
    <row r="286" ht="22.5" customHeight="1" s="1349">
      <c r="A286" s="1212" t="e">
        <v>#N/A</v>
      </c>
      <c r="B286" s="1213" t="inlineStr">
        <is>
          <t>Disco Diamantado Desbaste Copo 115mm Rosca M14 Hessen Concreto Argamassa Alvenaria Esmerilhadeira</t>
        </is>
      </c>
      <c r="C286" s="1213" t="n"/>
      <c r="D286" s="1218" t="n">
        <v>100</v>
      </c>
      <c r="E286" s="1217" t="n">
        <v>0.01</v>
      </c>
      <c r="F286" s="1218" t="n">
        <v>1</v>
      </c>
      <c r="G286" s="1219" t="n">
        <v>0.14</v>
      </c>
      <c r="H286" s="1024" t="n">
        <v>14</v>
      </c>
      <c r="I286" s="999" t="n">
        <v>20</v>
      </c>
      <c r="J286" s="999">
        <f>D286*(1-E286) * (3.5%)</f>
        <v/>
      </c>
      <c r="K286" s="1220">
        <f>D286*(1-E286)*18%</f>
        <v/>
      </c>
      <c r="L286" s="1220">
        <f>((D286*(1-E286))-K286)*1.65%</f>
        <v/>
      </c>
      <c r="M286" s="1220">
        <f>((D286*(1-E286))-K286)*7.6%</f>
        <v/>
      </c>
      <c r="N286" s="1221">
        <f>(H286+I286+J286)*9.25% + (H286+I286)*12%</f>
        <v/>
      </c>
      <c r="O286" s="1130" t="n"/>
      <c r="P286" s="1190" t="n">
        <v>42.94</v>
      </c>
      <c r="Q286" s="1024">
        <f>(D286*(1-E286)+(F286* O286)+N286)-(H286+I286+J286+K286+L286+M286+(P286*F286))</f>
        <v/>
      </c>
      <c r="R286" s="1002">
        <f>Q286/(D286*(1-E286))</f>
        <v/>
      </c>
      <c r="S286" s="1189" t="n"/>
      <c r="T286" s="1030" t="n"/>
    </row>
    <row r="287" ht="22.5" customHeight="1" s="1349">
      <c r="A287" s="1212" t="e">
        <v>#N/A</v>
      </c>
      <c r="B287" s="1213" t="inlineStr">
        <is>
          <t>Kit 4 Creme Protetor Pele Nutriex Luva Quimica Plus GR3 Uso Industrial Proteção Limpeza Trabalho Uso</t>
        </is>
      </c>
      <c r="C287" s="1213" t="n"/>
      <c r="D287" s="1218" t="n">
        <v>50</v>
      </c>
      <c r="E287" s="1217" t="n">
        <v>0.01</v>
      </c>
      <c r="F287" s="1218" t="n">
        <v>1</v>
      </c>
      <c r="G287" s="1219" t="n">
        <v>0.2</v>
      </c>
      <c r="H287" s="1024" t="n">
        <v>10</v>
      </c>
      <c r="I287" s="999" t="n">
        <v>4</v>
      </c>
      <c r="J287" s="999">
        <f>D287*(1-E287) * (3.5%)</f>
        <v/>
      </c>
      <c r="K287" s="1220">
        <f>D287*(1-E287)*18%</f>
        <v/>
      </c>
      <c r="L287" s="1220">
        <f>((D287*(1-E287))-K287)*1.65%</f>
        <v/>
      </c>
      <c r="M287" s="1220">
        <f>((D287*(1-E287))-K287)*7.6%</f>
        <v/>
      </c>
      <c r="N287" s="1221">
        <f>(H287+I287+J287)*9.25% + (H287+I287)*12%</f>
        <v/>
      </c>
      <c r="O287" s="715" t="n">
        <v>2.16</v>
      </c>
      <c r="P287" s="1096" t="n">
        <v>20.57</v>
      </c>
      <c r="Q287" s="1024">
        <f>(D287*(1-E287)+(F287* O287)+N287)-(H287+I287+J287+K287+L287+M287+(P287*F287))</f>
        <v/>
      </c>
      <c r="R287" s="1002">
        <f>Q287/(D287*(1-E287))</f>
        <v/>
      </c>
      <c r="S287" s="1216" t="n"/>
      <c r="T287" s="1206" t="n"/>
    </row>
    <row r="288" ht="22.5" customHeight="1" s="1349">
      <c r="A288" s="1212" t="e">
        <v>#N/A</v>
      </c>
      <c r="B288" s="1213" t="inlineStr">
        <is>
          <t>Kit 1 ou 2 Disco Flap Fibra R244 180mm G60 Norton Desbaste Metal Aço Inox Lixadeira Esmerilhadeira</t>
        </is>
      </c>
      <c r="C288" s="1213" t="n"/>
      <c r="D288" s="1218" t="n">
        <v>27.5</v>
      </c>
      <c r="E288" s="1217" t="n">
        <v>0.01</v>
      </c>
      <c r="F288" s="1218" t="n">
        <v>1</v>
      </c>
      <c r="G288" s="1219" t="n">
        <v>0.2</v>
      </c>
      <c r="H288" s="1024" t="n">
        <v>5.5</v>
      </c>
      <c r="I288" s="999" t="n">
        <v>4</v>
      </c>
      <c r="J288" s="999">
        <f>D288*(1-E288) * (3.5%)</f>
        <v/>
      </c>
      <c r="K288" s="1220">
        <f>D288*(1-E288)*18%</f>
        <v/>
      </c>
      <c r="L288" s="1220">
        <f>((D288*(1-E288))-K288)*1.65%</f>
        <v/>
      </c>
      <c r="M288" s="1220">
        <f>((D288*(1-E288))-K288)*7.6%</f>
        <v/>
      </c>
      <c r="N288" s="1221">
        <f>(H288+I288+J288)*9.25% + (H288+I288)*12%</f>
        <v/>
      </c>
      <c r="O288" s="715" t="n">
        <v>3.07</v>
      </c>
      <c r="P288" s="1096" t="n">
        <v>12</v>
      </c>
      <c r="Q288" s="1024">
        <f>(D288*(1-E288)+(F288* O288)+N288)-(H288+I288+J288+K288+L288+M288+(P288*F288))</f>
        <v/>
      </c>
      <c r="R288" s="1002">
        <f>Q288/(D288*(1-E288))</f>
        <v/>
      </c>
      <c r="S288" s="1189" t="inlineStr">
        <is>
          <t>1</t>
        </is>
      </c>
      <c r="T288" s="1030" t="n"/>
    </row>
    <row r="289" ht="22.5" customHeight="1" s="1349">
      <c r="A289" s="1212" t="e">
        <v>#N/A</v>
      </c>
      <c r="B289" s="1213" t="inlineStr">
        <is>
          <t>Kit 1 ou 2 Disco Flap Fibra R244 180mm G60 Norton Desbaste Metal Aço Inox Lixadeira Esmerilhadeira</t>
        </is>
      </c>
      <c r="C289" s="1213" t="n"/>
      <c r="D289" s="1218" t="n">
        <v>46.5</v>
      </c>
      <c r="E289" s="1217" t="n">
        <v>0.01</v>
      </c>
      <c r="F289" s="1218" t="n">
        <v>1</v>
      </c>
      <c r="G289" s="1219" t="n">
        <v>0.2</v>
      </c>
      <c r="H289" s="1024" t="n">
        <v>9.300000000000001</v>
      </c>
      <c r="I289" s="999" t="n">
        <v>4</v>
      </c>
      <c r="J289" s="999">
        <f>D289*(1-E289) * (3.5%)</f>
        <v/>
      </c>
      <c r="K289" s="1220">
        <f>D289*(1-E289)*18%</f>
        <v/>
      </c>
      <c r="L289" s="1220">
        <f>((D289*(1-E289))-K289)*1.65%</f>
        <v/>
      </c>
      <c r="M289" s="1220">
        <f>((D289*(1-E289))-K289)*7.6%</f>
        <v/>
      </c>
      <c r="N289" s="1221">
        <f>(H289+I289+J289)*9.25% + (H289+I289)*12%</f>
        <v/>
      </c>
      <c r="O289" s="715" t="n">
        <v>6.14</v>
      </c>
      <c r="P289" s="1096" t="n">
        <v>24</v>
      </c>
      <c r="Q289" s="1024">
        <f>(D289*(1-E289)+(F289* O289)+N289)-(H289+I289+J289+K289+L289+M289+(P289*F289))</f>
        <v/>
      </c>
      <c r="R289" s="1002">
        <f>Q289/(D289*(1-E289))</f>
        <v/>
      </c>
      <c r="S289" s="1189" t="inlineStr">
        <is>
          <t>2</t>
        </is>
      </c>
      <c r="T289" s="1030" t="n"/>
    </row>
    <row r="290" ht="22.5" customHeight="1" s="1349">
      <c r="A290" s="1212" t="e">
        <v>#N/A</v>
      </c>
      <c r="B290" s="1213" t="inlineStr">
        <is>
          <t>Kit 5/10 Disco Flap Fibra R244 180mm G60 Norton Desbaste Metal Inox Serralheria Atacado Lixadeira</t>
        </is>
      </c>
      <c r="C290" s="1213" t="n"/>
      <c r="D290" s="1218" t="n">
        <v>111</v>
      </c>
      <c r="E290" s="1217" t="n">
        <v>0.01</v>
      </c>
      <c r="F290" s="1218" t="n">
        <v>1</v>
      </c>
      <c r="G290" s="1219" t="n">
        <v>0.14</v>
      </c>
      <c r="H290" s="1024" t="n">
        <v>15.54</v>
      </c>
      <c r="I290" s="999" t="n">
        <v>20</v>
      </c>
      <c r="J290" s="999">
        <f>D290*(1-E290) * (3.5%)</f>
        <v/>
      </c>
      <c r="K290" s="1220">
        <f>D290*(1-E290)*18%</f>
        <v/>
      </c>
      <c r="L290" s="1220">
        <f>((D290*(1-E290))-K290)*1.65%</f>
        <v/>
      </c>
      <c r="M290" s="1220">
        <f>((D290*(1-E290))-K290)*7.6%</f>
        <v/>
      </c>
      <c r="N290" s="1221">
        <f>(H290+I290+J290)*9.25% + (H290+I290)*12%</f>
        <v/>
      </c>
      <c r="O290" s="715" t="n">
        <v>10.8</v>
      </c>
      <c r="P290" s="1096" t="n">
        <v>60</v>
      </c>
      <c r="Q290" s="1024">
        <f>(D290*(1-E290)+(F290* O290)+N290)-(H290+I290+J290+K290+L290+M290+(P290*F290))</f>
        <v/>
      </c>
      <c r="R290" s="1002">
        <f>Q290/(D290*(1-E290))</f>
        <v/>
      </c>
      <c r="S290" s="1189" t="inlineStr">
        <is>
          <t>5</t>
        </is>
      </c>
      <c r="T290" s="1030" t="n"/>
    </row>
    <row r="291" ht="22.5" customHeight="1" s="1349">
      <c r="A291" s="1212" t="e">
        <v>#N/A</v>
      </c>
      <c r="B291" s="1213" t="inlineStr">
        <is>
          <t>Kit 5/10 Disco Flap Fibra R244 180mm G60 Norton Desbaste Metal Inox Serralheria Atacado Lixadeira</t>
        </is>
      </c>
      <c r="C291" s="1213" t="n"/>
      <c r="D291" s="1218" t="n">
        <v>215</v>
      </c>
      <c r="E291" s="1217" t="n">
        <v>0.01</v>
      </c>
      <c r="F291" s="1218" t="n">
        <v>1</v>
      </c>
      <c r="G291" s="1219" t="n">
        <v>0.14</v>
      </c>
      <c r="H291" s="1024" t="n">
        <v>30.1</v>
      </c>
      <c r="I291" s="999" t="n">
        <v>26</v>
      </c>
      <c r="J291" s="999">
        <f>D291*(1-E291) * (3.5%)</f>
        <v/>
      </c>
      <c r="K291" s="1220">
        <f>D291*(1-E291)*18%</f>
        <v/>
      </c>
      <c r="L291" s="1220">
        <f>((D291*(1-E291))-K291)*1.65%</f>
        <v/>
      </c>
      <c r="M291" s="1220">
        <f>((D291*(1-E291))-K291)*7.6%</f>
        <v/>
      </c>
      <c r="N291" s="1221">
        <f>(H291+I291+J291)*9.25% + (H291+I291)*12%</f>
        <v/>
      </c>
      <c r="O291" s="715" t="n">
        <v>21.6</v>
      </c>
      <c r="P291" s="1096" t="n">
        <v>120</v>
      </c>
      <c r="Q291" s="1024">
        <f>(D291*(1-E291)+(F291* O291)+N291)-(H291+I291+J291+K291+L291+M291+(P291*F291))</f>
        <v/>
      </c>
      <c r="R291" s="1002">
        <f>Q291/(D291*(1-E291))</f>
        <v/>
      </c>
      <c r="S291" s="1189" t="inlineStr">
        <is>
          <t>10</t>
        </is>
      </c>
      <c r="T291" s="1030" t="n"/>
    </row>
    <row r="292" ht="22.5" customHeight="1" s="1349">
      <c r="A292" s="1212" t="e">
        <v>#N/A</v>
      </c>
      <c r="B292" s="1213" t="inlineStr">
        <is>
          <t>Kit 50 Chumbador PBA 1/4 Aco Zincado Fixacao Concreto Estrutural Porca Arruela Uso Profissional</t>
        </is>
      </c>
      <c r="C292" s="1213" t="n"/>
      <c r="D292" s="1218" t="n">
        <v>100.5</v>
      </c>
      <c r="E292" s="1217" t="n">
        <v>0.01</v>
      </c>
      <c r="F292" s="1218" t="n">
        <v>50</v>
      </c>
      <c r="G292" s="1219" t="n">
        <v>0.14</v>
      </c>
      <c r="H292" s="1024" t="n">
        <v>14.07</v>
      </c>
      <c r="I292" s="999" t="n">
        <v>20</v>
      </c>
      <c r="J292" s="999">
        <f>D292*(1-E292) * (3.5%)</f>
        <v/>
      </c>
      <c r="K292" s="1220">
        <f>D292*(1-E292)*18%</f>
        <v/>
      </c>
      <c r="L292" s="1220">
        <f>((D292*(1-E292))-K292)*1.65%</f>
        <v/>
      </c>
      <c r="M292" s="1220">
        <f>((D292*(1-E292))-K292)*7.6%</f>
        <v/>
      </c>
      <c r="N292" s="1221">
        <f>(H292+I292+J292)*9.25% + (H292+I292)*12%</f>
        <v/>
      </c>
      <c r="O292" s="1130" t="n"/>
      <c r="P292" s="1096" t="n">
        <v>0.53</v>
      </c>
      <c r="Q292" s="1024">
        <f>(D292*(1-E292)+(F292* O292)+N292)-(H292+I292+J292+K292+L292+M292+(P292*F292))</f>
        <v/>
      </c>
      <c r="R292" s="1002">
        <f>Q292/(D292*(1-E292))</f>
        <v/>
      </c>
      <c r="S292" s="1216" t="n"/>
      <c r="T292" s="1206" t="n"/>
    </row>
    <row r="293" ht="22.5" customHeight="1" s="1349">
      <c r="A293" s="1212" t="e">
        <v>#N/A</v>
      </c>
      <c r="B293" s="1213" t="inlineStr">
        <is>
          <t>Garfo Pintura Bucha Sem Rosca Aco 23cm Profissional Para Rolo Extensor Pintura Obra Reforma</t>
        </is>
      </c>
      <c r="C293" s="1213" t="n"/>
      <c r="D293" s="1218" t="n">
        <v>31.25</v>
      </c>
      <c r="E293" s="1217" t="n">
        <v>0.01</v>
      </c>
      <c r="F293" s="1218" t="n">
        <v>1</v>
      </c>
      <c r="G293" s="1219" t="n">
        <v>0.2</v>
      </c>
      <c r="H293" s="1024" t="n">
        <v>6.25</v>
      </c>
      <c r="I293" s="999" t="n">
        <v>4</v>
      </c>
      <c r="J293" s="999">
        <f>D293*(1-E293) * (3.5%)</f>
        <v/>
      </c>
      <c r="K293" s="1220">
        <f>D293*(1-E293)*18%</f>
        <v/>
      </c>
      <c r="L293" s="1220">
        <f>((D293*(1-E293))-K293)*1.65%</f>
        <v/>
      </c>
      <c r="M293" s="1220">
        <f>((D293*(1-E293))-K293)*7.6%</f>
        <v/>
      </c>
      <c r="N293" s="1221">
        <f>(H293+I293+J293)*9.25% + (H293+I293)*12%</f>
        <v/>
      </c>
      <c r="O293" s="1130" t="n"/>
      <c r="P293" s="1096" t="n">
        <v>5.48</v>
      </c>
      <c r="Q293" s="1024">
        <f>(D293*(1-E293)+(F293* O293)+N293)-(H293+I293+J293+K293+L293+M293+(P293*F293))</f>
        <v/>
      </c>
      <c r="R293" s="1002">
        <f>Q293/(D293*(1-E293))</f>
        <v/>
      </c>
      <c r="S293" s="1216" t="n"/>
      <c r="T293" s="1206" t="n"/>
    </row>
    <row r="294" ht="22.5" customHeight="1" s="1349">
      <c r="A294" s="1212" t="e">
        <v>#N/A</v>
      </c>
      <c r="B294" s="1213" t="inlineStr">
        <is>
          <t>Kit 4 Luva Danny Max Orange Proteção Mecânica Aderência Látex EPI Segurança Trabalho Profissional</t>
        </is>
      </c>
      <c r="C294" s="1213" t="n"/>
      <c r="D294" s="1218" t="n">
        <v>95.5</v>
      </c>
      <c r="E294" s="1217" t="n">
        <v>0.01</v>
      </c>
      <c r="F294" s="1218" t="n">
        <v>4</v>
      </c>
      <c r="G294" s="1219" t="n">
        <v>0.14</v>
      </c>
      <c r="H294" s="1024" t="n">
        <v>13.37</v>
      </c>
      <c r="I294" s="999" t="n">
        <v>16</v>
      </c>
      <c r="J294" s="999">
        <f>D294*(1-E294) * (3.5%)</f>
        <v/>
      </c>
      <c r="K294" s="1220">
        <f>D294*(1-E294)*18%</f>
        <v/>
      </c>
      <c r="L294" s="1220">
        <f>((D294*(1-E294))-K294)*1.65%</f>
        <v/>
      </c>
      <c r="M294" s="1220">
        <f>((D294*(1-E294))-K294)*7.6%</f>
        <v/>
      </c>
      <c r="N294" s="1221">
        <f>(H294+I294+J294)*9.25% + (H294+I294)*12%</f>
        <v/>
      </c>
      <c r="O294" s="1130" t="n"/>
      <c r="P294" s="1096" t="n">
        <v>6.24</v>
      </c>
      <c r="Q294" s="1024">
        <f>(D294*(1-E294)+(F294* O294)+N294)-(H294+I294+J294+K294+L294+M294+(P294*F294))</f>
        <v/>
      </c>
      <c r="R294" s="1002">
        <f>Q294/(D294*(1-E294))</f>
        <v/>
      </c>
      <c r="S294" s="1216" t="n"/>
      <c r="T294" s="1206" t="n"/>
    </row>
    <row r="295" ht="22.5" customHeight="1" s="1349">
      <c r="A295" s="1212" t="e">
        <v>#N/A</v>
      </c>
      <c r="B295" s="1213" t="inlineStr">
        <is>
          <t>Fita Papel Microperfurada 50mmx150m Pintura Drywall Acabamento Profissional Construção Civil Leve</t>
        </is>
      </c>
      <c r="C295" s="1213" t="n"/>
      <c r="D295" s="1218" t="n">
        <v>109</v>
      </c>
      <c r="E295" s="1217" t="n">
        <v>0.01</v>
      </c>
      <c r="F295" s="1218" t="n">
        <v>1</v>
      </c>
      <c r="G295" s="1219" t="n">
        <v>0.14</v>
      </c>
      <c r="H295" s="1024" t="n">
        <v>15.26</v>
      </c>
      <c r="I295" s="999" t="n">
        <v>20</v>
      </c>
      <c r="J295" s="999">
        <f>D295*(1-E295) * (3.5%)</f>
        <v/>
      </c>
      <c r="K295" s="1220">
        <f>D295*(1-E295)*18%</f>
        <v/>
      </c>
      <c r="L295" s="1220">
        <f>((D295*(1-E295))-K295)*1.65%</f>
        <v/>
      </c>
      <c r="M295" s="1220">
        <f>((D295*(1-E295))-K295)*7.6%</f>
        <v/>
      </c>
      <c r="N295" s="1221">
        <f>(H295+I295+J295)*9.25% + (H295+I295)*12%</f>
        <v/>
      </c>
      <c r="O295" s="1130" t="n"/>
      <c r="P295" s="1096" t="n">
        <v>28.95</v>
      </c>
      <c r="Q295" s="1024">
        <f>(D295*(1-E295)+(F295* O295)+N295)-(H295+I295+J295+K295+L295+M295+(P295*F295))</f>
        <v/>
      </c>
      <c r="R295" s="1002">
        <f>Q295/(D295*(1-E295))</f>
        <v/>
      </c>
      <c r="S295" s="1216" t="n"/>
      <c r="T295" s="1206" t="n"/>
    </row>
    <row r="296" ht="22.5" customHeight="1" s="1349">
      <c r="A296" s="1212" t="e">
        <v>#N/A</v>
      </c>
      <c r="B296" s="1213" t="inlineStr">
        <is>
          <t>Creme Protetor Pele Luva Quimica Plus 1kg Nutriex Protecao Quimica Uso Profissional EPI Industria</t>
        </is>
      </c>
      <c r="C296" s="1213" t="n"/>
      <c r="D296" s="1218" t="n">
        <v>70</v>
      </c>
      <c r="E296" s="1217" t="n">
        <v>0.01</v>
      </c>
      <c r="F296" s="1218" t="n">
        <v>1</v>
      </c>
      <c r="G296" s="1219" t="n">
        <v>0.2</v>
      </c>
      <c r="H296" s="1024" t="n">
        <v>14</v>
      </c>
      <c r="I296" s="999" t="n">
        <v>4</v>
      </c>
      <c r="J296" s="999">
        <f>D296*(1-E296) * (3.5%)</f>
        <v/>
      </c>
      <c r="K296" s="1220">
        <f>D296*(1-E296)*18%</f>
        <v/>
      </c>
      <c r="L296" s="1220">
        <f>((D296*(1-E296))-K296)*1.65%</f>
        <v/>
      </c>
      <c r="M296" s="1220">
        <f>((D296*(1-E296))-K296)*7.6%</f>
        <v/>
      </c>
      <c r="N296" s="1221">
        <f>(H296+I296+J296)*9.25% + (H296+I296)*12%</f>
        <v/>
      </c>
      <c r="O296" s="1130" t="n"/>
      <c r="P296" s="1096" t="n">
        <v>22.1</v>
      </c>
      <c r="Q296" s="1024">
        <f>(D296*(1-E296)+(F296* O296)+N296)-(H296+I296+J296+K296+L296+M296+(P296*F296))</f>
        <v/>
      </c>
      <c r="R296" s="1002">
        <f>Q296/(D296*(1-E296))</f>
        <v/>
      </c>
      <c r="S296" s="1216" t="n"/>
      <c r="T296" s="1206" t="n"/>
    </row>
    <row r="297" ht="22.5" customHeight="1" s="1349">
      <c r="A297" s="1212" t="e">
        <v>#N/A</v>
      </c>
      <c r="B297" s="1213" t="inlineStr">
        <is>
          <t>Kit 2 Luva Cut Oil Anticorte Resistente Oleo Graxas Protecao Mecanica Uso Profissional Industria EPI</t>
        </is>
      </c>
      <c r="C297" s="1213" t="n"/>
      <c r="D297" s="1218" t="n">
        <v>132</v>
      </c>
      <c r="E297" s="1217" t="n">
        <v>0.01</v>
      </c>
      <c r="F297" s="1218" t="n">
        <v>2</v>
      </c>
      <c r="G297" s="1219" t="n">
        <v>0.14</v>
      </c>
      <c r="H297" s="1024" t="n">
        <v>18.48</v>
      </c>
      <c r="I297" s="999" t="n">
        <v>20</v>
      </c>
      <c r="J297" s="999">
        <f>D297*(1-E297) * (3.5%)</f>
        <v/>
      </c>
      <c r="K297" s="1220">
        <f>D297*(1-E297)*18%</f>
        <v/>
      </c>
      <c r="L297" s="1220">
        <f>((D297*(1-E297))-K297)*1.65%</f>
        <v/>
      </c>
      <c r="M297" s="1220">
        <f>((D297*(1-E297))-K297)*7.6%</f>
        <v/>
      </c>
      <c r="N297" s="1221">
        <f>(H297+I297+J297)*9.25% + (H297+I297)*12%</f>
        <v/>
      </c>
      <c r="O297" s="1130" t="n"/>
      <c r="P297" s="1096" t="n">
        <v>18.01</v>
      </c>
      <c r="Q297" s="1024">
        <f>(D297*(1-E297)+(F297* O297)+N297)-(H297+I297+J297+K297+L297+M297+(P297*F297))</f>
        <v/>
      </c>
      <c r="R297" s="1002">
        <f>Q297/(D297*(1-E297))</f>
        <v/>
      </c>
      <c r="S297" s="1216" t="n"/>
      <c r="T297" s="1206" t="n"/>
    </row>
    <row r="298" ht="22.5" customHeight="1" s="1349">
      <c r="A298" s="1212" t="e">
        <v>#N/A</v>
      </c>
      <c r="B298" s="1213" t="inlineStr">
        <is>
          <t>Kits 1/2/5 Disco Diamantado Irwin Continuo 110x20 Ceramica Porcelanato Corte Profissional Seco Umido UN</t>
        </is>
      </c>
      <c r="C298" s="1213" t="n"/>
      <c r="D298" s="1218" t="n">
        <v>51</v>
      </c>
      <c r="E298" s="1217" t="n">
        <v>0.01</v>
      </c>
      <c r="F298" s="1218" t="n">
        <v>1</v>
      </c>
      <c r="G298" s="1219" t="n">
        <v>0.2</v>
      </c>
      <c r="H298" s="1024" t="n">
        <v>10.2</v>
      </c>
      <c r="I298" s="999" t="n">
        <v>4</v>
      </c>
      <c r="J298" s="999">
        <f>D298*(1-E298) * (3.5%)</f>
        <v/>
      </c>
      <c r="K298" s="1220">
        <f>D298*(1-E298)*18%</f>
        <v/>
      </c>
      <c r="L298" s="1220">
        <f>((D298*(1-E298))-K298)*1.65%</f>
        <v/>
      </c>
      <c r="M298" s="1220">
        <f>((D298*(1-E298))-K298)*7.6%</f>
        <v/>
      </c>
      <c r="N298" s="1221">
        <f>(H298+I298+J298)*9.25% + (H298+I298)*12%</f>
        <v/>
      </c>
      <c r="O298" s="1130" t="n"/>
      <c r="P298" s="1096" t="n">
        <v>11.46</v>
      </c>
      <c r="Q298" s="1024">
        <f>(D298*(1-E298)+(F298* O298)+N298)-(H298+I298+J298+K298+L298+M298+(P298*F298))</f>
        <v/>
      </c>
      <c r="R298" s="1002">
        <f>Q298/(D298*(1-E298))</f>
        <v/>
      </c>
      <c r="S298" s="1216" t="n"/>
      <c r="T298" s="1206" t="n"/>
    </row>
    <row r="299" ht="22.5" customHeight="1" s="1349">
      <c r="A299" s="1212" t="e">
        <v>#N/A</v>
      </c>
      <c r="B299" s="1213" t="inlineStr">
        <is>
          <t>Kits 1/2/5 Disco Diamantado Irwin Continuo 110x20 Ceramica Porcelanato Corte Profissional Seco Umido Kit 2</t>
        </is>
      </c>
      <c r="C299" s="1213" t="n"/>
      <c r="D299" s="1218" t="n">
        <v>89</v>
      </c>
      <c r="E299" s="1217" t="n">
        <v>0.01</v>
      </c>
      <c r="F299" s="1218" t="n">
        <v>2</v>
      </c>
      <c r="G299" s="1219" t="n">
        <v>0.14</v>
      </c>
      <c r="H299" s="1024" t="n">
        <v>12.46</v>
      </c>
      <c r="I299" s="999" t="n">
        <v>16</v>
      </c>
      <c r="J299" s="999">
        <f>D299*(1-E299) * (3.5%)</f>
        <v/>
      </c>
      <c r="K299" s="1220">
        <f>D299*(1-E299)*18%</f>
        <v/>
      </c>
      <c r="L299" s="1220">
        <f>((D299*(1-E299))-K299)*1.65%</f>
        <v/>
      </c>
      <c r="M299" s="1220">
        <f>((D299*(1-E299))-K299)*7.6%</f>
        <v/>
      </c>
      <c r="N299" s="1221">
        <f>(H299+I299+J299)*9.25% + (H299+I299)*12%</f>
        <v/>
      </c>
      <c r="O299" s="1130" t="n"/>
      <c r="P299" s="1096" t="n">
        <v>11.46</v>
      </c>
      <c r="Q299" s="1024">
        <f>(D299*(1-E299)+(F299* O299)+N299)-(H299+I299+J299+K299+L299+M299+(P299*F299))</f>
        <v/>
      </c>
      <c r="R299" s="1002">
        <f>Q299/(D299*(1-E299))</f>
        <v/>
      </c>
      <c r="S299" s="1216" t="n"/>
      <c r="T299" s="1206" t="n"/>
    </row>
    <row r="300" ht="22.5" customHeight="1" s="1349">
      <c r="A300" s="1212" t="e">
        <v>#N/A</v>
      </c>
      <c r="B300" s="1213" t="inlineStr">
        <is>
          <t>Kits 1/2/5 Disco Diamantado Irwin Continuo 110x20 Ceramica Porcelanato Corte Profissional Seco Umido Kit 5</t>
        </is>
      </c>
      <c r="C300" s="1213" t="n"/>
      <c r="D300" s="1218" t="n">
        <v>202</v>
      </c>
      <c r="E300" s="1217" t="n">
        <v>0.01</v>
      </c>
      <c r="F300" s="1218" t="n">
        <v>5</v>
      </c>
      <c r="G300" s="1219" t="n">
        <v>0.14</v>
      </c>
      <c r="H300" s="1024" t="n">
        <v>28.28</v>
      </c>
      <c r="I300" s="999" t="n">
        <v>26</v>
      </c>
      <c r="J300" s="999">
        <f>D300*(1-E300) * (3.5%)</f>
        <v/>
      </c>
      <c r="K300" s="1220">
        <f>D300*(1-E300)*18%</f>
        <v/>
      </c>
      <c r="L300" s="1220">
        <f>((D300*(1-E300))-K300)*1.65%</f>
        <v/>
      </c>
      <c r="M300" s="1220">
        <f>((D300*(1-E300))-K300)*7.6%</f>
        <v/>
      </c>
      <c r="N300" s="1221">
        <f>(H300+I300+J300)*9.25% + (H300+I300)*12%</f>
        <v/>
      </c>
      <c r="O300" s="1130" t="n"/>
      <c r="P300" s="1096" t="n">
        <v>11.46</v>
      </c>
      <c r="Q300" s="1024">
        <f>(D300*(1-E300)+(F300* O300)+N300)-(H300+I300+J300+K300+L300+M300+(P300*F300))</f>
        <v/>
      </c>
      <c r="R300" s="1002">
        <f>Q300/(D300*(1-E300))</f>
        <v/>
      </c>
      <c r="S300" s="1216" t="n"/>
      <c r="T300" s="1206" t="n"/>
    </row>
    <row r="301" ht="22.5" customHeight="1" s="1349">
      <c r="A301" s="1212" t="e">
        <v>#N/A</v>
      </c>
      <c r="B301" s="1040" t="inlineStr">
        <is>
          <t xml:space="preserve"> Tela Reforço Alvenaria Amarração de Bloco Amarre Construfix Tel60 6cm</t>
        </is>
      </c>
      <c r="C301" s="1213" t="n"/>
      <c r="D301" s="1218" t="n">
        <v>221</v>
      </c>
      <c r="E301" s="1217" t="n">
        <v>0.01</v>
      </c>
      <c r="F301" s="1218" t="n">
        <v>10</v>
      </c>
      <c r="G301" s="1219" t="n">
        <v>0.14</v>
      </c>
      <c r="H301" s="1024" t="n">
        <v>30.94</v>
      </c>
      <c r="I301" s="999" t="n">
        <v>26</v>
      </c>
      <c r="J301" s="999">
        <f>D301*(1-E301) * (3.5%)</f>
        <v/>
      </c>
      <c r="K301" s="1220">
        <f>D301*(1-E301)*18%</f>
        <v/>
      </c>
      <c r="L301" s="1220">
        <f>((D301*(1-E301))-K301)*1.65%</f>
        <v/>
      </c>
      <c r="M301" s="1220">
        <f>((D301*(1-E301))-K301)*7.6%</f>
        <v/>
      </c>
      <c r="N301" s="1221">
        <f>(H301+I301+J301)*9.25% + (H301+I301)*12%</f>
        <v/>
      </c>
      <c r="O301" s="1130" t="n"/>
      <c r="P301" s="1096" t="n">
        <v>6.31</v>
      </c>
      <c r="Q301" s="1024">
        <f>(D301*(1-E301)+(F301* O301)+N301)-(H301+I301+J301+K301+L301+M301+(P301*F301))</f>
        <v/>
      </c>
      <c r="R301" s="1002">
        <f>Q301/(D301*(1-E301))</f>
        <v/>
      </c>
      <c r="S301" s="1216" t="n"/>
      <c r="T301" s="1206" t="n"/>
    </row>
    <row r="302" ht="22.5" customHeight="1" s="1349">
      <c r="A302" s="1212" t="e">
        <v>#N/A</v>
      </c>
      <c r="B302" s="1213" t="inlineStr">
        <is>
          <t>Luva Anticorte Nitrílica Banho Duplo Cut &amp; Oil Super Safety SS 1014 CA 38646 Construção Mecânica</t>
        </is>
      </c>
      <c r="C302" s="1213" t="n"/>
      <c r="D302" s="1218" t="n">
        <v>50</v>
      </c>
      <c r="E302" s="1217" t="n">
        <v>0.01</v>
      </c>
      <c r="F302" s="1218" t="n">
        <v>1</v>
      </c>
      <c r="G302" s="1219" t="n">
        <v>0.2</v>
      </c>
      <c r="H302" s="1024" t="n">
        <v>10</v>
      </c>
      <c r="I302" s="999" t="n">
        <v>4</v>
      </c>
      <c r="J302" s="999">
        <f>D302*(1-E302) * (3.5%)</f>
        <v/>
      </c>
      <c r="K302" s="1220">
        <f>D302*(1-E302)*18%</f>
        <v/>
      </c>
      <c r="L302" s="1220">
        <f>((D302*(1-E302))-K302)*1.65%</f>
        <v/>
      </c>
      <c r="M302" s="1220">
        <f>((D302*(1-E302))-K302)*7.6%</f>
        <v/>
      </c>
      <c r="N302" s="1221">
        <f>(H302+I302+J302)*9.25% + (H302+I302)*12%</f>
        <v/>
      </c>
      <c r="O302" s="715" t="n">
        <v>2.95</v>
      </c>
      <c r="P302" s="1096" t="n">
        <v>22.9</v>
      </c>
      <c r="Q302" s="1024">
        <f>(D302*(1-E302)+(F302* O302)+N302)-(H302+I302+J302+K302+L302+M302+(P302*F302))</f>
        <v/>
      </c>
      <c r="R302" s="1002">
        <f>Q302/(D302*(1-E302))</f>
        <v/>
      </c>
      <c r="S302" s="1189" t="inlineStr">
        <is>
          <t>8 a 10</t>
        </is>
      </c>
      <c r="T302" s="1030" t="n"/>
    </row>
    <row r="303" ht="22.5" customHeight="1" s="1349">
      <c r="A303" s="1212" t="e">
        <v>#N/A</v>
      </c>
      <c r="B303" s="1213" t="inlineStr">
        <is>
          <t>Bota Cano Curto PVC Impermeável Antiderrapante Delta Plus Brasília CA 49230 EPI Campo Construção</t>
        </is>
      </c>
      <c r="C303" s="1213" t="n"/>
      <c r="D303" s="1218" t="n">
        <v>249</v>
      </c>
      <c r="E303" s="1217" t="n">
        <v>0.01</v>
      </c>
      <c r="F303" s="1218" t="n">
        <v>1</v>
      </c>
      <c r="G303" s="1219" t="n">
        <v>0.14</v>
      </c>
      <c r="H303" s="1024" t="n">
        <v>34.86000000000001</v>
      </c>
      <c r="I303" s="999" t="n">
        <v>26</v>
      </c>
      <c r="J303" s="999">
        <f>D303*(1-E303) * (3.5%)</f>
        <v/>
      </c>
      <c r="K303" s="1220">
        <f>D303*(1-E303)*18%</f>
        <v/>
      </c>
      <c r="L303" s="1220">
        <f>((D303*(1-E303))-K303)*1.65%</f>
        <v/>
      </c>
      <c r="M303" s="1220">
        <f>((D303*(1-E303))-K303)*7.6%</f>
        <v/>
      </c>
      <c r="N303" s="1221">
        <f>(H303+I303+J303)*9.25% + (H303+I303)*12%</f>
        <v/>
      </c>
      <c r="O303" s="1097" t="n">
        <v>28.65</v>
      </c>
      <c r="P303" s="197" t="n">
        <v>142.25</v>
      </c>
      <c r="Q303" s="1024">
        <f>(D303*(1-E303)+(F303* O303)+N303)-(H303+I303+J303+K303+L303+M303+(P303*F303))</f>
        <v/>
      </c>
      <c r="R303" s="1002">
        <f>Q303/(D303*(1-E303))</f>
        <v/>
      </c>
      <c r="S303" s="1216" t="n"/>
      <c r="T303" s="1206" t="n"/>
    </row>
    <row r="304" ht="22.5" customHeight="1" s="1349">
      <c r="A304" s="1212" t="e">
        <v>#N/A</v>
      </c>
      <c r="B304" s="1213" t="n"/>
      <c r="C304" s="1213" t="n"/>
      <c r="D304" s="1218" t="n">
        <v>499</v>
      </c>
      <c r="E304" s="1217" t="n">
        <v>0.01</v>
      </c>
      <c r="F304" s="1218" t="n">
        <v>1</v>
      </c>
      <c r="G304" s="1219" t="n">
        <v>0.14</v>
      </c>
      <c r="H304" s="1024" t="n">
        <v>69.86000000000001</v>
      </c>
      <c r="I304" s="999" t="n">
        <v>26</v>
      </c>
      <c r="J304" s="999">
        <f>D304*(1-E304) * (3.5%)</f>
        <v/>
      </c>
      <c r="K304" s="1220">
        <f>D304*(1-E304)*18%</f>
        <v/>
      </c>
      <c r="L304" s="1220">
        <f>((D304*(1-E304))-K304)*1.65%</f>
        <v/>
      </c>
      <c r="M304" s="1220">
        <f>((D304*(1-E304))-K304)*7.6%</f>
        <v/>
      </c>
      <c r="N304" s="1221">
        <f>(H304+I304+J304)*9.25% + (H304+I304)*12%</f>
        <v/>
      </c>
      <c r="O304" s="715" t="n">
        <v>29.87</v>
      </c>
      <c r="P304" s="1096" t="n">
        <v>180.18</v>
      </c>
      <c r="Q304" s="1024">
        <f>(D304*(1-E304)+(F304* O304)+N304)-(H304+I304+J304+K304+L304+M304+(P304*F304))</f>
        <v/>
      </c>
      <c r="R304" s="1002">
        <f>Q304/(D304*(1-E304))</f>
        <v/>
      </c>
      <c r="S304" s="1216" t="n"/>
      <c r="T304" s="1206" t="n"/>
    </row>
    <row r="305" ht="22.5" customHeight="1" s="1349">
      <c r="A305" s="1212" t="e">
        <v>#N/A</v>
      </c>
      <c r="B305" s="1213" t="inlineStr">
        <is>
          <t xml:space="preserve">Kit 8 Abafador Auditivo 17dB Plástico Proteção Ruído Inter Pro CA 51179 EPI Capacete Construção	</t>
        </is>
      </c>
      <c r="C305" s="1213" t="n"/>
      <c r="D305" s="1218" t="n">
        <v>550</v>
      </c>
      <c r="E305" s="1217" t="n">
        <v>0.01</v>
      </c>
      <c r="F305" s="1218" t="n">
        <v>1</v>
      </c>
      <c r="G305" s="1219" t="n">
        <v>0.14</v>
      </c>
      <c r="H305" s="1024" t="n">
        <v>77.00000000000001</v>
      </c>
      <c r="I305" s="999" t="n">
        <v>26</v>
      </c>
      <c r="J305" s="999">
        <f>D305*(1-E305) * (3.5%)</f>
        <v/>
      </c>
      <c r="K305" s="1220">
        <f>D305*(1-E305)*18%</f>
        <v/>
      </c>
      <c r="L305" s="1220">
        <f>((D305*(1-E305))-K305)*1.65%</f>
        <v/>
      </c>
      <c r="M305" s="1220">
        <f>((D305*(1-E305))-K305)*7.6%</f>
        <v/>
      </c>
      <c r="N305" s="1221">
        <f>(H305+I305+J305)*9.25% + (H305+I305)*12%</f>
        <v/>
      </c>
      <c r="O305" s="715" t="n">
        <v>60.4</v>
      </c>
      <c r="P305" s="1096" t="n">
        <v>328.96</v>
      </c>
      <c r="Q305" s="1024">
        <f>(D305*(1-E305)+(F305* O305)+N305)-(H305+I305+J305+K305+L305+M305+(P305*F305))</f>
        <v/>
      </c>
      <c r="R305" s="1002">
        <f>Q305/(D305*(1-E305))</f>
        <v/>
      </c>
      <c r="S305" s="1216" t="n"/>
      <c r="T305" s="1206" t="n"/>
    </row>
    <row r="306" ht="22.5" customHeight="1" s="1349">
      <c r="A306" s="1212" t="e">
        <v>#N/A</v>
      </c>
      <c r="B306" s="1213" t="inlineStr">
        <is>
          <t>Abafador Capacete Plástico ABS Protetor 30dB Delta Plus Magny Helmet 2 CA 38224 EPI Indústria Obra</t>
        </is>
      </c>
      <c r="C306" s="1213" t="n"/>
      <c r="D306" s="1218" t="n">
        <v>145</v>
      </c>
      <c r="E306" s="1217" t="n">
        <v>0.01</v>
      </c>
      <c r="F306" s="1218" t="n">
        <v>1</v>
      </c>
      <c r="G306" s="1219" t="n">
        <v>0.14</v>
      </c>
      <c r="H306" s="1024" t="n">
        <v>20.3</v>
      </c>
      <c r="I306" s="999" t="n">
        <v>20</v>
      </c>
      <c r="J306" s="999">
        <f>D306*(1-E306) * (3.5%)</f>
        <v/>
      </c>
      <c r="K306" s="1220">
        <f>D306*(1-E306)*18%</f>
        <v/>
      </c>
      <c r="L306" s="1220">
        <f>((D306*(1-E306))-K306)*1.65%</f>
        <v/>
      </c>
      <c r="M306" s="1220">
        <f>((D306*(1-E306))-K306)*7.6%</f>
        <v/>
      </c>
      <c r="N306" s="1221">
        <f>(H306+I306+J306)*9.25% + (H306+I306)*12%</f>
        <v/>
      </c>
      <c r="O306" s="715" t="n">
        <v>20.21</v>
      </c>
      <c r="P306" s="1096" t="n">
        <v>86.69</v>
      </c>
      <c r="Q306" s="1024">
        <f>(D306*(1-E306)+(F306* O306)+N306)-(H306+I306+J306+K306+L306+M306+(P306*F306))</f>
        <v/>
      </c>
      <c r="R306" s="1002">
        <f>Q306/(D306*(1-E306))</f>
        <v/>
      </c>
      <c r="S306" s="1216" t="n"/>
      <c r="T306" s="1206" t="n"/>
    </row>
    <row r="307" ht="22.5" customHeight="1" s="1349">
      <c r="A307" s="1212" t="e">
        <v>#N/A</v>
      </c>
      <c r="B307" s="1213" t="inlineStr">
        <is>
          <t>Protetor Solar FPS 30 Loção Repelente Nutriex Profissional 120ml Radiação Proteção UV Litoral Campo</t>
        </is>
      </c>
      <c r="C307" s="1213" t="n"/>
      <c r="D307" s="1218" t="n">
        <v>24.5</v>
      </c>
      <c r="E307" s="1217" t="n">
        <v>0.01</v>
      </c>
      <c r="F307" s="1218" t="n">
        <v>1</v>
      </c>
      <c r="G307" s="1219" t="n">
        <v>0.2</v>
      </c>
      <c r="H307" s="1024" t="n">
        <v>4.9</v>
      </c>
      <c r="I307" s="999" t="n">
        <v>4</v>
      </c>
      <c r="J307" s="999">
        <f>D307*(1-E307) * (3.5%)</f>
        <v/>
      </c>
      <c r="K307" s="1220">
        <f>D307*(1-E307)*18%</f>
        <v/>
      </c>
      <c r="L307" s="1220">
        <f>((D307*(1-E307))-K307)*1.65%</f>
        <v/>
      </c>
      <c r="M307" s="1220">
        <f>((D307*(1-E307))-K307)*7.6%</f>
        <v/>
      </c>
      <c r="N307" s="1221">
        <f>(H307+I307+J307)*9.25% + (H307+I307)*12%</f>
        <v/>
      </c>
      <c r="O307" s="715" t="n">
        <v>1.08</v>
      </c>
      <c r="P307" s="1096" t="n">
        <v>8.99</v>
      </c>
      <c r="Q307" s="1024">
        <f>(D307*(1-E307)+(F307* O307)+N307)-(H307+I307+J307+K307+L307+M307+(P307*F307))</f>
        <v/>
      </c>
      <c r="R307" s="1002">
        <f>Q307/(D307*(1-E307))</f>
        <v/>
      </c>
      <c r="S307" s="1189" t="n"/>
      <c r="T307" s="1030" t="n"/>
    </row>
    <row r="308" ht="22.5" customHeight="1" s="1349">
      <c r="A308" s="1212" t="e">
        <v>#N/A</v>
      </c>
      <c r="B308" s="1213" t="inlineStr">
        <is>
          <t>Corda Poliamida Trançada NR18 12mm x 100m Pampa Obra Bombeiro Segurança Altura Fachada Cadeirinha</t>
        </is>
      </c>
      <c r="C308" s="1213" t="n"/>
      <c r="D308" s="1218" t="n">
        <v>450</v>
      </c>
      <c r="E308" s="1217" t="n">
        <v>0.01</v>
      </c>
      <c r="F308" s="1218" t="n">
        <v>1</v>
      </c>
      <c r="G308" s="1219" t="n">
        <v>0.14</v>
      </c>
      <c r="H308" s="1024" t="n">
        <v>63.00000000000001</v>
      </c>
      <c r="I308" s="999" t="n">
        <v>26</v>
      </c>
      <c r="J308" s="999">
        <f>D308*(1-E308) * (3.5%)</f>
        <v/>
      </c>
      <c r="K308" s="1220">
        <f>D308*(1-E308)*18%</f>
        <v/>
      </c>
      <c r="L308" s="1220">
        <f>((D308*(1-E308))-K308)*1.65%</f>
        <v/>
      </c>
      <c r="M308" s="1220">
        <f>((D308*(1-E308))-K308)*7.6%</f>
        <v/>
      </c>
      <c r="N308" s="1221">
        <f>(H308+I308+J308)*9.25% + (H308+I308)*12%</f>
        <v/>
      </c>
      <c r="O308" s="715" t="n">
        <v>53</v>
      </c>
      <c r="P308" s="1096" t="n">
        <v>265</v>
      </c>
      <c r="Q308" s="1024">
        <f>(D308*(1-E308)+(F308* O308)+N308)-(H308+I308+J308+K308+L308+M308+(P308*F308))</f>
        <v/>
      </c>
      <c r="R308" s="1002">
        <f>Q308/(D308*(1-E308))</f>
        <v/>
      </c>
      <c r="S308" s="1189" t="n"/>
      <c r="T308" s="1030" t="n"/>
    </row>
    <row r="309" ht="22.5" customHeight="1" s="1349">
      <c r="A309" s="1212" t="e">
        <v>#N/A</v>
      </c>
      <c r="B309" s="1213" t="inlineStr">
        <is>
          <t>Cone Segurança Flexível laranja 75cm Plastcor Refletivo Sinalização Trânsito Estacionamento Garagem</t>
        </is>
      </c>
      <c r="C309" s="1213" t="n"/>
      <c r="D309" s="1218" t="n">
        <v>90</v>
      </c>
      <c r="E309" s="1217" t="n">
        <v>0.01</v>
      </c>
      <c r="F309" s="1218" t="n">
        <v>1</v>
      </c>
      <c r="G309" s="1219" t="n">
        <v>0.14</v>
      </c>
      <c r="H309" s="1024" t="n">
        <v>12.6</v>
      </c>
      <c r="I309" s="999" t="n">
        <v>16</v>
      </c>
      <c r="J309" s="999">
        <f>D309*(1-E309) * (3.5%)</f>
        <v/>
      </c>
      <c r="K309" s="1220">
        <f>D309*(1-E309)*18%</f>
        <v/>
      </c>
      <c r="L309" s="1220">
        <f>((D309*(1-E309))-K309)*1.65%</f>
        <v/>
      </c>
      <c r="M309" s="1220">
        <f>((D309*(1-E309))-K309)*7.6%</f>
        <v/>
      </c>
      <c r="N309" s="1221">
        <f>(H309+I309+J309)*9.25% + (H309+I309)*12%</f>
        <v/>
      </c>
      <c r="O309" s="715" t="n">
        <v>11.9</v>
      </c>
      <c r="P309" s="1096" t="n">
        <v>51.03</v>
      </c>
      <c r="Q309" s="1024">
        <f>(D309*(1-E309)+(F309* O309)+N309)-(H309+I309+J309+K309+L309+M309+(P309*F309))</f>
        <v/>
      </c>
      <c r="R309" s="1002">
        <f>Q309/(D309*(1-E309))</f>
        <v/>
      </c>
      <c r="S309" s="1189" t="n"/>
      <c r="T309" s="1030" t="n"/>
    </row>
    <row r="310" ht="22.5" customHeight="1" s="1349">
      <c r="A310" s="1199" t="e">
        <v>#N/A</v>
      </c>
      <c r="B310" s="1213" t="inlineStr">
        <is>
          <t>Luva Nitril Full Black Volk do Brasil CA 25280 EPI Revestimento Óleo Abrasão Corte Mecânico Proteção</t>
        </is>
      </c>
      <c r="C310" s="1213" t="n"/>
      <c r="D310" s="1218" t="n">
        <v>22</v>
      </c>
      <c r="E310" s="1217" t="n">
        <v>0.01</v>
      </c>
      <c r="F310" s="1218" t="n">
        <v>1</v>
      </c>
      <c r="G310" s="1219" t="n">
        <v>0.2</v>
      </c>
      <c r="H310" s="1024" t="n">
        <v>4.4</v>
      </c>
      <c r="I310" s="999" t="n">
        <v>4</v>
      </c>
      <c r="J310" s="999">
        <f>D310*(1-E310) * (3.5%)</f>
        <v/>
      </c>
      <c r="K310" s="1220">
        <f>D310*(1-E310)*18%</f>
        <v/>
      </c>
      <c r="L310" s="1220">
        <f>((D310*(1-E310))-K310)*1.65%</f>
        <v/>
      </c>
      <c r="M310" s="1220">
        <f>((D310*(1-E310))-K310)*7.6%</f>
        <v/>
      </c>
      <c r="N310" s="1221">
        <f>(H310+I310+J310)*9.25% + (H310+I310)*12%</f>
        <v/>
      </c>
      <c r="O310" s="715" t="n">
        <v>1.01</v>
      </c>
      <c r="P310" s="1096" t="n">
        <v>7.84</v>
      </c>
      <c r="Q310" s="1024">
        <f>(D310*(1-E310)+(F310* O310)+N310)-(H310+I310+J310+K310+L310+M310+(P310*F310))</f>
        <v/>
      </c>
      <c r="R310" s="1002">
        <f>Q310/(D310*(1-E310))</f>
        <v/>
      </c>
      <c r="S310" s="1189" t="inlineStr">
        <is>
          <t>M, G e EG</t>
        </is>
      </c>
      <c r="T310" s="1030" t="n"/>
    </row>
    <row r="311" ht="22.5" customHeight="1" s="1349">
      <c r="A311" s="1212" t="e">
        <v>#N/A</v>
      </c>
      <c r="B311" s="1213" t="inlineStr">
        <is>
          <t>Luva Látex Branca Descartável Com Pó Medix CA 43596 EPI Procedimento Estética Limpeza Saúde Proteção</t>
        </is>
      </c>
      <c r="C311" s="1213" t="n"/>
      <c r="D311" s="1218" t="n">
        <v>32.5</v>
      </c>
      <c r="E311" s="1217" t="n">
        <v>0.01</v>
      </c>
      <c r="F311" s="1218" t="n">
        <v>1</v>
      </c>
      <c r="G311" s="1219" t="n">
        <v>0.2</v>
      </c>
      <c r="H311" s="1024" t="n">
        <v>6.5</v>
      </c>
      <c r="I311" s="999" t="n">
        <v>4</v>
      </c>
      <c r="J311" s="999">
        <f>D311*(1-E311) * (3.5%)</f>
        <v/>
      </c>
      <c r="K311" s="1220">
        <f>D311*(1-E311)*18%</f>
        <v/>
      </c>
      <c r="L311" s="1220">
        <f>((D311*(1-E311))-K311)*1.65%</f>
        <v/>
      </c>
      <c r="M311" s="1220">
        <f>((D311*(1-E311))-K311)*7.6%</f>
        <v/>
      </c>
      <c r="N311" s="1221">
        <f>(H311+I311+J311)*9.25% + (H311+I311)*12%</f>
        <v/>
      </c>
      <c r="O311" s="715" t="n">
        <v>1.76</v>
      </c>
      <c r="P311" s="1096" t="n">
        <v>13.7</v>
      </c>
      <c r="Q311" s="1024">
        <f>(D311*(1-E311)+(F311* O311)+N311)-(H311+I311+J311+K311+L311+M311+(P311*F311))</f>
        <v/>
      </c>
      <c r="R311" s="1002">
        <f>Q311/(D311*(1-E311))</f>
        <v/>
      </c>
      <c r="S311" s="1189" t="inlineStr">
        <is>
          <t>P, M e G</t>
        </is>
      </c>
      <c r="T311" s="1030" t="n"/>
    </row>
    <row r="312" ht="22.5" customHeight="1" s="1349">
      <c r="A312" s="1212" t="n"/>
      <c r="B312" s="1213" t="inlineStr">
        <is>
          <t>Kit 50 Mangote Descartável Azul Polietileno Volk Proteção Indústria Alimentícia Estética Limpeza</t>
        </is>
      </c>
      <c r="C312" s="1213" t="n"/>
      <c r="D312" s="1218" t="n">
        <v>29.9</v>
      </c>
      <c r="E312" s="1217" t="n">
        <v>0.01</v>
      </c>
      <c r="F312" s="1218" t="n">
        <v>1</v>
      </c>
      <c r="G312" s="1219" t="n">
        <v>0.2</v>
      </c>
      <c r="H312" s="1024" t="n">
        <v>5.98</v>
      </c>
      <c r="I312" s="999" t="n">
        <v>4</v>
      </c>
      <c r="J312" s="999">
        <f>D312*(1-E312) * (3.5%)</f>
        <v/>
      </c>
      <c r="K312" s="1220">
        <f>D312*(1-E312)*18%</f>
        <v/>
      </c>
      <c r="L312" s="1220">
        <f>((D312*(1-E312))-K312)*1.65%</f>
        <v/>
      </c>
      <c r="M312" s="1220">
        <f>((D312*(1-E312))-K312)*7.6%</f>
        <v/>
      </c>
      <c r="N312" s="1221">
        <f>(H312+I312+J312)*9.25% + (H312+I312)*12%</f>
        <v/>
      </c>
      <c r="O312" s="715" t="n">
        <v>1.39</v>
      </c>
      <c r="P312" s="1096" t="n">
        <v>11.18</v>
      </c>
      <c r="Q312" s="1024">
        <f>(D312*(1-E312)+(F312* O312)+N312)-(H312+I312+J312+K312+L312+M312+(P312*F312))</f>
        <v/>
      </c>
      <c r="R312" s="1002">
        <f>Q312/(D312*(1-E312))</f>
        <v/>
      </c>
      <c r="S312" s="1216" t="n"/>
      <c r="T312" s="1206" t="n"/>
    </row>
    <row r="313" ht="22.5" customHeight="1" s="1349">
      <c r="A313" s="1212" t="e">
        <v>#N/A</v>
      </c>
      <c r="B313" s="1213" t="inlineStr">
        <is>
          <t>Prolongador Cba Liso 1/2 Pol Ancora Conector Barra Roscada Chumbador Fixação Instalação Hidráulica</t>
        </is>
      </c>
      <c r="C313" s="1213" t="n"/>
      <c r="D313" s="1218" t="n">
        <v>10.5</v>
      </c>
      <c r="E313" s="1217" t="n">
        <v>0.01</v>
      </c>
      <c r="F313" s="1218" t="n">
        <v>1</v>
      </c>
      <c r="G313" s="1219" t="n">
        <v>0.2</v>
      </c>
      <c r="H313" s="1024" t="n">
        <v>2.1</v>
      </c>
      <c r="I313" s="999" t="n">
        <v>4</v>
      </c>
      <c r="J313" s="999">
        <f>D313*(1-E313) * (3.5%)</f>
        <v/>
      </c>
      <c r="K313" s="1220">
        <f>D313*(1-E313)*18%</f>
        <v/>
      </c>
      <c r="L313" s="1220">
        <f>((D313*(1-E313))-K313)*1.65%</f>
        <v/>
      </c>
      <c r="M313" s="1220">
        <f>((D313*(1-E313))-K313)*7.6%</f>
        <v/>
      </c>
      <c r="N313" s="1221">
        <f>(H313+I313+J313)*9.25% + (H313+I313)*12%</f>
        <v/>
      </c>
      <c r="O313" s="715" t="n">
        <v>0.27</v>
      </c>
      <c r="P313" s="1096" t="n">
        <v>1.42</v>
      </c>
      <c r="Q313" s="1024">
        <f>(D313*(1-E313)+(F313* O313)+N313)-(H313+I313+J313+K313+L313+M313+(P313*F313))</f>
        <v/>
      </c>
      <c r="R313" s="1002">
        <f>Q313/(D313*(1-E313))</f>
        <v/>
      </c>
      <c r="S313" s="1189" t="inlineStr">
        <is>
          <t>1</t>
        </is>
      </c>
      <c r="T313" s="1030" t="n"/>
    </row>
    <row r="314" ht="22.5" customHeight="1" s="1349">
      <c r="A314" s="1212" t="e">
        <v>#N/A</v>
      </c>
      <c r="B314" s="1213" t="inlineStr">
        <is>
          <t>Kit 25/50 Prolongador Cba Liso 1/2 Pol Ancora Conector Barra Roscada Chumbador Fixação Elétrica Atacado</t>
        </is>
      </c>
      <c r="C314" s="1213" t="n"/>
      <c r="D314" s="1218" t="n">
        <v>67</v>
      </c>
      <c r="E314" s="1217" t="n">
        <v>0.01</v>
      </c>
      <c r="F314" s="1218" t="n">
        <v>1</v>
      </c>
      <c r="G314" s="1219" t="n">
        <v>0.2</v>
      </c>
      <c r="H314" s="1024" t="n">
        <v>13.4</v>
      </c>
      <c r="I314" s="999" t="n">
        <v>4</v>
      </c>
      <c r="J314" s="999">
        <f>D314*(1-E314) * (3.5%)</f>
        <v/>
      </c>
      <c r="K314" s="1220">
        <f>D314*(1-E314)*18%</f>
        <v/>
      </c>
      <c r="L314" s="1220">
        <f>((D314*(1-E314))-K314)*1.65%</f>
        <v/>
      </c>
      <c r="M314" s="1220">
        <f>((D314*(1-E314))-K314)*7.6%</f>
        <v/>
      </c>
      <c r="N314" s="1221">
        <f>(H314+I314+J314)*9.25% + (H314+I314)*12%</f>
        <v/>
      </c>
      <c r="O314" s="715" t="n">
        <v>6.75</v>
      </c>
      <c r="P314" s="1096" t="n">
        <v>35.5</v>
      </c>
      <c r="Q314" s="1024">
        <f>(D314*(1-E314)+(F314* O314)+N314)-(H314+I314+J314+K314+L314+M314+(P314*F314))</f>
        <v/>
      </c>
      <c r="R314" s="1002">
        <f>Q314/(D314*(1-E314))</f>
        <v/>
      </c>
      <c r="S314" s="1189" t="inlineStr">
        <is>
          <t>25</t>
        </is>
      </c>
      <c r="T314" s="1030" t="n"/>
    </row>
    <row r="315" ht="22.5" customHeight="1" s="1349">
      <c r="A315" s="1200" t="e">
        <v>#N/A</v>
      </c>
      <c r="B315" s="1213" t="n"/>
      <c r="C315" s="1213" t="n"/>
      <c r="D315" s="1218" t="n">
        <v>130</v>
      </c>
      <c r="E315" s="1217" t="n">
        <v>0.01</v>
      </c>
      <c r="F315" s="1218" t="n">
        <v>1</v>
      </c>
      <c r="G315" s="1219" t="n">
        <v>0.14</v>
      </c>
      <c r="H315" s="1024" t="n">
        <v>18.2</v>
      </c>
      <c r="I315" s="999" t="n">
        <v>20</v>
      </c>
      <c r="J315" s="999">
        <f>D315*(1-E315) * (3.5%)</f>
        <v/>
      </c>
      <c r="K315" s="1220">
        <f>D315*(1-E315)*18%</f>
        <v/>
      </c>
      <c r="L315" s="1220">
        <f>((D315*(1-E315))-K315)*1.65%</f>
        <v/>
      </c>
      <c r="M315" s="1220">
        <f>((D315*(1-E315))-K315)*7.6%</f>
        <v/>
      </c>
      <c r="N315" s="1221">
        <f>(H315+I315+J315)*9.25% + (H315+I315)*12%</f>
        <v/>
      </c>
      <c r="O315" s="715" t="n">
        <v>13.5</v>
      </c>
      <c r="P315" s="1096" t="n">
        <v>72.5</v>
      </c>
      <c r="Q315" s="1024">
        <f>(D315*(1-E315)+(F315* O315)+N315)-(H315+I315+J315+K315+L315+M315+(P315*F315))</f>
        <v/>
      </c>
      <c r="R315" s="1002">
        <f>Q315/(D315*(1-E315))</f>
        <v/>
      </c>
      <c r="S315" s="1189" t="inlineStr">
        <is>
          <t>50</t>
        </is>
      </c>
      <c r="T315" s="1030" t="n"/>
    </row>
    <row r="316" ht="22.5" customHeight="1" s="1349">
      <c r="A316" s="1201" t="n">
        <v>10034034167400</v>
      </c>
      <c r="B316" s="1213" t="inlineStr">
        <is>
          <t>Kit 50 Óculos Segurança Sky Delta Plus CA 39878 EPI Incolor Fumê Proteção Uv Antirrisco Impacto Obra</t>
        </is>
      </c>
      <c r="C316" s="1213" t="n"/>
      <c r="D316" s="1218" t="n">
        <v>172.3</v>
      </c>
      <c r="E316" s="1217" t="n">
        <v>0.01</v>
      </c>
      <c r="F316" s="1218" t="n">
        <v>1</v>
      </c>
      <c r="G316" s="1219" t="n">
        <v>0.14</v>
      </c>
      <c r="H316" s="1024" t="n">
        <v>23.8</v>
      </c>
      <c r="I316" s="999" t="n">
        <v>20</v>
      </c>
      <c r="J316" s="999">
        <f>D316*(1-E316) * (3.5%)</f>
        <v/>
      </c>
      <c r="K316" s="1220">
        <f>D316*(1-E316)*18%</f>
        <v/>
      </c>
      <c r="L316" s="1220">
        <f>((D316*(1-E316))-K316)*1.65%</f>
        <v/>
      </c>
      <c r="M316" s="1220">
        <f>((D316*(1-E316))-K316)*7.6%</f>
        <v/>
      </c>
      <c r="N316" s="1221">
        <f>(H316+I316+J316)*9.25% + (H316+I316)*12%</f>
        <v/>
      </c>
      <c r="O316" s="715" t="n">
        <v>25.5</v>
      </c>
      <c r="P316" s="1096" t="n">
        <v>102.22</v>
      </c>
      <c r="Q316" s="1024">
        <f>(D316*(1-E316)+(F316* O316)+N316)-(H316+I316+J316+K316+L316+M316+(P316*F316))</f>
        <v/>
      </c>
      <c r="R316" s="1002">
        <f>Q316/(D316*(1-E316))</f>
        <v/>
      </c>
      <c r="S316" s="1216" t="n"/>
      <c r="T316" s="1206" t="n"/>
    </row>
    <row r="317" ht="22.5" customHeight="1" s="1349">
      <c r="A317" s="1201" t="e">
        <v>#N/A</v>
      </c>
      <c r="B317" s="1213" t="inlineStr">
        <is>
          <t>Kit 1/2/4 Repelente Insetos Spray 10h 100ml Nutriex Icaridina Mosquito Dengue Zika Proteção Família</t>
        </is>
      </c>
      <c r="C317" s="1213" t="n"/>
      <c r="D317" s="1218" t="n">
        <v>23</v>
      </c>
      <c r="E317" s="1217" t="n">
        <v>0.01</v>
      </c>
      <c r="F317" s="1218" t="n">
        <v>1</v>
      </c>
      <c r="G317" s="1219" t="n">
        <v>0.2</v>
      </c>
      <c r="H317" s="1024" t="n">
        <v>4.600000000000001</v>
      </c>
      <c r="I317" s="999" t="n">
        <v>4</v>
      </c>
      <c r="J317" s="999">
        <f>D317*(1-E317) * (3.5%)</f>
        <v/>
      </c>
      <c r="K317" s="1220">
        <f>D317*(1-E317)*18%</f>
        <v/>
      </c>
      <c r="L317" s="1220">
        <f>((D317*(1-E317))-K317)*1.65%</f>
        <v/>
      </c>
      <c r="M317" s="1220">
        <f>((D317*(1-E317))-K317)*7.6%</f>
        <v/>
      </c>
      <c r="N317" s="1221">
        <f>(H317+I317+J317)*9.25% + (H317+I317)*12%</f>
        <v/>
      </c>
      <c r="O317" s="715" t="n">
        <v>1.81</v>
      </c>
      <c r="P317" s="1096" t="n">
        <v>9</v>
      </c>
      <c r="Q317" s="1024">
        <f>(D317*(1-E317)+(F317* O317)+N317)-(H317+I317+J317+K317+L317+M317+(P317*F317))</f>
        <v/>
      </c>
      <c r="R317" s="1002">
        <f>Q317/(D317*(1-E317))</f>
        <v/>
      </c>
      <c r="S317" s="1189" t="inlineStr">
        <is>
          <t>1</t>
        </is>
      </c>
      <c r="T317" s="1030" t="n"/>
    </row>
    <row r="318" ht="22.5" customHeight="1" s="1349">
      <c r="A318" s="1200" t="e">
        <v>#N/A</v>
      </c>
      <c r="B318" s="1213" t="inlineStr">
        <is>
          <t>Kit 1/2/4 Repelente Insetos Spray 10h 100ml Nutriex Icaridina Mosquito Dengue Zika Proteção Família</t>
        </is>
      </c>
      <c r="C318" s="1213" t="n"/>
      <c r="D318" s="1218" t="n">
        <v>38</v>
      </c>
      <c r="E318" s="1217" t="n">
        <v>0.01</v>
      </c>
      <c r="F318" s="1218" t="n">
        <v>1</v>
      </c>
      <c r="G318" s="1219" t="n">
        <v>0.2</v>
      </c>
      <c r="H318" s="1024" t="n">
        <v>7.600000000000001</v>
      </c>
      <c r="I318" s="999" t="n">
        <v>4</v>
      </c>
      <c r="J318" s="999">
        <f>D318*(1-E318) * (3.5%)</f>
        <v/>
      </c>
      <c r="K318" s="1220">
        <f>D318*(1-E318)*18%</f>
        <v/>
      </c>
      <c r="L318" s="1220">
        <f>((D318*(1-E318))-K318)*1.65%</f>
        <v/>
      </c>
      <c r="M318" s="1220">
        <f>((D318*(1-E318))-K318)*7.6%</f>
        <v/>
      </c>
      <c r="N318" s="1221">
        <f>(H318+I318+J318)*9.25% + (H318+I318)*12%</f>
        <v/>
      </c>
      <c r="O318" s="715" t="n">
        <v>3.62</v>
      </c>
      <c r="P318" s="1096" t="n">
        <v>18</v>
      </c>
      <c r="Q318" s="1024">
        <f>(D318*(1-E318)+(F318* O318)+N318)-(H318+I318+J318+K318+L318+M318+(P318*F318))</f>
        <v/>
      </c>
      <c r="R318" s="1002">
        <f>Q318/(D318*(1-E318))</f>
        <v/>
      </c>
      <c r="S318" s="1189" t="inlineStr">
        <is>
          <t>2</t>
        </is>
      </c>
      <c r="T318" s="1030" t="n"/>
    </row>
    <row r="319" ht="22.5" customHeight="1" s="1349">
      <c r="A319" s="1200" t="e">
        <v>#N/A</v>
      </c>
      <c r="B319" s="1213" t="inlineStr">
        <is>
          <t>Kit 1/2/4 Repelente Insetos Spray 10h 100ml Nutriex Icaridina Mosquito Dengue Zika Proteção Família</t>
        </is>
      </c>
      <c r="C319" s="1213" t="n"/>
      <c r="D319" s="1218" t="n">
        <v>68</v>
      </c>
      <c r="E319" s="1217" t="n">
        <v>0.01</v>
      </c>
      <c r="F319" s="1218" t="n">
        <v>1</v>
      </c>
      <c r="G319" s="1219" t="n">
        <v>0.2</v>
      </c>
      <c r="H319" s="1024" t="n">
        <v>13.6</v>
      </c>
      <c r="I319" s="999" t="n">
        <v>4</v>
      </c>
      <c r="J319" s="999">
        <f>D319*(1-E319) * (3.5%)</f>
        <v/>
      </c>
      <c r="K319" s="1220">
        <f>D319*(1-E319)*18%</f>
        <v/>
      </c>
      <c r="L319" s="1220">
        <f>((D319*(1-E319))-K319)*1.65%</f>
        <v/>
      </c>
      <c r="M319" s="1220">
        <f>((D319*(1-E319))-K319)*7.6%</f>
        <v/>
      </c>
      <c r="N319" s="1221">
        <f>(H319+I319+J319)*9.25% + (H319+I319)*12%</f>
        <v/>
      </c>
      <c r="O319" s="715" t="n">
        <v>7.24</v>
      </c>
      <c r="P319" s="1096" t="n">
        <v>36</v>
      </c>
      <c r="Q319" s="1024">
        <f>(D319*(1-E319)+(F319* O319)+N319)-(H319+I319+J319+K319+L319+M319+(P319*F319))</f>
        <v/>
      </c>
      <c r="R319" s="1002">
        <f>Q319/(D319*(1-E319))</f>
        <v/>
      </c>
      <c r="S319" s="1189" t="inlineStr">
        <is>
          <t>4</t>
        </is>
      </c>
      <c r="T319" s="1030" t="n"/>
    </row>
    <row r="320" ht="22.5" customHeight="1" s="1349">
      <c r="A320" s="1200" t="e">
        <v>#N/A</v>
      </c>
      <c r="B320" s="1213" t="inlineStr">
        <is>
          <t>Kit 10 Repelente Corporal Spray Nutriex Contra Mosquito Pernilongo Dengue Proteção Pesca Camping</t>
        </is>
      </c>
      <c r="C320" s="1213" t="n"/>
      <c r="D320" s="1218" t="n">
        <v>155</v>
      </c>
      <c r="E320" s="1217" t="n">
        <v>0.01</v>
      </c>
      <c r="F320" s="1218" t="n">
        <v>1</v>
      </c>
      <c r="G320" s="1219" t="n">
        <v>0.14</v>
      </c>
      <c r="H320" s="1024" t="n">
        <v>21.7</v>
      </c>
      <c r="I320" s="999" t="n">
        <v>20</v>
      </c>
      <c r="J320" s="999">
        <f>D320*(1-E320) * (3.5%)</f>
        <v/>
      </c>
      <c r="K320" s="1220">
        <f>D320*(1-E320)*18%</f>
        <v/>
      </c>
      <c r="L320" s="1220">
        <f>((D320*(1-E320))-K320)*1.65%</f>
        <v/>
      </c>
      <c r="M320" s="1220">
        <f>((D320*(1-E320))-K320)*7.6%</f>
        <v/>
      </c>
      <c r="N320" s="1221">
        <f>(H320+I320+J320)*9.25% + (H320+I320)*12%</f>
        <v/>
      </c>
      <c r="O320" s="715" t="n">
        <v>18.1</v>
      </c>
      <c r="P320" s="1096" t="n">
        <v>90</v>
      </c>
      <c r="Q320" s="1024">
        <f>(D320*(1-E320)+(F320* O320)+N320)-(H320+I320+J320+K320+L320+M320+(P320*F320))</f>
        <v/>
      </c>
      <c r="R320" s="1002">
        <f>Q320/(D320*(1-E320))</f>
        <v/>
      </c>
      <c r="S320" s="1189" t="inlineStr">
        <is>
          <t>10</t>
        </is>
      </c>
      <c r="T320" s="1030" t="n"/>
    </row>
    <row r="321" ht="22.5" customHeight="1" s="1349">
      <c r="A321" s="1200" t="e">
        <v>#N/A</v>
      </c>
      <c r="B321" s="1213" t="inlineStr">
        <is>
          <t>Kit 10 Repelente Corporal Spray Nutriex Contra Mosquito Pernilongo Dengue Proteção Pesca Camping</t>
        </is>
      </c>
      <c r="C321" s="1213" t="n"/>
      <c r="D321" s="1218" t="n">
        <v>155</v>
      </c>
      <c r="E321" s="1217" t="n">
        <v>0.01</v>
      </c>
      <c r="F321" s="1218" t="n">
        <v>1</v>
      </c>
      <c r="G321" s="1219" t="n">
        <v>0.14</v>
      </c>
      <c r="H321" s="1024" t="n">
        <v>21.7</v>
      </c>
      <c r="I321" s="999" t="n">
        <v>20</v>
      </c>
      <c r="J321" s="999">
        <f>D321*(1-E321) * (3.5%)</f>
        <v/>
      </c>
      <c r="K321" s="1220">
        <f>D321*(1-E321)*18%</f>
        <v/>
      </c>
      <c r="L321" s="1220">
        <f>((D321*(1-E321))-K321)*1.65%</f>
        <v/>
      </c>
      <c r="M321" s="1220">
        <f>((D321*(1-E321))-K321)*7.6%</f>
        <v/>
      </c>
      <c r="N321" s="1221">
        <f>(H321+I321+J321)*9.25% + (H321+I321)*12%</f>
        <v/>
      </c>
      <c r="O321" s="715" t="n">
        <v>18.1</v>
      </c>
      <c r="P321" s="1096" t="n">
        <v>90</v>
      </c>
      <c r="Q321" s="1024">
        <f>(D321*(1-E321)+(F321* O321)+N321)-(H321+I321+J321+K321+L321+M321+(P321*F321))</f>
        <v/>
      </c>
      <c r="R321" s="1002">
        <f>Q321/(D321*(1-E321))</f>
        <v/>
      </c>
      <c r="S321" s="1216" t="n"/>
      <c r="T321" s="1206" t="n"/>
    </row>
    <row r="322" ht="22.5" customHeight="1" s="1349">
      <c r="A322" s="1212" t="e">
        <v>#N/A</v>
      </c>
      <c r="B322" s="1213" t="inlineStr">
        <is>
          <t>Wd-40 Spray 300ml Óleo Lubrificante Desen Antiferrugem Azul</t>
        </is>
      </c>
      <c r="C322" s="1213" t="n"/>
      <c r="D322" s="1218" t="n">
        <v>64.90000000000001</v>
      </c>
      <c r="E322" s="1217" t="n">
        <v>0.01</v>
      </c>
      <c r="F322" s="1218" t="n">
        <v>1</v>
      </c>
      <c r="G322" s="1219" t="n">
        <v>0.2</v>
      </c>
      <c r="H322" s="1024" t="n">
        <v>12.98</v>
      </c>
      <c r="I322" s="999" t="n">
        <v>4</v>
      </c>
      <c r="J322" s="999">
        <f>D322*(1-E322) * (3.5%)</f>
        <v/>
      </c>
      <c r="K322" s="1220">
        <f>D322*(1-E322)*18%</f>
        <v/>
      </c>
      <c r="L322" s="1220">
        <f>((D322*(1-E322))-K322)*1.65%</f>
        <v/>
      </c>
      <c r="M322" s="1220">
        <f>((D322*(1-E322))-K322)*7.6%</f>
        <v/>
      </c>
      <c r="N322" s="1221">
        <f>(H322+I322+J322)*9.25% + (H322+I322)*12%</f>
        <v/>
      </c>
      <c r="O322" s="715" t="n">
        <v>3.13</v>
      </c>
      <c r="P322" s="1096" t="n">
        <v>33.9</v>
      </c>
      <c r="Q322" s="1024">
        <f>(D322*(1-E322)+(F322* O322)+N322)-(H322+I322+J322+K322+L322+M322+(P322*F322))</f>
        <v/>
      </c>
      <c r="R322" s="1002">
        <f>Q322/(D322*(1-E322))</f>
        <v/>
      </c>
      <c r="S322" s="1216" t="n"/>
      <c r="T322" s="1206" t="n"/>
    </row>
    <row r="323" ht="22.5" customHeight="1" s="1349">
      <c r="A323" s="1212" t="e">
        <v>#N/A</v>
      </c>
      <c r="B323" s="1213" t="inlineStr">
        <is>
          <t>Broxa Retangular Atlas 800 18x8cm Escova Pintura Forte</t>
        </is>
      </c>
      <c r="C323" s="1213" t="n"/>
      <c r="D323" s="1218" t="n"/>
      <c r="E323" s="1217" t="n">
        <v>0.01</v>
      </c>
      <c r="F323" s="1218" t="n">
        <v>1</v>
      </c>
      <c r="G323" s="1219" t="n"/>
      <c r="H323" s="1024" t="n"/>
      <c r="I323" s="999" t="n"/>
      <c r="J323" s="999">
        <f>D323*(1-E323) * (3.5%)</f>
        <v/>
      </c>
      <c r="K323" s="1220">
        <f>D323*(1-E323)*18%</f>
        <v/>
      </c>
      <c r="L323" s="1220">
        <f>((D323*(1-E323))-K323)*1.65%</f>
        <v/>
      </c>
      <c r="M323" s="1220">
        <f>((D323*(1-E323))-K323)*7.6%</f>
        <v/>
      </c>
      <c r="N323" s="1221">
        <f>(H323+I323+J323)*9.25% + (H323+I323)*12%</f>
        <v/>
      </c>
      <c r="O323" s="715" t="n">
        <v>1.24</v>
      </c>
      <c r="P323" s="1096" t="n">
        <v>6.14</v>
      </c>
      <c r="Q323" s="1024">
        <f>(D323*(1-E323)+(F323* O323)+N323)-(H323+I323+J323+K323+L323+M323+(P323*F323))</f>
        <v/>
      </c>
      <c r="R323" s="1002">
        <f>Q323/(D323*(1-E323))</f>
        <v/>
      </c>
      <c r="S323" s="1216" t="n"/>
      <c r="T323" s="1206" t="n"/>
    </row>
    <row r="324" ht="22.5" customHeight="1" s="1349">
      <c r="A324" s="1212" t="n">
        <v>10034034166654</v>
      </c>
      <c r="B324" s="1202" t="inlineStr">
        <is>
          <t>Tesoura Extra Cut Aço Cromado Profissional Corte Peças Metálicas Cano Alumínio PVC Telas Calhas</t>
        </is>
      </c>
      <c r="C324" s="1203" t="n">
        <v>250</v>
      </c>
      <c r="D324" s="1218" t="n">
        <v>199</v>
      </c>
      <c r="E324" s="1217" t="n">
        <v>0.01</v>
      </c>
      <c r="F324" s="1218" t="n">
        <v>1</v>
      </c>
      <c r="G324" s="1219" t="n">
        <v>0.14</v>
      </c>
      <c r="H324" s="1024" t="n">
        <v>27.86</v>
      </c>
      <c r="I324" s="999" t="n">
        <v>20</v>
      </c>
      <c r="J324" s="999">
        <f>D324*(1-E324) * (3.5%)</f>
        <v/>
      </c>
      <c r="K324" s="1117" t="n">
        <v>0</v>
      </c>
      <c r="L324" s="1220">
        <f>((D324*(1-E324))-K324)*1.65%</f>
        <v/>
      </c>
      <c r="M324" s="1220">
        <f>((D324*(1-E324))-K324)*7.6%</f>
        <v/>
      </c>
      <c r="N324" s="1221">
        <f>(H324+I324+J324)*9.25% + (H324+I324)*12%</f>
        <v/>
      </c>
      <c r="O324" s="1097" t="n">
        <v>1.53</v>
      </c>
      <c r="P324" s="1096" t="n">
        <v>115.78</v>
      </c>
      <c r="Q324" s="1024">
        <f>(D324*(1-E324)+(F324* O324)+N324)-(H324+I324+J324+K324+L324+M324+(P324*F324))</f>
        <v/>
      </c>
      <c r="R324" s="1002">
        <f>Q324/(D324*(1-E324))</f>
        <v/>
      </c>
      <c r="S324" s="1216" t="n"/>
      <c r="T324" s="1206" t="n"/>
    </row>
    <row r="325" ht="22.5" customHeight="1" s="1349">
      <c r="A325" s="1212" t="n">
        <v>10034034168369</v>
      </c>
      <c r="B325" s="1202" t="inlineStr">
        <is>
          <t>Kit 5 Broca Aço Rápido HSS Furadeira Serralheria 3/8 Polegada Perfuração Alumínio Metal Serralheria</t>
        </is>
      </c>
      <c r="C325" s="1203" t="n">
        <v>199</v>
      </c>
      <c r="D325" s="1218" t="n">
        <v>149</v>
      </c>
      <c r="E325" s="1217" t="n">
        <v>0.01</v>
      </c>
      <c r="F325" s="1218" t="n">
        <v>1</v>
      </c>
      <c r="G325" s="1219" t="n">
        <v>0.14</v>
      </c>
      <c r="H325" s="1024" t="n">
        <v>20.86</v>
      </c>
      <c r="I325" s="999" t="n">
        <v>20</v>
      </c>
      <c r="J325" s="999">
        <f>D325*(1-E325) * (3.5%)</f>
        <v/>
      </c>
      <c r="K325" s="1117" t="n">
        <v>0</v>
      </c>
      <c r="L325" s="1220">
        <f>((D325*(1-E325))-K325)*1.65%</f>
        <v/>
      </c>
      <c r="M325" s="1220">
        <f>((D325*(1-E325))-K325)*7.6%</f>
        <v/>
      </c>
      <c r="N325" s="1221">
        <f>(H325+I325+J325)*9.25% + (H325+I325)*12%</f>
        <v/>
      </c>
      <c r="O325" s="1097">
        <f>1.45*5</f>
        <v/>
      </c>
      <c r="P325" s="1096">
        <f>18.58*5</f>
        <v/>
      </c>
      <c r="Q325" s="1024">
        <f>(D325*(1-E325)+(F325* O325)+N325)-(H325+I325+J325+K325+L325+M325+(P325*F325))</f>
        <v/>
      </c>
      <c r="R325" s="1002">
        <f>Q325/(D325*(1-E325))</f>
        <v/>
      </c>
      <c r="S325" s="1216" t="n"/>
      <c r="T325" s="1206" t="n"/>
    </row>
    <row r="326" ht="22.5" customHeight="1" s="1349">
      <c r="A326" s="1212" t="n">
        <v>10034034168370</v>
      </c>
      <c r="B326" s="789" t="inlineStr">
        <is>
          <t>Abafador Tipo Concha Magny Cours 2 Anti Ruído Epi Segurança Confortável Proteção Auricular C/ Espuma</t>
        </is>
      </c>
      <c r="C326" s="1213" t="n">
        <v>190.8</v>
      </c>
      <c r="D326" s="1218" t="n">
        <v>145.2</v>
      </c>
      <c r="E326" s="1217" t="n">
        <v>0.01</v>
      </c>
      <c r="F326" s="1218" t="n">
        <v>1</v>
      </c>
      <c r="G326" s="1219" t="n">
        <v>0.14</v>
      </c>
      <c r="H326" s="1205" t="n">
        <v>20.328</v>
      </c>
      <c r="I326" s="999" t="n">
        <v>20</v>
      </c>
      <c r="J326" s="999">
        <f>D326*(1-E326) * (3.5%)</f>
        <v/>
      </c>
      <c r="K326" s="1220">
        <f>D326*(1-E326)*18%</f>
        <v/>
      </c>
      <c r="L326" s="1220">
        <f>((D326*(1-E326))-K326)*1.65%</f>
        <v/>
      </c>
      <c r="M326" s="1220">
        <f>((D326*(1-E326))-K326)*7.6%</f>
        <v/>
      </c>
      <c r="N326" s="1221">
        <f>(H325+I326+J326)*9.25% + (H325+I326)*12%</f>
        <v/>
      </c>
      <c r="O326" s="1097" t="n">
        <v>20.21</v>
      </c>
      <c r="P326" s="1096" t="n">
        <v>78.98999999999999</v>
      </c>
      <c r="Q326" s="1024">
        <f>(D326*(1-E326)+(F326* O326)+N326)-(H326+I326+J326+K326+L326+M326+(P326*F326))</f>
        <v/>
      </c>
      <c r="R326" s="1002">
        <f>Q326/(D326*(1-E326))</f>
        <v/>
      </c>
      <c r="S326" s="1216" t="n"/>
      <c r="T326" s="1206">
        <f>109/4</f>
        <v/>
      </c>
    </row>
    <row r="327" ht="22.5" customHeight="1" s="1349">
      <c r="A327" s="1212" t="e">
        <v>#N/A</v>
      </c>
      <c r="B327" s="1213" t="inlineStr">
        <is>
          <t>5 Kg Eletrodo Revestido E6013 Aço Carbono Solda 350mm Profissional Serralheria Metalurgia Vonder</t>
        </is>
      </c>
      <c r="C327" s="1213" t="n">
        <v>149</v>
      </c>
      <c r="D327" s="1218" t="n">
        <v>119</v>
      </c>
      <c r="E327" s="1217" t="n">
        <v>0.01</v>
      </c>
      <c r="F327" s="1218" t="n">
        <v>1</v>
      </c>
      <c r="G327" s="1219" t="n">
        <v>0.14</v>
      </c>
      <c r="H327" s="1024" t="n">
        <v>16.66</v>
      </c>
      <c r="I327" s="999" t="n">
        <v>20</v>
      </c>
      <c r="J327" s="999">
        <f>D327*(1-E327) * (3.5%)</f>
        <v/>
      </c>
      <c r="K327" s="1117" t="n">
        <v>0</v>
      </c>
      <c r="L327" s="1220">
        <f>((D327*(1-E327))-K327)*1.65%</f>
        <v/>
      </c>
      <c r="M327" s="1220">
        <f>((D327*(1-E327))-K327)*7.6%</f>
        <v/>
      </c>
      <c r="N327" s="1221">
        <f>(H327+I327+J327)*9.25% + (H327+I327)*12%</f>
        <v/>
      </c>
      <c r="O327" s="863">
        <f>0.95*5</f>
        <v/>
      </c>
      <c r="P327" s="1096">
        <f>12.17*5</f>
        <v/>
      </c>
      <c r="Q327" s="1024">
        <f>(D327*(1-E327)+(F327* O327)+N327)-(H327+I327+J327+K327+L327+M327+(P327*F327))</f>
        <v/>
      </c>
      <c r="R327" s="1002">
        <f>Q327/(D327*(1-E327))</f>
        <v/>
      </c>
      <c r="S327" s="1216" t="n"/>
      <c r="T327" s="1206" t="n"/>
    </row>
    <row r="328" ht="22.5" customHeight="1" s="1349">
      <c r="A328" s="1207" t="inlineStr">
        <is>
          <t>CELULAGAS1000PINO3X27</t>
        </is>
      </c>
      <c r="B328" s="1213" t="inlineStr">
        <is>
          <t>Kit Célula De Carga Gás + 1000 Pino Liso 3x27mm Aço Galvanizado Para Fga850n Fixação Alvenaria</t>
        </is>
      </c>
      <c r="C328" s="1213" t="n"/>
      <c r="D328" s="1218" t="n">
        <v>369</v>
      </c>
      <c r="E328" s="1217" t="n">
        <v>0.01</v>
      </c>
      <c r="F328" s="1218" t="n">
        <v>1</v>
      </c>
      <c r="G328" s="1219" t="n">
        <v>0.14</v>
      </c>
      <c r="H328" s="1024" t="n">
        <v>51.66</v>
      </c>
      <c r="I328" s="999" t="n">
        <v>26</v>
      </c>
      <c r="J328" s="999">
        <f>D328*(1-E328) * (3.5%)</f>
        <v/>
      </c>
      <c r="K328" s="1220">
        <f>D328*(1-E328)*18%</f>
        <v/>
      </c>
      <c r="L328" s="1220">
        <f>((D328*(1-E328))-K328)*1.65%</f>
        <v/>
      </c>
      <c r="M328" s="1220">
        <f>((D328*(1-E328))-K328)*7.6%</f>
        <v/>
      </c>
      <c r="N328" s="1221">
        <f>(H328+I328+J328)*9.25% + (H328+I328)*12%</f>
        <v/>
      </c>
      <c r="O328" s="1097">
        <f>16.01+7.27</f>
        <v/>
      </c>
      <c r="P328" s="1096">
        <f>124.34 + 60.1</f>
        <v/>
      </c>
      <c r="Q328" s="1024">
        <f>(D328*(1-E328)+(F328* O328)+N328)-(H328+I328+J328+K328+L328+M328+(P328*F328))</f>
        <v/>
      </c>
      <c r="R328" s="1002">
        <f>Q328/(D328*(1-E328))</f>
        <v/>
      </c>
      <c r="S328" s="1216" t="n"/>
      <c r="T328" s="1206" t="n"/>
    </row>
    <row r="329" ht="22.5" customHeight="1" s="1349">
      <c r="A329" s="1212" t="n">
        <v>10034034168396</v>
      </c>
      <c r="B329" s="1208" t="inlineStr">
        <is>
          <t>Kit Ação Indireta Fai72n + 1000 Cartucho Fincapino Magazinado 27 + 1000 Pino Arruela Cônica Fixação</t>
        </is>
      </c>
      <c r="C329" s="1213" t="n"/>
      <c r="D329" s="1218" t="n">
        <v>1174</v>
      </c>
      <c r="E329" s="1217" t="n">
        <v>0.01</v>
      </c>
      <c r="F329" s="1218" t="n">
        <v>1</v>
      </c>
      <c r="G329" s="1219" t="n">
        <v>0.14</v>
      </c>
      <c r="H329" s="1024" t="n">
        <v>164.36</v>
      </c>
      <c r="I329" s="999" t="n">
        <v>26</v>
      </c>
      <c r="J329" s="999">
        <f>D329*(1-E329) * (3.5%)</f>
        <v/>
      </c>
      <c r="K329" s="1220">
        <f>D329*(1-E329)*18%</f>
        <v/>
      </c>
      <c r="L329" s="1220">
        <f>((D329*(1-E329))-K329)*1.65%</f>
        <v/>
      </c>
      <c r="M329" s="1220">
        <f>((D329*(1-E329))-K329)*7.6%</f>
        <v/>
      </c>
      <c r="N329" s="1221">
        <f>(H329+I329+J329)*9.25% + (H329+I329)*12%</f>
        <v/>
      </c>
      <c r="O329" s="1097" t="n">
        <v>107.12</v>
      </c>
      <c r="P329" s="1118" t="n">
        <v>668.91</v>
      </c>
      <c r="Q329" s="1024">
        <f>(D329*(1-E329)+(F329* O329)+N329)-(H329+I329+J329+K329+L329+M329+(P329*F329))</f>
        <v/>
      </c>
      <c r="R329" s="1002">
        <f>Q329/(D329*(1-E329))</f>
        <v/>
      </c>
      <c r="S329" s="1216" t="n"/>
      <c r="T329" s="1206" t="n"/>
    </row>
    <row r="330" ht="22.5" customHeight="1" s="1349">
      <c r="A330" s="1212" t="n"/>
      <c r="B330" s="1213" t="inlineStr">
        <is>
          <t>Kit 1000 Pino Liso 3x27mm Aço Galvanizado P/ Pistola Fga850n Fixação Alvenaria Concreto Industrial</t>
        </is>
      </c>
      <c r="C330" s="1213" t="n"/>
      <c r="D330" s="1218" t="n">
        <v>150</v>
      </c>
      <c r="E330" s="1217" t="n">
        <v>0.01</v>
      </c>
      <c r="F330" s="1218" t="n">
        <v>1</v>
      </c>
      <c r="G330" s="1219" t="n">
        <v>0.14</v>
      </c>
      <c r="H330" s="1024" t="n">
        <v>21</v>
      </c>
      <c r="I330" s="999" t="n">
        <v>20</v>
      </c>
      <c r="J330" s="999">
        <f>D330*(1-E330) * (3.5%)</f>
        <v/>
      </c>
      <c r="K330" s="1220">
        <f>D330*(1-E330)*18%</f>
        <v/>
      </c>
      <c r="L330" s="1220">
        <f>((D330*(1-E330))-K330)*1.65%</f>
        <v/>
      </c>
      <c r="M330" s="1220">
        <f>((D330*(1-E330))-K330)*7.6%</f>
        <v/>
      </c>
      <c r="N330" s="1221">
        <f>(H330+I330+J330)*9.25% + (H330+I330)*12%</f>
        <v/>
      </c>
      <c r="O330" s="863" t="n">
        <v>7.27</v>
      </c>
      <c r="P330" s="1096" t="n">
        <v>60.1</v>
      </c>
      <c r="Q330" s="1024">
        <f>(D330*(1-E330)+(F330* O330)+N330)-(H330+I330+J330+K330+L330+M330+(P330*F330))</f>
        <v/>
      </c>
      <c r="R330" s="1002">
        <f>Q330/(D330*(1-E330))</f>
        <v/>
      </c>
      <c r="S330" s="1216" t="n"/>
      <c r="T330" s="1206" t="n"/>
    </row>
    <row r="331" ht="22.5" customHeight="1" s="1349">
      <c r="A331" s="1212" t="n">
        <v>7893963861381</v>
      </c>
      <c r="B331" s="1213" t="inlineStr">
        <is>
          <t>Sapato Botina Tennis Trabalho Epi Segurança Bico Pvc Vulcaflex Bidensidade Ocupacional Preto Ca 4334</t>
        </is>
      </c>
      <c r="C331" s="1213" t="n"/>
      <c r="D331" s="1218" t="n">
        <v>91</v>
      </c>
      <c r="E331" s="1217" t="n">
        <v>0.01</v>
      </c>
      <c r="F331" s="1218" t="n">
        <v>1</v>
      </c>
      <c r="G331" s="1219" t="n">
        <v>0.14</v>
      </c>
      <c r="H331" s="1024" t="n">
        <v>12.74</v>
      </c>
      <c r="I331" s="999" t="n">
        <v>16</v>
      </c>
      <c r="J331" s="999">
        <f>D331*(1-E331) * (3.5%)</f>
        <v/>
      </c>
      <c r="K331" s="1220">
        <f>D331*(1-E331)*18%</f>
        <v/>
      </c>
      <c r="L331" s="1220">
        <f>((D331*(1-E331))-K331)*1.65%</f>
        <v/>
      </c>
      <c r="M331" s="1220">
        <f>((D331*(1-E331))-K331)*7.6%</f>
        <v/>
      </c>
      <c r="N331" s="1221">
        <f>(H331+I331+J331)*9.25% + (H331+I331)*12%</f>
        <v/>
      </c>
      <c r="O331" s="1097" t="n">
        <v>9.41</v>
      </c>
      <c r="P331" s="708" t="n">
        <v>46.74</v>
      </c>
      <c r="Q331" s="1024">
        <f>(D331*(1-E331)+(F331* O331)+N331)-(H331+I331+J331+K331+L331+M331+(P331*F331))</f>
        <v/>
      </c>
      <c r="R331" s="1002">
        <f>Q331/(D331*(1-E331))</f>
        <v/>
      </c>
      <c r="S331" s="1216" t="n"/>
      <c r="T331" s="1206" t="n"/>
    </row>
    <row r="332" ht="22.5" customHeight="1" s="1349">
      <c r="A332" s="1212" t="n">
        <v>48</v>
      </c>
      <c r="B332" s="1213" t="inlineStr">
        <is>
          <t>Arame Galvanizado Bwg Bitola 18 Liso 1kg Drywall Gesso Forro Cerca Artesanato Resistente 117 Metros</t>
        </is>
      </c>
      <c r="C332" s="1213" t="n"/>
      <c r="D332" s="1218" t="n">
        <v>32.9</v>
      </c>
      <c r="E332" s="1217" t="n">
        <v>0.01</v>
      </c>
      <c r="F332" s="1218" t="n">
        <v>1</v>
      </c>
      <c r="G332" s="1219" t="n">
        <v>0.2</v>
      </c>
      <c r="H332" s="1024" t="n">
        <v>6.58</v>
      </c>
      <c r="I332" s="999" t="n">
        <v>4</v>
      </c>
      <c r="J332" s="999">
        <f>D332*(1-E332) * (3.5%)</f>
        <v/>
      </c>
      <c r="K332" s="1220">
        <f>D332*(1-E332)*18%</f>
        <v/>
      </c>
      <c r="L332" s="1220">
        <f>((D332*(1-E332))-K332)*1.65%</f>
        <v/>
      </c>
      <c r="M332" s="1220">
        <f>((D332*(1-E332))-K332)*7.6%</f>
        <v/>
      </c>
      <c r="N332" s="1221">
        <f>(H332+I332+J332)*9.25% + (H332+I332)*12%</f>
        <v/>
      </c>
      <c r="O332" s="1097" t="n">
        <v>1.53</v>
      </c>
      <c r="P332" s="1118" t="n">
        <v>12.23</v>
      </c>
      <c r="Q332" s="1024">
        <f>(D332*(1-E332)+(F332* O332)+N332)-(H332+I332+J332+K332+L332+M332+(P332*F332))</f>
        <v/>
      </c>
      <c r="R332" s="1002">
        <f>Q332/(D332*(1-E332))</f>
        <v/>
      </c>
      <c r="S332" s="1216" t="n"/>
      <c r="T332" s="1206" t="n"/>
    </row>
    <row r="333" ht="22.5" customHeight="1" s="1349">
      <c r="A333" s="1212" t="n">
        <v>10034034168448</v>
      </c>
      <c r="B333" s="1213" t="inlineStr">
        <is>
          <t>Tênis Epi Resende Bico Plástico Microfibra Confortável Antiderrapante Antibacteriano Ca 48738</t>
        </is>
      </c>
      <c r="C333" s="1213" t="n"/>
      <c r="D333" s="1218" t="n">
        <v>248</v>
      </c>
      <c r="E333" s="1217" t="n">
        <v>0.01</v>
      </c>
      <c r="F333" s="1218" t="n">
        <v>1</v>
      </c>
      <c r="G333" s="1219" t="n">
        <v>0.14</v>
      </c>
      <c r="H333" s="1024" t="n">
        <v>34.72000000000001</v>
      </c>
      <c r="I333" s="999" t="n">
        <v>26</v>
      </c>
      <c r="J333" s="999">
        <f>D333*(1-E333) * (3.5%)</f>
        <v/>
      </c>
      <c r="K333" s="1220">
        <f>D333*(1-E333)*18%</f>
        <v/>
      </c>
      <c r="L333" s="1220">
        <f>((D333*(1-E333))-K333)*1.65%</f>
        <v/>
      </c>
      <c r="M333" s="1220">
        <f>((D333*(1-E333))-K333)*7.6%</f>
        <v/>
      </c>
      <c r="N333" s="1221">
        <f>(H333+I333+J333)*9.25% + (H333+I333)*12%</f>
        <v/>
      </c>
      <c r="O333" s="863" t="n">
        <v>35.76</v>
      </c>
      <c r="P333" s="1096" t="n">
        <v>139.76</v>
      </c>
      <c r="Q333" s="1024">
        <f>(D333*(1-E333)+(F333* O333)+N333)-(H333+I333+J333+K333+L333+M333+(P333*F333))</f>
        <v/>
      </c>
      <c r="R333" s="1002">
        <f>Q333/(D333*(1-E333))</f>
        <v/>
      </c>
      <c r="S333" s="1216" t="n"/>
      <c r="T333" s="1206" t="n"/>
    </row>
    <row r="334" ht="22.5" customHeight="1" s="1349">
      <c r="A334" s="1212" t="n">
        <v>38</v>
      </c>
      <c r="B334" s="491" t="inlineStr">
        <is>
          <t>Kit Tela De Alvenaria + Pino Liso 1/4x28 + Fincapino Am27 TEL105</t>
        </is>
      </c>
      <c r="C334" s="1213" t="n"/>
      <c r="D334" s="1218" t="n">
        <v>299</v>
      </c>
      <c r="E334" s="1217" t="n">
        <v>0.01</v>
      </c>
      <c r="F334" s="1218" t="n">
        <v>1</v>
      </c>
      <c r="G334" s="1219" t="n">
        <v>0.14</v>
      </c>
      <c r="H334" s="1024" t="n">
        <v>41.86000000000001</v>
      </c>
      <c r="I334" s="999" t="n">
        <v>26</v>
      </c>
      <c r="J334" s="999">
        <f>D334*(1-E334) * (3.5%)</f>
        <v/>
      </c>
      <c r="K334" s="1220">
        <f>D334*(1-E334)*18%</f>
        <v/>
      </c>
      <c r="L334" s="1220">
        <f>((D334*(1-E334))-K334)*1.65%</f>
        <v/>
      </c>
      <c r="M334" s="1220">
        <f>((D334*(1-E334))-K334)*7.6%</f>
        <v/>
      </c>
      <c r="N334" s="1221">
        <f>(H334+I334+J334)*9.25% + (H334+I334)*12%</f>
        <v/>
      </c>
      <c r="O334" s="1097">
        <f>10.44 + (1.37 + 3.86)</f>
        <v/>
      </c>
      <c r="P334" s="1118">
        <f>81.05  + (14.27 + 31.95)</f>
        <v/>
      </c>
      <c r="Q334" s="1024">
        <f>(D334*(1-E334)+(F334* O334)+N334)-(H334+I334+J334+K334+L334+M334+(P334*F334))</f>
        <v/>
      </c>
      <c r="R334" s="1002">
        <f>Q334/(D334*(1-E334))</f>
        <v/>
      </c>
      <c r="S334" s="1216" t="n"/>
      <c r="T334" s="1206" t="n"/>
    </row>
    <row r="335" ht="22.5" customHeight="1" s="1349">
      <c r="A335" s="1212" t="n">
        <v>64</v>
      </c>
      <c r="B335" s="1213" t="inlineStr">
        <is>
          <t>Luva Soldador Raspa Weld Master Alta Temperatura Até 500ºc 41cm Proteção Térmica Trabalho Pesado</t>
        </is>
      </c>
      <c r="C335" s="1213" t="n"/>
      <c r="D335" s="1218" t="n">
        <v>109</v>
      </c>
      <c r="E335" s="1217" t="n">
        <v>0.01</v>
      </c>
      <c r="F335" s="1218" t="n">
        <v>1</v>
      </c>
      <c r="G335" s="1219" t="n">
        <v>0.14</v>
      </c>
      <c r="H335" s="1024" t="n">
        <v>14.28</v>
      </c>
      <c r="I335" s="999" t="n">
        <v>20</v>
      </c>
      <c r="J335" s="999">
        <f>D335*(1-E335) * (3.5%)</f>
        <v/>
      </c>
      <c r="K335" s="1220">
        <f>D335*(1-E335)*18%</f>
        <v/>
      </c>
      <c r="L335" s="1220">
        <f>((D335*(1-E335))-K335)*1.65%</f>
        <v/>
      </c>
      <c r="M335" s="1220">
        <f>((D335*(1-E335))-K335)*7.6%</f>
        <v/>
      </c>
      <c r="N335" s="1221">
        <f>(H335+I335+J335)*9.25% + (H335+I335)*12%</f>
        <v/>
      </c>
      <c r="O335" s="1097" t="n">
        <v>6.52</v>
      </c>
      <c r="P335" s="708" t="n">
        <v>50.62</v>
      </c>
      <c r="Q335" s="1024">
        <f>(D335*(1-E335)+(F335* O335)+N335)-(H335+I335+J335+K335+L335+M335+(P335*F335))</f>
        <v/>
      </c>
      <c r="R335" s="1002">
        <f>Q335/(D335*(1-E335))</f>
        <v/>
      </c>
      <c r="S335" s="1216" t="n"/>
      <c r="T335" s="1206" t="n"/>
    </row>
    <row r="336" ht="22.5" customHeight="1" s="1349">
      <c r="A336" s="1043" t="n"/>
      <c r="B336" s="1213" t="inlineStr">
        <is>
          <t>esquerda direita</t>
        </is>
      </c>
      <c r="C336" s="1213" t="n"/>
      <c r="D336" s="1218" t="n">
        <v>62</v>
      </c>
      <c r="E336" s="1217" t="n">
        <v>0.01</v>
      </c>
      <c r="F336" s="1218" t="n">
        <v>1</v>
      </c>
      <c r="G336" s="1219" t="n">
        <v>0.2</v>
      </c>
      <c r="H336" s="1024" t="n">
        <v>12.4</v>
      </c>
      <c r="I336" s="999" t="n">
        <v>4</v>
      </c>
      <c r="J336" s="999">
        <f>D336*(1-E336) * (3.5%)</f>
        <v/>
      </c>
      <c r="K336" s="1220">
        <f>D336*(1-E336)*18%</f>
        <v/>
      </c>
      <c r="L336" s="1220">
        <f>((D336*(1-E336))-K336)*1.65%</f>
        <v/>
      </c>
      <c r="M336" s="1220">
        <f>((D336*(1-E336))-K336)*7.6%</f>
        <v/>
      </c>
      <c r="N336" s="1221">
        <f>(H336+I336+J336)*9.25% + (H336+I336)*12%</f>
        <v/>
      </c>
      <c r="O336" s="1097">
        <f>6.52/2</f>
        <v/>
      </c>
      <c r="P336" s="708">
        <f>50.62/2</f>
        <v/>
      </c>
      <c r="Q336" s="1024">
        <f>(D336*(1-E336)+(F336* O336)+N336)-(H336+I336+J336+K336+L336+M336+(P336*F336))</f>
        <v/>
      </c>
      <c r="R336" s="1002">
        <f>Q336/(D336*(1-E336))</f>
        <v/>
      </c>
      <c r="S336" s="1216" t="n"/>
      <c r="T336" s="1206" t="n"/>
    </row>
    <row r="337" ht="22.5" customHeight="1" s="1349">
      <c r="A337" s="1043" t="n"/>
      <c r="B337" s="1213" t="inlineStr">
        <is>
          <t>Bota Infantil Impermeável Azul Verde Rosa Pink Galocha Galochinha Com Amarra Pvc com Forro Conforto</t>
        </is>
      </c>
      <c r="C337" s="1213" t="n"/>
      <c r="D337" s="1218" t="n">
        <v>69</v>
      </c>
      <c r="E337" s="1217" t="n">
        <v>0.01</v>
      </c>
      <c r="F337" s="1218" t="n">
        <v>1</v>
      </c>
      <c r="G337" s="1219" t="n">
        <v>0.2</v>
      </c>
      <c r="H337" s="1024" t="n">
        <v>13.8</v>
      </c>
      <c r="I337" s="999" t="n">
        <v>4</v>
      </c>
      <c r="J337" s="999">
        <f>D337*(1-E337) * (3.5%)</f>
        <v/>
      </c>
      <c r="K337" s="1220">
        <f>D337*(1-E337)*18%</f>
        <v/>
      </c>
      <c r="L337" s="1220">
        <f>((D337*(1-E337))-K337)*1.65%</f>
        <v/>
      </c>
      <c r="M337" s="1220">
        <f>((D337*(1-E337))-K337)*7.6%</f>
        <v/>
      </c>
      <c r="N337" s="1221">
        <f>(H337+I337+J337)*9.25% + (H337+I337)*12%</f>
        <v/>
      </c>
      <c r="O337" s="1097" t="n">
        <v>6.77</v>
      </c>
      <c r="P337" s="708" t="n">
        <v>33.59</v>
      </c>
      <c r="Q337" s="1024">
        <f>(D337*(1-E337)+(F337* O337)+N337)-(H337+I337+J337+K337+L337+M337+(P337*F337))</f>
        <v/>
      </c>
      <c r="R337" s="1002">
        <f>Q337/(D337*(1-E337))</f>
        <v/>
      </c>
      <c r="S337" s="1216" t="n"/>
      <c r="T337" s="1206" t="n"/>
    </row>
    <row r="338" ht="22.5" customHeight="1" s="1349">
      <c r="A338" s="1212" t="n"/>
      <c r="B338" s="636" t="inlineStr">
        <is>
          <t>Tela Fibra de Vidro Reforço Cimenticia Alvenaria Fachada Impermeabilização  Malha 1 x 50m Véu TTRX</t>
        </is>
      </c>
      <c r="C338" s="1213" t="n"/>
      <c r="D338" s="1218" t="n">
        <v>435</v>
      </c>
      <c r="E338" s="1217" t="n">
        <v>0.01</v>
      </c>
      <c r="F338" s="1218" t="n">
        <v>1</v>
      </c>
      <c r="G338" s="1219" t="n">
        <v>0.14</v>
      </c>
      <c r="H338" s="1024" t="n">
        <v>60.90000000000001</v>
      </c>
      <c r="I338" s="999" t="n">
        <v>26</v>
      </c>
      <c r="J338" s="999">
        <f>D338*(1-E338) * (3.5%)</f>
        <v/>
      </c>
      <c r="K338" s="1220">
        <f>D338*(1-E338)*18%</f>
        <v/>
      </c>
      <c r="L338" s="1220">
        <f>((D338*(1-E338))-K338)*1.65%</f>
        <v/>
      </c>
      <c r="M338" s="1220">
        <f>((D338*(1-E338))-K338)*7.6%</f>
        <v/>
      </c>
      <c r="N338" s="1221">
        <f>(H338+I338+J338)*9.25% + (H338+I338)*12%</f>
        <v/>
      </c>
      <c r="O338" s="1097" t="n">
        <v>25.12</v>
      </c>
      <c r="P338" s="708" t="n">
        <v>207.68</v>
      </c>
      <c r="Q338" s="1024">
        <f>(D338*(1-E338)+(F338* O338)+N338)-(H338+I338+J338+K338+L338+M338+(P338*F338))</f>
        <v/>
      </c>
      <c r="R338" s="1002">
        <f>Q338/(D338*(1-E338))</f>
        <v/>
      </c>
      <c r="S338" s="1216" t="n"/>
      <c r="T338" s="1206" t="n"/>
    </row>
    <row r="339" ht="22.5" customHeight="1" s="1349">
      <c r="A339" s="1212" t="n"/>
      <c r="B339" s="1213" t="inlineStr">
        <is>
          <t>Kit 3 Broxa Retangular 18x7,6 Pintura Alvenaria Absorção</t>
        </is>
      </c>
      <c r="C339" s="1213" t="n"/>
      <c r="D339" s="1218" t="n">
        <v>23.89</v>
      </c>
      <c r="E339" s="1217" t="n">
        <v>0.01</v>
      </c>
      <c r="F339" s="1218" t="n">
        <v>1</v>
      </c>
      <c r="G339" s="1219" t="n">
        <v>0.2</v>
      </c>
      <c r="H339" s="1024" t="n">
        <v>4.778</v>
      </c>
      <c r="I339" s="999" t="n">
        <v>4</v>
      </c>
      <c r="J339" s="999">
        <f>D339*(1-E339) * (3.5%)</f>
        <v/>
      </c>
      <c r="K339" s="1220">
        <f>D339*(1-E339)*18%</f>
        <v/>
      </c>
      <c r="L339" s="1220">
        <f>((D339*(1-E339))-K339)*1.65%</f>
        <v/>
      </c>
      <c r="M339" s="1220">
        <f>((D339*(1-E339))-K339)*7.6%</f>
        <v/>
      </c>
      <c r="N339" s="1221">
        <f>(H339+I339+J339)*9.25% + (H339+I339)*12%</f>
        <v/>
      </c>
      <c r="O339" s="1210" t="n">
        <v>2.88</v>
      </c>
      <c r="P339" s="904" t="n">
        <v>11.25</v>
      </c>
      <c r="Q339" s="1024">
        <f>(D339*(1-E339)+(F339* O339)+N339)-(H339+I339+J339+K339+L339+M339+(P339*F339))</f>
        <v/>
      </c>
      <c r="R339" s="1002">
        <f>Q339/(D339*(1-E339))</f>
        <v/>
      </c>
      <c r="S339" s="1216" t="n"/>
      <c r="T339" s="1206" t="n"/>
    </row>
    <row r="340" ht="22.5" customHeight="1" s="1349">
      <c r="A340" s="1212" t="n"/>
      <c r="B340" s="1213" t="inlineStr">
        <is>
          <t>sensor de presença</t>
        </is>
      </c>
      <c r="C340" s="1213" t="n"/>
      <c r="D340" s="1218" t="n">
        <v>39.9</v>
      </c>
      <c r="E340" s="1217" t="n">
        <v>0.01</v>
      </c>
      <c r="F340" s="1218" t="n">
        <v>1</v>
      </c>
      <c r="G340" s="1219" t="n">
        <v>0.2</v>
      </c>
      <c r="H340" s="1024" t="n">
        <v>7.98</v>
      </c>
      <c r="I340" s="999" t="n">
        <v>4</v>
      </c>
      <c r="J340" s="999">
        <f>D340*(1-E340) * (3.5%)</f>
        <v/>
      </c>
      <c r="K340" s="1220">
        <f>D340*(1-E340)*18%</f>
        <v/>
      </c>
      <c r="L340" s="1220">
        <f>((D340*(1-E340))-K340)*1.65%</f>
        <v/>
      </c>
      <c r="M340" s="1220">
        <f>((D340*(1-E340))-K340)*7.6%</f>
        <v/>
      </c>
      <c r="N340" s="1221">
        <f>(H340+I340+J340)*9.25% + (H340+I340)*12%</f>
        <v/>
      </c>
      <c r="O340" s="784" t="n">
        <v>3.85</v>
      </c>
      <c r="P340" s="786" t="n">
        <v>19.74</v>
      </c>
      <c r="Q340" s="1024">
        <f>(D340*(1-E340)+(F340* O340)+N340)-(H340+I340+J340+K340+L340+M340+(P340*F340))</f>
        <v/>
      </c>
      <c r="R340" s="1002">
        <f>Q340/(D340*(1-E340))</f>
        <v/>
      </c>
      <c r="S340" s="1216" t="n"/>
      <c r="T340" s="1206" t="n"/>
    </row>
    <row r="341" ht="22.5" customHeight="1" s="1349">
      <c r="A341" s="1212" t="n"/>
      <c r="B341" s="1213" t="inlineStr">
        <is>
          <t>retratil trava quedas</t>
        </is>
      </c>
      <c r="C341" s="1213" t="n"/>
      <c r="D341" s="1218" t="n">
        <v>1379</v>
      </c>
      <c r="E341" s="1217" t="n">
        <v>0.01</v>
      </c>
      <c r="F341" s="1218" t="n">
        <v>1</v>
      </c>
      <c r="G341" s="1219" t="n">
        <v>0.14</v>
      </c>
      <c r="H341" s="1024" t="n">
        <v>193.06</v>
      </c>
      <c r="I341" s="999" t="n">
        <v>26</v>
      </c>
      <c r="J341" s="999">
        <f>D341*(1-E341) * (3.5%)</f>
        <v/>
      </c>
      <c r="K341" s="1220">
        <f>D341*(1-E341)*18%</f>
        <v/>
      </c>
      <c r="L341" s="1220">
        <f>((D341*(1-E341))-K341)*1.65%</f>
        <v/>
      </c>
      <c r="M341" s="1220">
        <f>((D341*(1-E341))-K341)*7.6%</f>
        <v/>
      </c>
      <c r="N341" s="1221">
        <f>(H341+I341)*9.25% + (H341+I341)*12%</f>
        <v/>
      </c>
      <c r="O341" s="1097" t="n">
        <v>137.32</v>
      </c>
      <c r="P341" s="701" t="n">
        <v>799.99</v>
      </c>
      <c r="Q341" s="1024">
        <f>(D341*(1-E341)+(F341* O341)+N341)-(H341+I341+J341+K341+L341+M341+(P341*F341))</f>
        <v/>
      </c>
      <c r="R341" s="1002">
        <f>Q341/(D341*(1-E341))</f>
        <v/>
      </c>
      <c r="S341" s="1216" t="n"/>
      <c r="T341" s="1206" t="n"/>
    </row>
    <row r="342" ht="22.5" customHeight="1" s="1349">
      <c r="A342" s="1212" t="n"/>
      <c r="B342" s="1213" t="inlineStr">
        <is>
          <t>20 leopardo</t>
        </is>
      </c>
      <c r="C342" s="1213" t="n"/>
      <c r="D342" s="1218" t="n">
        <v>119</v>
      </c>
      <c r="E342" s="1217" t="n">
        <v>0.01</v>
      </c>
      <c r="F342" s="1218" t="n">
        <v>20</v>
      </c>
      <c r="G342" s="1219" t="n">
        <v>0.14</v>
      </c>
      <c r="H342" s="1024" t="n">
        <v>16.66</v>
      </c>
      <c r="I342" s="999" t="n">
        <v>20</v>
      </c>
      <c r="J342" s="999">
        <f>D342*(1-E342) * (3.5%)</f>
        <v/>
      </c>
      <c r="K342" s="1220">
        <f>D342*(1-E342)*18%</f>
        <v/>
      </c>
      <c r="L342" s="1220">
        <f>((D342*(1-E342))-K342)*1.65%</f>
        <v/>
      </c>
      <c r="M342" s="1220">
        <f>((D342*(1-E342))-K342)*7.6%</f>
        <v/>
      </c>
      <c r="N342" s="1221">
        <f>(H342+I342)*9.25% + (H342+I342)*12%</f>
        <v/>
      </c>
      <c r="O342" s="1097">
        <f>0.32</f>
        <v/>
      </c>
      <c r="P342" s="701">
        <f>2.53</f>
        <v/>
      </c>
      <c r="Q342" s="1024">
        <f>(D342*(1-E342)+(F342* O342)+N342)-(H342+I342+J342+K342+L342+M342+(P342*F342))</f>
        <v/>
      </c>
      <c r="R342" s="1002">
        <f>Q342/(D342*(1-E342))</f>
        <v/>
      </c>
      <c r="S342" s="1216" t="n"/>
      <c r="T342" s="1206" t="n"/>
    </row>
    <row r="343" ht="22.5" customHeight="1" s="1349">
      <c r="A343" s="1212" t="n"/>
      <c r="B343" s="1213" t="inlineStr">
        <is>
          <t>leopardo unidade</t>
        </is>
      </c>
      <c r="C343" s="1213" t="n"/>
      <c r="D343" s="1218" t="n">
        <v>11.94</v>
      </c>
      <c r="E343" s="1217" t="n">
        <v>0.01</v>
      </c>
      <c r="F343" s="1218" t="n">
        <v>1</v>
      </c>
      <c r="G343" s="1219" t="n">
        <v>0.2</v>
      </c>
      <c r="H343" s="1024" t="n">
        <v>2.388</v>
      </c>
      <c r="I343" s="999" t="n">
        <v>4</v>
      </c>
      <c r="J343" s="999">
        <f>D343*(1-E343) * (3.5%)</f>
        <v/>
      </c>
      <c r="K343" s="1220">
        <f>D343*(1-E343)*18%</f>
        <v/>
      </c>
      <c r="L343" s="1220">
        <f>((D343*(1-E343))-K343)*1.65%</f>
        <v/>
      </c>
      <c r="M343" s="1220">
        <f>((D343*(1-E343))-K343)*7.6%</f>
        <v/>
      </c>
      <c r="N343" s="1221">
        <f>(H343+I343)*9.25% + (H343+I343)*12%</f>
        <v/>
      </c>
      <c r="O343" s="1097">
        <f>0.32</f>
        <v/>
      </c>
      <c r="P343" s="701">
        <f>2.53</f>
        <v/>
      </c>
      <c r="Q343" s="1024">
        <f>(D343*(1-E343)+(F343* O343)+N343)-(H343+I343+J343+K343+L343+M343+(P343*F343))</f>
        <v/>
      </c>
      <c r="R343" s="1002">
        <f>Q343/(D343*(1-E343))</f>
        <v/>
      </c>
      <c r="S343" s="1216" t="n"/>
      <c r="T343" s="1206" t="n"/>
    </row>
    <row r="344" ht="22.5" customHeight="1" s="1349">
      <c r="A344" s="1212" t="n"/>
      <c r="B344" s="1213" t="inlineStr">
        <is>
          <t>Kit Pintura Decoração Pintor C/ Bandeja Pincéis Rolo Suporte Garfo Espátula 7 peças Completo - Atlas</t>
        </is>
      </c>
      <c r="C344" s="1213" t="n"/>
      <c r="D344" s="1218" t="n">
        <v>49.9</v>
      </c>
      <c r="E344" s="1217" t="n">
        <v>0.01</v>
      </c>
      <c r="F344" s="1218" t="n">
        <v>1</v>
      </c>
      <c r="G344" s="1219" t="n">
        <v>0.2</v>
      </c>
      <c r="H344" s="1024" t="n">
        <v>9.98</v>
      </c>
      <c r="I344" s="999" t="n">
        <v>4</v>
      </c>
      <c r="J344" s="999">
        <f>D344*(1-E344) * (3.5%)</f>
        <v/>
      </c>
      <c r="K344" s="1220">
        <f>D344*(1-E344)*18%</f>
        <v/>
      </c>
      <c r="L344" s="1220">
        <f>((D344*(1-E344))-K344)*1.65%</f>
        <v/>
      </c>
      <c r="M344" s="1220">
        <f>((D344*(1-E344))-K344)*7.6%</f>
        <v/>
      </c>
      <c r="N344" s="1221">
        <f>(H344+I344)*9.25% + (H344+I344)*12%</f>
        <v/>
      </c>
      <c r="O344" s="1097" t="n">
        <v>7.24</v>
      </c>
      <c r="P344" s="197" t="n">
        <v>28.29</v>
      </c>
      <c r="Q344" s="1024">
        <f>(D344*(1-E344)+(F344* O344)+N344)-(H344+I344+J344+K344+L344+M344+(P344*F344))</f>
        <v/>
      </c>
      <c r="R344" s="1002">
        <f>Q344/(D344*(1-E344))</f>
        <v/>
      </c>
      <c r="S344" s="1216" t="n"/>
      <c r="T344" s="1206" t="n"/>
    </row>
    <row r="345" ht="22.5" customHeight="1" s="1349">
      <c r="A345" s="1212" t="n"/>
      <c r="B345" s="1213" t="inlineStr">
        <is>
          <t>faixa lombar</t>
        </is>
      </c>
      <c r="C345" s="1213" t="n"/>
      <c r="D345" s="1218" t="n">
        <v>50</v>
      </c>
      <c r="E345" s="1217" t="n">
        <v>0.01</v>
      </c>
      <c r="F345" s="1218" t="n">
        <v>1</v>
      </c>
      <c r="G345" s="1219" t="n">
        <v>0.2</v>
      </c>
      <c r="H345" s="1024" t="n">
        <v>10</v>
      </c>
      <c r="I345" s="999" t="n">
        <v>4</v>
      </c>
      <c r="J345" s="999">
        <f>D345*(1-E345) * (3.5%)</f>
        <v/>
      </c>
      <c r="K345" s="1220">
        <f>D345*(1-E345)*18%</f>
        <v/>
      </c>
      <c r="L345" s="1220">
        <f>((D345*(1-E345))-K345)*1.65%</f>
        <v/>
      </c>
      <c r="M345" s="1220">
        <f>((D345*(1-E345))-K345)*7.6%</f>
        <v/>
      </c>
      <c r="N345" s="1221">
        <f>(H345+I345)*9.25% + (H345+I345)*12%</f>
        <v/>
      </c>
      <c r="O345" s="1097" t="n">
        <v>2.19</v>
      </c>
      <c r="P345" s="708" t="n">
        <v>23.68</v>
      </c>
      <c r="Q345" s="1024">
        <f>(D345*(1-E345)+(F345* O345)+N345)-(H345+I345+J345+K345+L345+M345+(P345*F345))</f>
        <v/>
      </c>
      <c r="R345" s="1002">
        <f>Q345/(D345*(1-E345))</f>
        <v/>
      </c>
      <c r="S345" s="1216" t="n"/>
      <c r="T345" s="1206" t="n"/>
    </row>
    <row r="346" ht="22.5" customHeight="1" s="1349">
      <c r="A346" s="1212" t="n"/>
      <c r="B346" s="1213" t="inlineStr">
        <is>
          <t>kit 5 capacete</t>
        </is>
      </c>
      <c r="C346" s="1213" t="n"/>
      <c r="D346" s="1218" t="n">
        <v>119</v>
      </c>
      <c r="E346" s="1217" t="n">
        <v>0.01</v>
      </c>
      <c r="F346" s="1218" t="n">
        <v>1</v>
      </c>
      <c r="G346" s="1219" t="n">
        <v>0.14</v>
      </c>
      <c r="H346" s="1024" t="n">
        <v>16.66</v>
      </c>
      <c r="I346" s="999" t="n">
        <v>20</v>
      </c>
      <c r="J346" s="999">
        <f>D346*(1-E346) * (3.5%)</f>
        <v/>
      </c>
      <c r="K346" s="1220">
        <f>D346*(1-E346)*18%</f>
        <v/>
      </c>
      <c r="L346" s="1220">
        <f>((D346*(1-E346))-K346)*1.65%</f>
        <v/>
      </c>
      <c r="M346" s="1220">
        <f>((D346*(1-E346))-K346)*7.6%</f>
        <v/>
      </c>
      <c r="N346" s="1221">
        <f>(H346+I346)*9.25% + (H346+I346)*12%</f>
        <v/>
      </c>
      <c r="O346" s="1097" t="n">
        <v>3.32</v>
      </c>
      <c r="P346" s="701" t="n">
        <v>41.2</v>
      </c>
      <c r="Q346" s="1024">
        <f>(D346*(1-E346)+(F346* O346)+N346)-(H346+I346+J346+K346+L346+M346+(P346*F346))</f>
        <v/>
      </c>
      <c r="R346" s="1002">
        <f>Q346/(D346*(1-E346))</f>
        <v/>
      </c>
      <c r="S346" s="1216" t="n"/>
      <c r="T346" s="1206" t="n"/>
    </row>
    <row r="347" ht="22.5" customHeight="1" s="1349">
      <c r="A347" s="1212" t="n"/>
      <c r="B347" s="1213" t="inlineStr">
        <is>
          <t>Tênis EPI Trabalho Preto Antiderrapante CA 53164 Confortável Leve Segurança Feminino Casual</t>
        </is>
      </c>
      <c r="C347" s="1213" t="n"/>
      <c r="D347" s="1218" t="n">
        <v>279.2</v>
      </c>
      <c r="E347" s="1217" t="n">
        <v>0.01</v>
      </c>
      <c r="F347" s="1218" t="n">
        <v>1</v>
      </c>
      <c r="G347" s="1219" t="n">
        <v>0.14</v>
      </c>
      <c r="H347" s="999" t="n">
        <v>39.088</v>
      </c>
      <c r="I347" s="999" t="n">
        <v>26</v>
      </c>
      <c r="J347" s="999">
        <f>D347*(1-E347) * (3.5%)</f>
        <v/>
      </c>
      <c r="K347" s="1220">
        <f>D347*(1-E347)*18%</f>
        <v/>
      </c>
      <c r="L347" s="1220">
        <f>((D347*(1-E347))-K347)*1.65%</f>
        <v/>
      </c>
      <c r="M347" s="1220">
        <f>((D347*(1-E347))-K347)*7.6%</f>
        <v/>
      </c>
      <c r="N347" s="1221">
        <f>(H347+I347)*9.25% + (H347+I347)*12%</f>
        <v/>
      </c>
      <c r="O347" s="1210" t="n">
        <v>42.95</v>
      </c>
      <c r="P347" s="904" t="n">
        <v>167.88</v>
      </c>
      <c r="Q347" s="1024">
        <f>(D347*(1-E347)+(F347* O347)+N347)-(H347+I347+J347+K347+L347+M347+(P347*F347))</f>
        <v/>
      </c>
      <c r="R347" s="1002">
        <f>Q347/(D347*(1-E347))</f>
        <v/>
      </c>
      <c r="S347" s="1216" t="n"/>
      <c r="T347" s="1206" t="n"/>
    </row>
    <row r="348" ht="22.5" customHeight="1" s="1349">
      <c r="A348" s="1212" t="n"/>
      <c r="B348" s="1213" t="inlineStr">
        <is>
          <t>Bota Galocha Borracha Pvc Supermax Cano Extra Longo 39cm</t>
        </is>
      </c>
      <c r="C348" s="1213" t="n"/>
      <c r="D348" s="1218" t="n">
        <v>74.3</v>
      </c>
      <c r="E348" s="1217" t="n">
        <v>0.01</v>
      </c>
      <c r="F348" s="1218" t="n">
        <v>1</v>
      </c>
      <c r="G348" s="1219" t="n">
        <v>0.2</v>
      </c>
      <c r="H348" s="1024" t="n">
        <v>14.86</v>
      </c>
      <c r="I348" s="999" t="n">
        <v>4</v>
      </c>
      <c r="J348" s="999">
        <f>D348*(1-E348) * (3.5%)</f>
        <v/>
      </c>
      <c r="K348" s="1220">
        <f>D348*(1-E348)*18%</f>
        <v/>
      </c>
      <c r="L348" s="1220">
        <f>((D348*(1-E348))-K348)*1.65%</f>
        <v/>
      </c>
      <c r="M348" s="1220">
        <f>((D348*(1-E348))-K348)*7.6%</f>
        <v/>
      </c>
      <c r="N348" s="1221">
        <f>(H348+I348)*9.25% + (H348+I348)*12%</f>
        <v/>
      </c>
      <c r="O348" s="1210" t="n">
        <v>7.38</v>
      </c>
      <c r="P348" s="904" t="n">
        <v>39.65</v>
      </c>
      <c r="Q348" s="1024">
        <f>(D348*(1-E348)+(F348* O348)+N348)-(H348+I348+J348+K348+L348+M348+(P348*F348))</f>
        <v/>
      </c>
      <c r="R348" s="1002">
        <f>Q348/(D348*(1-E348))</f>
        <v/>
      </c>
      <c r="S348" s="1216" t="n"/>
      <c r="T348" s="1206" t="n"/>
    </row>
    <row r="349" ht="22.5" customHeight="1" s="1349">
      <c r="A349" s="1212" t="n">
        <v>1004004825877</v>
      </c>
      <c r="B349" s="1213" t="inlineStr">
        <is>
          <t>Capa De Chuva Amarela Refletiva Forrada Reforçada Com Capuz</t>
        </is>
      </c>
      <c r="C349" s="1213" t="n"/>
      <c r="D349" s="1218" t="n">
        <v>54.89</v>
      </c>
      <c r="E349" s="1217" t="n">
        <v>0.01</v>
      </c>
      <c r="F349" s="1218" t="n">
        <v>1</v>
      </c>
      <c r="G349" s="1219" t="n">
        <v>0.2</v>
      </c>
      <c r="H349" s="1024" t="n">
        <v>10.978</v>
      </c>
      <c r="I349" s="999" t="n">
        <v>4</v>
      </c>
      <c r="J349" s="999">
        <f>D349*(1-E349) * (3.5%)</f>
        <v/>
      </c>
      <c r="K349" s="1220">
        <f>D349*(1-E349)*18%</f>
        <v/>
      </c>
      <c r="L349" s="1220">
        <f>((D349*(1-E349))-K349)*1.65%</f>
        <v/>
      </c>
      <c r="M349" s="1220">
        <f>((D349*(1-E349))-K349)*7.6%</f>
        <v/>
      </c>
      <c r="N349" s="1221">
        <f>(H349+I349)*9.25% + (H349+I349)*12%</f>
        <v/>
      </c>
      <c r="O349" s="1210" t="n">
        <v>5.24</v>
      </c>
      <c r="P349" s="904" t="n">
        <v>26</v>
      </c>
      <c r="Q349" s="1024">
        <f>(D349*(1-E349)+(F349* O349)+N349)-(H349+I349+J349+K349+L349+M349+(P349*F349))</f>
        <v/>
      </c>
      <c r="R349" s="1002">
        <f>Q349/(D349*(1-E349))</f>
        <v/>
      </c>
      <c r="S349" s="1216" t="n"/>
      <c r="T349" s="1206" t="n"/>
    </row>
    <row r="350" ht="22.5" customHeight="1" s="1349">
      <c r="A350" s="1212" t="n">
        <v>10034034167007</v>
      </c>
      <c r="B350" s="1213" t="inlineStr">
        <is>
          <t>Capa De Chuva Pvc Forrada Impermeável Costura Reforçada Leve</t>
        </is>
      </c>
      <c r="C350" s="1213" t="n"/>
      <c r="D350" s="1218" t="n">
        <v>42.6</v>
      </c>
      <c r="E350" s="1217" t="n">
        <v>0.01</v>
      </c>
      <c r="F350" s="1218" t="n">
        <v>1</v>
      </c>
      <c r="G350" s="1219" t="n">
        <v>0.2</v>
      </c>
      <c r="H350" s="1024" t="n">
        <v>10.978</v>
      </c>
      <c r="I350" s="999" t="n">
        <v>4</v>
      </c>
      <c r="J350" s="999">
        <f>D350*(1-E350) * (3.5%)</f>
        <v/>
      </c>
      <c r="K350" s="1220">
        <f>D350*(1-E350)*18%</f>
        <v/>
      </c>
      <c r="L350" s="1220">
        <f>((D350*(1-E350))-K350)*1.65%</f>
        <v/>
      </c>
      <c r="M350" s="1220">
        <f>((D350*(1-E350))-K350)*7.6%</f>
        <v/>
      </c>
      <c r="N350" s="1221">
        <f>(H350+I350)*9.25% + (H350+I350)*12%</f>
        <v/>
      </c>
      <c r="O350" s="1210" t="n">
        <v>3.82</v>
      </c>
      <c r="P350" s="904" t="n">
        <v>18.95</v>
      </c>
      <c r="Q350" s="1024">
        <f>(D350*(1-E350)+(F350* O350)+N350)-(H350+I350+J350+K350+L350+M350+(P350*F350))</f>
        <v/>
      </c>
      <c r="R350" s="1002">
        <f>Q350/(D350*(1-E350))</f>
        <v/>
      </c>
      <c r="S350" s="1216" t="n"/>
      <c r="T350" s="1206" t="n"/>
    </row>
    <row r="351" ht="22.5" customHeight="1" s="1349">
      <c r="A351" s="1212" t="n">
        <v>10034034166914</v>
      </c>
      <c r="B351" s="1213" t="inlineStr">
        <is>
          <t>Luminária Plafon Led Sobrepor Quadrada 18w Potente Garantia</t>
        </is>
      </c>
      <c r="C351" s="1213" t="n"/>
      <c r="D351" s="1218" t="n">
        <v>34.99</v>
      </c>
      <c r="E351" s="1217" t="n">
        <v>0.01</v>
      </c>
      <c r="F351" s="1218" t="n">
        <v>1</v>
      </c>
      <c r="G351" s="1219" t="n">
        <v>0.2</v>
      </c>
      <c r="H351" s="1024" t="n">
        <v>10.978</v>
      </c>
      <c r="I351" s="999" t="n">
        <v>4</v>
      </c>
      <c r="J351" s="999">
        <f>D351*(1-E351) * (3.5%)</f>
        <v/>
      </c>
      <c r="K351" s="1220">
        <f>D351*(1-E351)*18%</f>
        <v/>
      </c>
      <c r="L351" s="1220">
        <f>((D351*(1-E351))-K351)*1.65%</f>
        <v/>
      </c>
      <c r="M351" s="1220">
        <f>((D351*(1-E351))-K351)*7.6%</f>
        <v/>
      </c>
      <c r="N351" s="1221">
        <f>(H351+I351)*9.25% + (H351+I351)*12%</f>
        <v/>
      </c>
      <c r="O351" s="1210" t="n">
        <v>1.42</v>
      </c>
      <c r="P351" s="904" t="n">
        <v>12.07</v>
      </c>
      <c r="Q351" s="1024">
        <f>(D351*(1-E351)+(F351* O351)+N351)-(H351+I351+J351+K351+L351+M351+(P351*F351))</f>
        <v/>
      </c>
      <c r="R351" s="1002">
        <f>Q351/(D351*(1-E351))</f>
        <v/>
      </c>
      <c r="S351" s="1216" t="n"/>
      <c r="T351" s="1206" t="n"/>
    </row>
    <row r="352" ht="22.5" customHeight="1" s="1349">
      <c r="A352" s="1212" t="n">
        <v>10034034167480</v>
      </c>
      <c r="B352" s="1213" t="inlineStr">
        <is>
          <t>Kit 2 Luva Proteção Anticorte Cut Oil Palma Impermeável C/ca</t>
        </is>
      </c>
      <c r="C352" s="1213" t="n"/>
      <c r="D352" s="1218" t="n">
        <v>66.2</v>
      </c>
      <c r="E352" s="1217" t="n">
        <v>0.01</v>
      </c>
      <c r="F352" s="1218" t="n">
        <v>1</v>
      </c>
      <c r="G352" s="1219" t="n">
        <v>0.2</v>
      </c>
      <c r="H352" s="1024" t="n">
        <v>10.978</v>
      </c>
      <c r="I352" s="999" t="n">
        <v>4</v>
      </c>
      <c r="J352" s="999">
        <f>D352*(1-E352) * (3.5%)</f>
        <v/>
      </c>
      <c r="K352" s="1220">
        <f>D352*(1-E352)*18%</f>
        <v/>
      </c>
      <c r="L352" s="1220">
        <f>((D352*(1-E352))-K352)*1.65%</f>
        <v/>
      </c>
      <c r="M352" s="1220">
        <f>((D352*(1-E352))-K352)*7.6%</f>
        <v/>
      </c>
      <c r="N352" s="1221">
        <f>(H352+I352)*9.25% + (H352+I352)*12%</f>
        <v/>
      </c>
      <c r="O352" s="1210" t="n">
        <v>4.4</v>
      </c>
      <c r="P352" s="904" t="n">
        <v>33.6</v>
      </c>
      <c r="Q352" s="1024">
        <f>(D352*(1-E352)+(F352* O352)+N352)-(H352+I352+J352+K352+L352+M352+(P352*F352))</f>
        <v/>
      </c>
      <c r="R352" s="1002">
        <f>Q352/(D352*(1-E352))</f>
        <v/>
      </c>
      <c r="S352" s="1216" t="n"/>
      <c r="T352" s="1206" t="n"/>
    </row>
    <row r="353" ht="22.5" customHeight="1" s="1349">
      <c r="A353" s="1212" t="n">
        <v>10034034166902</v>
      </c>
      <c r="B353" s="1213" t="inlineStr">
        <is>
          <t>Painel Plafon 24w Avant Redondo Sobrepor Alta Durabilidade</t>
        </is>
      </c>
      <c r="C353" s="1213" t="n"/>
      <c r="D353" s="1218" t="n">
        <v>48.2</v>
      </c>
      <c r="E353" s="1217" t="n">
        <v>0.01</v>
      </c>
      <c r="F353" s="1218" t="n">
        <v>1</v>
      </c>
      <c r="G353" s="1219" t="n">
        <v>0.2</v>
      </c>
      <c r="H353" s="1024" t="n">
        <v>10.978</v>
      </c>
      <c r="I353" s="999" t="n">
        <v>4</v>
      </c>
      <c r="J353" s="999">
        <f>D353*(1-E353) * (3.5%)</f>
        <v/>
      </c>
      <c r="K353" s="1220">
        <f>D353*(1-E353)*18%</f>
        <v/>
      </c>
      <c r="L353" s="1220">
        <f>((D353*(1-E353))-K353)*1.65%</f>
        <v/>
      </c>
      <c r="M353" s="1220">
        <f>((D353*(1-E353))-K353)*7.6%</f>
        <v/>
      </c>
      <c r="N353" s="1221">
        <f>(H353+I353)*9.25%</f>
        <v/>
      </c>
      <c r="O353" s="1210" t="n">
        <v>2.2</v>
      </c>
      <c r="P353" s="904" t="n">
        <v>18.71</v>
      </c>
      <c r="Q353" s="1024">
        <f>(D353*(1-E353)+(F353* O353)+N353)-(H353+I353+J353+K353+L353+M353+(P353*F353))</f>
        <v/>
      </c>
      <c r="R353" s="1002">
        <f>Q353/(D353*(1-E353))</f>
        <v/>
      </c>
      <c r="S353" s="1216" t="n"/>
      <c r="T353" s="1206" t="n"/>
    </row>
    <row r="354" ht="22.5" customHeight="1" s="1349">
      <c r="A354" s="1212" t="n">
        <v>10034034167300</v>
      </c>
      <c r="B354" s="1213" t="inlineStr">
        <is>
          <t>Luva Nitrílica Nitriflex Cano Longo 46cm Resistencia Química</t>
        </is>
      </c>
      <c r="C354" s="1213" t="n"/>
      <c r="D354" s="1218" t="n">
        <v>56.89</v>
      </c>
      <c r="E354" s="1217" t="n">
        <v>0.01</v>
      </c>
      <c r="F354" s="1218" t="n">
        <v>1</v>
      </c>
      <c r="G354" s="1219" t="n">
        <v>0.2</v>
      </c>
      <c r="H354" s="1024" t="n">
        <v>10.978</v>
      </c>
      <c r="I354" s="999" t="n">
        <v>4</v>
      </c>
      <c r="J354" s="999">
        <f>D354*(1-E354) * (3.5%)</f>
        <v/>
      </c>
      <c r="K354" s="1220">
        <f>D354*(1-E354)*18%</f>
        <v/>
      </c>
      <c r="L354" s="1220">
        <f>((D354*(1-E354))-K354)*1.65%</f>
        <v/>
      </c>
      <c r="M354" s="1220">
        <f>((D354*(1-E354))-K354)*7.6%</f>
        <v/>
      </c>
      <c r="N354" s="1221">
        <f>(H354+I354)*9.25%</f>
        <v/>
      </c>
      <c r="O354" s="1210" t="n">
        <v>3.08</v>
      </c>
      <c r="P354" s="904" t="n">
        <v>25.49</v>
      </c>
      <c r="Q354" s="1024">
        <f>(D354*(1-E354)+(F354* O354)+N354)-(H354+I354+J354+K354+L354+M354+(P354*F354))</f>
        <v/>
      </c>
      <c r="R354" s="1002">
        <f>Q354/(D354*(1-E354))</f>
        <v/>
      </c>
      <c r="S354" s="1216" t="n"/>
      <c r="T354" s="1206" t="n"/>
    </row>
    <row r="355" ht="22.5" customHeight="1" s="1349">
      <c r="A355" s="1212" t="n"/>
      <c r="B355" s="1213" t="n"/>
      <c r="C355" s="1213" t="n"/>
      <c r="D355" s="1218" t="n"/>
      <c r="E355" s="1217" t="n">
        <v>0.01</v>
      </c>
      <c r="F355" s="1218" t="n">
        <v>1</v>
      </c>
      <c r="G355" s="1219" t="n"/>
      <c r="H355" s="1024" t="n"/>
      <c r="I355" s="999" t="n"/>
      <c r="J355" s="999">
        <f>D355*(1-E355) * (3.5%)</f>
        <v/>
      </c>
      <c r="K355" s="1220">
        <f>D355*(1-E355)*18%</f>
        <v/>
      </c>
      <c r="L355" s="1220">
        <f>((D355*(1-E355))-K355)*1.65%</f>
        <v/>
      </c>
      <c r="M355" s="1220">
        <f>((D355*(1-E355))-K355)*7.6%</f>
        <v/>
      </c>
      <c r="N355" s="1221">
        <f>(H355+I355)*9.25%</f>
        <v/>
      </c>
      <c r="O355" s="1211" t="n"/>
      <c r="P355" s="904" t="n"/>
      <c r="Q355" s="1024">
        <f>(D355*(1-E355)+(F355* O355)+N355)-(H355+I355+J355+K355+L355+M355+(P355*F355))</f>
        <v/>
      </c>
      <c r="R355" s="1002">
        <f>Q355/(D355*(1-E355))</f>
        <v/>
      </c>
      <c r="S355" s="1216" t="n"/>
      <c r="T355" s="1206" t="n"/>
    </row>
    <row r="356" ht="22.5" customHeight="1" s="1349">
      <c r="A356" s="1212" t="n"/>
      <c r="B356" s="1213" t="inlineStr">
        <is>
          <t> </t>
        </is>
      </c>
      <c r="C356" s="1213" t="n"/>
      <c r="D356" s="1218" t="n"/>
      <c r="E356" s="1217" t="n">
        <v>0.01</v>
      </c>
      <c r="F356" s="1218" t="n">
        <v>1</v>
      </c>
      <c r="G356" s="1219" t="n"/>
      <c r="H356" s="1024" t="n"/>
      <c r="I356" s="999" t="n"/>
      <c r="J356" s="999">
        <f>D356*(1-E356) * (3.5%)</f>
        <v/>
      </c>
      <c r="K356" s="1220">
        <f>D356*(1-E356)*18%</f>
        <v/>
      </c>
      <c r="L356" s="1220">
        <f>((D356*(1-E356))-K356)*1.65%</f>
        <v/>
      </c>
      <c r="M356" s="1220">
        <f>((D356*(1-E356))-K356)*7.6%</f>
        <v/>
      </c>
      <c r="N356" s="1221">
        <f>(H356+I356)*9.25%</f>
        <v/>
      </c>
      <c r="O356" s="1211" t="n"/>
      <c r="P356" s="904" t="n"/>
      <c r="Q356" s="1024">
        <f>(D356*(1-E356)+(F356* O356)+N356)-(H356+I356+J356+K356+L356+M356+(P356*F356))</f>
        <v/>
      </c>
      <c r="R356" s="1002">
        <f>Q356/(D356*(1-E356))</f>
        <v/>
      </c>
      <c r="S356" s="1216" t="n"/>
      <c r="T356" s="1206" t="n"/>
    </row>
    <row r="357" ht="22.5" customHeight="1" s="1349">
      <c r="A357" s="1212" t="n"/>
      <c r="B357" s="1213" t="n"/>
      <c r="C357" s="1213" t="n"/>
      <c r="D357" s="1218" t="n"/>
      <c r="E357" s="1217" t="n">
        <v>0.01</v>
      </c>
      <c r="F357" s="1218" t="n">
        <v>1</v>
      </c>
      <c r="G357" s="1219" t="n"/>
      <c r="H357" s="1024" t="n"/>
      <c r="I357" s="999" t="n"/>
      <c r="J357" s="999">
        <f>D357*(1-E357) * (3.5%)</f>
        <v/>
      </c>
      <c r="K357" s="1220">
        <f>D357*(1-E357)*18%</f>
        <v/>
      </c>
      <c r="L357" s="1220">
        <f>((D357*(1-E357))-K357)*1.65%</f>
        <v/>
      </c>
      <c r="M357" s="1220">
        <f>((D357*(1-E357))-K357)*7.6%</f>
        <v/>
      </c>
      <c r="N357" s="1221">
        <f>(H357+I357)*9.25%</f>
        <v/>
      </c>
      <c r="O357" s="1211" t="n"/>
      <c r="P357" s="904" t="inlineStr">
        <is>
          <t>,</t>
        </is>
      </c>
      <c r="Q357" s="1024">
        <f>(D357*(1-E357)+(F357* O357)+N357)-(H357+I357+J357+K357+L357+M357+(P357*F357))</f>
        <v/>
      </c>
      <c r="R357" s="1002">
        <f>Q357/(D357*(1-E357))</f>
        <v/>
      </c>
      <c r="S357" s="1216" t="n"/>
      <c r="T357" s="1206" t="n"/>
    </row>
    <row r="358" ht="22.5" customHeight="1" s="1349">
      <c r="A358" s="1212" t="n"/>
      <c r="B358" s="1213" t="n"/>
      <c r="C358" s="1213" t="n"/>
      <c r="D358" s="1218" t="n"/>
      <c r="E358" s="1217" t="n">
        <v>0.01</v>
      </c>
      <c r="F358" s="1218" t="n">
        <v>1</v>
      </c>
      <c r="G358" s="1219" t="n"/>
      <c r="H358" s="1024" t="n"/>
      <c r="I358" s="999" t="n"/>
      <c r="J358" s="999">
        <f>D358*(1-E358) * (3.5%)</f>
        <v/>
      </c>
      <c r="K358" s="1220">
        <f>D358*(1-E358)*18%</f>
        <v/>
      </c>
      <c r="L358" s="1220">
        <f>((D358*(1-E358))-K358)*1.65%</f>
        <v/>
      </c>
      <c r="M358" s="1220">
        <f>((D358*(1-E358))-K358)*7.6%</f>
        <v/>
      </c>
      <c r="N358" s="1221">
        <f>(H358+I358)*9.25%</f>
        <v/>
      </c>
      <c r="O358" s="1211" t="n"/>
      <c r="P358" s="904" t="n"/>
      <c r="Q358" s="1024">
        <f>(D358*(1-E358)+(F358* O358)+N358)-(H358+I358+J358+K358+L358+M358+(P358*F358))</f>
        <v/>
      </c>
      <c r="R358" s="1002">
        <f>Q358/(D358*(1-E358))</f>
        <v/>
      </c>
      <c r="S358" s="1216" t="n"/>
      <c r="T358" s="1206" t="n"/>
    </row>
    <row r="359" ht="22.5" customHeight="1" s="1349">
      <c r="A359" s="1212" t="n"/>
      <c r="B359" s="1213" t="n"/>
      <c r="C359" s="1213" t="n"/>
      <c r="D359" s="1218" t="n"/>
      <c r="E359" s="1217" t="n">
        <v>0.01</v>
      </c>
      <c r="F359" s="1218" t="n">
        <v>1</v>
      </c>
      <c r="G359" s="1219" t="n"/>
      <c r="H359" s="1024" t="n"/>
      <c r="I359" s="999" t="n"/>
      <c r="J359" s="999">
        <f>D359*(1-E359) * (3.5%)</f>
        <v/>
      </c>
      <c r="K359" s="1220">
        <f>D359*(1-E359)*18%</f>
        <v/>
      </c>
      <c r="L359" s="1220">
        <f>((D359*(1-E359))-K359)*1.65%</f>
        <v/>
      </c>
      <c r="M359" s="1220">
        <f>((D359*(1-E359))-K359)*7.6%</f>
        <v/>
      </c>
      <c r="N359" s="1221">
        <f>(H359+I359)*9.25%</f>
        <v/>
      </c>
      <c r="O359" s="1211" t="n"/>
      <c r="P359" s="904" t="n"/>
      <c r="Q359" s="1024">
        <f>(D359*(1-E359)+(F359* O359)+N359)-(H359+I359+J359+K359+L359+M359+(P359*F359))</f>
        <v/>
      </c>
      <c r="R359" s="1002">
        <f>Q359/(D359*(1-E359))</f>
        <v/>
      </c>
      <c r="S359" s="1216" t="n"/>
      <c r="T359" s="1206" t="n"/>
    </row>
    <row r="360" ht="22.5" customHeight="1" s="1349">
      <c r="A360" s="1212" t="n"/>
      <c r="B360" s="1213" t="n"/>
      <c r="C360" s="1213" t="n"/>
      <c r="D360" s="1218" t="n"/>
      <c r="E360" s="1217" t="n">
        <v>0.01</v>
      </c>
      <c r="F360" s="1218" t="n">
        <v>1</v>
      </c>
      <c r="G360" s="1219" t="n"/>
      <c r="H360" s="1024" t="n"/>
      <c r="I360" s="999" t="n"/>
      <c r="J360" s="999">
        <f>D360*(1-E360) * (3.5%)</f>
        <v/>
      </c>
      <c r="K360" s="1220">
        <f>D360*(1-E360)*18%</f>
        <v/>
      </c>
      <c r="L360" s="1220">
        <f>((D360*(1-E360))-K360)*1.65%</f>
        <v/>
      </c>
      <c r="M360" s="1220">
        <f>((D360*(1-E360))-K360)*7.6%</f>
        <v/>
      </c>
      <c r="N360" s="1221">
        <f>(H360+I360)*9.25%</f>
        <v/>
      </c>
      <c r="O360" s="1211" t="n"/>
      <c r="P360" s="904" t="n"/>
      <c r="Q360" s="1024">
        <f>(D360*(1-E360)+(F360* O360)+N360)-(H360+I360+J360+K360+L360+M360+(P360*F360))</f>
        <v/>
      </c>
      <c r="R360" s="1002">
        <f>Q360/(D360*(1-E360))</f>
        <v/>
      </c>
      <c r="S360" s="1216" t="n"/>
      <c r="T360" s="1206" t="n"/>
    </row>
    <row r="361" ht="22.5" customHeight="1" s="1349">
      <c r="A361" s="1212" t="n"/>
      <c r="B361" s="1213" t="n"/>
      <c r="C361" s="1213" t="n"/>
      <c r="D361" s="1218" t="n"/>
      <c r="E361" s="1217" t="n">
        <v>0.01</v>
      </c>
      <c r="F361" s="1218" t="n">
        <v>1</v>
      </c>
      <c r="G361" s="1219" t="n"/>
      <c r="H361" s="1024" t="n"/>
      <c r="I361" s="999" t="n"/>
      <c r="J361" s="999">
        <f>D361*(1-E361) * (3.5%)</f>
        <v/>
      </c>
      <c r="K361" s="1220">
        <f>D361*(1-E361)*18%</f>
        <v/>
      </c>
      <c r="L361" s="1220">
        <f>((D361*(1-E361))-K361)*1.65%</f>
        <v/>
      </c>
      <c r="M361" s="1220">
        <f>((D361*(1-E361))-K361)*7.6%</f>
        <v/>
      </c>
      <c r="N361" s="1221">
        <f>(H361+I361)*9.25%</f>
        <v/>
      </c>
      <c r="O361" s="1211" t="n"/>
      <c r="P361" s="904" t="n"/>
      <c r="Q361" s="1024">
        <f>(D361*(1-E361)+(F361* O361)+N361)-(H361+I361+J361+K361+L361+M361+(P361*F361))</f>
        <v/>
      </c>
      <c r="R361" s="1002">
        <f>Q361/(D361*(1-E361))</f>
        <v/>
      </c>
      <c r="S361" s="1216" t="n"/>
      <c r="T361" s="1206" t="n"/>
    </row>
    <row r="362" ht="22.5" customHeight="1" s="1349">
      <c r="A362" s="1212" t="n"/>
      <c r="B362" s="1213" t="n"/>
      <c r="C362" s="1213" t="n"/>
      <c r="D362" s="1218" t="n"/>
      <c r="E362" s="1217" t="n">
        <v>0.01</v>
      </c>
      <c r="F362" s="1218" t="n">
        <v>1</v>
      </c>
      <c r="G362" s="1219" t="n"/>
      <c r="H362" s="1024" t="n"/>
      <c r="I362" s="999" t="n"/>
      <c r="J362" s="999">
        <f>D362*(1-E362) * (3.5%)</f>
        <v/>
      </c>
      <c r="K362" s="1220">
        <f>D362*(1-E362)*18%</f>
        <v/>
      </c>
      <c r="L362" s="1220">
        <f>((D362*(1-E362))-K362)*1.65%</f>
        <v/>
      </c>
      <c r="M362" s="1220">
        <f>((D362*(1-E362))-K362)*7.6%</f>
        <v/>
      </c>
      <c r="N362" s="1221">
        <f>(H362+I362)*9.25%</f>
        <v/>
      </c>
      <c r="O362" s="1211" t="n"/>
      <c r="P362" s="904" t="n"/>
      <c r="Q362" s="1024">
        <f>(D362*(1-E362)+(F362* O362)+N362)-(H362+I362+J362+K362+L362+M362+(P362*F362))</f>
        <v/>
      </c>
      <c r="R362" s="1002">
        <f>Q362/(D362*(1-E362))</f>
        <v/>
      </c>
      <c r="S362" s="1216" t="n"/>
      <c r="T362" s="1206" t="n"/>
    </row>
    <row r="363" ht="22.5" customHeight="1" s="1349">
      <c r="A363" s="1212" t="n"/>
      <c r="B363" s="1213" t="n"/>
      <c r="C363" s="1213" t="n"/>
      <c r="D363" s="1218" t="n"/>
      <c r="E363" s="1217" t="n">
        <v>0.01</v>
      </c>
      <c r="F363" s="1218" t="n">
        <v>1</v>
      </c>
      <c r="G363" s="1219" t="n"/>
      <c r="H363" s="1024" t="n"/>
      <c r="I363" s="999" t="n"/>
      <c r="J363" s="999">
        <f>D363*(1-E363) * (3.5%)</f>
        <v/>
      </c>
      <c r="K363" s="1220">
        <f>D363*(1-E363)*18%</f>
        <v/>
      </c>
      <c r="L363" s="1220">
        <f>((D363*(1-E363))-K363)*1.65%</f>
        <v/>
      </c>
      <c r="M363" s="1220">
        <f>((D363*(1-E363))-K363)*7.6%</f>
        <v/>
      </c>
      <c r="N363" s="1221">
        <f>(H363+I363)*9.25%</f>
        <v/>
      </c>
      <c r="O363" s="1211" t="n"/>
      <c r="P363" s="904" t="n"/>
      <c r="Q363" s="1024">
        <f>(D363*(1-E363)+(F363* O363)+N363)-(H363+I363+J363+K363+L363+M363+(P363*F363))</f>
        <v/>
      </c>
      <c r="R363" s="1002">
        <f>Q363/(D363*(1-E363))</f>
        <v/>
      </c>
      <c r="S363" s="1216" t="n"/>
      <c r="T363" s="1206" t="n"/>
    </row>
    <row r="364" ht="22.5" customHeight="1" s="1349">
      <c r="A364" s="1212" t="n"/>
      <c r="B364" s="1213" t="n"/>
      <c r="C364" s="1213" t="n"/>
      <c r="D364" s="1218" t="n"/>
      <c r="E364" s="1217" t="n">
        <v>0.01</v>
      </c>
      <c r="F364" s="1218" t="n">
        <v>1</v>
      </c>
      <c r="G364" s="1219" t="n"/>
      <c r="H364" s="1024" t="n"/>
      <c r="I364" s="999" t="n"/>
      <c r="J364" s="999">
        <f>D364*(1-E364) * (3.5%)</f>
        <v/>
      </c>
      <c r="K364" s="1220">
        <f>D364*(1-E364)*18%</f>
        <v/>
      </c>
      <c r="L364" s="1220">
        <f>((D364*(1-E364))-K364)*1.65%</f>
        <v/>
      </c>
      <c r="M364" s="1220">
        <f>((D364*(1-E364))-K364)*7.6%</f>
        <v/>
      </c>
      <c r="N364" s="1221">
        <f>(H364+I364)*9.25%</f>
        <v/>
      </c>
      <c r="O364" s="1211" t="n"/>
      <c r="P364" s="904" t="n"/>
      <c r="Q364" s="1024">
        <f>(D364*(1-E364)+(F364* O364)+N364)-(H364+I364+J364+K364+L364+M364+(P364*F364))</f>
        <v/>
      </c>
      <c r="R364" s="1002">
        <f>Q364/(D364*(1-E364))</f>
        <v/>
      </c>
      <c r="S364" s="1216" t="n"/>
      <c r="T364" s="1206" t="n"/>
    </row>
    <row r="365" ht="22.5" customHeight="1" s="1349">
      <c r="A365" s="1212" t="n"/>
      <c r="B365" s="1213" t="n"/>
      <c r="C365" s="1213" t="n"/>
      <c r="D365" s="1218" t="n"/>
      <c r="E365" s="1217" t="n">
        <v>0.01</v>
      </c>
      <c r="F365" s="1218" t="n">
        <v>1</v>
      </c>
      <c r="G365" s="1219" t="n"/>
      <c r="H365" s="1024" t="n"/>
      <c r="I365" s="999" t="n"/>
      <c r="J365" s="999">
        <f>D365*(1-E365) * (3.5%)</f>
        <v/>
      </c>
      <c r="K365" s="1220">
        <f>D365*(1-E365)*18%</f>
        <v/>
      </c>
      <c r="L365" s="1220">
        <f>((D365*(1-E365))-K365)*1.65%</f>
        <v/>
      </c>
      <c r="M365" s="1220">
        <f>((D365*(1-E365))-K365)*7.6%</f>
        <v/>
      </c>
      <c r="N365" s="1221">
        <f>(H365+I365)*9.25%</f>
        <v/>
      </c>
      <c r="O365" s="1211" t="n"/>
      <c r="P365" s="904" t="n"/>
      <c r="Q365" s="1024">
        <f>(D365*(1-E365)+(F365* O365)+N365)-(H365+I365+J365+K365+L365+M365+(P365*F365))</f>
        <v/>
      </c>
      <c r="R365" s="1002">
        <f>Q365/(D365*(1-E365))</f>
        <v/>
      </c>
      <c r="S365" s="1216" t="n"/>
      <c r="T365" s="1206" t="n"/>
    </row>
    <row r="366" ht="22.5" customHeight="1" s="1349">
      <c r="A366" s="1212" t="n"/>
      <c r="B366" s="1213" t="n"/>
      <c r="C366" s="1213" t="n"/>
      <c r="D366" s="1218" t="n"/>
      <c r="E366" s="1217" t="n">
        <v>0.01</v>
      </c>
      <c r="F366" s="1218" t="n">
        <v>1</v>
      </c>
      <c r="G366" s="1219" t="n"/>
      <c r="H366" s="1024" t="n"/>
      <c r="I366" s="999" t="n"/>
      <c r="J366" s="999">
        <f>D366*(1-E366) * (3.5%)</f>
        <v/>
      </c>
      <c r="K366" s="1220">
        <f>D366*(1-E366)*18%</f>
        <v/>
      </c>
      <c r="L366" s="1220">
        <f>((D366*(1-E366))-K366)*1.65%</f>
        <v/>
      </c>
      <c r="M366" s="1220">
        <f>((D366*(1-E366))-K366)*7.6%</f>
        <v/>
      </c>
      <c r="N366" s="1221">
        <f>(H366+I366)*9.25%</f>
        <v/>
      </c>
      <c r="O366" s="1211" t="n"/>
      <c r="P366" s="904" t="n"/>
      <c r="Q366" s="1024">
        <f>(D366*(1-E366)+(F366* O366)+N366)-(H366+I366+J366+K366+L366+M366+(P366*F366))</f>
        <v/>
      </c>
      <c r="R366" s="1002">
        <f>Q366/(D366*(1-E366))</f>
        <v/>
      </c>
      <c r="S366" s="1216" t="n"/>
      <c r="T366" s="1206" t="n"/>
    </row>
    <row r="367" ht="22.5" customHeight="1" s="1349">
      <c r="A367" s="1212" t="n"/>
      <c r="B367" s="1213" t="n"/>
      <c r="C367" s="1213" t="n"/>
      <c r="D367" s="1218" t="n"/>
      <c r="E367" s="1217" t="n">
        <v>0.01</v>
      </c>
      <c r="F367" s="1218" t="n">
        <v>1</v>
      </c>
      <c r="G367" s="1219" t="n"/>
      <c r="H367" s="1024" t="n"/>
      <c r="I367" s="999" t="n"/>
      <c r="J367" s="999">
        <f>D367*(1-E367) * (3.5%)</f>
        <v/>
      </c>
      <c r="K367" s="1220">
        <f>D367*(1-E367)*18%</f>
        <v/>
      </c>
      <c r="L367" s="1220">
        <f>((D367*(1-E367))-K367)*1.65%</f>
        <v/>
      </c>
      <c r="M367" s="1220">
        <f>((D367*(1-E367))-K367)*7.6%</f>
        <v/>
      </c>
      <c r="N367" s="1221">
        <f>(H367+I367)*9.25%</f>
        <v/>
      </c>
      <c r="O367" s="1211" t="n"/>
      <c r="P367" s="904" t="n"/>
      <c r="Q367" s="1024">
        <f>(D367*(1-E367)+(F367* O367)+N367)-(H367+I367+J367+K367+L367+M367+(P367*F367))</f>
        <v/>
      </c>
      <c r="R367" s="1002">
        <f>Q367/(D367*(1-E367))</f>
        <v/>
      </c>
      <c r="S367" s="1216" t="n"/>
      <c r="T367" s="1206" t="n"/>
    </row>
    <row r="368" ht="22.5" customHeight="1" s="1349">
      <c r="A368" s="1212" t="n"/>
      <c r="B368" s="1213" t="n"/>
      <c r="C368" s="1213" t="n"/>
      <c r="D368" s="1218" t="n"/>
      <c r="E368" s="1217" t="n">
        <v>0.01</v>
      </c>
      <c r="F368" s="1218" t="n">
        <v>1</v>
      </c>
      <c r="G368" s="1219" t="n"/>
      <c r="H368" s="1024" t="n"/>
      <c r="I368" s="999" t="n"/>
      <c r="J368" s="999">
        <f>D368*(1-E368) * (3.5%)</f>
        <v/>
      </c>
      <c r="K368" s="1220">
        <f>D368*(1-E368)*18%</f>
        <v/>
      </c>
      <c r="L368" s="1220">
        <f>((D368*(1-E368))-K368)*1.65%</f>
        <v/>
      </c>
      <c r="M368" s="1220">
        <f>((D368*(1-E368))-K368)*7.6%</f>
        <v/>
      </c>
      <c r="N368" s="1221">
        <f>(H368+I368)*9.25%</f>
        <v/>
      </c>
      <c r="O368" s="1211" t="n"/>
      <c r="P368" s="904" t="n"/>
      <c r="Q368" s="1024">
        <f>(D368*(1-E368)+(F368* O368)+N368)-(H368+I368+J368+K368+L368+M368+(P368*F368))</f>
        <v/>
      </c>
      <c r="R368" s="1002">
        <f>Q368/(D368*(1-E368))</f>
        <v/>
      </c>
      <c r="S368" s="1216" t="n"/>
      <c r="T368" s="1206" t="n"/>
    </row>
    <row r="369" ht="15.75" customHeight="1" s="1349">
      <c r="A369" s="1212" t="n"/>
      <c r="B369" s="1213" t="n"/>
      <c r="C369" s="1213" t="n"/>
      <c r="D369" s="1218" t="n"/>
      <c r="E369" s="1217" t="n">
        <v>0.01</v>
      </c>
      <c r="F369" s="1218" t="n">
        <v>1</v>
      </c>
      <c r="G369" s="1219" t="n"/>
      <c r="H369" s="1024" t="n"/>
      <c r="I369" s="999" t="n"/>
      <c r="J369" s="999">
        <f>D369*(1-E369) * (3.5%)</f>
        <v/>
      </c>
      <c r="K369" s="1220">
        <f>D369*(1-E369)*18%</f>
        <v/>
      </c>
      <c r="L369" s="1220">
        <f>((D369*(1-E369))-K369)*1.65%</f>
        <v/>
      </c>
      <c r="M369" s="1220">
        <f>((D369*(1-E369))-K369)*7.6%</f>
        <v/>
      </c>
      <c r="N369" s="1221">
        <f>(H369+I369)*9.25%</f>
        <v/>
      </c>
      <c r="O369" s="1211" t="n"/>
      <c r="P369" s="904" t="n"/>
      <c r="Q369" s="1024">
        <f>(D369*(1-E369)+(F369* O369)+N369)-(H369+I369+J369+K369+L369+M369+(P369*F369))</f>
        <v/>
      </c>
      <c r="R369" s="1002">
        <f>Q369/(D369*(1-E369))</f>
        <v/>
      </c>
      <c r="S369" s="1216" t="n"/>
      <c r="T369" s="1206" t="n"/>
    </row>
    <row r="370" ht="15.75" customHeight="1" s="1349">
      <c r="A370" s="1212" t="n"/>
      <c r="B370" s="1213" t="n"/>
      <c r="C370" s="1213" t="n"/>
      <c r="D370" s="1218" t="n"/>
      <c r="E370" s="1217" t="n">
        <v>0.01</v>
      </c>
      <c r="F370" s="1218" t="n">
        <v>1</v>
      </c>
      <c r="G370" s="1219" t="n"/>
      <c r="H370" s="1024" t="n"/>
      <c r="I370" s="999" t="n"/>
      <c r="J370" s="999">
        <f>D370*(1-E370) * (3.5%)</f>
        <v/>
      </c>
      <c r="K370" s="1220">
        <f>D370*(1-E370)*18%</f>
        <v/>
      </c>
      <c r="L370" s="1220">
        <f>((D370*(1-E370))-K370)*1.65%</f>
        <v/>
      </c>
      <c r="M370" s="1220">
        <f>((D370*(1-E370))-K370)*7.6%</f>
        <v/>
      </c>
      <c r="N370" s="1221">
        <f>(H370+I370)*9.25%</f>
        <v/>
      </c>
      <c r="O370" s="1211" t="n"/>
      <c r="P370" s="904" t="n"/>
      <c r="Q370" s="1024">
        <f>(D370*(1-E370)+(F370* O370)+N370)-(H370+I370+J370+K370+L370+M370+(P370*F370))</f>
        <v/>
      </c>
      <c r="R370" s="1002">
        <f>Q370/(D370*(1-E370))</f>
        <v/>
      </c>
      <c r="S370" s="1216" t="n"/>
      <c r="T370" s="1206" t="n"/>
    </row>
    <row r="371" ht="15.75" customHeight="1" s="1349">
      <c r="A371" s="1212" t="n"/>
      <c r="B371" s="1213" t="n"/>
      <c r="C371" s="1213" t="n"/>
      <c r="D371" s="1218" t="n"/>
      <c r="E371" s="1217" t="n">
        <v>0.01</v>
      </c>
      <c r="F371" s="1218" t="n">
        <v>1</v>
      </c>
      <c r="G371" s="1219" t="n"/>
      <c r="H371" s="1024" t="n"/>
      <c r="I371" s="999" t="n"/>
      <c r="J371" s="999">
        <f>D371*(1-E371) * (3.5%)</f>
        <v/>
      </c>
      <c r="K371" s="1220">
        <f>D371*(1-E371)*18%</f>
        <v/>
      </c>
      <c r="L371" s="1220">
        <f>((D371*(1-E371))-K371)*1.65%</f>
        <v/>
      </c>
      <c r="M371" s="1220">
        <f>((D371*(1-E371))-K371)*7.6%</f>
        <v/>
      </c>
      <c r="N371" s="1221">
        <f>(H371+I371)*9.25%</f>
        <v/>
      </c>
      <c r="O371" s="1211" t="n"/>
      <c r="P371" s="904" t="n"/>
      <c r="Q371" s="1024">
        <f>(D371*(1-E371)+(F371* O371)+N371)-(H371+I371+J371+K371+L371+M371+(P371*F371))</f>
        <v/>
      </c>
      <c r="R371" s="1002">
        <f>Q371/(D371*(1-E371))</f>
        <v/>
      </c>
      <c r="S371" s="1216" t="n"/>
      <c r="T371" s="1206" t="n"/>
    </row>
    <row r="372" ht="15.75" customHeight="1" s="1349">
      <c r="A372" s="1212" t="n"/>
      <c r="B372" s="1213" t="n"/>
      <c r="C372" s="1213" t="n"/>
      <c r="D372" s="1218" t="n"/>
      <c r="E372" s="1217" t="n">
        <v>0.01</v>
      </c>
      <c r="F372" s="1218" t="n">
        <v>1</v>
      </c>
      <c r="G372" s="1219" t="n"/>
      <c r="H372" s="1024" t="n"/>
      <c r="I372" s="999" t="n"/>
      <c r="J372" s="999">
        <f>D372*(1-E372) * (3.5%)</f>
        <v/>
      </c>
      <c r="K372" s="1220">
        <f>D372*(1-E372)*18%</f>
        <v/>
      </c>
      <c r="L372" s="1220">
        <f>((D372*(1-E372))-K372)*1.65%</f>
        <v/>
      </c>
      <c r="M372" s="1220">
        <f>((D372*(1-E372))-K372)*7.6%</f>
        <v/>
      </c>
      <c r="N372" s="1221">
        <f>(H372+I372)*9.25%</f>
        <v/>
      </c>
      <c r="O372" s="1211" t="n"/>
      <c r="P372" s="904" t="n"/>
      <c r="Q372" s="1024">
        <f>(D372*(1-E372)+(F372* O372)+N372)-(H372+I372+J372+K372+L372+M372+(P372*F372))</f>
        <v/>
      </c>
      <c r="R372" s="1002">
        <f>Q372/(D372*(1-E372))</f>
        <v/>
      </c>
      <c r="S372" s="1216" t="n"/>
      <c r="T372" s="1206" t="n"/>
    </row>
    <row r="373" ht="15.75" customHeight="1" s="1349">
      <c r="A373" s="1212" t="n"/>
      <c r="B373" s="1213" t="n"/>
      <c r="C373" s="1213" t="n"/>
      <c r="D373" s="1218" t="n"/>
      <c r="E373" s="1217" t="n">
        <v>0.01</v>
      </c>
      <c r="F373" s="1218" t="n">
        <v>1</v>
      </c>
      <c r="G373" s="1219" t="n"/>
      <c r="H373" s="1024" t="n"/>
      <c r="I373" s="999" t="n"/>
      <c r="J373" s="999">
        <f>D373*(1-E373) * (3.5%)</f>
        <v/>
      </c>
      <c r="K373" s="1220">
        <f>D373*(1-E373)*18%</f>
        <v/>
      </c>
      <c r="L373" s="1220">
        <f>((D373*(1-E373))-K373)*1.65%</f>
        <v/>
      </c>
      <c r="M373" s="1220">
        <f>((D373*(1-E373))-K373)*7.6%</f>
        <v/>
      </c>
      <c r="N373" s="1221">
        <f>(H373+I373)*9.25%</f>
        <v/>
      </c>
      <c r="O373" s="1211" t="n"/>
      <c r="P373" s="904" t="n"/>
      <c r="Q373" s="1024">
        <f>(D373*(1-E373)+(F373* O373)+N373)-(H373+I373+J373+K373+L373+M373+(P373*F373))</f>
        <v/>
      </c>
      <c r="R373" s="1002">
        <f>Q373/(D373*(1-E373))</f>
        <v/>
      </c>
      <c r="S373" s="1216" t="n"/>
      <c r="T373" s="1206" t="n"/>
    </row>
    <row r="374" ht="15.75" customHeight="1" s="1349">
      <c r="A374" s="1212" t="n"/>
      <c r="B374" s="1213" t="n"/>
      <c r="C374" s="1213" t="n"/>
      <c r="D374" s="1218" t="n"/>
      <c r="E374" s="1217" t="n">
        <v>0.01</v>
      </c>
      <c r="F374" s="1218" t="n">
        <v>1</v>
      </c>
      <c r="G374" s="1219" t="n"/>
      <c r="H374" s="1024" t="n"/>
      <c r="I374" s="999" t="n"/>
      <c r="J374" s="999">
        <f>D374*(1-E374) * (3.5%)</f>
        <v/>
      </c>
      <c r="K374" s="1220">
        <f>D374*(1-E374)*18%</f>
        <v/>
      </c>
      <c r="L374" s="1220">
        <f>((D374*(1-E374))-K374)*1.65%</f>
        <v/>
      </c>
      <c r="M374" s="1220">
        <f>((D374*(1-E374))-K374)*7.6%</f>
        <v/>
      </c>
      <c r="N374" s="1221">
        <f>(H374+I374)*9.25%</f>
        <v/>
      </c>
      <c r="O374" s="1211" t="n"/>
      <c r="P374" s="904" t="n"/>
      <c r="Q374" s="1024">
        <f>(D374*(1-E374)+(F374* O374)+N374)-(H374+I374+J374+K374+L374+M374+(P374*F374))</f>
        <v/>
      </c>
      <c r="R374" s="1002">
        <f>Q374/(D374*(1-E374))</f>
        <v/>
      </c>
      <c r="S374" s="1216" t="n"/>
      <c r="T374" s="1206" t="n"/>
    </row>
    <row r="375" ht="15.75" customHeight="1" s="1349">
      <c r="A375" s="1212" t="n"/>
      <c r="B375" s="1213" t="n"/>
      <c r="C375" s="1213" t="n"/>
      <c r="D375" s="1218" t="n"/>
      <c r="E375" s="1217" t="n">
        <v>0.01</v>
      </c>
      <c r="F375" s="1218" t="n">
        <v>1</v>
      </c>
      <c r="G375" s="1219" t="n"/>
      <c r="H375" s="1024" t="n"/>
      <c r="I375" s="999" t="n"/>
      <c r="J375" s="999">
        <f>D375*(1-E375) * (3.5%)</f>
        <v/>
      </c>
      <c r="K375" s="1220">
        <f>D375*(1-E375)*18%</f>
        <v/>
      </c>
      <c r="L375" s="1220">
        <f>((D375*(1-E375))-K375)*1.65%</f>
        <v/>
      </c>
      <c r="M375" s="1220">
        <f>((D375*(1-E375))-K375)*7.6%</f>
        <v/>
      </c>
      <c r="N375" s="1221">
        <f>(H375+I375)*9.25%</f>
        <v/>
      </c>
      <c r="O375" s="1211" t="n"/>
      <c r="P375" s="904" t="n"/>
      <c r="Q375" s="1024">
        <f>(D375*(1-E375)+(F375* O375)+N375)-(H375+I375+J375+K375+L375+M375+(P375*F375))</f>
        <v/>
      </c>
      <c r="R375" s="1002">
        <f>Q375/(D375*(1-E375))</f>
        <v/>
      </c>
      <c r="S375" s="1216" t="n"/>
      <c r="T375" s="1206" t="n"/>
    </row>
    <row r="376" ht="15.75" customHeight="1" s="1349">
      <c r="A376" s="1212" t="n"/>
      <c r="B376" s="1213" t="n"/>
      <c r="C376" s="1213" t="n"/>
      <c r="D376" s="1218" t="n"/>
      <c r="E376" s="1217" t="n">
        <v>0.01</v>
      </c>
      <c r="F376" s="1218" t="n">
        <v>1</v>
      </c>
      <c r="G376" s="1219" t="n"/>
      <c r="H376" s="1024" t="n"/>
      <c r="I376" s="999" t="n"/>
      <c r="J376" s="999">
        <f>D376*(1-E376) * (3.5%)</f>
        <v/>
      </c>
      <c r="K376" s="1220">
        <f>D376*(1-E376)*18%</f>
        <v/>
      </c>
      <c r="L376" s="1220">
        <f>((D376*(1-E376))-K376)*1.65%</f>
        <v/>
      </c>
      <c r="M376" s="1220">
        <f>((D376*(1-E376))-K376)*7.6%</f>
        <v/>
      </c>
      <c r="N376" s="1221">
        <f>(H376+I376)*9.25%</f>
        <v/>
      </c>
      <c r="O376" s="1211" t="n"/>
      <c r="P376" s="904" t="n"/>
      <c r="Q376" s="1024">
        <f>(D376*(1-E376)+(F376* O376)+N376)-(H376+I376+J376+K376+L376+M376+(P376*F376))</f>
        <v/>
      </c>
      <c r="R376" s="1215">
        <f>Q376/(D376*(1-E376))</f>
        <v/>
      </c>
      <c r="S376" s="1216" t="n"/>
      <c r="T376" s="1206" t="n"/>
    </row>
    <row r="377" ht="15.75" customHeight="1" s="1349">
      <c r="A377" s="1212" t="n"/>
      <c r="B377" s="1213" t="n"/>
      <c r="C377" s="1213" t="n"/>
      <c r="D377" s="1218" t="n"/>
      <c r="E377" s="1217" t="n"/>
      <c r="F377" s="1218" t="n"/>
      <c r="G377" s="1219" t="n"/>
      <c r="H377" s="1024" t="n"/>
      <c r="I377" s="999" t="n"/>
      <c r="J377" s="999">
        <f>D377*(1-E377) * (3.5%)</f>
        <v/>
      </c>
      <c r="K377" s="1220">
        <f>D377*(1-E377)*18%</f>
        <v/>
      </c>
      <c r="L377" s="1220">
        <f>((D377*(1-E377))-K377)*1.65%</f>
        <v/>
      </c>
      <c r="M377" s="1220">
        <f>((D377*(1-E377))-K377)*7.6%</f>
        <v/>
      </c>
      <c r="N377" s="1221">
        <f>(H377+I377)*9.25%</f>
        <v/>
      </c>
      <c r="O377" s="1211" t="n"/>
      <c r="P377" s="904" t="n"/>
      <c r="Q377" s="1024">
        <f>(D377*(1-E377)+(F377* O377)+N377)-(H377+I377+J377+K377+L377+M377+(P377*F377))</f>
        <v/>
      </c>
      <c r="R377" s="1215">
        <f>Q377/(D377*(1-E377))</f>
        <v/>
      </c>
      <c r="S377" s="1216" t="n"/>
      <c r="T377" s="1206" t="n"/>
    </row>
    <row r="378" ht="15.75" customHeight="1" s="1349">
      <c r="A378" s="1212" t="n"/>
      <c r="B378" s="1213" t="n"/>
      <c r="C378" s="1213" t="n"/>
      <c r="D378" s="1218" t="n"/>
      <c r="E378" s="1217" t="n"/>
      <c r="F378" s="1218" t="n"/>
      <c r="G378" s="1219" t="n"/>
      <c r="H378" s="1024" t="n"/>
      <c r="I378" s="999" t="n"/>
      <c r="J378" s="999">
        <f>D378*(1-E378) * (3.5%)</f>
        <v/>
      </c>
      <c r="K378" s="1220">
        <f>D378*(1-E378)*18%</f>
        <v/>
      </c>
      <c r="L378" s="1220">
        <f>((D378*(1-E378))-K378)*1.65%</f>
        <v/>
      </c>
      <c r="M378" s="1220">
        <f>((D378*(1-E378))-K378)*7.6%</f>
        <v/>
      </c>
      <c r="N378" s="1221">
        <f>(H378+I378)*9.25%</f>
        <v/>
      </c>
      <c r="O378" s="1211" t="n"/>
      <c r="P378" s="904" t="n"/>
      <c r="Q378" s="1024">
        <f>(D378*(1-E378)+(F378* O378)+N378)-(H378+I378+J378+K378+L378+M378+(P378*F378))</f>
        <v/>
      </c>
      <c r="R378" s="1215">
        <f>Q378/(D378*(1-E378))</f>
        <v/>
      </c>
      <c r="S378" s="1216" t="n"/>
      <c r="T378" s="1206" t="n"/>
    </row>
    <row r="379" ht="15.75" customHeight="1" s="1349">
      <c r="A379" s="1212" t="n"/>
      <c r="B379" s="1213" t="n"/>
      <c r="C379" s="1213" t="n"/>
      <c r="D379" s="1218" t="n"/>
      <c r="E379" s="1217" t="n"/>
      <c r="F379" s="1218" t="n"/>
      <c r="G379" s="1219" t="n"/>
      <c r="H379" s="1024" t="n"/>
      <c r="I379" s="999" t="n"/>
      <c r="J379" s="999">
        <f>D379*(1-E379) * (3.5%)</f>
        <v/>
      </c>
      <c r="K379" s="1220">
        <f>D379*(1-E379)*18%</f>
        <v/>
      </c>
      <c r="L379" s="1220">
        <f>((D379*(1-E379))-K379)*1.65%</f>
        <v/>
      </c>
      <c r="M379" s="1220">
        <f>((D379*(1-E379))-K379)*7.6%</f>
        <v/>
      </c>
      <c r="N379" s="1221">
        <f>(H379+I379)*9.25%</f>
        <v/>
      </c>
      <c r="O379" s="1211" t="n"/>
      <c r="P379" s="904" t="n"/>
      <c r="Q379" s="1024">
        <f>(D379*(1-E379)+(F379* O379)+N379)-(H379+I379+J379+K379+L379+M379+(P379*F379))</f>
        <v/>
      </c>
      <c r="R379" s="1215">
        <f>Q379/(D379*(1-E379))</f>
        <v/>
      </c>
      <c r="S379" s="1216" t="n"/>
      <c r="T379" s="1206" t="n"/>
    </row>
    <row r="380" ht="15.75" customHeight="1" s="1349">
      <c r="A380" s="1212" t="n"/>
      <c r="B380" s="1213" t="n"/>
      <c r="C380" s="1213" t="n"/>
      <c r="D380" s="1218" t="n"/>
      <c r="E380" s="1217" t="n"/>
      <c r="F380" s="1218" t="n"/>
      <c r="G380" s="1219" t="n"/>
      <c r="H380" s="1024" t="n"/>
      <c r="I380" s="999" t="n"/>
      <c r="J380" s="999">
        <f>D380*(1-E380) * (3.5%)</f>
        <v/>
      </c>
      <c r="K380" s="1220">
        <f>D380*(1-E380)*18%</f>
        <v/>
      </c>
      <c r="L380" s="1220">
        <f>((D380*(1-E380))-K380)*1.65%</f>
        <v/>
      </c>
      <c r="M380" s="1220">
        <f>((D380*(1-E380))-K380)*7.6%</f>
        <v/>
      </c>
      <c r="N380" s="1221">
        <f>(H380+I380)*9.25%</f>
        <v/>
      </c>
      <c r="O380" s="1211" t="n"/>
      <c r="P380" s="904" t="n"/>
      <c r="Q380" s="1024">
        <f>(D380*(1-E380)+(F380* O380)+N380)-(H380+I380+J380+K380+L380+M380+(P380*F380))</f>
        <v/>
      </c>
      <c r="R380" s="1215">
        <f>Q380/(D380*(1-E380))</f>
        <v/>
      </c>
      <c r="S380" s="1216" t="n"/>
      <c r="T380" s="1206" t="n"/>
    </row>
    <row r="381" ht="15.75" customHeight="1" s="1349">
      <c r="A381" s="1212" t="n"/>
      <c r="B381" s="1213" t="n"/>
      <c r="C381" s="1213" t="n"/>
      <c r="D381" s="1218" t="n"/>
      <c r="E381" s="1217" t="n"/>
      <c r="F381" s="1218" t="n"/>
      <c r="G381" s="1219" t="n"/>
      <c r="H381" s="1024" t="n"/>
      <c r="I381" s="999" t="n"/>
      <c r="J381" s="999">
        <f>D381*(1-E381) * (3.5%)</f>
        <v/>
      </c>
      <c r="K381" s="1220">
        <f>D381*(1-E381)*18%</f>
        <v/>
      </c>
      <c r="L381" s="1220">
        <f>((D381*(1-E381))-K381)*1.65%</f>
        <v/>
      </c>
      <c r="M381" s="1220">
        <f>((D381*(1-E381))-K381)*7.6%</f>
        <v/>
      </c>
      <c r="N381" s="1221">
        <f>(H381+I381)*9.25%</f>
        <v/>
      </c>
      <c r="O381" s="1211" t="n"/>
      <c r="P381" s="904" t="n"/>
      <c r="Q381" s="1024">
        <f>(D381*(1-E381)+(F381* O381)+N381)-(H381+I381+J381+K381+L381+M381+(P381*F381))</f>
        <v/>
      </c>
      <c r="R381" s="1215">
        <f>Q381/(D381*(1-E381))</f>
        <v/>
      </c>
      <c r="S381" s="1216" t="n"/>
      <c r="T381" s="1206" t="n"/>
    </row>
    <row r="382" ht="15.75" customHeight="1" s="1349">
      <c r="A382" s="1212" t="n"/>
      <c r="B382" s="1213" t="n"/>
      <c r="C382" s="1213" t="n"/>
      <c r="D382" s="1218" t="n"/>
      <c r="E382" s="1217" t="n"/>
      <c r="F382" s="1218" t="n"/>
      <c r="G382" s="1219" t="n"/>
      <c r="H382" s="1024" t="n"/>
      <c r="I382" s="999" t="n"/>
      <c r="J382" s="999">
        <f>D382*(1-E382) * (3.5%)</f>
        <v/>
      </c>
      <c r="K382" s="1220">
        <f>D382*(1-E382)*18%</f>
        <v/>
      </c>
      <c r="L382" s="1220">
        <f>((D382*(1-E382))-K382)*1.65%</f>
        <v/>
      </c>
      <c r="M382" s="1220">
        <f>((D382*(1-E382))-K382)*7.6%</f>
        <v/>
      </c>
      <c r="N382" s="1221">
        <f>(H382+I382)*9.25%</f>
        <v/>
      </c>
      <c r="O382" s="1211" t="n"/>
      <c r="P382" s="904" t="n"/>
      <c r="Q382" s="1024">
        <f>(D382*(1-E382)+(F382* O382)+N382)-(H382+I382+J382+K382+L382+M382+(P382*F382))</f>
        <v/>
      </c>
      <c r="R382" s="1215">
        <f>Q382/(D382*(1-E382))</f>
        <v/>
      </c>
      <c r="S382" s="1216" t="n"/>
      <c r="T382" s="1206" t="n"/>
    </row>
    <row r="383" ht="15.75" customHeight="1" s="1349">
      <c r="A383" s="1212" t="n"/>
      <c r="B383" s="1213" t="n"/>
      <c r="C383" s="1213" t="n"/>
      <c r="D383" s="1218" t="n"/>
      <c r="E383" s="1217" t="n"/>
      <c r="F383" s="1218" t="n"/>
      <c r="G383" s="1219" t="n"/>
      <c r="H383" s="1024" t="n"/>
      <c r="I383" s="999" t="n"/>
      <c r="J383" s="999">
        <f>D383*(1-E383) * (3.5%)</f>
        <v/>
      </c>
      <c r="K383" s="1220">
        <f>D383*(1-E383)*18%</f>
        <v/>
      </c>
      <c r="L383" s="1220">
        <f>((D383*(1-E383))-K383)*1.65%</f>
        <v/>
      </c>
      <c r="M383" s="1220">
        <f>((D383*(1-E383))-K383)*7.6%</f>
        <v/>
      </c>
      <c r="N383" s="1221">
        <f>(H383+I383)*9.25%</f>
        <v/>
      </c>
      <c r="O383" s="1211" t="n"/>
      <c r="P383" s="904" t="n"/>
      <c r="Q383" s="1024">
        <f>(D383*(1-E383)+(F383* O383)+N383)-(H383+I383+J383+K383+L383+M383+(P383*F383))</f>
        <v/>
      </c>
      <c r="R383" s="1215">
        <f>Q383/(D383*(1-E383))</f>
        <v/>
      </c>
      <c r="S383" s="1216" t="n"/>
      <c r="T383" s="1206" t="n"/>
    </row>
    <row r="384" ht="15.75" customHeight="1" s="1349">
      <c r="A384" s="1222" t="n"/>
      <c r="B384" s="1223" t="n"/>
      <c r="C384" s="1223" t="n"/>
      <c r="D384" s="1224" t="n"/>
      <c r="E384" s="1225" t="n"/>
      <c r="F384" s="1224" t="n"/>
      <c r="G384" s="1224" t="n"/>
      <c r="H384" s="963" t="n"/>
      <c r="I384" s="963" t="n"/>
      <c r="J384" s="963" t="n"/>
      <c r="K384" s="1226" t="n"/>
      <c r="L384" s="1226" t="n"/>
      <c r="M384" s="1226" t="n"/>
      <c r="N384" s="1227" t="n"/>
      <c r="O384" s="963" t="n"/>
      <c r="P384" s="963" t="n"/>
      <c r="Q384" s="963" t="n"/>
      <c r="R384" s="1228" t="n"/>
      <c r="S384" s="1229" t="n"/>
    </row>
    <row r="385" ht="15.75" customHeight="1" s="1349">
      <c r="A385" s="1222" t="n"/>
      <c r="B385" s="1223" t="n"/>
      <c r="C385" s="1223" t="n"/>
      <c r="D385" s="1224" t="n"/>
      <c r="E385" s="1225" t="n"/>
      <c r="F385" s="1224" t="n"/>
      <c r="G385" s="1224" t="n"/>
      <c r="H385" s="963" t="n"/>
      <c r="I385" s="963" t="n"/>
      <c r="J385" s="963" t="n"/>
      <c r="K385" s="1226" t="n"/>
      <c r="L385" s="1226" t="n"/>
      <c r="M385" s="1226" t="n"/>
      <c r="N385" s="1227" t="n"/>
      <c r="O385" s="963" t="n"/>
      <c r="P385" s="963" t="n"/>
      <c r="Q385" s="963" t="n"/>
      <c r="R385" s="1228" t="n"/>
      <c r="S385" s="1229" t="n"/>
    </row>
    <row r="386" ht="15.75" customHeight="1" s="1349">
      <c r="A386" s="1222" t="n"/>
      <c r="B386" s="1223" t="n"/>
      <c r="C386" s="1223" t="n"/>
      <c r="D386" s="1224" t="n"/>
      <c r="E386" s="1225" t="n"/>
      <c r="F386" s="1224" t="n"/>
      <c r="G386" s="1224" t="n"/>
      <c r="H386" s="963" t="n"/>
      <c r="I386" s="963" t="n"/>
      <c r="J386" s="963" t="n"/>
      <c r="K386" s="1226" t="n"/>
      <c r="L386" s="1226" t="n"/>
      <c r="M386" s="1226" t="n"/>
      <c r="N386" s="1227" t="n"/>
      <c r="O386" s="963" t="n"/>
      <c r="P386" s="963" t="n"/>
      <c r="Q386" s="963" t="n"/>
      <c r="R386" s="1228" t="n"/>
      <c r="S386" s="1229" t="n"/>
    </row>
    <row r="387" ht="15.75" customHeight="1" s="1349">
      <c r="A387" s="1222" t="n"/>
      <c r="B387" s="1223" t="n"/>
      <c r="C387" s="1223" t="n"/>
      <c r="D387" s="1224" t="n"/>
      <c r="E387" s="1225" t="n"/>
      <c r="F387" s="1224" t="n"/>
      <c r="G387" s="1224" t="n"/>
      <c r="H387" s="963" t="n"/>
      <c r="I387" s="963" t="n"/>
      <c r="J387" s="963" t="n"/>
      <c r="K387" s="1226" t="n"/>
      <c r="L387" s="1226" t="n"/>
      <c r="M387" s="1226" t="n"/>
      <c r="N387" s="1227" t="n"/>
      <c r="O387" s="963" t="n"/>
      <c r="P387" s="963" t="n"/>
      <c r="Q387" s="963" t="n"/>
      <c r="R387" s="1228" t="n"/>
      <c r="S387" s="1229" t="n"/>
    </row>
    <row r="388" ht="15.75" customHeight="1" s="1349">
      <c r="A388" s="1222" t="n"/>
      <c r="B388" s="1223" t="n"/>
      <c r="C388" s="1223" t="n"/>
      <c r="D388" s="1224" t="n"/>
      <c r="E388" s="1225" t="n"/>
      <c r="F388" s="1224" t="n"/>
      <c r="G388" s="1224" t="n"/>
      <c r="H388" s="963" t="n"/>
      <c r="I388" s="963" t="n"/>
      <c r="J388" s="963" t="n"/>
      <c r="K388" s="1226" t="n"/>
      <c r="L388" s="1226" t="n"/>
      <c r="M388" s="1226" t="n"/>
      <c r="N388" s="1227" t="n"/>
      <c r="O388" s="963" t="n"/>
      <c r="P388" s="963" t="n"/>
      <c r="Q388" s="963" t="n"/>
      <c r="R388" s="1228" t="n"/>
      <c r="S388" s="1229" t="n"/>
    </row>
    <row r="389" ht="15.75" customHeight="1" s="1349">
      <c r="A389" s="1222" t="n"/>
      <c r="B389" s="1223" t="n"/>
      <c r="C389" s="1223" t="n"/>
      <c r="D389" s="1224" t="n"/>
      <c r="E389" s="1225" t="n"/>
      <c r="F389" s="1224" t="n"/>
      <c r="G389" s="1224" t="n"/>
      <c r="H389" s="963" t="n"/>
      <c r="I389" s="963" t="n"/>
      <c r="J389" s="963" t="n"/>
      <c r="K389" s="1226" t="n"/>
      <c r="L389" s="1226" t="n"/>
      <c r="M389" s="1226" t="n"/>
      <c r="N389" s="1227" t="n"/>
      <c r="O389" s="963" t="n"/>
      <c r="P389" s="963" t="n"/>
      <c r="Q389" s="963" t="n"/>
      <c r="R389" s="1228" t="n"/>
      <c r="S389" s="1229" t="n"/>
    </row>
    <row r="390" ht="15.75" customHeight="1" s="1349">
      <c r="A390" s="1222" t="n"/>
      <c r="B390" s="1223" t="n"/>
      <c r="C390" s="1223" t="n"/>
      <c r="D390" s="1224" t="n"/>
      <c r="E390" s="1225" t="n"/>
      <c r="F390" s="1224" t="n"/>
      <c r="G390" s="1224" t="n"/>
      <c r="H390" s="963" t="n"/>
      <c r="I390" s="963" t="n"/>
      <c r="J390" s="963" t="n"/>
      <c r="K390" s="1226" t="n"/>
      <c r="L390" s="1226" t="n"/>
      <c r="M390" s="1226" t="n"/>
      <c r="N390" s="1227" t="n"/>
      <c r="O390" s="963" t="n"/>
      <c r="P390" s="963" t="n"/>
      <c r="Q390" s="963" t="n"/>
      <c r="R390" s="1228" t="n"/>
      <c r="S390" s="1229" t="n"/>
    </row>
    <row r="391" ht="15.75" customHeight="1" s="1349">
      <c r="A391" s="1222" t="n"/>
      <c r="B391" s="1223" t="n"/>
      <c r="C391" s="1223" t="n"/>
      <c r="D391" s="1224" t="n"/>
      <c r="E391" s="1225" t="n"/>
      <c r="F391" s="1224" t="n"/>
      <c r="G391" s="1224" t="n"/>
      <c r="H391" s="963" t="n"/>
      <c r="I391" s="963" t="n"/>
      <c r="J391" s="963" t="n"/>
      <c r="K391" s="1226" t="n"/>
      <c r="L391" s="1226" t="n"/>
      <c r="M391" s="1226" t="n"/>
      <c r="N391" s="1227" t="n"/>
      <c r="O391" s="963" t="n"/>
      <c r="P391" s="963" t="n"/>
      <c r="Q391" s="963" t="n"/>
      <c r="R391" s="1228" t="n"/>
      <c r="S391" s="1229" t="n"/>
    </row>
    <row r="392" ht="15.75" customHeight="1" s="1349">
      <c r="A392" s="1222" t="n"/>
      <c r="B392" s="1223" t="n"/>
      <c r="C392" s="1223" t="n"/>
      <c r="D392" s="1224" t="n"/>
      <c r="E392" s="1225" t="n"/>
      <c r="F392" s="1224" t="n"/>
      <c r="G392" s="1224" t="n"/>
      <c r="H392" s="963" t="n"/>
      <c r="I392" s="963" t="n"/>
      <c r="J392" s="963" t="n"/>
      <c r="K392" s="1226" t="n"/>
      <c r="L392" s="1226" t="n"/>
      <c r="M392" s="1226" t="n"/>
      <c r="N392" s="1227" t="n"/>
      <c r="O392" s="963" t="n"/>
      <c r="P392" s="963" t="n"/>
      <c r="Q392" s="963" t="n"/>
      <c r="R392" s="1228" t="n"/>
      <c r="S392" s="1229" t="n"/>
    </row>
    <row r="393" ht="15.75" customHeight="1" s="1349">
      <c r="A393" s="1222" t="n"/>
      <c r="B393" s="1223" t="n"/>
      <c r="C393" s="1223" t="n"/>
      <c r="D393" s="1224" t="n"/>
      <c r="E393" s="1225" t="n"/>
      <c r="F393" s="1224" t="n"/>
      <c r="G393" s="1224" t="n"/>
      <c r="H393" s="963" t="n"/>
      <c r="I393" s="963" t="n"/>
      <c r="J393" s="963" t="n"/>
      <c r="K393" s="1226" t="n"/>
      <c r="L393" s="1226" t="n"/>
      <c r="M393" s="1226" t="n"/>
      <c r="N393" s="1227" t="n"/>
      <c r="O393" s="963" t="n"/>
      <c r="P393" s="963" t="n"/>
      <c r="Q393" s="963" t="n"/>
      <c r="R393" s="1228" t="n"/>
      <c r="S393" s="1229" t="n"/>
    </row>
    <row r="394" ht="15.75" customHeight="1" s="1349">
      <c r="A394" s="1222" t="n"/>
      <c r="B394" s="1223" t="n"/>
      <c r="C394" s="1223" t="n"/>
      <c r="D394" s="1224" t="n"/>
      <c r="E394" s="1225" t="n"/>
      <c r="F394" s="1224" t="n"/>
      <c r="G394" s="1224" t="n"/>
      <c r="H394" s="963" t="n"/>
      <c r="I394" s="963" t="n"/>
      <c r="J394" s="963" t="n"/>
      <c r="K394" s="1226" t="n"/>
      <c r="L394" s="1226" t="n"/>
      <c r="M394" s="1226" t="n"/>
      <c r="N394" s="1227" t="n"/>
      <c r="O394" s="963" t="n"/>
      <c r="P394" s="963" t="n"/>
      <c r="Q394" s="963" t="n"/>
      <c r="R394" s="1228" t="n"/>
      <c r="S394" s="1229" t="n"/>
    </row>
    <row r="395" ht="15.75" customHeight="1" s="1349">
      <c r="A395" s="1222" t="n"/>
      <c r="B395" s="1223" t="n"/>
      <c r="C395" s="1223" t="n"/>
      <c r="D395" s="1224" t="n"/>
      <c r="E395" s="1225" t="n"/>
      <c r="F395" s="1224" t="n"/>
      <c r="G395" s="1224" t="n"/>
      <c r="H395" s="963" t="n"/>
      <c r="I395" s="963" t="n"/>
      <c r="J395" s="963" t="n"/>
      <c r="K395" s="1226" t="n"/>
      <c r="L395" s="1226" t="n"/>
      <c r="M395" s="1226" t="n"/>
      <c r="N395" s="1227" t="n"/>
      <c r="O395" s="963" t="n"/>
      <c r="P395" s="963" t="n"/>
      <c r="Q395" s="963" t="n"/>
      <c r="R395" s="1228" t="n"/>
      <c r="S395" s="1229" t="n"/>
    </row>
    <row r="396" ht="15.75" customHeight="1" s="1349">
      <c r="A396" s="1222" t="n"/>
      <c r="B396" s="1223" t="n"/>
      <c r="C396" s="1223" t="n"/>
      <c r="D396" s="1224" t="n"/>
      <c r="E396" s="1225" t="n"/>
      <c r="F396" s="1224" t="n"/>
      <c r="G396" s="1224" t="n"/>
      <c r="H396" s="963" t="n"/>
      <c r="I396" s="963" t="n"/>
      <c r="J396" s="963" t="n"/>
      <c r="K396" s="1226" t="n"/>
      <c r="L396" s="1226" t="n"/>
      <c r="M396" s="1226" t="n"/>
      <c r="N396" s="1227" t="n"/>
      <c r="O396" s="963" t="n"/>
      <c r="P396" s="963" t="n"/>
      <c r="Q396" s="963" t="n"/>
      <c r="R396" s="1228" t="n"/>
      <c r="S396" s="1229" t="n"/>
    </row>
    <row r="397" ht="15.75" customHeight="1" s="1349">
      <c r="A397" s="1222" t="n"/>
      <c r="B397" s="1223" t="n"/>
      <c r="C397" s="1223" t="n"/>
      <c r="D397" s="1224" t="n"/>
      <c r="E397" s="1225" t="n"/>
      <c r="F397" s="1224" t="n"/>
      <c r="G397" s="1224" t="n"/>
      <c r="H397" s="963" t="n"/>
      <c r="I397" s="963" t="n"/>
      <c r="J397" s="963" t="n"/>
      <c r="K397" s="1226" t="n"/>
      <c r="L397" s="1226" t="n"/>
      <c r="M397" s="1226" t="n"/>
      <c r="N397" s="1227" t="n"/>
      <c r="O397" s="963" t="n"/>
      <c r="P397" s="963" t="n"/>
      <c r="Q397" s="963" t="n"/>
      <c r="R397" s="1228" t="n"/>
      <c r="S397" s="1229" t="n"/>
    </row>
    <row r="398" ht="15.75" customHeight="1" s="1349">
      <c r="A398" s="1222" t="n"/>
      <c r="B398" s="1223" t="n"/>
      <c r="C398" s="1223" t="n"/>
      <c r="D398" s="1224" t="n"/>
      <c r="E398" s="1225" t="n"/>
      <c r="F398" s="1224" t="n"/>
      <c r="G398" s="1224" t="n"/>
      <c r="H398" s="963" t="n"/>
      <c r="I398" s="963" t="n"/>
      <c r="J398" s="963" t="n"/>
      <c r="K398" s="1226" t="n"/>
      <c r="L398" s="1226" t="n"/>
      <c r="M398" s="1226" t="n"/>
      <c r="N398" s="1227" t="n"/>
      <c r="O398" s="963" t="n"/>
      <c r="P398" s="963" t="n"/>
      <c r="Q398" s="963" t="n"/>
      <c r="R398" s="1228" t="n"/>
      <c r="S398" s="1229" t="n"/>
    </row>
    <row r="399" ht="15.75" customHeight="1" s="1349">
      <c r="A399" s="1222" t="n"/>
      <c r="B399" s="1223" t="n"/>
      <c r="C399" s="1223" t="n"/>
      <c r="D399" s="1224" t="n"/>
      <c r="E399" s="1225" t="n"/>
      <c r="F399" s="1224" t="n"/>
      <c r="G399" s="1224" t="n"/>
      <c r="H399" s="963" t="n"/>
      <c r="I399" s="963" t="n"/>
      <c r="J399" s="963" t="n"/>
      <c r="K399" s="1226" t="n"/>
      <c r="L399" s="1226" t="n"/>
      <c r="M399" s="1226" t="n"/>
      <c r="N399" s="1227" t="n"/>
      <c r="O399" s="963" t="n"/>
      <c r="P399" s="963" t="n"/>
      <c r="Q399" s="963" t="n"/>
      <c r="R399" s="1228" t="n"/>
      <c r="S399" s="1229" t="n"/>
    </row>
    <row r="400" ht="15.75" customHeight="1" s="1349">
      <c r="A400" s="1222" t="n"/>
      <c r="B400" s="1223" t="n"/>
      <c r="C400" s="1223" t="n"/>
      <c r="D400" s="1224" t="n"/>
      <c r="E400" s="1225" t="n"/>
      <c r="F400" s="1224" t="n"/>
      <c r="G400" s="1224" t="n"/>
      <c r="H400" s="963" t="n"/>
      <c r="I400" s="963" t="n"/>
      <c r="J400" s="963" t="n"/>
      <c r="K400" s="1226" t="n"/>
      <c r="L400" s="1226" t="n"/>
      <c r="M400" s="1226" t="n"/>
      <c r="N400" s="1227" t="n"/>
      <c r="O400" s="963" t="n"/>
      <c r="P400" s="963" t="n"/>
      <c r="Q400" s="963" t="n"/>
      <c r="R400" s="1228" t="n"/>
      <c r="S400" s="1229" t="n"/>
    </row>
    <row r="401" ht="15.75" customHeight="1" s="1349">
      <c r="A401" s="1222" t="n"/>
      <c r="B401" s="1223" t="n"/>
      <c r="C401" s="1223" t="n"/>
      <c r="D401" s="1224" t="n"/>
      <c r="E401" s="1225" t="n"/>
      <c r="F401" s="1224" t="n"/>
      <c r="G401" s="1224" t="n"/>
      <c r="H401" s="963" t="n"/>
      <c r="I401" s="963" t="n"/>
      <c r="J401" s="963" t="n"/>
      <c r="K401" s="1226" t="n"/>
      <c r="L401" s="1226" t="n"/>
      <c r="M401" s="1226" t="n"/>
      <c r="N401" s="1227" t="n"/>
      <c r="O401" s="963" t="n"/>
      <c r="P401" s="963" t="n"/>
      <c r="Q401" s="963" t="n"/>
      <c r="R401" s="1228" t="n"/>
      <c r="S401" s="1229" t="n"/>
    </row>
    <row r="402" ht="15.75" customHeight="1" s="1349">
      <c r="A402" s="1222" t="n"/>
      <c r="B402" s="1223" t="n"/>
      <c r="C402" s="1223" t="n"/>
      <c r="D402" s="1224" t="n"/>
      <c r="E402" s="1225" t="n"/>
      <c r="F402" s="1224" t="n"/>
      <c r="G402" s="1224" t="n"/>
      <c r="H402" s="963" t="n"/>
      <c r="I402" s="963" t="n"/>
      <c r="J402" s="963" t="n"/>
      <c r="K402" s="1226" t="n"/>
      <c r="L402" s="1226" t="n"/>
      <c r="M402" s="1226" t="n"/>
      <c r="N402" s="1227" t="n"/>
      <c r="O402" s="963" t="n"/>
      <c r="P402" s="963" t="n"/>
      <c r="Q402" s="963" t="n"/>
      <c r="R402" s="1228" t="n"/>
      <c r="S402" s="1229" t="n"/>
    </row>
    <row r="403" ht="15.75" customHeight="1" s="1349">
      <c r="A403" s="1222" t="n"/>
      <c r="B403" s="1223" t="n"/>
      <c r="C403" s="1223" t="n"/>
      <c r="D403" s="1224" t="n"/>
      <c r="E403" s="1225" t="n"/>
      <c r="F403" s="1224" t="n"/>
      <c r="G403" s="1224" t="n"/>
      <c r="H403" s="963" t="n"/>
      <c r="I403" s="963" t="n"/>
      <c r="J403" s="963" t="n"/>
      <c r="K403" s="1226" t="n"/>
      <c r="L403" s="1226" t="n"/>
      <c r="M403" s="1226" t="n"/>
      <c r="N403" s="1227" t="n"/>
      <c r="O403" s="963" t="n"/>
      <c r="P403" s="963" t="n"/>
      <c r="Q403" s="963" t="n"/>
      <c r="R403" s="1228" t="n"/>
      <c r="S403" s="1229" t="n"/>
    </row>
    <row r="404" ht="15.75" customHeight="1" s="1349">
      <c r="A404" s="1222" t="n"/>
      <c r="B404" s="1223" t="n"/>
      <c r="C404" s="1223" t="n"/>
      <c r="D404" s="1224" t="n"/>
      <c r="E404" s="1225" t="n"/>
      <c r="F404" s="1224" t="n"/>
      <c r="G404" s="1224" t="n"/>
      <c r="H404" s="963" t="n"/>
      <c r="I404" s="963" t="n"/>
      <c r="J404" s="963" t="n"/>
      <c r="K404" s="1226" t="n"/>
      <c r="L404" s="1226" t="n"/>
      <c r="M404" s="1226" t="n"/>
      <c r="N404" s="1227" t="n"/>
      <c r="O404" s="963" t="n"/>
      <c r="P404" s="963" t="n"/>
      <c r="Q404" s="963" t="n"/>
      <c r="R404" s="1228" t="n"/>
      <c r="S404" s="1229" t="n"/>
    </row>
    <row r="405" ht="15.75" customHeight="1" s="1349">
      <c r="A405" s="1222" t="n"/>
      <c r="B405" s="1223" t="n"/>
      <c r="C405" s="1223" t="n"/>
      <c r="D405" s="1224" t="n"/>
      <c r="E405" s="1225" t="n"/>
      <c r="F405" s="1224" t="n"/>
      <c r="G405" s="1224" t="n"/>
      <c r="H405" s="963" t="n"/>
      <c r="I405" s="963" t="n"/>
      <c r="J405" s="963" t="n"/>
      <c r="K405" s="1226" t="n"/>
      <c r="L405" s="1226" t="n"/>
      <c r="M405" s="1226" t="n"/>
      <c r="N405" s="1227" t="n"/>
      <c r="O405" s="963" t="n"/>
      <c r="P405" s="963" t="n"/>
      <c r="Q405" s="963" t="n"/>
      <c r="R405" s="1228" t="n"/>
      <c r="S405" s="1229" t="n"/>
    </row>
    <row r="406" ht="15.75" customHeight="1" s="1349">
      <c r="A406" s="1222" t="n"/>
      <c r="B406" s="1223" t="n"/>
      <c r="C406" s="1223" t="n"/>
      <c r="D406" s="1224" t="n"/>
      <c r="E406" s="1225" t="n"/>
      <c r="F406" s="1224" t="n"/>
      <c r="G406" s="1224" t="n"/>
      <c r="H406" s="963" t="n"/>
      <c r="I406" s="963" t="n"/>
      <c r="J406" s="963" t="n"/>
      <c r="K406" s="1226" t="n"/>
      <c r="L406" s="1226" t="n"/>
      <c r="M406" s="1226" t="n"/>
      <c r="N406" s="1227" t="n"/>
      <c r="O406" s="963" t="n"/>
      <c r="P406" s="963" t="n"/>
      <c r="Q406" s="963" t="n"/>
      <c r="R406" s="1228" t="n"/>
      <c r="S406" s="1229" t="n"/>
    </row>
    <row r="407" ht="15.75" customHeight="1" s="1349">
      <c r="A407" s="1222" t="n"/>
      <c r="B407" s="1223" t="n"/>
      <c r="C407" s="1223" t="n"/>
      <c r="D407" s="1224" t="n"/>
      <c r="E407" s="1225" t="n"/>
      <c r="F407" s="1224" t="n"/>
      <c r="G407" s="1224" t="n"/>
      <c r="H407" s="963" t="n"/>
      <c r="I407" s="963" t="n"/>
      <c r="J407" s="963" t="n"/>
      <c r="K407" s="1226" t="n"/>
      <c r="L407" s="1226" t="n"/>
      <c r="M407" s="1226" t="n"/>
      <c r="N407" s="1227" t="n"/>
      <c r="O407" s="963" t="n"/>
      <c r="P407" s="963" t="n"/>
      <c r="Q407" s="963" t="n"/>
      <c r="R407" s="1228" t="n"/>
      <c r="S407" s="1229" t="n"/>
    </row>
    <row r="408" ht="15.75" customHeight="1" s="1349">
      <c r="A408" s="1222" t="n"/>
      <c r="B408" s="1223" t="n"/>
      <c r="C408" s="1223" t="n"/>
      <c r="D408" s="1224" t="n"/>
      <c r="E408" s="1225" t="n"/>
      <c r="F408" s="1224" t="n"/>
      <c r="G408" s="1224" t="n"/>
      <c r="H408" s="963" t="n"/>
      <c r="I408" s="963" t="n"/>
      <c r="J408" s="963" t="n"/>
      <c r="K408" s="1226" t="n"/>
      <c r="L408" s="1226" t="n"/>
      <c r="M408" s="1226" t="n"/>
      <c r="N408" s="1227" t="n"/>
      <c r="O408" s="963" t="n"/>
      <c r="P408" s="963" t="n"/>
      <c r="Q408" s="963" t="n"/>
      <c r="R408" s="1228" t="n"/>
      <c r="S408" s="1229" t="n"/>
    </row>
    <row r="409" ht="15.75" customHeight="1" s="1349">
      <c r="A409" s="1222" t="n"/>
      <c r="B409" s="1223" t="n"/>
      <c r="C409" s="1223" t="n"/>
      <c r="D409" s="1224" t="n"/>
      <c r="E409" s="1225" t="n"/>
      <c r="F409" s="1224" t="n"/>
      <c r="G409" s="1224" t="n"/>
      <c r="H409" s="963" t="n"/>
      <c r="I409" s="963" t="n"/>
      <c r="J409" s="963" t="n"/>
      <c r="K409" s="1226" t="n"/>
      <c r="L409" s="1226" t="n"/>
      <c r="M409" s="1226" t="n"/>
      <c r="N409" s="1227" t="n"/>
      <c r="O409" s="963" t="n"/>
      <c r="P409" s="963" t="n"/>
      <c r="Q409" s="963" t="n"/>
      <c r="R409" s="1228" t="n"/>
      <c r="S409" s="1229" t="n"/>
    </row>
    <row r="410" ht="15.75" customHeight="1" s="1349">
      <c r="A410" s="1222" t="n"/>
      <c r="B410" s="1223" t="n"/>
      <c r="C410" s="1223" t="n"/>
      <c r="D410" s="1224" t="n"/>
      <c r="E410" s="1225" t="n"/>
      <c r="F410" s="1224" t="n"/>
      <c r="G410" s="1224" t="n"/>
      <c r="H410" s="963" t="n"/>
      <c r="I410" s="963" t="n"/>
      <c r="J410" s="963" t="n"/>
      <c r="K410" s="1226" t="n"/>
      <c r="L410" s="1226" t="n"/>
      <c r="M410" s="1226" t="n"/>
      <c r="N410" s="1227" t="n"/>
      <c r="O410" s="963" t="n"/>
      <c r="P410" s="963" t="n"/>
      <c r="Q410" s="963" t="n"/>
      <c r="R410" s="1228" t="n"/>
      <c r="S410" s="1229" t="n"/>
    </row>
    <row r="411" ht="15.75" customHeight="1" s="1349">
      <c r="A411" s="1222" t="n"/>
      <c r="B411" s="1223" t="n"/>
      <c r="C411" s="1223" t="n"/>
      <c r="D411" s="1224" t="n"/>
      <c r="E411" s="1225" t="n"/>
      <c r="F411" s="1224" t="n"/>
      <c r="G411" s="1224" t="n"/>
      <c r="H411" s="963" t="n"/>
      <c r="I411" s="963" t="n"/>
      <c r="J411" s="963" t="n"/>
      <c r="K411" s="1226" t="n"/>
      <c r="L411" s="1226" t="n"/>
      <c r="M411" s="1226" t="n"/>
      <c r="N411" s="1227" t="n"/>
      <c r="O411" s="963" t="n"/>
      <c r="P411" s="963" t="n"/>
      <c r="Q411" s="963" t="n"/>
      <c r="R411" s="1228" t="n"/>
      <c r="S411" s="1229" t="n"/>
    </row>
    <row r="412" ht="15.75" customHeight="1" s="1349">
      <c r="A412" s="1222" t="n"/>
      <c r="B412" s="1223" t="n"/>
      <c r="C412" s="1223" t="n"/>
      <c r="D412" s="1224" t="n"/>
      <c r="E412" s="1225" t="n"/>
      <c r="F412" s="1224" t="n"/>
      <c r="G412" s="1224" t="n"/>
      <c r="H412" s="963" t="n"/>
      <c r="I412" s="963" t="n"/>
      <c r="J412" s="963" t="n"/>
      <c r="K412" s="1226" t="n"/>
      <c r="L412" s="1226" t="n"/>
      <c r="M412" s="1226" t="n"/>
      <c r="N412" s="1227" t="n"/>
      <c r="O412" s="963" t="n"/>
      <c r="P412" s="963" t="n"/>
      <c r="Q412" s="963" t="n"/>
      <c r="R412" s="1228" t="n"/>
      <c r="S412" s="1229" t="n"/>
    </row>
    <row r="413" ht="15.75" customHeight="1" s="1349">
      <c r="A413" s="1222" t="n"/>
      <c r="B413" s="1223" t="n"/>
      <c r="C413" s="1223" t="n"/>
      <c r="D413" s="1224" t="n"/>
      <c r="E413" s="1225" t="n"/>
      <c r="F413" s="1224" t="n"/>
      <c r="G413" s="1224" t="n"/>
      <c r="H413" s="963" t="n"/>
      <c r="I413" s="963" t="n"/>
      <c r="J413" s="963" t="n"/>
      <c r="K413" s="1226" t="n"/>
      <c r="L413" s="1226" t="n"/>
      <c r="M413" s="1226" t="n"/>
      <c r="N413" s="1227" t="n"/>
      <c r="O413" s="963" t="n"/>
      <c r="P413" s="963" t="n"/>
      <c r="Q413" s="963" t="n"/>
      <c r="R413" s="1228" t="n"/>
      <c r="S413" s="1229" t="n"/>
    </row>
    <row r="414" ht="15.75" customHeight="1" s="1349">
      <c r="A414" s="1222" t="n"/>
      <c r="B414" s="1223" t="n"/>
      <c r="C414" s="1223" t="n"/>
      <c r="D414" s="1224" t="n"/>
      <c r="E414" s="1225" t="n"/>
      <c r="F414" s="1224" t="n"/>
      <c r="G414" s="1224" t="n"/>
      <c r="H414" s="963" t="n"/>
      <c r="I414" s="963" t="n"/>
      <c r="J414" s="963" t="n"/>
      <c r="K414" s="1226" t="n"/>
      <c r="L414" s="1226" t="n"/>
      <c r="M414" s="1226" t="n"/>
      <c r="N414" s="1227" t="n"/>
      <c r="O414" s="963" t="n"/>
      <c r="P414" s="963" t="n"/>
      <c r="Q414" s="963" t="n"/>
      <c r="R414" s="1228" t="n"/>
      <c r="S414" s="1229" t="n"/>
    </row>
    <row r="415" ht="15.75" customHeight="1" s="1349">
      <c r="A415" s="1222" t="n"/>
      <c r="B415" s="1223" t="n"/>
      <c r="C415" s="1223" t="n"/>
      <c r="D415" s="1224" t="n"/>
      <c r="E415" s="1225" t="n"/>
      <c r="F415" s="1224" t="n"/>
      <c r="G415" s="1224" t="n"/>
      <c r="H415" s="963" t="n"/>
      <c r="I415" s="963" t="n"/>
      <c r="J415" s="963" t="n"/>
      <c r="K415" s="1226" t="n"/>
      <c r="L415" s="1226" t="n"/>
      <c r="M415" s="1226" t="n"/>
      <c r="N415" s="1227" t="n"/>
      <c r="O415" s="963" t="n"/>
      <c r="P415" s="963" t="n"/>
      <c r="Q415" s="963" t="n"/>
      <c r="R415" s="1228" t="n"/>
      <c r="S415" s="1229" t="n"/>
    </row>
    <row r="416" ht="15.75" customHeight="1" s="1349">
      <c r="A416" s="1222" t="n"/>
      <c r="B416" s="1223" t="n"/>
      <c r="C416" s="1223" t="n"/>
      <c r="D416" s="1224" t="n"/>
      <c r="E416" s="1225" t="n"/>
      <c r="F416" s="1224" t="n"/>
      <c r="G416" s="1224" t="n"/>
      <c r="H416" s="963" t="n"/>
      <c r="I416" s="963" t="n"/>
      <c r="J416" s="963" t="n"/>
      <c r="K416" s="1226" t="n"/>
      <c r="L416" s="1226" t="n"/>
      <c r="M416" s="1226" t="n"/>
      <c r="N416" s="1227" t="n"/>
      <c r="O416" s="963" t="n"/>
      <c r="P416" s="963" t="n"/>
      <c r="Q416" s="963" t="n"/>
      <c r="R416" s="1228" t="n"/>
      <c r="S416" s="1229" t="n"/>
    </row>
    <row r="417" ht="15.75" customHeight="1" s="1349">
      <c r="A417" s="1222" t="n"/>
      <c r="B417" s="1223" t="n"/>
      <c r="C417" s="1223" t="n"/>
      <c r="D417" s="1224" t="n"/>
      <c r="E417" s="1225" t="n"/>
      <c r="F417" s="1224" t="n"/>
      <c r="G417" s="1224" t="n"/>
      <c r="H417" s="963" t="n"/>
      <c r="I417" s="963" t="n"/>
      <c r="J417" s="963" t="n"/>
      <c r="K417" s="1226" t="n"/>
      <c r="L417" s="1226" t="n"/>
      <c r="M417" s="1226" t="n"/>
      <c r="N417" s="1227" t="n"/>
      <c r="O417" s="963" t="n"/>
      <c r="P417" s="963" t="n"/>
      <c r="Q417" s="963" t="n"/>
      <c r="R417" s="1228" t="n"/>
      <c r="S417" s="1229" t="n"/>
    </row>
    <row r="418" ht="15.75" customHeight="1" s="1349">
      <c r="A418" s="1222" t="n"/>
      <c r="B418" s="1223" t="n"/>
      <c r="C418" s="1223" t="n"/>
      <c r="D418" s="1224" t="n"/>
      <c r="E418" s="1225" t="n"/>
      <c r="F418" s="1224" t="n"/>
      <c r="G418" s="1224" t="n"/>
      <c r="H418" s="963" t="n"/>
      <c r="I418" s="963" t="n"/>
      <c r="J418" s="963" t="n"/>
      <c r="K418" s="1226" t="n"/>
      <c r="L418" s="1226" t="n"/>
      <c r="M418" s="1226" t="n"/>
      <c r="N418" s="1227" t="n"/>
      <c r="O418" s="963" t="n"/>
      <c r="P418" s="963" t="n"/>
      <c r="Q418" s="963" t="n"/>
      <c r="R418" s="1228" t="n"/>
      <c r="S418" s="1229" t="n"/>
    </row>
    <row r="419" ht="15.75" customHeight="1" s="1349">
      <c r="A419" s="1222" t="n"/>
      <c r="B419" s="1223" t="n"/>
      <c r="C419" s="1223" t="n"/>
      <c r="D419" s="1224" t="n"/>
      <c r="E419" s="1225" t="n"/>
      <c r="F419" s="1224" t="n"/>
      <c r="G419" s="1224" t="n"/>
      <c r="H419" s="963" t="n"/>
      <c r="I419" s="963" t="n"/>
      <c r="J419" s="963" t="n"/>
      <c r="K419" s="1226" t="n"/>
      <c r="L419" s="1226" t="n"/>
      <c r="M419" s="1226" t="n"/>
      <c r="N419" s="1227" t="n"/>
      <c r="O419" s="963" t="n"/>
      <c r="P419" s="963" t="n"/>
      <c r="Q419" s="963" t="n"/>
      <c r="R419" s="1228" t="n"/>
      <c r="S419" s="1229" t="n"/>
    </row>
    <row r="420" ht="15.75" customHeight="1" s="1349">
      <c r="A420" s="1222" t="n"/>
      <c r="B420" s="1223" t="n"/>
      <c r="C420" s="1223" t="n"/>
      <c r="D420" s="1224" t="n"/>
      <c r="E420" s="1225" t="n"/>
      <c r="F420" s="1224" t="n"/>
      <c r="G420" s="1224" t="n"/>
      <c r="H420" s="963" t="n"/>
      <c r="I420" s="963" t="n"/>
      <c r="J420" s="963" t="n"/>
      <c r="K420" s="1226" t="n"/>
      <c r="L420" s="1226" t="n"/>
      <c r="M420" s="1226" t="n"/>
      <c r="N420" s="1227" t="n"/>
      <c r="O420" s="963" t="n"/>
      <c r="P420" s="963" t="n"/>
      <c r="Q420" s="963" t="n"/>
      <c r="R420" s="1228" t="n"/>
      <c r="S420" s="1229" t="n"/>
    </row>
    <row r="421" ht="15.75" customHeight="1" s="1349">
      <c r="A421" s="1222" t="n"/>
      <c r="B421" s="1223" t="n"/>
      <c r="C421" s="1223" t="n"/>
      <c r="D421" s="1224" t="n"/>
      <c r="E421" s="1225" t="n"/>
      <c r="F421" s="1224" t="n"/>
      <c r="G421" s="1224" t="n"/>
      <c r="H421" s="963" t="n"/>
      <c r="I421" s="963" t="n"/>
      <c r="J421" s="963" t="n"/>
      <c r="K421" s="1226" t="n"/>
      <c r="L421" s="1226" t="n"/>
      <c r="M421" s="1226" t="n"/>
      <c r="N421" s="1227" t="n"/>
      <c r="O421" s="963" t="n"/>
      <c r="P421" s="963" t="n"/>
      <c r="Q421" s="963" t="n"/>
      <c r="R421" s="1228" t="n"/>
      <c r="S421" s="1229" t="n"/>
    </row>
    <row r="422" ht="15.75" customHeight="1" s="1349">
      <c r="A422" s="1222" t="n"/>
      <c r="B422" s="1223" t="n"/>
      <c r="C422" s="1223" t="n"/>
      <c r="D422" s="1224" t="n"/>
      <c r="E422" s="1225" t="n"/>
      <c r="F422" s="1224" t="n"/>
      <c r="G422" s="1224" t="n"/>
      <c r="H422" s="963" t="n"/>
      <c r="I422" s="963" t="n"/>
      <c r="J422" s="963" t="n"/>
      <c r="K422" s="1226" t="n"/>
      <c r="L422" s="1226" t="n"/>
      <c r="M422" s="1226" t="n"/>
      <c r="N422" s="1227" t="n"/>
      <c r="O422" s="963" t="n"/>
      <c r="P422" s="963" t="n"/>
      <c r="Q422" s="963" t="n"/>
      <c r="R422" s="1228" t="n"/>
      <c r="S422" s="1229" t="n"/>
    </row>
    <row r="423" ht="15.75" customHeight="1" s="1349">
      <c r="A423" s="1222" t="n"/>
      <c r="B423" s="1223" t="n"/>
      <c r="C423" s="1223" t="n"/>
      <c r="D423" s="1224" t="n"/>
      <c r="E423" s="1225" t="n"/>
      <c r="F423" s="1224" t="n"/>
      <c r="G423" s="1224" t="n"/>
      <c r="H423" s="963" t="n"/>
      <c r="I423" s="963" t="n"/>
      <c r="J423" s="963" t="n"/>
      <c r="K423" s="1226" t="n"/>
      <c r="L423" s="1226" t="n"/>
      <c r="M423" s="1226" t="n"/>
      <c r="N423" s="1227" t="n"/>
      <c r="O423" s="963" t="n"/>
      <c r="P423" s="963" t="n"/>
      <c r="Q423" s="963" t="n"/>
      <c r="R423" s="1228" t="n"/>
      <c r="S423" s="1229" t="n"/>
    </row>
    <row r="424" ht="15.75" customHeight="1" s="1349">
      <c r="A424" s="1222" t="n"/>
      <c r="B424" s="1223" t="n"/>
      <c r="C424" s="1223" t="n"/>
      <c r="D424" s="1224" t="n"/>
      <c r="E424" s="1225" t="n"/>
      <c r="F424" s="1224" t="n"/>
      <c r="G424" s="1224" t="n"/>
      <c r="H424" s="963" t="n"/>
      <c r="I424" s="963" t="n"/>
      <c r="J424" s="963" t="n"/>
      <c r="K424" s="1226" t="n"/>
      <c r="L424" s="1226" t="n"/>
      <c r="M424" s="1226" t="n"/>
      <c r="N424" s="1227" t="n"/>
      <c r="O424" s="963" t="n"/>
      <c r="P424" s="963" t="n"/>
      <c r="Q424" s="963" t="n"/>
      <c r="R424" s="1228" t="n"/>
      <c r="S424" s="1229" t="n"/>
    </row>
    <row r="425" ht="15.75" customHeight="1" s="1349">
      <c r="A425" s="1222" t="n"/>
      <c r="B425" s="1223" t="n"/>
      <c r="C425" s="1223" t="n"/>
      <c r="D425" s="1224" t="n"/>
      <c r="E425" s="1225" t="n"/>
      <c r="F425" s="1224" t="n"/>
      <c r="G425" s="1224" t="n"/>
      <c r="H425" s="963" t="n"/>
      <c r="I425" s="963" t="n"/>
      <c r="J425" s="963" t="n"/>
      <c r="K425" s="1226" t="n"/>
      <c r="L425" s="1226" t="n"/>
      <c r="M425" s="1226" t="n"/>
      <c r="N425" s="1227" t="n"/>
      <c r="O425" s="963" t="n"/>
      <c r="P425" s="963" t="n"/>
      <c r="Q425" s="963" t="n"/>
      <c r="R425" s="1228" t="n"/>
      <c r="S425" s="1229" t="n"/>
    </row>
    <row r="426" ht="15.75" customHeight="1" s="1349">
      <c r="A426" s="1222" t="n"/>
      <c r="B426" s="1223" t="n"/>
      <c r="C426" s="1223" t="n"/>
      <c r="D426" s="1224" t="n"/>
      <c r="E426" s="1225" t="n"/>
      <c r="F426" s="1224" t="n"/>
      <c r="G426" s="1224" t="n"/>
      <c r="H426" s="963" t="n"/>
      <c r="I426" s="963" t="n"/>
      <c r="J426" s="963" t="n"/>
      <c r="K426" s="1226" t="n"/>
      <c r="L426" s="1226" t="n"/>
      <c r="M426" s="1226" t="n"/>
      <c r="N426" s="1227" t="n"/>
      <c r="O426" s="963" t="n"/>
      <c r="P426" s="963" t="n"/>
      <c r="Q426" s="963" t="n"/>
      <c r="R426" s="1228" t="n"/>
      <c r="S426" s="1229" t="n"/>
    </row>
    <row r="427" ht="15.75" customHeight="1" s="1349">
      <c r="A427" s="1222" t="n"/>
      <c r="B427" s="1223" t="n"/>
      <c r="C427" s="1223" t="n"/>
      <c r="D427" s="1224" t="n"/>
      <c r="E427" s="1225" t="n"/>
      <c r="F427" s="1224" t="n"/>
      <c r="G427" s="1224" t="n"/>
      <c r="H427" s="963" t="n"/>
      <c r="I427" s="963" t="n"/>
      <c r="J427" s="963" t="n"/>
      <c r="K427" s="1226" t="n"/>
      <c r="L427" s="1226" t="n"/>
      <c r="M427" s="1226" t="n"/>
      <c r="N427" s="1227" t="n"/>
      <c r="O427" s="963" t="n"/>
      <c r="P427" s="963" t="n"/>
      <c r="Q427" s="963" t="n"/>
      <c r="R427" s="1228" t="n"/>
      <c r="S427" s="1229" t="n"/>
    </row>
    <row r="428" ht="15.75" customHeight="1" s="1349">
      <c r="A428" s="1222" t="n"/>
      <c r="B428" s="1223" t="n"/>
      <c r="C428" s="1223" t="n"/>
      <c r="D428" s="1224" t="n"/>
      <c r="E428" s="1225" t="n"/>
      <c r="F428" s="1224" t="n"/>
      <c r="G428" s="1224" t="n"/>
      <c r="H428" s="963" t="n"/>
      <c r="I428" s="963" t="n"/>
      <c r="J428" s="963" t="n"/>
      <c r="K428" s="1226" t="n"/>
      <c r="L428" s="1226" t="n"/>
      <c r="M428" s="1226" t="n"/>
      <c r="N428" s="1227" t="n"/>
      <c r="O428" s="963" t="n"/>
      <c r="P428" s="963" t="n"/>
      <c r="Q428" s="963" t="n"/>
      <c r="R428" s="1228" t="n"/>
      <c r="S428" s="1229" t="n"/>
    </row>
    <row r="429" ht="15.75" customHeight="1" s="1349">
      <c r="A429" s="1222" t="n"/>
      <c r="B429" s="1223" t="n"/>
      <c r="C429" s="1223" t="n"/>
      <c r="D429" s="1224" t="n"/>
      <c r="E429" s="1225" t="n"/>
      <c r="F429" s="1224" t="n"/>
      <c r="G429" s="1224" t="n"/>
      <c r="H429" s="963" t="n"/>
      <c r="I429" s="963" t="n"/>
      <c r="J429" s="963" t="n"/>
      <c r="K429" s="1226" t="n"/>
      <c r="L429" s="1226" t="n"/>
      <c r="M429" s="1226" t="n"/>
      <c r="N429" s="1227" t="n"/>
      <c r="O429" s="963" t="n"/>
      <c r="P429" s="963" t="n"/>
      <c r="Q429" s="963" t="n"/>
      <c r="R429" s="1228" t="n"/>
      <c r="S429" s="1229" t="n"/>
    </row>
    <row r="430" ht="15.75" customHeight="1" s="1349">
      <c r="A430" s="1222" t="n"/>
      <c r="B430" s="1223" t="n"/>
      <c r="C430" s="1223" t="n"/>
      <c r="D430" s="1224" t="n"/>
      <c r="E430" s="1225" t="n"/>
      <c r="F430" s="1224" t="n"/>
      <c r="G430" s="1224" t="n"/>
      <c r="H430" s="963" t="n"/>
      <c r="I430" s="963" t="n"/>
      <c r="J430" s="963" t="n"/>
      <c r="K430" s="1226" t="n"/>
      <c r="L430" s="1226" t="n"/>
      <c r="M430" s="1226" t="n"/>
      <c r="N430" s="1227" t="n"/>
      <c r="O430" s="963" t="n"/>
      <c r="P430" s="963" t="n"/>
      <c r="Q430" s="963" t="n"/>
      <c r="R430" s="1228" t="n"/>
      <c r="S430" s="1229" t="n"/>
    </row>
    <row r="431" ht="15.75" customHeight="1" s="1349">
      <c r="A431" s="1222" t="n"/>
      <c r="B431" s="1223" t="n"/>
      <c r="C431" s="1223" t="n"/>
      <c r="D431" s="1224" t="n"/>
      <c r="E431" s="1225" t="n"/>
      <c r="F431" s="1224" t="n"/>
      <c r="G431" s="1224" t="n"/>
      <c r="H431" s="963" t="n"/>
      <c r="I431" s="963" t="n"/>
      <c r="J431" s="963" t="n"/>
      <c r="K431" s="1226" t="n"/>
      <c r="L431" s="1226" t="n"/>
      <c r="M431" s="1226" t="n"/>
      <c r="N431" s="1227" t="n"/>
      <c r="O431" s="963" t="n"/>
      <c r="P431" s="963" t="n"/>
      <c r="Q431" s="963" t="n"/>
      <c r="R431" s="1228" t="n"/>
      <c r="S431" s="1229" t="n"/>
    </row>
    <row r="432" ht="15.75" customHeight="1" s="1349">
      <c r="A432" s="1222" t="n"/>
      <c r="B432" s="1223" t="n"/>
      <c r="C432" s="1223" t="n"/>
      <c r="D432" s="1224" t="n"/>
      <c r="E432" s="1225" t="n"/>
      <c r="F432" s="1224" t="n"/>
      <c r="G432" s="1224" t="n"/>
      <c r="H432" s="963" t="n"/>
      <c r="I432" s="963" t="n"/>
      <c r="J432" s="963" t="n"/>
      <c r="K432" s="1226" t="n"/>
      <c r="L432" s="1226" t="n"/>
      <c r="M432" s="1226" t="n"/>
      <c r="N432" s="1227" t="n"/>
      <c r="O432" s="963" t="n"/>
      <c r="P432" s="963" t="n"/>
      <c r="Q432" s="963" t="n"/>
      <c r="R432" s="1228" t="n"/>
      <c r="S432" s="1229" t="n"/>
    </row>
    <row r="433" ht="15.75" customHeight="1" s="1349">
      <c r="A433" s="1222" t="n"/>
      <c r="B433" s="1223" t="n"/>
      <c r="C433" s="1223" t="n"/>
      <c r="D433" s="1224" t="n"/>
      <c r="E433" s="1225" t="n"/>
      <c r="F433" s="1224" t="n"/>
      <c r="G433" s="1224" t="n"/>
      <c r="H433" s="963" t="n"/>
      <c r="I433" s="963" t="n"/>
      <c r="J433" s="963" t="n"/>
      <c r="K433" s="1226" t="n"/>
      <c r="L433" s="1226" t="n"/>
      <c r="M433" s="1226" t="n"/>
      <c r="N433" s="1227" t="n"/>
      <c r="O433" s="963" t="n"/>
      <c r="P433" s="963" t="n"/>
      <c r="Q433" s="963" t="n"/>
      <c r="R433" s="1228" t="n"/>
      <c r="S433" s="1229" t="n"/>
    </row>
    <row r="434" ht="15.75" customHeight="1" s="1349">
      <c r="A434" s="1222" t="n"/>
      <c r="B434" s="1223" t="n"/>
      <c r="C434" s="1223" t="n"/>
      <c r="D434" s="1224" t="n"/>
      <c r="E434" s="1225" t="n"/>
      <c r="F434" s="1224" t="n"/>
      <c r="G434" s="1224" t="n"/>
      <c r="H434" s="963" t="n"/>
      <c r="I434" s="963" t="n"/>
      <c r="J434" s="963" t="n"/>
      <c r="K434" s="1226" t="n"/>
      <c r="L434" s="1226" t="n"/>
      <c r="M434" s="1226" t="n"/>
      <c r="N434" s="1227" t="n"/>
      <c r="O434" s="963" t="n"/>
      <c r="P434" s="963" t="n"/>
      <c r="Q434" s="963" t="n"/>
      <c r="R434" s="1228" t="n"/>
      <c r="S434" s="1229" t="n"/>
    </row>
    <row r="435" ht="15.75" customHeight="1" s="1349">
      <c r="A435" s="1222" t="n"/>
      <c r="B435" s="1223" t="n"/>
      <c r="C435" s="1223" t="n"/>
      <c r="D435" s="1224" t="n"/>
      <c r="E435" s="1225" t="n"/>
      <c r="F435" s="1224" t="n"/>
      <c r="G435" s="1224" t="n"/>
      <c r="H435" s="963" t="n"/>
      <c r="I435" s="963" t="n"/>
      <c r="J435" s="963" t="n"/>
      <c r="K435" s="1226" t="n"/>
      <c r="L435" s="1226" t="n"/>
      <c r="M435" s="1226" t="n"/>
      <c r="N435" s="1227" t="n"/>
      <c r="O435" s="963" t="n"/>
      <c r="P435" s="963" t="n"/>
      <c r="Q435" s="963" t="n"/>
      <c r="R435" s="1228" t="n"/>
      <c r="S435" s="1229" t="n"/>
    </row>
    <row r="436" ht="15.75" customHeight="1" s="1349">
      <c r="A436" s="1222" t="n"/>
      <c r="B436" s="1223" t="n"/>
      <c r="C436" s="1223" t="n"/>
      <c r="D436" s="1224" t="n"/>
      <c r="E436" s="1225" t="n"/>
      <c r="F436" s="1224" t="n"/>
      <c r="G436" s="1224" t="n"/>
      <c r="H436" s="963" t="n"/>
      <c r="I436" s="963" t="n"/>
      <c r="J436" s="963" t="n"/>
      <c r="K436" s="1226" t="n"/>
      <c r="L436" s="1226" t="n"/>
      <c r="M436" s="1226" t="n"/>
      <c r="N436" s="1227" t="n"/>
      <c r="O436" s="963" t="n"/>
      <c r="P436" s="963" t="n"/>
      <c r="Q436" s="963" t="n"/>
      <c r="R436" s="1228" t="n"/>
      <c r="S436" s="1229" t="n"/>
    </row>
    <row r="437" ht="15.75" customHeight="1" s="1349">
      <c r="A437" s="1222" t="n"/>
      <c r="B437" s="1223" t="n"/>
      <c r="C437" s="1223" t="n"/>
      <c r="D437" s="1224" t="n"/>
      <c r="E437" s="1225" t="n"/>
      <c r="F437" s="1224" t="n"/>
      <c r="G437" s="1224" t="n"/>
      <c r="H437" s="963" t="n"/>
      <c r="I437" s="963" t="n"/>
      <c r="J437" s="963" t="n"/>
      <c r="K437" s="1226" t="n"/>
      <c r="L437" s="1226" t="n"/>
      <c r="M437" s="1226" t="n"/>
      <c r="N437" s="1227" t="n"/>
      <c r="O437" s="963" t="n"/>
      <c r="P437" s="963" t="n"/>
      <c r="Q437" s="963" t="n"/>
      <c r="R437" s="1228" t="n"/>
      <c r="S437" s="1229" t="n"/>
    </row>
    <row r="438" ht="15.75" customHeight="1" s="1349">
      <c r="A438" s="1222" t="n"/>
      <c r="B438" s="1223" t="n"/>
      <c r="C438" s="1223" t="n"/>
      <c r="D438" s="1224" t="n"/>
      <c r="E438" s="1225" t="n"/>
      <c r="F438" s="1224" t="n"/>
      <c r="G438" s="1224" t="n"/>
      <c r="H438" s="963" t="n"/>
      <c r="I438" s="963" t="n"/>
      <c r="J438" s="963" t="n"/>
      <c r="K438" s="1226" t="n"/>
      <c r="L438" s="1226" t="n"/>
      <c r="M438" s="1226" t="n"/>
      <c r="N438" s="1227" t="n"/>
      <c r="O438" s="963" t="n"/>
      <c r="P438" s="963" t="n"/>
      <c r="Q438" s="963" t="n"/>
      <c r="R438" s="1228" t="n"/>
      <c r="S438" s="1229" t="n"/>
    </row>
    <row r="439" ht="15.75" customHeight="1" s="1349">
      <c r="A439" s="1222" t="n"/>
      <c r="B439" s="1223" t="n"/>
      <c r="C439" s="1223" t="n"/>
      <c r="D439" s="1224" t="n"/>
      <c r="E439" s="1225" t="n"/>
      <c r="F439" s="1224" t="n"/>
      <c r="G439" s="1224" t="n"/>
      <c r="H439" s="963" t="n"/>
      <c r="I439" s="963" t="n"/>
      <c r="J439" s="963" t="n"/>
      <c r="K439" s="1226" t="n"/>
      <c r="L439" s="1226" t="n"/>
      <c r="M439" s="1226" t="n"/>
      <c r="N439" s="1227" t="n"/>
      <c r="O439" s="963" t="n"/>
      <c r="P439" s="963" t="n"/>
      <c r="Q439" s="963" t="n"/>
      <c r="R439" s="1228" t="n"/>
      <c r="S439" s="1229" t="n"/>
    </row>
    <row r="440" ht="15.75" customHeight="1" s="1349">
      <c r="A440" s="1222" t="n"/>
      <c r="B440" s="1223" t="n"/>
      <c r="C440" s="1223" t="n"/>
      <c r="D440" s="1224" t="n"/>
      <c r="E440" s="1225" t="n"/>
      <c r="F440" s="1224" t="n"/>
      <c r="G440" s="1224" t="n"/>
      <c r="H440" s="963" t="n"/>
      <c r="I440" s="963" t="n"/>
      <c r="J440" s="963" t="n"/>
      <c r="K440" s="1226" t="n"/>
      <c r="L440" s="1226" t="n"/>
      <c r="M440" s="1226" t="n"/>
      <c r="N440" s="1227" t="n"/>
      <c r="O440" s="963" t="n"/>
      <c r="P440" s="963" t="n"/>
      <c r="Q440" s="963" t="n"/>
      <c r="R440" s="1228" t="n"/>
      <c r="S440" s="1229" t="n"/>
    </row>
    <row r="441" ht="15.75" customHeight="1" s="1349">
      <c r="A441" s="1222" t="n"/>
      <c r="B441" s="1223" t="n"/>
      <c r="C441" s="1223" t="n"/>
      <c r="D441" s="1224" t="n"/>
      <c r="E441" s="1225" t="n"/>
      <c r="F441" s="1224" t="n"/>
      <c r="G441" s="1224" t="n"/>
      <c r="H441" s="963" t="n"/>
      <c r="I441" s="963" t="n"/>
      <c r="J441" s="963" t="n"/>
      <c r="K441" s="1226" t="n"/>
      <c r="L441" s="1226" t="n"/>
      <c r="M441" s="1226" t="n"/>
      <c r="N441" s="1227" t="n"/>
      <c r="O441" s="963" t="n"/>
      <c r="P441" s="963" t="n"/>
      <c r="Q441" s="963" t="n"/>
      <c r="R441" s="1228" t="n"/>
      <c r="S441" s="1229" t="n"/>
    </row>
    <row r="442" ht="15.75" customHeight="1" s="1349">
      <c r="A442" s="1222" t="n"/>
      <c r="B442" s="1223" t="n"/>
      <c r="C442" s="1223" t="n"/>
      <c r="D442" s="1224" t="n"/>
      <c r="E442" s="1225" t="n"/>
      <c r="F442" s="1224" t="n"/>
      <c r="G442" s="1224" t="n"/>
      <c r="H442" s="963" t="n"/>
      <c r="I442" s="963" t="n"/>
      <c r="J442" s="963" t="n"/>
      <c r="K442" s="1226" t="n"/>
      <c r="L442" s="1226" t="n"/>
      <c r="M442" s="1226" t="n"/>
      <c r="N442" s="1227" t="n"/>
      <c r="O442" s="963" t="n"/>
      <c r="P442" s="963" t="n"/>
      <c r="Q442" s="963" t="n"/>
      <c r="R442" s="1228" t="n"/>
      <c r="S442" s="1229" t="n"/>
    </row>
    <row r="443" ht="15.75" customHeight="1" s="1349">
      <c r="A443" s="1222" t="n"/>
      <c r="B443" s="1223" t="n"/>
      <c r="C443" s="1223" t="n"/>
      <c r="D443" s="1224" t="n"/>
      <c r="E443" s="1225" t="n"/>
      <c r="F443" s="1224" t="n"/>
      <c r="G443" s="1224" t="n"/>
      <c r="H443" s="963" t="n"/>
      <c r="I443" s="963" t="n"/>
      <c r="J443" s="963" t="n"/>
      <c r="K443" s="1226" t="n"/>
      <c r="L443" s="1226" t="n"/>
      <c r="M443" s="1226" t="n"/>
      <c r="N443" s="1227" t="n"/>
      <c r="O443" s="963" t="n"/>
      <c r="P443" s="963" t="n"/>
      <c r="Q443" s="963" t="n"/>
      <c r="R443" s="1228" t="n"/>
      <c r="S443" s="1229" t="n"/>
    </row>
    <row r="444" ht="15.75" customHeight="1" s="1349">
      <c r="A444" s="1222" t="n"/>
      <c r="B444" s="1223" t="n"/>
      <c r="C444" s="1223" t="n"/>
      <c r="D444" s="1224" t="n"/>
      <c r="E444" s="1225" t="n"/>
      <c r="F444" s="1224" t="n"/>
      <c r="G444" s="1224" t="n"/>
      <c r="H444" s="963" t="n"/>
      <c r="I444" s="963" t="n"/>
      <c r="J444" s="963" t="n"/>
      <c r="K444" s="1226" t="n"/>
      <c r="L444" s="1226" t="n"/>
      <c r="M444" s="1226" t="n"/>
      <c r="N444" s="1227" t="n"/>
      <c r="O444" s="963" t="n"/>
      <c r="P444" s="963" t="n"/>
      <c r="Q444" s="963" t="n"/>
      <c r="R444" s="1228" t="n"/>
      <c r="S444" s="1229" t="n"/>
    </row>
    <row r="445" ht="15.75" customHeight="1" s="1349">
      <c r="A445" s="1222" t="n"/>
      <c r="B445" s="1223" t="n"/>
      <c r="C445" s="1223" t="n"/>
      <c r="D445" s="1224" t="n"/>
      <c r="E445" s="1225" t="n"/>
      <c r="F445" s="1224" t="n"/>
      <c r="G445" s="1224" t="n"/>
      <c r="H445" s="963" t="n"/>
      <c r="I445" s="963" t="n"/>
      <c r="J445" s="963" t="n"/>
      <c r="K445" s="1226" t="n"/>
      <c r="L445" s="1226" t="n"/>
      <c r="M445" s="1226" t="n"/>
      <c r="N445" s="1227" t="n"/>
      <c r="O445" s="963" t="n"/>
      <c r="P445" s="963" t="n"/>
      <c r="Q445" s="963" t="n"/>
      <c r="R445" s="1228" t="n"/>
      <c r="S445" s="1229" t="n"/>
    </row>
    <row r="446" ht="15.75" customHeight="1" s="1349">
      <c r="A446" s="1222" t="n"/>
      <c r="B446" s="1223" t="n"/>
      <c r="C446" s="1223" t="n"/>
      <c r="D446" s="1224" t="n"/>
      <c r="E446" s="1225" t="n"/>
      <c r="F446" s="1224" t="n"/>
      <c r="G446" s="1224" t="n"/>
      <c r="H446" s="963" t="n"/>
      <c r="I446" s="963" t="n"/>
      <c r="J446" s="963" t="n"/>
      <c r="K446" s="1226" t="n"/>
      <c r="L446" s="1226" t="n"/>
      <c r="M446" s="1226" t="n"/>
      <c r="N446" s="1227" t="n"/>
      <c r="O446" s="963" t="n"/>
      <c r="P446" s="963" t="n"/>
      <c r="Q446" s="963" t="n"/>
      <c r="R446" s="1228" t="n"/>
      <c r="S446" s="1229" t="n"/>
    </row>
    <row r="447" ht="15.75" customHeight="1" s="1349">
      <c r="A447" s="1222" t="n"/>
      <c r="B447" s="1223" t="n"/>
      <c r="C447" s="1223" t="n"/>
      <c r="D447" s="1224" t="n"/>
      <c r="E447" s="1225" t="n"/>
      <c r="F447" s="1224" t="n"/>
      <c r="G447" s="1224" t="n"/>
      <c r="H447" s="963" t="n"/>
      <c r="I447" s="963" t="n"/>
      <c r="J447" s="963" t="n"/>
      <c r="K447" s="1226" t="n"/>
      <c r="L447" s="1226" t="n"/>
      <c r="M447" s="1226" t="n"/>
      <c r="N447" s="1227" t="n"/>
      <c r="O447" s="963" t="n"/>
      <c r="P447" s="963" t="n"/>
      <c r="Q447" s="963" t="n"/>
      <c r="R447" s="1228" t="n"/>
      <c r="S447" s="1229" t="n"/>
    </row>
    <row r="448" ht="15.75" customHeight="1" s="1349">
      <c r="A448" s="1222" t="n"/>
      <c r="B448" s="1223" t="n"/>
      <c r="C448" s="1223" t="n"/>
      <c r="D448" s="1224" t="n"/>
      <c r="E448" s="1225" t="n"/>
      <c r="F448" s="1224" t="n"/>
      <c r="G448" s="1224" t="n"/>
      <c r="H448" s="963" t="n"/>
      <c r="I448" s="963" t="n"/>
      <c r="J448" s="963" t="n"/>
      <c r="K448" s="1226" t="n"/>
      <c r="L448" s="1226" t="n"/>
      <c r="M448" s="1226" t="n"/>
      <c r="N448" s="1227" t="n"/>
      <c r="O448" s="963" t="n"/>
      <c r="P448" s="963" t="n"/>
      <c r="Q448" s="963" t="n"/>
      <c r="R448" s="1228" t="n"/>
      <c r="S448" s="1229" t="n"/>
    </row>
    <row r="449" ht="15.75" customHeight="1" s="1349">
      <c r="A449" s="1222" t="n"/>
      <c r="B449" s="1223" t="n"/>
      <c r="C449" s="1223" t="n"/>
      <c r="D449" s="1224" t="n"/>
      <c r="E449" s="1225" t="n"/>
      <c r="F449" s="1224" t="n"/>
      <c r="G449" s="1224" t="n"/>
      <c r="H449" s="963" t="n"/>
      <c r="I449" s="963" t="n"/>
      <c r="J449" s="963" t="n"/>
      <c r="K449" s="1226" t="n"/>
      <c r="L449" s="1226" t="n"/>
      <c r="M449" s="1226" t="n"/>
      <c r="N449" s="1227" t="n"/>
      <c r="O449" s="963" t="n"/>
      <c r="P449" s="963" t="n"/>
      <c r="Q449" s="963" t="n"/>
      <c r="R449" s="1228" t="n"/>
      <c r="S449" s="1229" t="n"/>
    </row>
    <row r="450" ht="15.75" customHeight="1" s="1349">
      <c r="A450" s="1222" t="n"/>
      <c r="B450" s="1223" t="n"/>
      <c r="C450" s="1223" t="n"/>
      <c r="D450" s="1224" t="n"/>
      <c r="E450" s="1225" t="n"/>
      <c r="F450" s="1224" t="n"/>
      <c r="G450" s="1224" t="n"/>
      <c r="H450" s="963" t="n"/>
      <c r="I450" s="963" t="n"/>
      <c r="J450" s="963" t="n"/>
      <c r="K450" s="1226" t="n"/>
      <c r="L450" s="1226" t="n"/>
      <c r="M450" s="1226" t="n"/>
      <c r="N450" s="1227" t="n"/>
      <c r="O450" s="963" t="n"/>
      <c r="P450" s="963" t="n"/>
      <c r="Q450" s="963" t="n"/>
      <c r="R450" s="1228" t="n"/>
      <c r="S450" s="1229" t="n"/>
    </row>
    <row r="451" ht="15.75" customHeight="1" s="1349">
      <c r="A451" s="1222" t="n"/>
      <c r="B451" s="1223" t="n"/>
      <c r="C451" s="1223" t="n"/>
      <c r="D451" s="1224" t="n"/>
      <c r="E451" s="1225" t="n"/>
      <c r="F451" s="1224" t="n"/>
      <c r="G451" s="1224" t="n"/>
      <c r="H451" s="963" t="n"/>
      <c r="I451" s="963" t="n"/>
      <c r="J451" s="963" t="n"/>
      <c r="K451" s="1226" t="n"/>
      <c r="L451" s="1226" t="n"/>
      <c r="M451" s="1226" t="n"/>
      <c r="N451" s="1227" t="n"/>
      <c r="O451" s="963" t="n"/>
      <c r="P451" s="963" t="n"/>
      <c r="Q451" s="963" t="n"/>
      <c r="R451" s="1228" t="n"/>
      <c r="S451" s="1229" t="n"/>
    </row>
    <row r="452" ht="15.75" customHeight="1" s="1349">
      <c r="A452" s="1222" t="n"/>
      <c r="B452" s="1223" t="n"/>
      <c r="C452" s="1223" t="n"/>
      <c r="D452" s="1224" t="n"/>
      <c r="E452" s="1225" t="n"/>
      <c r="F452" s="1224" t="n"/>
      <c r="G452" s="1224" t="n"/>
      <c r="H452" s="963" t="n"/>
      <c r="I452" s="963" t="n"/>
      <c r="J452" s="963" t="n"/>
      <c r="K452" s="1226" t="n"/>
      <c r="L452" s="1226" t="n"/>
      <c r="M452" s="1226" t="n"/>
      <c r="N452" s="1227" t="n"/>
      <c r="O452" s="963" t="n"/>
      <c r="P452" s="963" t="n"/>
      <c r="Q452" s="963" t="n"/>
      <c r="R452" s="1228" t="n"/>
      <c r="S452" s="1229" t="n"/>
    </row>
    <row r="453" ht="15.75" customHeight="1" s="1349">
      <c r="A453" s="1222" t="n"/>
      <c r="B453" s="1223" t="n"/>
      <c r="C453" s="1223" t="n"/>
      <c r="D453" s="1224" t="n"/>
      <c r="E453" s="1225" t="n"/>
      <c r="F453" s="1224" t="n"/>
      <c r="G453" s="1224" t="n"/>
      <c r="H453" s="963" t="n"/>
      <c r="I453" s="963" t="n"/>
      <c r="J453" s="963" t="n"/>
      <c r="K453" s="1226" t="n"/>
      <c r="L453" s="1226" t="n"/>
      <c r="M453" s="1226" t="n"/>
      <c r="N453" s="1227" t="n"/>
      <c r="O453" s="963" t="n"/>
      <c r="P453" s="963" t="n"/>
      <c r="Q453" s="963" t="n"/>
      <c r="R453" s="1228" t="n"/>
      <c r="S453" s="1229" t="n"/>
    </row>
    <row r="454" ht="15.75" customHeight="1" s="1349">
      <c r="A454" s="1222" t="n"/>
      <c r="B454" s="1223" t="n"/>
      <c r="C454" s="1223" t="n"/>
      <c r="D454" s="1224" t="n"/>
      <c r="E454" s="1225" t="n"/>
      <c r="F454" s="1224" t="n"/>
      <c r="G454" s="1224" t="n"/>
      <c r="H454" s="963" t="n"/>
      <c r="I454" s="963" t="n"/>
      <c r="J454" s="963" t="n"/>
      <c r="K454" s="1226" t="n"/>
      <c r="L454" s="1226" t="n"/>
      <c r="M454" s="1226" t="n"/>
      <c r="N454" s="1227" t="n"/>
      <c r="O454" s="963" t="n"/>
      <c r="P454" s="963" t="n"/>
      <c r="Q454" s="963" t="n"/>
      <c r="R454" s="1228" t="n"/>
      <c r="S454" s="1229" t="n"/>
    </row>
    <row r="455" ht="15.75" customHeight="1" s="1349">
      <c r="A455" s="1222" t="n"/>
      <c r="B455" s="1223" t="n"/>
      <c r="C455" s="1223" t="n"/>
      <c r="D455" s="1224" t="n"/>
      <c r="E455" s="1225" t="n"/>
      <c r="F455" s="1224" t="n"/>
      <c r="G455" s="1224" t="n"/>
      <c r="H455" s="963" t="n"/>
      <c r="I455" s="963" t="n"/>
      <c r="J455" s="963" t="n"/>
      <c r="K455" s="1226" t="n"/>
      <c r="L455" s="1226" t="n"/>
      <c r="M455" s="1226" t="n"/>
      <c r="N455" s="1227" t="n"/>
      <c r="O455" s="963" t="n"/>
      <c r="P455" s="963" t="n"/>
      <c r="Q455" s="963" t="n"/>
      <c r="R455" s="1228" t="n"/>
      <c r="S455" s="1229" t="n"/>
    </row>
    <row r="456" ht="15.75" customHeight="1" s="1349">
      <c r="A456" s="1222" t="n"/>
      <c r="B456" s="1223" t="n"/>
      <c r="C456" s="1223" t="n"/>
      <c r="D456" s="1224" t="n"/>
      <c r="E456" s="1225" t="n"/>
      <c r="F456" s="1224" t="n"/>
      <c r="G456" s="1224" t="n"/>
      <c r="H456" s="963" t="n"/>
      <c r="I456" s="963" t="n"/>
      <c r="J456" s="963" t="n"/>
      <c r="K456" s="1226" t="n"/>
      <c r="L456" s="1226" t="n"/>
      <c r="M456" s="1226" t="n"/>
      <c r="N456" s="1227" t="n"/>
      <c r="O456" s="963" t="n"/>
      <c r="P456" s="963" t="n"/>
      <c r="Q456" s="963" t="n"/>
      <c r="R456" s="1228" t="n"/>
      <c r="S456" s="1229" t="n"/>
    </row>
    <row r="457" ht="15.75" customHeight="1" s="1349">
      <c r="A457" s="1222" t="n"/>
      <c r="B457" s="1223" t="n"/>
      <c r="C457" s="1223" t="n"/>
      <c r="D457" s="1224" t="n"/>
      <c r="E457" s="1225" t="n"/>
      <c r="F457" s="1224" t="n"/>
      <c r="G457" s="1224" t="n"/>
      <c r="H457" s="963" t="n"/>
      <c r="I457" s="963" t="n"/>
      <c r="J457" s="963" t="n"/>
      <c r="K457" s="1226" t="n"/>
      <c r="L457" s="1226" t="n"/>
      <c r="M457" s="1226" t="n"/>
      <c r="N457" s="1227" t="n"/>
      <c r="O457" s="963" t="n"/>
      <c r="P457" s="963" t="n"/>
      <c r="Q457" s="963" t="n"/>
      <c r="R457" s="1228" t="n"/>
      <c r="S457" s="1229" t="n"/>
    </row>
    <row r="458" ht="15.75" customHeight="1" s="1349">
      <c r="A458" s="1222" t="n"/>
      <c r="B458" s="1223" t="n"/>
      <c r="C458" s="1223" t="n"/>
      <c r="D458" s="1224" t="n"/>
      <c r="E458" s="1225" t="n"/>
      <c r="F458" s="1224" t="n"/>
      <c r="G458" s="1224" t="n"/>
      <c r="H458" s="963" t="n"/>
      <c r="I458" s="963" t="n"/>
      <c r="J458" s="963" t="n"/>
      <c r="K458" s="1226" t="n"/>
      <c r="L458" s="1226" t="n"/>
      <c r="M458" s="1226" t="n"/>
      <c r="N458" s="1227" t="n"/>
      <c r="O458" s="963" t="n"/>
      <c r="P458" s="963" t="n"/>
      <c r="Q458" s="963" t="n"/>
      <c r="R458" s="1228" t="n"/>
      <c r="S458" s="1229" t="n"/>
    </row>
    <row r="459" ht="15.75" customHeight="1" s="1349">
      <c r="A459" s="1222" t="n"/>
      <c r="B459" s="1223" t="n"/>
      <c r="C459" s="1223" t="n"/>
      <c r="D459" s="1224" t="n"/>
      <c r="E459" s="1225" t="n"/>
      <c r="F459" s="1224" t="n"/>
      <c r="G459" s="1224" t="n"/>
      <c r="H459" s="963" t="n"/>
      <c r="I459" s="963" t="n"/>
      <c r="J459" s="963" t="n"/>
      <c r="K459" s="1226" t="n"/>
      <c r="L459" s="1226" t="n"/>
      <c r="M459" s="1226" t="n"/>
      <c r="N459" s="1227" t="n"/>
      <c r="O459" s="963" t="n"/>
      <c r="P459" s="963" t="n"/>
      <c r="Q459" s="963" t="n"/>
      <c r="R459" s="1228" t="n"/>
      <c r="S459" s="1229" t="n"/>
    </row>
    <row r="460" ht="15.75" customHeight="1" s="1349">
      <c r="A460" s="1222" t="n"/>
      <c r="B460" s="1223" t="n"/>
      <c r="C460" s="1223" t="n"/>
      <c r="D460" s="1224" t="n"/>
      <c r="E460" s="1225" t="n"/>
      <c r="F460" s="1224" t="n"/>
      <c r="G460" s="1224" t="n"/>
      <c r="H460" s="963" t="n"/>
      <c r="I460" s="963" t="n"/>
      <c r="J460" s="963" t="n"/>
      <c r="K460" s="1226" t="n"/>
      <c r="L460" s="1226" t="n"/>
      <c r="M460" s="1226" t="n"/>
      <c r="N460" s="1227" t="n"/>
      <c r="O460" s="963" t="n"/>
      <c r="P460" s="963" t="n"/>
      <c r="Q460" s="963" t="n"/>
      <c r="R460" s="1228" t="n"/>
      <c r="S460" s="1229" t="n"/>
    </row>
    <row r="461" ht="15.75" customHeight="1" s="1349">
      <c r="A461" s="1222" t="n"/>
      <c r="B461" s="1223" t="n"/>
      <c r="C461" s="1223" t="n"/>
      <c r="D461" s="1224" t="n"/>
      <c r="E461" s="1225" t="n"/>
      <c r="F461" s="1224" t="n"/>
      <c r="G461" s="1224" t="n"/>
      <c r="H461" s="963" t="n"/>
      <c r="I461" s="963" t="n"/>
      <c r="J461" s="963" t="n"/>
      <c r="K461" s="1226" t="n"/>
      <c r="L461" s="1226" t="n"/>
      <c r="M461" s="1226" t="n"/>
      <c r="N461" s="1227" t="n"/>
      <c r="O461" s="963" t="n"/>
      <c r="P461" s="963" t="n"/>
      <c r="Q461" s="963" t="n"/>
      <c r="R461" s="1228" t="n"/>
      <c r="S461" s="1229" t="n"/>
    </row>
    <row r="462" ht="15.75" customHeight="1" s="1349">
      <c r="A462" s="1222" t="n"/>
      <c r="B462" s="1223" t="n"/>
      <c r="C462" s="1223" t="n"/>
      <c r="D462" s="1224" t="n"/>
      <c r="E462" s="1225" t="n"/>
      <c r="F462" s="1224" t="n"/>
      <c r="G462" s="1224" t="n"/>
      <c r="H462" s="963" t="n"/>
      <c r="I462" s="963" t="n"/>
      <c r="J462" s="963" t="n"/>
      <c r="K462" s="1226" t="n"/>
      <c r="L462" s="1226" t="n"/>
      <c r="M462" s="1226" t="n"/>
      <c r="N462" s="1227" t="n"/>
      <c r="O462" s="963" t="n"/>
      <c r="P462" s="963" t="n"/>
      <c r="Q462" s="963" t="n"/>
      <c r="R462" s="1228" t="n"/>
      <c r="S462" s="1229" t="n"/>
    </row>
    <row r="463" ht="15.75" customHeight="1" s="1349">
      <c r="A463" s="1222" t="n"/>
      <c r="B463" s="1223" t="n"/>
      <c r="C463" s="1223" t="n"/>
      <c r="D463" s="1224" t="n"/>
      <c r="E463" s="1225" t="n"/>
      <c r="F463" s="1224" t="n"/>
      <c r="G463" s="1224" t="n"/>
      <c r="H463" s="963" t="n"/>
      <c r="I463" s="963" t="n"/>
      <c r="J463" s="963" t="n"/>
      <c r="K463" s="1226" t="n"/>
      <c r="L463" s="1226" t="n"/>
      <c r="M463" s="1226" t="n"/>
      <c r="N463" s="1227" t="n"/>
      <c r="O463" s="963" t="n"/>
      <c r="P463" s="963" t="n"/>
      <c r="Q463" s="963" t="n"/>
      <c r="R463" s="1228" t="n"/>
      <c r="S463" s="1229" t="n"/>
    </row>
    <row r="464" ht="15.75" customHeight="1" s="1349">
      <c r="A464" s="1222" t="n"/>
      <c r="B464" s="1223" t="n"/>
      <c r="C464" s="1223" t="n"/>
      <c r="D464" s="1224" t="n"/>
      <c r="E464" s="1225" t="n"/>
      <c r="F464" s="1224" t="n"/>
      <c r="G464" s="1224" t="n"/>
      <c r="H464" s="963" t="n"/>
      <c r="I464" s="963" t="n"/>
      <c r="J464" s="963" t="n"/>
      <c r="K464" s="1226" t="n"/>
      <c r="L464" s="1226" t="n"/>
      <c r="M464" s="1226" t="n"/>
      <c r="N464" s="1227" t="n"/>
      <c r="O464" s="963" t="n"/>
      <c r="P464" s="963" t="n"/>
      <c r="Q464" s="963" t="n"/>
      <c r="R464" s="1228" t="n"/>
      <c r="S464" s="1229" t="n"/>
    </row>
    <row r="465" ht="15.75" customHeight="1" s="1349">
      <c r="A465" s="1222" t="n"/>
      <c r="B465" s="1223" t="n"/>
      <c r="C465" s="1223" t="n"/>
      <c r="D465" s="1224" t="n"/>
      <c r="E465" s="1225" t="n"/>
      <c r="F465" s="1224" t="n"/>
      <c r="G465" s="1224" t="n"/>
      <c r="H465" s="963" t="n"/>
      <c r="I465" s="963" t="n"/>
      <c r="J465" s="963" t="n"/>
      <c r="K465" s="1226" t="n"/>
      <c r="L465" s="1226" t="n"/>
      <c r="M465" s="1226" t="n"/>
      <c r="N465" s="1227" t="n"/>
      <c r="O465" s="963" t="n"/>
      <c r="P465" s="963" t="n"/>
      <c r="Q465" s="963" t="n"/>
      <c r="R465" s="1228" t="n"/>
      <c r="S465" s="1229" t="n"/>
    </row>
    <row r="466" ht="15.75" customHeight="1" s="1349">
      <c r="A466" s="1222" t="n"/>
      <c r="B466" s="1223" t="n"/>
      <c r="C466" s="1223" t="n"/>
      <c r="D466" s="1224" t="n"/>
      <c r="E466" s="1225" t="n"/>
      <c r="F466" s="1224" t="n"/>
      <c r="G466" s="1224" t="n"/>
      <c r="H466" s="963" t="n"/>
      <c r="I466" s="963" t="n"/>
      <c r="J466" s="963" t="n"/>
      <c r="K466" s="1226" t="n"/>
      <c r="L466" s="1226" t="n"/>
      <c r="M466" s="1226" t="n"/>
      <c r="N466" s="1227" t="n"/>
      <c r="O466" s="963" t="n"/>
      <c r="P466" s="963" t="n"/>
      <c r="Q466" s="963" t="n"/>
      <c r="R466" s="1228" t="n"/>
      <c r="S466" s="1229" t="n"/>
    </row>
    <row r="467" ht="15.75" customHeight="1" s="1349">
      <c r="A467" s="1222" t="n"/>
      <c r="B467" s="1223" t="n"/>
      <c r="C467" s="1223" t="n"/>
      <c r="D467" s="1224" t="n"/>
      <c r="E467" s="1225" t="n"/>
      <c r="F467" s="1224" t="n"/>
      <c r="G467" s="1224" t="n"/>
      <c r="H467" s="963" t="n"/>
      <c r="I467" s="963" t="n"/>
      <c r="J467" s="963" t="n"/>
      <c r="K467" s="1226" t="n"/>
      <c r="L467" s="1226" t="n"/>
      <c r="M467" s="1226" t="n"/>
      <c r="N467" s="1227" t="n"/>
      <c r="O467" s="963" t="n"/>
      <c r="P467" s="963" t="n"/>
      <c r="Q467" s="963" t="n"/>
      <c r="R467" s="1228" t="n"/>
      <c r="S467" s="1229" t="n"/>
    </row>
    <row r="468" ht="15.75" customHeight="1" s="1349">
      <c r="A468" s="1222" t="n"/>
      <c r="B468" s="1223" t="n"/>
      <c r="C468" s="1223" t="n"/>
      <c r="D468" s="1224" t="n"/>
      <c r="E468" s="1225" t="n"/>
      <c r="F468" s="1224" t="n"/>
      <c r="G468" s="1224" t="n"/>
      <c r="H468" s="963" t="n"/>
      <c r="I468" s="963" t="n"/>
      <c r="J468" s="963" t="n"/>
      <c r="K468" s="1226" t="n"/>
      <c r="L468" s="1226" t="n"/>
      <c r="M468" s="1226" t="n"/>
      <c r="N468" s="1227" t="n"/>
      <c r="O468" s="963" t="n"/>
      <c r="P468" s="963" t="n"/>
      <c r="Q468" s="963" t="n"/>
      <c r="R468" s="1228" t="n"/>
      <c r="S468" s="1229" t="n"/>
    </row>
    <row r="469" ht="15.75" customHeight="1" s="1349">
      <c r="A469" s="1222" t="n"/>
      <c r="B469" s="1223" t="n"/>
      <c r="C469" s="1223" t="n"/>
      <c r="D469" s="1224" t="n"/>
      <c r="E469" s="1225" t="n"/>
      <c r="F469" s="1224" t="n"/>
      <c r="G469" s="1224" t="n"/>
      <c r="H469" s="963" t="n"/>
      <c r="I469" s="963" t="n"/>
      <c r="J469" s="963" t="n"/>
      <c r="K469" s="1226" t="n"/>
      <c r="L469" s="1226" t="n"/>
      <c r="M469" s="1226" t="n"/>
      <c r="N469" s="1227" t="n"/>
      <c r="O469" s="963" t="n"/>
      <c r="P469" s="963" t="n"/>
      <c r="Q469" s="963" t="n"/>
      <c r="R469" s="1228" t="n"/>
      <c r="S469" s="1229" t="n"/>
    </row>
    <row r="470" ht="15.75" customHeight="1" s="1349">
      <c r="A470" s="1222" t="n"/>
      <c r="B470" s="1223" t="n"/>
      <c r="C470" s="1223" t="n"/>
      <c r="D470" s="1224" t="n"/>
      <c r="E470" s="1225" t="n"/>
      <c r="F470" s="1224" t="n"/>
      <c r="G470" s="1224" t="n"/>
      <c r="H470" s="963" t="n"/>
      <c r="I470" s="963" t="n"/>
      <c r="J470" s="963" t="n"/>
      <c r="K470" s="1226" t="n"/>
      <c r="L470" s="1226" t="n"/>
      <c r="M470" s="1226" t="n"/>
      <c r="N470" s="1227" t="n"/>
      <c r="O470" s="963" t="n"/>
      <c r="P470" s="963" t="n"/>
      <c r="Q470" s="963" t="n"/>
      <c r="R470" s="1228" t="n"/>
      <c r="S470" s="1229" t="n"/>
    </row>
    <row r="471" ht="15.75" customHeight="1" s="1349">
      <c r="A471" s="1222" t="n"/>
      <c r="B471" s="1223" t="n"/>
      <c r="C471" s="1223" t="n"/>
      <c r="D471" s="1224" t="n"/>
      <c r="E471" s="1225" t="n"/>
      <c r="F471" s="1224" t="n"/>
      <c r="G471" s="1224" t="n"/>
      <c r="H471" s="963" t="n"/>
      <c r="I471" s="963" t="n"/>
      <c r="J471" s="963" t="n"/>
      <c r="K471" s="1226" t="n"/>
      <c r="L471" s="1226" t="n"/>
      <c r="M471" s="1226" t="n"/>
      <c r="N471" s="1227" t="n"/>
      <c r="O471" s="963" t="n"/>
      <c r="P471" s="963" t="n"/>
      <c r="Q471" s="963" t="n"/>
      <c r="R471" s="1228" t="n"/>
      <c r="S471" s="1229" t="n"/>
    </row>
    <row r="472" ht="15.75" customHeight="1" s="1349">
      <c r="A472" s="1222" t="n"/>
      <c r="B472" s="1223" t="n"/>
      <c r="C472" s="1223" t="n"/>
      <c r="D472" s="1224" t="n"/>
      <c r="E472" s="1225" t="n"/>
      <c r="F472" s="1224" t="n"/>
      <c r="G472" s="1224" t="n"/>
      <c r="H472" s="963" t="n"/>
      <c r="I472" s="963" t="n"/>
      <c r="J472" s="963" t="n"/>
      <c r="K472" s="1226" t="n"/>
      <c r="L472" s="1226" t="n"/>
      <c r="M472" s="1226" t="n"/>
      <c r="N472" s="1227" t="n"/>
      <c r="O472" s="963" t="n"/>
      <c r="P472" s="963" t="n"/>
      <c r="Q472" s="963" t="n"/>
      <c r="R472" s="1228" t="n"/>
      <c r="S472" s="1229" t="n"/>
    </row>
    <row r="473" ht="15.75" customHeight="1" s="1349">
      <c r="A473" s="1222" t="n"/>
      <c r="B473" s="1223" t="n"/>
      <c r="C473" s="1223" t="n"/>
      <c r="D473" s="1224" t="n"/>
      <c r="E473" s="1225" t="n"/>
      <c r="F473" s="1224" t="n"/>
      <c r="G473" s="1224" t="n"/>
      <c r="H473" s="963" t="n"/>
      <c r="I473" s="963" t="n"/>
      <c r="J473" s="963" t="n"/>
      <c r="K473" s="1226" t="n"/>
      <c r="L473" s="1226" t="n"/>
      <c r="M473" s="1226" t="n"/>
      <c r="N473" s="1227" t="n"/>
      <c r="O473" s="963" t="n"/>
      <c r="P473" s="963" t="n"/>
      <c r="Q473" s="963" t="n"/>
      <c r="R473" s="1228" t="n"/>
      <c r="S473" s="1229" t="n"/>
    </row>
    <row r="474" ht="15.75" customHeight="1" s="1349">
      <c r="A474" s="1222" t="n"/>
      <c r="B474" s="1223" t="n"/>
      <c r="C474" s="1223" t="n"/>
      <c r="D474" s="1224" t="n"/>
      <c r="E474" s="1225" t="n"/>
      <c r="F474" s="1224" t="n"/>
      <c r="G474" s="1224" t="n"/>
      <c r="H474" s="963" t="n"/>
      <c r="I474" s="963" t="n"/>
      <c r="J474" s="963" t="n"/>
      <c r="K474" s="1226" t="n"/>
      <c r="L474" s="1226" t="n"/>
      <c r="M474" s="1226" t="n"/>
      <c r="N474" s="1227" t="n"/>
      <c r="O474" s="963" t="n"/>
      <c r="P474" s="963" t="n"/>
      <c r="Q474" s="963" t="n"/>
      <c r="R474" s="1228" t="n"/>
      <c r="S474" s="1229" t="n"/>
    </row>
    <row r="475" ht="15.75" customHeight="1" s="1349">
      <c r="A475" s="1222" t="n"/>
      <c r="B475" s="1223" t="n"/>
      <c r="C475" s="1223" t="n"/>
      <c r="D475" s="1224" t="n"/>
      <c r="E475" s="1225" t="n"/>
      <c r="F475" s="1224" t="n"/>
      <c r="G475" s="1224" t="n"/>
      <c r="H475" s="963" t="n"/>
      <c r="I475" s="963" t="n"/>
      <c r="J475" s="963" t="n"/>
      <c r="K475" s="1226" t="n"/>
      <c r="L475" s="1226" t="n"/>
      <c r="M475" s="1226" t="n"/>
      <c r="N475" s="1227" t="n"/>
      <c r="O475" s="963" t="n"/>
      <c r="P475" s="963" t="n"/>
      <c r="Q475" s="963" t="n"/>
      <c r="R475" s="1228" t="n"/>
      <c r="S475" s="1229" t="n"/>
    </row>
    <row r="476" ht="15.75" customHeight="1" s="1349">
      <c r="A476" s="1222" t="n"/>
      <c r="B476" s="1223" t="n"/>
      <c r="C476" s="1223" t="n"/>
      <c r="D476" s="1224" t="n"/>
      <c r="E476" s="1225" t="n"/>
      <c r="F476" s="1224" t="n"/>
      <c r="G476" s="1224" t="n"/>
      <c r="H476" s="963" t="n"/>
      <c r="I476" s="963" t="n"/>
      <c r="J476" s="963" t="n"/>
      <c r="K476" s="1226" t="n"/>
      <c r="L476" s="1226" t="n"/>
      <c r="M476" s="1226" t="n"/>
      <c r="N476" s="1227" t="n"/>
      <c r="O476" s="963" t="n"/>
      <c r="P476" s="963" t="n"/>
      <c r="Q476" s="963" t="n"/>
      <c r="R476" s="1228" t="n"/>
      <c r="S476" s="1229" t="n"/>
    </row>
    <row r="477" ht="15.75" customHeight="1" s="1349">
      <c r="A477" s="1222" t="n"/>
      <c r="B477" s="1223" t="n"/>
      <c r="C477" s="1223" t="n"/>
      <c r="D477" s="1224" t="n"/>
      <c r="E477" s="1225" t="n"/>
      <c r="F477" s="1224" t="n"/>
      <c r="G477" s="1224" t="n"/>
      <c r="H477" s="963" t="n"/>
      <c r="I477" s="963" t="n"/>
      <c r="J477" s="963" t="n"/>
      <c r="K477" s="1226" t="n"/>
      <c r="L477" s="1226" t="n"/>
      <c r="M477" s="1226" t="n"/>
      <c r="N477" s="1227" t="n"/>
      <c r="O477" s="963" t="n"/>
      <c r="P477" s="963" t="n"/>
      <c r="Q477" s="963" t="n"/>
      <c r="R477" s="1228" t="n"/>
      <c r="S477" s="1229" t="n"/>
    </row>
    <row r="478" ht="15.75" customHeight="1" s="1349">
      <c r="A478" s="1222" t="n"/>
      <c r="B478" s="1223" t="n"/>
      <c r="C478" s="1223" t="n"/>
      <c r="D478" s="1224" t="n"/>
      <c r="E478" s="1225" t="n"/>
      <c r="F478" s="1224" t="n"/>
      <c r="G478" s="1224" t="n"/>
      <c r="H478" s="963" t="n"/>
      <c r="I478" s="963" t="n"/>
      <c r="J478" s="963" t="n"/>
      <c r="K478" s="1226" t="n"/>
      <c r="L478" s="1226" t="n"/>
      <c r="M478" s="1226" t="n"/>
      <c r="N478" s="1227" t="n"/>
      <c r="O478" s="963" t="n"/>
      <c r="P478" s="963" t="n"/>
      <c r="Q478" s="963" t="n"/>
      <c r="R478" s="1228" t="n"/>
      <c r="S478" s="1229" t="n"/>
    </row>
    <row r="479" ht="15.75" customHeight="1" s="1349">
      <c r="A479" s="1222" t="n"/>
      <c r="B479" s="1223" t="n"/>
      <c r="C479" s="1223" t="n"/>
      <c r="D479" s="1224" t="n"/>
      <c r="E479" s="1225" t="n"/>
      <c r="F479" s="1224" t="n"/>
      <c r="G479" s="1224" t="n"/>
      <c r="H479" s="963" t="n"/>
      <c r="I479" s="963" t="n"/>
      <c r="J479" s="963" t="n"/>
      <c r="K479" s="1226" t="n"/>
      <c r="L479" s="1226" t="n"/>
      <c r="M479" s="1226" t="n"/>
      <c r="N479" s="1227" t="n"/>
      <c r="O479" s="963" t="n"/>
      <c r="P479" s="963" t="n"/>
      <c r="Q479" s="963" t="n"/>
      <c r="R479" s="1228" t="n"/>
      <c r="S479" s="1229" t="n"/>
    </row>
    <row r="480" ht="15.75" customHeight="1" s="1349">
      <c r="A480" s="1222" t="n"/>
      <c r="B480" s="1223" t="n"/>
      <c r="C480" s="1223" t="n"/>
      <c r="D480" s="1224" t="n"/>
      <c r="E480" s="1225" t="n"/>
      <c r="F480" s="1224" t="n"/>
      <c r="G480" s="1224" t="n"/>
      <c r="H480" s="963" t="n"/>
      <c r="I480" s="963" t="n"/>
      <c r="J480" s="963" t="n"/>
      <c r="K480" s="1226" t="n"/>
      <c r="L480" s="1226" t="n"/>
      <c r="M480" s="1226" t="n"/>
      <c r="N480" s="1227" t="n"/>
      <c r="O480" s="963" t="n"/>
      <c r="P480" s="963" t="n"/>
      <c r="Q480" s="963" t="n"/>
      <c r="R480" s="1228" t="n"/>
      <c r="S480" s="1229" t="n"/>
    </row>
    <row r="481" ht="15.75" customHeight="1" s="1349">
      <c r="A481" s="1222" t="n"/>
      <c r="B481" s="1223" t="n"/>
      <c r="C481" s="1223" t="n"/>
      <c r="D481" s="1224" t="n"/>
      <c r="E481" s="1225" t="n"/>
      <c r="F481" s="1224" t="n"/>
      <c r="G481" s="1224" t="n"/>
      <c r="H481" s="963" t="n"/>
      <c r="I481" s="963" t="n"/>
      <c r="J481" s="963" t="n"/>
      <c r="K481" s="1226" t="n"/>
      <c r="L481" s="1226" t="n"/>
      <c r="M481" s="1226" t="n"/>
      <c r="N481" s="1227" t="n"/>
      <c r="O481" s="963" t="n"/>
      <c r="P481" s="963" t="n"/>
      <c r="Q481" s="963" t="n"/>
      <c r="R481" s="1228" t="n"/>
      <c r="S481" s="1229" t="n"/>
    </row>
    <row r="482" ht="15.75" customHeight="1" s="1349">
      <c r="A482" s="1222" t="n"/>
      <c r="B482" s="1223" t="n"/>
      <c r="C482" s="1223" t="n"/>
      <c r="D482" s="1224" t="n"/>
      <c r="E482" s="1225" t="n"/>
      <c r="F482" s="1224" t="n"/>
      <c r="G482" s="1224" t="n"/>
      <c r="H482" s="963" t="n"/>
      <c r="I482" s="963" t="n"/>
      <c r="J482" s="963" t="n"/>
      <c r="K482" s="1226" t="n"/>
      <c r="L482" s="1226" t="n"/>
      <c r="M482" s="1226" t="n"/>
      <c r="N482" s="1227" t="n"/>
      <c r="O482" s="963" t="n"/>
      <c r="P482" s="963" t="n"/>
      <c r="Q482" s="963" t="n"/>
      <c r="R482" s="1228" t="n"/>
      <c r="S482" s="1229" t="n"/>
    </row>
    <row r="483" ht="15.75" customHeight="1" s="1349">
      <c r="A483" s="1222" t="n"/>
      <c r="B483" s="1223" t="n"/>
      <c r="C483" s="1223" t="n"/>
      <c r="D483" s="1224" t="n"/>
      <c r="E483" s="1225" t="n"/>
      <c r="F483" s="1224" t="n"/>
      <c r="G483" s="1224" t="n"/>
      <c r="H483" s="963" t="n"/>
      <c r="I483" s="963" t="n"/>
      <c r="J483" s="963" t="n"/>
      <c r="K483" s="1226" t="n"/>
      <c r="L483" s="1226" t="n"/>
      <c r="M483" s="1226" t="n"/>
      <c r="N483" s="1227" t="n"/>
      <c r="O483" s="963" t="n"/>
      <c r="P483" s="963" t="n"/>
      <c r="Q483" s="963" t="n"/>
      <c r="R483" s="1228" t="n"/>
      <c r="S483" s="1229" t="n"/>
    </row>
    <row r="484" ht="15.75" customHeight="1" s="1349">
      <c r="A484" s="1222" t="n"/>
      <c r="B484" s="1223" t="n"/>
      <c r="C484" s="1223" t="n"/>
      <c r="D484" s="1224" t="n"/>
      <c r="E484" s="1225" t="n"/>
      <c r="F484" s="1224" t="n"/>
      <c r="G484" s="1224" t="n"/>
      <c r="H484" s="963" t="n"/>
      <c r="I484" s="963" t="n"/>
      <c r="J484" s="963" t="n"/>
      <c r="K484" s="1226" t="n"/>
      <c r="L484" s="1226" t="n"/>
      <c r="M484" s="1226" t="n"/>
      <c r="N484" s="1227" t="n"/>
      <c r="O484" s="963" t="n"/>
      <c r="P484" s="963" t="n"/>
      <c r="Q484" s="963" t="n"/>
      <c r="R484" s="1228" t="n"/>
      <c r="S484" s="1229" t="n"/>
    </row>
    <row r="485" ht="15.75" customHeight="1" s="1349">
      <c r="A485" s="1222" t="n"/>
      <c r="B485" s="1223" t="n"/>
      <c r="C485" s="1223" t="n"/>
      <c r="D485" s="1224" t="n"/>
      <c r="E485" s="1225" t="n"/>
      <c r="F485" s="1224" t="n"/>
      <c r="G485" s="1224" t="n"/>
      <c r="H485" s="963" t="n"/>
      <c r="I485" s="963" t="n"/>
      <c r="J485" s="963" t="n"/>
      <c r="K485" s="1226" t="n"/>
      <c r="L485" s="1226" t="n"/>
      <c r="M485" s="1226" t="n"/>
      <c r="N485" s="1227" t="n"/>
      <c r="O485" s="963" t="n"/>
      <c r="P485" s="963" t="n"/>
      <c r="Q485" s="963" t="n"/>
      <c r="R485" s="1228" t="n"/>
      <c r="S485" s="1229" t="n"/>
    </row>
    <row r="486" ht="15.75" customHeight="1" s="1349">
      <c r="A486" s="1222" t="n"/>
      <c r="B486" s="1223" t="n"/>
      <c r="C486" s="1223" t="n"/>
      <c r="D486" s="1224" t="n"/>
      <c r="E486" s="1225" t="n"/>
      <c r="F486" s="1224" t="n"/>
      <c r="G486" s="1224" t="n"/>
      <c r="H486" s="963" t="n"/>
      <c r="I486" s="963" t="n"/>
      <c r="J486" s="963" t="n"/>
      <c r="K486" s="1226" t="n"/>
      <c r="L486" s="1226" t="n"/>
      <c r="M486" s="1226" t="n"/>
      <c r="N486" s="1227" t="n"/>
      <c r="O486" s="963" t="n"/>
      <c r="P486" s="963" t="n"/>
      <c r="Q486" s="963" t="n"/>
      <c r="R486" s="1228" t="n"/>
      <c r="S486" s="1229" t="n"/>
    </row>
    <row r="487" ht="15.75" customHeight="1" s="1349">
      <c r="A487" s="1222" t="n"/>
      <c r="B487" s="1223" t="n"/>
      <c r="C487" s="1223" t="n"/>
      <c r="D487" s="1224" t="n"/>
      <c r="E487" s="1225" t="n"/>
      <c r="F487" s="1224" t="n"/>
      <c r="G487" s="1224" t="n"/>
      <c r="H487" s="963" t="n"/>
      <c r="I487" s="963" t="n"/>
      <c r="J487" s="963" t="n"/>
      <c r="K487" s="1226" t="n"/>
      <c r="L487" s="1226" t="n"/>
      <c r="M487" s="1226" t="n"/>
      <c r="N487" s="1227" t="n"/>
      <c r="O487" s="963" t="n"/>
      <c r="P487" s="963" t="n"/>
      <c r="Q487" s="963" t="n"/>
      <c r="R487" s="1228" t="n"/>
      <c r="S487" s="1229" t="n"/>
    </row>
    <row r="488" ht="15.75" customHeight="1" s="1349">
      <c r="A488" s="1222" t="n"/>
      <c r="B488" s="1223" t="n"/>
      <c r="C488" s="1223" t="n"/>
      <c r="D488" s="1224" t="n"/>
      <c r="E488" s="1225" t="n"/>
      <c r="F488" s="1224" t="n"/>
      <c r="G488" s="1224" t="n"/>
      <c r="H488" s="963" t="n"/>
      <c r="I488" s="963" t="n"/>
      <c r="J488" s="963" t="n"/>
      <c r="K488" s="1226" t="n"/>
      <c r="L488" s="1226" t="n"/>
      <c r="M488" s="1226" t="n"/>
      <c r="N488" s="1227" t="n"/>
      <c r="O488" s="963" t="n"/>
      <c r="P488" s="963" t="n"/>
      <c r="Q488" s="963" t="n"/>
      <c r="R488" s="1228" t="n"/>
      <c r="S488" s="1229" t="n"/>
    </row>
    <row r="489" ht="15.75" customHeight="1" s="1349">
      <c r="A489" s="1222" t="n"/>
      <c r="B489" s="1223" t="n"/>
      <c r="C489" s="1223" t="n"/>
      <c r="D489" s="1224" t="n"/>
      <c r="E489" s="1225" t="n"/>
      <c r="F489" s="1224" t="n"/>
      <c r="G489" s="1224" t="n"/>
      <c r="H489" s="963" t="n"/>
      <c r="I489" s="963" t="n"/>
      <c r="J489" s="963" t="n"/>
      <c r="K489" s="1226" t="n"/>
      <c r="L489" s="1226" t="n"/>
      <c r="M489" s="1226" t="n"/>
      <c r="N489" s="1227" t="n"/>
      <c r="O489" s="963" t="n"/>
      <c r="P489" s="963" t="n"/>
      <c r="Q489" s="963" t="n"/>
      <c r="R489" s="1228" t="n"/>
      <c r="S489" s="1229" t="n"/>
    </row>
    <row r="490" ht="15.75" customHeight="1" s="1349">
      <c r="A490" s="1222" t="n"/>
      <c r="B490" s="1223" t="n"/>
      <c r="C490" s="1223" t="n"/>
      <c r="D490" s="1224" t="n"/>
      <c r="E490" s="1225" t="n"/>
      <c r="F490" s="1224" t="n"/>
      <c r="G490" s="1224" t="n"/>
      <c r="H490" s="963" t="n"/>
      <c r="I490" s="963" t="n"/>
      <c r="J490" s="963" t="n"/>
      <c r="K490" s="1226" t="n"/>
      <c r="L490" s="1226" t="n"/>
      <c r="M490" s="1226" t="n"/>
      <c r="N490" s="1227" t="n"/>
      <c r="O490" s="963" t="n"/>
      <c r="P490" s="963" t="n"/>
      <c r="Q490" s="963" t="n"/>
      <c r="R490" s="1228" t="n"/>
      <c r="S490" s="1229" t="n"/>
    </row>
    <row r="491" ht="15.75" customHeight="1" s="1349">
      <c r="A491" s="1222" t="n"/>
      <c r="B491" s="1223" t="n"/>
      <c r="C491" s="1223" t="n"/>
      <c r="D491" s="1224" t="n"/>
      <c r="E491" s="1225" t="n"/>
      <c r="F491" s="1224" t="n"/>
      <c r="G491" s="1224" t="n"/>
      <c r="H491" s="963" t="n"/>
      <c r="I491" s="963" t="n"/>
      <c r="J491" s="963" t="n"/>
      <c r="K491" s="1226" t="n"/>
      <c r="L491" s="1226" t="n"/>
      <c r="M491" s="1226" t="n"/>
      <c r="N491" s="1227" t="n"/>
      <c r="O491" s="963" t="n"/>
      <c r="P491" s="963" t="n"/>
      <c r="Q491" s="963" t="n"/>
      <c r="R491" s="1228" t="n"/>
      <c r="S491" s="1229" t="n"/>
    </row>
    <row r="492" ht="15.75" customHeight="1" s="1349">
      <c r="A492" s="1222" t="n"/>
      <c r="B492" s="1223" t="n"/>
      <c r="C492" s="1223" t="n"/>
      <c r="D492" s="1224" t="n"/>
      <c r="E492" s="1225" t="n"/>
      <c r="F492" s="1224" t="n"/>
      <c r="G492" s="1224" t="n"/>
      <c r="H492" s="963" t="n"/>
      <c r="I492" s="963" t="n"/>
      <c r="J492" s="963" t="n"/>
      <c r="K492" s="1226" t="n"/>
      <c r="L492" s="1226" t="n"/>
      <c r="M492" s="1226" t="n"/>
      <c r="N492" s="1227" t="n"/>
      <c r="O492" s="963" t="n"/>
      <c r="P492" s="963" t="n"/>
      <c r="Q492" s="963" t="n"/>
      <c r="R492" s="1228" t="n"/>
      <c r="S492" s="1229" t="n"/>
    </row>
    <row r="493" ht="15.75" customHeight="1" s="1349">
      <c r="A493" s="1222" t="n"/>
      <c r="B493" s="1223" t="n"/>
      <c r="C493" s="1223" t="n"/>
      <c r="D493" s="1224" t="n"/>
      <c r="E493" s="1225" t="n"/>
      <c r="F493" s="1224" t="n"/>
      <c r="G493" s="1224" t="n"/>
      <c r="H493" s="963" t="n"/>
      <c r="I493" s="963" t="n"/>
      <c r="J493" s="963" t="n"/>
      <c r="K493" s="1226" t="n"/>
      <c r="L493" s="1226" t="n"/>
      <c r="M493" s="1226" t="n"/>
      <c r="N493" s="1227" t="n"/>
      <c r="O493" s="963" t="n"/>
      <c r="P493" s="963" t="n"/>
      <c r="Q493" s="963" t="n"/>
      <c r="R493" s="1228" t="n"/>
      <c r="S493" s="1229" t="n"/>
    </row>
    <row r="494" ht="15.75" customHeight="1" s="1349">
      <c r="A494" s="1222" t="n"/>
      <c r="B494" s="1223" t="n"/>
      <c r="C494" s="1223" t="n"/>
      <c r="D494" s="1224" t="n"/>
      <c r="E494" s="1225" t="n"/>
      <c r="F494" s="1224" t="n"/>
      <c r="G494" s="1224" t="n"/>
      <c r="H494" s="963" t="n"/>
      <c r="I494" s="963" t="n"/>
      <c r="J494" s="963" t="n"/>
      <c r="K494" s="1226" t="n"/>
      <c r="L494" s="1226" t="n"/>
      <c r="M494" s="1226" t="n"/>
      <c r="N494" s="1227" t="n"/>
      <c r="O494" s="963" t="n"/>
      <c r="P494" s="963" t="n"/>
      <c r="Q494" s="963" t="n"/>
      <c r="R494" s="1228" t="n"/>
      <c r="S494" s="1229" t="n"/>
    </row>
    <row r="495" ht="15.75" customHeight="1" s="1349">
      <c r="A495" s="1222" t="n"/>
      <c r="B495" s="1223" t="n"/>
      <c r="C495" s="1223" t="n"/>
      <c r="D495" s="1224" t="n"/>
      <c r="E495" s="1225" t="n"/>
      <c r="F495" s="1224" t="n"/>
      <c r="G495" s="1224" t="n"/>
      <c r="H495" s="963" t="n"/>
      <c r="I495" s="963" t="n"/>
      <c r="J495" s="963" t="n"/>
      <c r="K495" s="1226" t="n"/>
      <c r="L495" s="1226" t="n"/>
      <c r="M495" s="1226" t="n"/>
      <c r="N495" s="1227" t="n"/>
      <c r="O495" s="963" t="n"/>
      <c r="P495" s="963" t="n"/>
      <c r="Q495" s="963" t="n"/>
      <c r="R495" s="1228" t="n"/>
      <c r="S495" s="1229" t="n"/>
    </row>
    <row r="496" ht="15.75" customHeight="1" s="1349">
      <c r="A496" s="1222" t="n"/>
      <c r="B496" s="1223" t="n"/>
      <c r="C496" s="1223" t="n"/>
      <c r="D496" s="1224" t="n"/>
      <c r="E496" s="1225" t="n"/>
      <c r="F496" s="1224" t="n"/>
      <c r="G496" s="1224" t="n"/>
      <c r="H496" s="963" t="n"/>
      <c r="I496" s="963" t="n"/>
      <c r="J496" s="963" t="n"/>
      <c r="K496" s="1226" t="n"/>
      <c r="L496" s="1226" t="n"/>
      <c r="M496" s="1226" t="n"/>
      <c r="N496" s="1227" t="n"/>
      <c r="O496" s="963" t="n"/>
      <c r="P496" s="963" t="n"/>
      <c r="Q496" s="963" t="n"/>
      <c r="R496" s="1228" t="n"/>
      <c r="S496" s="1229" t="n"/>
    </row>
    <row r="497" ht="15.75" customHeight="1" s="1349">
      <c r="A497" s="1222" t="n"/>
      <c r="B497" s="1223" t="n"/>
      <c r="C497" s="1223" t="n"/>
      <c r="D497" s="1224" t="n"/>
      <c r="E497" s="1225" t="n"/>
      <c r="F497" s="1224" t="n"/>
      <c r="G497" s="1224" t="n"/>
      <c r="H497" s="963" t="n"/>
      <c r="I497" s="963" t="n"/>
      <c r="J497" s="963" t="n"/>
      <c r="K497" s="1226" t="n"/>
      <c r="L497" s="1226" t="n"/>
      <c r="M497" s="1226" t="n"/>
      <c r="N497" s="1227" t="n"/>
      <c r="O497" s="963" t="n"/>
      <c r="P497" s="963" t="n"/>
      <c r="Q497" s="963" t="n"/>
      <c r="R497" s="1228" t="n"/>
      <c r="S497" s="1229" t="n"/>
    </row>
    <row r="498" ht="15.75" customHeight="1" s="1349">
      <c r="A498" s="1222" t="n"/>
      <c r="B498" s="1223" t="n"/>
      <c r="C498" s="1223" t="n"/>
      <c r="D498" s="1224" t="n"/>
      <c r="E498" s="1225" t="n"/>
      <c r="F498" s="1224" t="n"/>
      <c r="G498" s="1224" t="n"/>
      <c r="H498" s="963" t="n"/>
      <c r="I498" s="963" t="n"/>
      <c r="J498" s="963" t="n"/>
      <c r="K498" s="1226" t="n"/>
      <c r="L498" s="1226" t="n"/>
      <c r="M498" s="1226" t="n"/>
      <c r="N498" s="1227" t="n"/>
      <c r="O498" s="963" t="n"/>
      <c r="P498" s="963" t="n"/>
      <c r="Q498" s="963" t="n"/>
      <c r="R498" s="1228" t="n"/>
      <c r="S498" s="1229" t="n"/>
    </row>
    <row r="499" ht="15.75" customHeight="1" s="1349">
      <c r="A499" s="1222" t="n"/>
      <c r="B499" s="1223" t="n"/>
      <c r="C499" s="1223" t="n"/>
      <c r="D499" s="1224" t="n"/>
      <c r="E499" s="1225" t="n"/>
      <c r="F499" s="1224" t="n"/>
      <c r="G499" s="1224" t="n"/>
      <c r="H499" s="963" t="n"/>
      <c r="I499" s="963" t="n"/>
      <c r="J499" s="963" t="n"/>
      <c r="K499" s="1226" t="n"/>
      <c r="L499" s="1226" t="n"/>
      <c r="M499" s="1226" t="n"/>
      <c r="N499" s="1227" t="n"/>
      <c r="O499" s="963" t="n"/>
      <c r="P499" s="963" t="n"/>
      <c r="Q499" s="963" t="n"/>
      <c r="R499" s="1228" t="n"/>
      <c r="S499" s="1229" t="n"/>
    </row>
    <row r="500" ht="15.75" customHeight="1" s="1349">
      <c r="A500" s="1222" t="n"/>
      <c r="B500" s="1223" t="n"/>
      <c r="C500" s="1223" t="n"/>
      <c r="D500" s="1224" t="n"/>
      <c r="E500" s="1225" t="n"/>
      <c r="F500" s="1224" t="n"/>
      <c r="G500" s="1224" t="n"/>
      <c r="H500" s="963" t="n"/>
      <c r="I500" s="963" t="n"/>
      <c r="J500" s="963" t="n"/>
      <c r="K500" s="1226" t="n"/>
      <c r="L500" s="1226" t="n"/>
      <c r="M500" s="1226" t="n"/>
      <c r="N500" s="1227" t="n"/>
      <c r="O500" s="963" t="n"/>
      <c r="P500" s="963" t="n"/>
      <c r="Q500" s="963" t="n"/>
      <c r="R500" s="1228" t="n"/>
      <c r="S500" s="1229" t="n"/>
    </row>
    <row r="501" ht="15.75" customHeight="1" s="1349">
      <c r="A501" s="1222" t="n"/>
      <c r="B501" s="1223" t="n"/>
      <c r="C501" s="1223" t="n"/>
      <c r="D501" s="1224" t="n"/>
      <c r="E501" s="1225" t="n"/>
      <c r="F501" s="1224" t="n"/>
      <c r="G501" s="1224" t="n"/>
      <c r="H501" s="963" t="n"/>
      <c r="I501" s="963" t="n"/>
      <c r="J501" s="963" t="n"/>
      <c r="K501" s="1226" t="n"/>
      <c r="L501" s="1226" t="n"/>
      <c r="M501" s="1226" t="n"/>
      <c r="N501" s="1227" t="n"/>
      <c r="O501" s="963" t="n"/>
      <c r="P501" s="963" t="n"/>
      <c r="Q501" s="963" t="n"/>
      <c r="R501" s="1228" t="n"/>
      <c r="S501" s="1229" t="n"/>
    </row>
    <row r="502" ht="15.75" customHeight="1" s="1349">
      <c r="A502" s="1222" t="n"/>
      <c r="B502" s="1223" t="n"/>
      <c r="C502" s="1223" t="n"/>
      <c r="D502" s="1224" t="n"/>
      <c r="E502" s="1225" t="n"/>
      <c r="F502" s="1224" t="n"/>
      <c r="G502" s="1224" t="n"/>
      <c r="H502" s="963" t="n"/>
      <c r="I502" s="963" t="n"/>
      <c r="J502" s="963" t="n"/>
      <c r="K502" s="1226" t="n"/>
      <c r="L502" s="1226" t="n"/>
      <c r="M502" s="1226" t="n"/>
      <c r="N502" s="1227" t="n"/>
      <c r="O502" s="963" t="n"/>
      <c r="P502" s="963" t="n"/>
      <c r="Q502" s="963" t="n"/>
      <c r="R502" s="1228" t="n"/>
      <c r="S502" s="1229" t="n"/>
    </row>
    <row r="503" ht="15.75" customHeight="1" s="1349">
      <c r="A503" s="1222" t="n"/>
      <c r="B503" s="1223" t="n"/>
      <c r="C503" s="1223" t="n"/>
      <c r="D503" s="1224" t="n"/>
      <c r="E503" s="1225" t="n"/>
      <c r="F503" s="1224" t="n"/>
      <c r="G503" s="1224" t="n"/>
      <c r="H503" s="963" t="n"/>
      <c r="I503" s="963" t="n"/>
      <c r="J503" s="963" t="n"/>
      <c r="K503" s="1226" t="n"/>
      <c r="L503" s="1226" t="n"/>
      <c r="M503" s="1226" t="n"/>
      <c r="N503" s="1227" t="n"/>
      <c r="O503" s="963" t="n"/>
      <c r="P503" s="963" t="n"/>
      <c r="Q503" s="963" t="n"/>
      <c r="R503" s="1228" t="n"/>
      <c r="S503" s="1229" t="n"/>
    </row>
    <row r="504" ht="15.75" customHeight="1" s="1349">
      <c r="A504" s="1222" t="n"/>
      <c r="B504" s="1223" t="n"/>
      <c r="C504" s="1223" t="n"/>
      <c r="D504" s="1224" t="n"/>
      <c r="E504" s="1225" t="n"/>
      <c r="F504" s="1224" t="n"/>
      <c r="G504" s="1224" t="n"/>
      <c r="H504" s="963" t="n"/>
      <c r="I504" s="963" t="n"/>
      <c r="J504" s="963" t="n"/>
      <c r="K504" s="1226" t="n"/>
      <c r="L504" s="1226" t="n"/>
      <c r="M504" s="1226" t="n"/>
      <c r="N504" s="1227" t="n"/>
      <c r="O504" s="963" t="n"/>
      <c r="P504" s="963" t="n"/>
      <c r="Q504" s="963" t="n"/>
      <c r="R504" s="1228" t="n"/>
      <c r="S504" s="1229" t="n"/>
    </row>
    <row r="505" ht="15.75" customHeight="1" s="1349">
      <c r="A505" s="1222" t="n"/>
      <c r="B505" s="1223" t="n"/>
      <c r="C505" s="1223" t="n"/>
      <c r="D505" s="1224" t="n"/>
      <c r="E505" s="1225" t="n"/>
      <c r="F505" s="1224" t="n"/>
      <c r="G505" s="1224" t="n"/>
      <c r="H505" s="963" t="n"/>
      <c r="I505" s="963" t="n"/>
      <c r="J505" s="963" t="n"/>
      <c r="K505" s="1226" t="n"/>
      <c r="L505" s="1226" t="n"/>
      <c r="M505" s="1226" t="n"/>
      <c r="N505" s="1227" t="n"/>
      <c r="O505" s="963" t="n"/>
      <c r="P505" s="963" t="n"/>
      <c r="Q505" s="963" t="n"/>
      <c r="R505" s="1228" t="n"/>
      <c r="S505" s="1229" t="n"/>
    </row>
    <row r="506" ht="15.75" customHeight="1" s="1349">
      <c r="A506" s="1222" t="n"/>
      <c r="B506" s="1223" t="n"/>
      <c r="C506" s="1223" t="n"/>
      <c r="D506" s="1224" t="n"/>
      <c r="E506" s="1225" t="n"/>
      <c r="F506" s="1224" t="n"/>
      <c r="G506" s="1224" t="n"/>
      <c r="H506" s="963" t="n"/>
      <c r="I506" s="963" t="n"/>
      <c r="J506" s="963" t="n"/>
      <c r="K506" s="1226" t="n"/>
      <c r="L506" s="1226" t="n"/>
      <c r="M506" s="1226" t="n"/>
      <c r="N506" s="1227" t="n"/>
      <c r="O506" s="963" t="n"/>
      <c r="P506" s="963" t="n"/>
      <c r="Q506" s="963" t="n"/>
      <c r="R506" s="1228" t="n"/>
      <c r="S506" s="1229" t="n"/>
    </row>
    <row r="507" ht="15.75" customHeight="1" s="1349">
      <c r="A507" s="1222" t="n"/>
      <c r="B507" s="1223" t="n"/>
      <c r="C507" s="1223" t="n"/>
      <c r="D507" s="1224" t="n"/>
      <c r="E507" s="1225" t="n"/>
      <c r="F507" s="1224" t="n"/>
      <c r="G507" s="1224" t="n"/>
      <c r="H507" s="963" t="n"/>
      <c r="I507" s="963" t="n"/>
      <c r="J507" s="963" t="n"/>
      <c r="K507" s="1226" t="n"/>
      <c r="L507" s="1226" t="n"/>
      <c r="M507" s="1226" t="n"/>
      <c r="N507" s="1227" t="n"/>
      <c r="O507" s="963" t="n"/>
      <c r="P507" s="963" t="n"/>
      <c r="Q507" s="963" t="n"/>
      <c r="R507" s="1228" t="n"/>
      <c r="S507" s="1229" t="n"/>
    </row>
    <row r="508" ht="15.75" customHeight="1" s="1349">
      <c r="A508" s="1222" t="n"/>
      <c r="B508" s="1223" t="n"/>
      <c r="C508" s="1223" t="n"/>
      <c r="D508" s="1224" t="n"/>
      <c r="E508" s="1225" t="n"/>
      <c r="F508" s="1224" t="n"/>
      <c r="G508" s="1224" t="n"/>
      <c r="H508" s="963" t="n"/>
      <c r="I508" s="963" t="n"/>
      <c r="J508" s="963" t="n"/>
      <c r="K508" s="1226" t="n"/>
      <c r="L508" s="1226" t="n"/>
      <c r="M508" s="1226" t="n"/>
      <c r="N508" s="1227" t="n"/>
      <c r="O508" s="963" t="n"/>
      <c r="P508" s="963" t="n"/>
      <c r="Q508" s="963" t="n"/>
      <c r="R508" s="1228" t="n"/>
      <c r="S508" s="1229" t="n"/>
    </row>
    <row r="509" ht="15.75" customHeight="1" s="1349">
      <c r="A509" s="1222" t="n"/>
      <c r="B509" s="1223" t="n"/>
      <c r="C509" s="1223" t="n"/>
      <c r="D509" s="1224" t="n"/>
      <c r="E509" s="1225" t="n"/>
      <c r="F509" s="1224" t="n"/>
      <c r="G509" s="1224" t="n"/>
      <c r="H509" s="963" t="n"/>
      <c r="I509" s="963" t="n"/>
      <c r="J509" s="963" t="n"/>
      <c r="K509" s="1226" t="n"/>
      <c r="L509" s="1226" t="n"/>
      <c r="M509" s="1226" t="n"/>
      <c r="N509" s="1227" t="n"/>
      <c r="O509" s="963" t="n"/>
      <c r="P509" s="963" t="n"/>
      <c r="Q509" s="963" t="n"/>
      <c r="R509" s="1228" t="n"/>
      <c r="S509" s="1229" t="n"/>
    </row>
    <row r="510" ht="15.75" customHeight="1" s="1349">
      <c r="A510" s="1222" t="n"/>
      <c r="B510" s="1223" t="n"/>
      <c r="C510" s="1223" t="n"/>
      <c r="D510" s="1224" t="n"/>
      <c r="E510" s="1225" t="n"/>
      <c r="F510" s="1224" t="n"/>
      <c r="G510" s="1224" t="n"/>
      <c r="H510" s="963" t="n"/>
      <c r="I510" s="963" t="n"/>
      <c r="J510" s="963" t="n"/>
      <c r="K510" s="1226" t="n"/>
      <c r="L510" s="1226" t="n"/>
      <c r="M510" s="1226" t="n"/>
      <c r="N510" s="1227" t="n"/>
      <c r="O510" s="963" t="n"/>
      <c r="P510" s="963" t="n"/>
      <c r="Q510" s="963" t="n"/>
      <c r="R510" s="1228" t="n"/>
      <c r="S510" s="1229" t="n"/>
    </row>
    <row r="511" ht="15.75" customHeight="1" s="1349">
      <c r="A511" s="1222" t="n"/>
      <c r="B511" s="1223" t="n"/>
      <c r="C511" s="1223" t="n"/>
      <c r="D511" s="1224" t="n"/>
      <c r="E511" s="1225" t="n"/>
      <c r="F511" s="1224" t="n"/>
      <c r="G511" s="1224" t="n"/>
      <c r="H511" s="963" t="n"/>
      <c r="I511" s="963" t="n"/>
      <c r="J511" s="963" t="n"/>
      <c r="K511" s="1226" t="n"/>
      <c r="L511" s="1226" t="n"/>
      <c r="M511" s="1226" t="n"/>
      <c r="N511" s="1227" t="n"/>
      <c r="O511" s="963" t="n"/>
      <c r="P511" s="963" t="n"/>
      <c r="Q511" s="963" t="n"/>
      <c r="R511" s="1228" t="n"/>
      <c r="S511" s="1229" t="n"/>
    </row>
    <row r="512" ht="15.75" customHeight="1" s="1349">
      <c r="A512" s="1222" t="n"/>
      <c r="B512" s="1223" t="n"/>
      <c r="C512" s="1223" t="n"/>
      <c r="D512" s="1224" t="n"/>
      <c r="E512" s="1225" t="n"/>
      <c r="F512" s="1224" t="n"/>
      <c r="G512" s="1224" t="n"/>
      <c r="H512" s="963" t="n"/>
      <c r="I512" s="963" t="n"/>
      <c r="J512" s="963" t="n"/>
      <c r="K512" s="1226" t="n"/>
      <c r="L512" s="1226" t="n"/>
      <c r="M512" s="1226" t="n"/>
      <c r="N512" s="1227" t="n"/>
      <c r="O512" s="963" t="n"/>
      <c r="P512" s="963" t="n"/>
      <c r="Q512" s="963" t="n"/>
      <c r="R512" s="1228" t="n"/>
      <c r="S512" s="1229" t="n"/>
    </row>
    <row r="513" ht="15.75" customHeight="1" s="1349">
      <c r="A513" s="1222" t="n"/>
      <c r="B513" s="1223" t="n"/>
      <c r="C513" s="1223" t="n"/>
      <c r="D513" s="1224" t="n"/>
      <c r="E513" s="1225" t="n"/>
      <c r="F513" s="1224" t="n"/>
      <c r="G513" s="1224" t="n"/>
      <c r="H513" s="963" t="n"/>
      <c r="I513" s="963" t="n"/>
      <c r="J513" s="963" t="n"/>
      <c r="K513" s="1226" t="n"/>
      <c r="L513" s="1226" t="n"/>
      <c r="M513" s="1226" t="n"/>
      <c r="N513" s="1227" t="n"/>
      <c r="O513" s="963" t="n"/>
      <c r="P513" s="963" t="n"/>
      <c r="Q513" s="963" t="n"/>
      <c r="R513" s="1228" t="n"/>
      <c r="S513" s="1229" t="n"/>
    </row>
    <row r="514" ht="15.75" customHeight="1" s="1349">
      <c r="A514" s="1222" t="n"/>
      <c r="B514" s="1223" t="n"/>
      <c r="C514" s="1223" t="n"/>
      <c r="D514" s="1224" t="n"/>
      <c r="E514" s="1225" t="n"/>
      <c r="F514" s="1224" t="n"/>
      <c r="G514" s="1224" t="n"/>
      <c r="H514" s="963" t="n"/>
      <c r="I514" s="963" t="n"/>
      <c r="J514" s="963" t="n"/>
      <c r="K514" s="1226" t="n"/>
      <c r="L514" s="1226" t="n"/>
      <c r="M514" s="1226" t="n"/>
      <c r="N514" s="1227" t="n"/>
      <c r="O514" s="963" t="n"/>
      <c r="P514" s="963" t="n"/>
      <c r="Q514" s="963" t="n"/>
      <c r="R514" s="1228" t="n"/>
      <c r="S514" s="1229" t="n"/>
    </row>
    <row r="515" ht="15.75" customHeight="1" s="1349">
      <c r="A515" s="1222" t="n"/>
      <c r="B515" s="1223" t="n"/>
      <c r="C515" s="1223" t="n"/>
      <c r="D515" s="1224" t="n"/>
      <c r="E515" s="1225" t="n"/>
      <c r="F515" s="1224" t="n"/>
      <c r="G515" s="1224" t="n"/>
      <c r="H515" s="963" t="n"/>
      <c r="I515" s="963" t="n"/>
      <c r="J515" s="963" t="n"/>
      <c r="K515" s="1226" t="n"/>
      <c r="L515" s="1226" t="n"/>
      <c r="M515" s="1226" t="n"/>
      <c r="N515" s="1227" t="n"/>
      <c r="O515" s="963" t="n"/>
      <c r="P515" s="963" t="n"/>
      <c r="Q515" s="963" t="n"/>
      <c r="R515" s="1228" t="n"/>
      <c r="S515" s="1229" t="n"/>
    </row>
    <row r="516" ht="15.75" customHeight="1" s="1349">
      <c r="A516" s="1222" t="n"/>
      <c r="B516" s="1223" t="n"/>
      <c r="C516" s="1223" t="n"/>
      <c r="D516" s="1224" t="n"/>
      <c r="E516" s="1225" t="n"/>
      <c r="F516" s="1224" t="n"/>
      <c r="G516" s="1224" t="n"/>
      <c r="H516" s="963" t="n"/>
      <c r="I516" s="963" t="n"/>
      <c r="J516" s="963" t="n"/>
      <c r="K516" s="1226" t="n"/>
      <c r="L516" s="1226" t="n"/>
      <c r="M516" s="1226" t="n"/>
      <c r="N516" s="1227" t="n"/>
      <c r="O516" s="963" t="n"/>
      <c r="P516" s="963" t="n"/>
      <c r="Q516" s="963" t="n"/>
      <c r="R516" s="1228" t="n"/>
      <c r="S516" s="1229" t="n"/>
    </row>
    <row r="517" ht="15.75" customHeight="1" s="1349">
      <c r="A517" s="1222" t="n"/>
      <c r="B517" s="1223" t="n"/>
      <c r="C517" s="1223" t="n"/>
      <c r="D517" s="1224" t="n"/>
      <c r="E517" s="1225" t="n"/>
      <c r="F517" s="1224" t="n"/>
      <c r="G517" s="1224" t="n"/>
      <c r="H517" s="963" t="n"/>
      <c r="I517" s="963" t="n"/>
      <c r="J517" s="963" t="n"/>
      <c r="K517" s="1226" t="n"/>
      <c r="L517" s="1226" t="n"/>
      <c r="M517" s="1226" t="n"/>
      <c r="N517" s="1227" t="n"/>
      <c r="O517" s="963" t="n"/>
      <c r="P517" s="963" t="n"/>
      <c r="Q517" s="963" t="n"/>
      <c r="R517" s="1228" t="n"/>
      <c r="S517" s="1229" t="n"/>
    </row>
    <row r="518" ht="15.75" customHeight="1" s="1349">
      <c r="A518" s="1222" t="n"/>
      <c r="B518" s="1223" t="n"/>
      <c r="C518" s="1223" t="n"/>
      <c r="D518" s="1224" t="n"/>
      <c r="E518" s="1225" t="n"/>
      <c r="F518" s="1224" t="n"/>
      <c r="G518" s="1224" t="n"/>
      <c r="H518" s="963" t="n"/>
      <c r="I518" s="963" t="n"/>
      <c r="J518" s="963" t="n"/>
      <c r="K518" s="1226" t="n"/>
      <c r="L518" s="1226" t="n"/>
      <c r="M518" s="1226" t="n"/>
      <c r="N518" s="1227" t="n"/>
      <c r="O518" s="963" t="n"/>
      <c r="P518" s="963" t="n"/>
      <c r="Q518" s="963" t="n"/>
      <c r="R518" s="1228" t="n"/>
      <c r="S518" s="1229" t="n"/>
    </row>
    <row r="519" ht="15.75" customHeight="1" s="1349">
      <c r="A519" s="1222" t="n"/>
      <c r="B519" s="1223" t="n"/>
      <c r="C519" s="1223" t="n"/>
      <c r="D519" s="1224" t="n"/>
      <c r="E519" s="1225" t="n"/>
      <c r="F519" s="1224" t="n"/>
      <c r="G519" s="1224" t="n"/>
      <c r="H519" s="963" t="n"/>
      <c r="I519" s="963" t="n"/>
      <c r="J519" s="963" t="n"/>
      <c r="K519" s="1226" t="n"/>
      <c r="L519" s="1226" t="n"/>
      <c r="M519" s="1226" t="n"/>
      <c r="N519" s="1227" t="n"/>
      <c r="O519" s="963" t="n"/>
      <c r="P519" s="963" t="n"/>
      <c r="Q519" s="963" t="n"/>
      <c r="R519" s="1228" t="n"/>
      <c r="S519" s="1229" t="n"/>
    </row>
    <row r="520" ht="15.75" customHeight="1" s="1349">
      <c r="A520" s="1222" t="n"/>
      <c r="B520" s="1223" t="n"/>
      <c r="C520" s="1223" t="n"/>
      <c r="D520" s="1224" t="n"/>
      <c r="E520" s="1225" t="n"/>
      <c r="F520" s="1224" t="n"/>
      <c r="G520" s="1224" t="n"/>
      <c r="H520" s="963" t="n"/>
      <c r="I520" s="963" t="n"/>
      <c r="J520" s="963" t="n"/>
      <c r="K520" s="1226" t="n"/>
      <c r="L520" s="1226" t="n"/>
      <c r="M520" s="1226" t="n"/>
      <c r="N520" s="1227" t="n"/>
      <c r="O520" s="963" t="n"/>
      <c r="P520" s="963" t="n"/>
      <c r="Q520" s="963" t="n"/>
      <c r="R520" s="1228" t="n"/>
      <c r="S520" s="1229" t="n"/>
    </row>
    <row r="521" ht="15.75" customHeight="1" s="1349">
      <c r="A521" s="1222" t="n"/>
      <c r="B521" s="1223" t="n"/>
      <c r="C521" s="1223" t="n"/>
      <c r="D521" s="1224" t="n"/>
      <c r="E521" s="1225" t="n"/>
      <c r="F521" s="1224" t="n"/>
      <c r="G521" s="1224" t="n"/>
      <c r="H521" s="963" t="n"/>
      <c r="I521" s="963" t="n"/>
      <c r="J521" s="963" t="n"/>
      <c r="K521" s="1226" t="n"/>
      <c r="L521" s="1226" t="n"/>
      <c r="M521" s="1226" t="n"/>
      <c r="N521" s="1227" t="n"/>
      <c r="O521" s="963" t="n"/>
      <c r="P521" s="963" t="n"/>
      <c r="Q521" s="963" t="n"/>
      <c r="R521" s="1228" t="n"/>
      <c r="S521" s="1229" t="n"/>
    </row>
    <row r="522" ht="15.75" customHeight="1" s="1349">
      <c r="A522" s="1222" t="n"/>
      <c r="B522" s="1223" t="n"/>
      <c r="C522" s="1223" t="n"/>
      <c r="D522" s="1224" t="n"/>
      <c r="E522" s="1225" t="n"/>
      <c r="F522" s="1224" t="n"/>
      <c r="G522" s="1224" t="n"/>
      <c r="H522" s="963" t="n"/>
      <c r="I522" s="963" t="n"/>
      <c r="J522" s="963" t="n"/>
      <c r="K522" s="1226" t="n"/>
      <c r="L522" s="1226" t="n"/>
      <c r="M522" s="1226" t="n"/>
      <c r="N522" s="1227" t="n"/>
      <c r="O522" s="963" t="n"/>
      <c r="P522" s="963" t="n"/>
      <c r="Q522" s="963" t="n"/>
      <c r="R522" s="1228" t="n"/>
      <c r="S522" s="1229" t="n"/>
    </row>
    <row r="523" ht="15.75" customHeight="1" s="1349">
      <c r="A523" s="1222" t="n"/>
      <c r="B523" s="1223" t="n"/>
      <c r="C523" s="1223" t="n"/>
      <c r="D523" s="1224" t="n"/>
      <c r="E523" s="1225" t="n"/>
      <c r="F523" s="1224" t="n"/>
      <c r="G523" s="1224" t="n"/>
      <c r="H523" s="963" t="n"/>
      <c r="I523" s="963" t="n"/>
      <c r="J523" s="963" t="n"/>
      <c r="K523" s="1226" t="n"/>
      <c r="L523" s="1226" t="n"/>
      <c r="M523" s="1226" t="n"/>
      <c r="N523" s="1227" t="n"/>
      <c r="O523" s="963" t="n"/>
      <c r="P523" s="963" t="n"/>
      <c r="Q523" s="963" t="n"/>
      <c r="R523" s="1228" t="n"/>
      <c r="S523" s="1229" t="n"/>
    </row>
    <row r="524" ht="15.75" customHeight="1" s="1349">
      <c r="A524" s="1222" t="n"/>
      <c r="B524" s="1223" t="n"/>
      <c r="C524" s="1223" t="n"/>
      <c r="D524" s="1224" t="n"/>
      <c r="E524" s="1225" t="n"/>
      <c r="F524" s="1224" t="n"/>
      <c r="G524" s="1224" t="n"/>
      <c r="H524" s="963" t="n"/>
      <c r="I524" s="963" t="n"/>
      <c r="J524" s="963" t="n"/>
      <c r="K524" s="1226" t="n"/>
      <c r="L524" s="1226" t="n"/>
      <c r="M524" s="1226" t="n"/>
      <c r="N524" s="1227" t="n"/>
      <c r="O524" s="963" t="n"/>
      <c r="P524" s="963" t="n"/>
      <c r="Q524" s="963" t="n"/>
      <c r="R524" s="1228" t="n"/>
      <c r="S524" s="1229" t="n"/>
    </row>
    <row r="525" ht="15.75" customHeight="1" s="1349">
      <c r="A525" s="1222" t="n"/>
      <c r="B525" s="1223" t="n"/>
      <c r="C525" s="1223" t="n"/>
      <c r="D525" s="1224" t="n"/>
      <c r="E525" s="1225" t="n"/>
      <c r="F525" s="1224" t="n"/>
      <c r="G525" s="1224" t="n"/>
      <c r="H525" s="963" t="n"/>
      <c r="I525" s="963" t="n"/>
      <c r="J525" s="963" t="n"/>
      <c r="K525" s="1226" t="n"/>
      <c r="L525" s="1226" t="n"/>
      <c r="M525" s="1226" t="n"/>
      <c r="N525" s="1227" t="n"/>
      <c r="O525" s="963" t="n"/>
      <c r="P525" s="963" t="n"/>
      <c r="Q525" s="963" t="n"/>
      <c r="R525" s="1228" t="n"/>
      <c r="S525" s="1229" t="n"/>
    </row>
    <row r="526" ht="15.75" customHeight="1" s="1349">
      <c r="A526" s="1222" t="n"/>
      <c r="B526" s="1223" t="n"/>
      <c r="C526" s="1223" t="n"/>
      <c r="D526" s="1224" t="n"/>
      <c r="E526" s="1225" t="n"/>
      <c r="F526" s="1224" t="n"/>
      <c r="G526" s="1224" t="n"/>
      <c r="H526" s="963" t="n"/>
      <c r="I526" s="963" t="n"/>
      <c r="J526" s="963" t="n"/>
      <c r="K526" s="1226" t="n"/>
      <c r="L526" s="1226" t="n"/>
      <c r="M526" s="1226" t="n"/>
      <c r="N526" s="1227" t="n"/>
      <c r="O526" s="963" t="n"/>
      <c r="P526" s="963" t="n"/>
      <c r="Q526" s="963" t="n"/>
      <c r="R526" s="1228" t="n"/>
      <c r="S526" s="1229" t="n"/>
    </row>
    <row r="527" ht="15.75" customHeight="1" s="1349">
      <c r="A527" s="1222" t="n"/>
      <c r="B527" s="1223" t="n"/>
      <c r="C527" s="1223" t="n"/>
      <c r="D527" s="1224" t="n"/>
      <c r="E527" s="1225" t="n"/>
      <c r="F527" s="1224" t="n"/>
      <c r="G527" s="1224" t="n"/>
      <c r="H527" s="963" t="n"/>
      <c r="I527" s="963" t="n"/>
      <c r="J527" s="963" t="n"/>
      <c r="K527" s="1226" t="n"/>
      <c r="L527" s="1226" t="n"/>
      <c r="M527" s="1226" t="n"/>
      <c r="N527" s="1227" t="n"/>
      <c r="O527" s="963" t="n"/>
      <c r="P527" s="963" t="n"/>
      <c r="Q527" s="963" t="n"/>
      <c r="R527" s="1228" t="n"/>
      <c r="S527" s="1229" t="n"/>
    </row>
    <row r="528" ht="15.75" customHeight="1" s="1349">
      <c r="A528" s="1222" t="n"/>
      <c r="B528" s="1223" t="n"/>
      <c r="C528" s="1223" t="n"/>
      <c r="D528" s="1224" t="n"/>
      <c r="E528" s="1225" t="n"/>
      <c r="F528" s="1224" t="n"/>
      <c r="G528" s="1224" t="n"/>
      <c r="H528" s="963" t="n"/>
      <c r="I528" s="963" t="n"/>
      <c r="J528" s="963" t="n"/>
      <c r="K528" s="1226" t="n"/>
      <c r="L528" s="1226" t="n"/>
      <c r="M528" s="1226" t="n"/>
      <c r="N528" s="1227" t="n"/>
      <c r="O528" s="963" t="n"/>
      <c r="P528" s="963" t="n"/>
      <c r="Q528" s="963" t="n"/>
      <c r="R528" s="1228" t="n"/>
      <c r="S528" s="1229" t="n"/>
    </row>
    <row r="529" ht="15.75" customHeight="1" s="1349">
      <c r="A529" s="1222" t="n"/>
      <c r="B529" s="1223" t="n"/>
      <c r="C529" s="1223" t="n"/>
      <c r="D529" s="1224" t="n"/>
      <c r="E529" s="1225" t="n"/>
      <c r="F529" s="1224" t="n"/>
      <c r="G529" s="1224" t="n"/>
      <c r="H529" s="963" t="n"/>
      <c r="I529" s="963" t="n"/>
      <c r="J529" s="963" t="n"/>
      <c r="K529" s="1226" t="n"/>
      <c r="L529" s="1226" t="n"/>
      <c r="M529" s="1226" t="n"/>
      <c r="N529" s="1227" t="n"/>
      <c r="O529" s="963" t="n"/>
      <c r="P529" s="963" t="n"/>
      <c r="Q529" s="963" t="n"/>
      <c r="R529" s="1228" t="n"/>
      <c r="S529" s="1229" t="n"/>
    </row>
    <row r="530" ht="15.75" customHeight="1" s="1349">
      <c r="A530" s="1222" t="n"/>
      <c r="B530" s="1223" t="n"/>
      <c r="C530" s="1223" t="n"/>
      <c r="D530" s="1224" t="n"/>
      <c r="E530" s="1225" t="n"/>
      <c r="F530" s="1224" t="n"/>
      <c r="G530" s="1224" t="n"/>
      <c r="H530" s="963" t="n"/>
      <c r="I530" s="963" t="n"/>
      <c r="J530" s="963" t="n"/>
      <c r="K530" s="1226" t="n"/>
      <c r="L530" s="1226" t="n"/>
      <c r="M530" s="1226" t="n"/>
      <c r="N530" s="1227" t="n"/>
      <c r="O530" s="963" t="n"/>
      <c r="P530" s="963" t="n"/>
      <c r="Q530" s="963" t="n"/>
      <c r="R530" s="1228" t="n"/>
      <c r="S530" s="1229" t="n"/>
    </row>
    <row r="531" ht="15.75" customHeight="1" s="1349">
      <c r="A531" s="1222" t="n"/>
      <c r="B531" s="1223" t="n"/>
      <c r="C531" s="1223" t="n"/>
      <c r="D531" s="1224" t="n"/>
      <c r="E531" s="1225" t="n"/>
      <c r="F531" s="1224" t="n"/>
      <c r="G531" s="1224" t="n"/>
      <c r="H531" s="963" t="n"/>
      <c r="I531" s="963" t="n"/>
      <c r="J531" s="963" t="n"/>
      <c r="K531" s="1226" t="n"/>
      <c r="L531" s="1226" t="n"/>
      <c r="M531" s="1226" t="n"/>
      <c r="N531" s="1227" t="n"/>
      <c r="O531" s="963" t="n"/>
      <c r="P531" s="963" t="n"/>
      <c r="Q531" s="963" t="n"/>
      <c r="R531" s="1228" t="n"/>
      <c r="S531" s="1229" t="n"/>
    </row>
    <row r="532" ht="15.75" customHeight="1" s="1349">
      <c r="A532" s="1222" t="n"/>
      <c r="B532" s="1223" t="n"/>
      <c r="C532" s="1223" t="n"/>
      <c r="D532" s="1224" t="n"/>
      <c r="E532" s="1225" t="n"/>
      <c r="F532" s="1224" t="n"/>
      <c r="G532" s="1224" t="n"/>
      <c r="H532" s="963" t="n"/>
      <c r="I532" s="963" t="n"/>
      <c r="J532" s="963" t="n"/>
      <c r="K532" s="1226" t="n"/>
      <c r="L532" s="1226" t="n"/>
      <c r="M532" s="1226" t="n"/>
      <c r="N532" s="1227" t="n"/>
      <c r="O532" s="963" t="n"/>
      <c r="P532" s="963" t="n"/>
      <c r="Q532" s="963" t="n"/>
      <c r="R532" s="1228" t="n"/>
      <c r="S532" s="1229" t="n"/>
    </row>
    <row r="533" ht="15.75" customHeight="1" s="1349">
      <c r="A533" s="1222" t="n"/>
      <c r="B533" s="1223" t="n"/>
      <c r="C533" s="1223" t="n"/>
      <c r="D533" s="1224" t="n"/>
      <c r="E533" s="1225" t="n"/>
      <c r="F533" s="1224" t="n"/>
      <c r="G533" s="1224" t="n"/>
      <c r="H533" s="963" t="n"/>
      <c r="I533" s="963" t="n"/>
      <c r="J533" s="963" t="n"/>
      <c r="K533" s="1226" t="n"/>
      <c r="L533" s="1226" t="n"/>
      <c r="M533" s="1226" t="n"/>
      <c r="N533" s="1227" t="n"/>
      <c r="O533" s="963" t="n"/>
      <c r="P533" s="963" t="n"/>
      <c r="Q533" s="963" t="n"/>
      <c r="R533" s="1228" t="n"/>
      <c r="S533" s="1229" t="n"/>
    </row>
    <row r="534" ht="15.75" customHeight="1" s="1349">
      <c r="A534" s="1222" t="n"/>
      <c r="B534" s="1223" t="n"/>
      <c r="C534" s="1223" t="n"/>
      <c r="D534" s="1224" t="n"/>
      <c r="E534" s="1225" t="n"/>
      <c r="F534" s="1224" t="n"/>
      <c r="G534" s="1224" t="n"/>
      <c r="H534" s="963" t="n"/>
      <c r="I534" s="963" t="n"/>
      <c r="J534" s="963" t="n"/>
      <c r="K534" s="1226" t="n"/>
      <c r="L534" s="1226" t="n"/>
      <c r="M534" s="1226" t="n"/>
      <c r="N534" s="1227" t="n"/>
      <c r="O534" s="963" t="n"/>
      <c r="P534" s="963" t="n"/>
      <c r="Q534" s="963" t="n"/>
      <c r="R534" s="1228" t="n"/>
      <c r="S534" s="1229" t="n"/>
    </row>
    <row r="535" ht="15.75" customHeight="1" s="1349">
      <c r="A535" s="1222" t="n"/>
      <c r="B535" s="1223" t="n"/>
      <c r="C535" s="1223" t="n"/>
      <c r="D535" s="1224" t="n"/>
      <c r="E535" s="1225" t="n"/>
      <c r="F535" s="1224" t="n"/>
      <c r="G535" s="1224" t="n"/>
      <c r="H535" s="963" t="n"/>
      <c r="I535" s="963" t="n"/>
      <c r="J535" s="963" t="n"/>
      <c r="K535" s="1226" t="n"/>
      <c r="L535" s="1226" t="n"/>
      <c r="M535" s="1226" t="n"/>
      <c r="N535" s="1227" t="n"/>
      <c r="O535" s="963" t="n"/>
      <c r="P535" s="963" t="n"/>
      <c r="Q535" s="963" t="n"/>
      <c r="R535" s="1228" t="n"/>
      <c r="S535" s="1229" t="n"/>
    </row>
    <row r="536" ht="15.75" customHeight="1" s="1349">
      <c r="A536" s="1222" t="n"/>
      <c r="B536" s="1223" t="n"/>
      <c r="C536" s="1223" t="n"/>
      <c r="D536" s="1224" t="n"/>
      <c r="E536" s="1225" t="n"/>
      <c r="F536" s="1224" t="n"/>
      <c r="G536" s="1224" t="n"/>
      <c r="H536" s="963" t="n"/>
      <c r="I536" s="963" t="n"/>
      <c r="J536" s="963" t="n"/>
      <c r="K536" s="1226" t="n"/>
      <c r="L536" s="1226" t="n"/>
      <c r="M536" s="1226" t="n"/>
      <c r="N536" s="1227" t="n"/>
      <c r="O536" s="963" t="n"/>
      <c r="P536" s="963" t="n"/>
      <c r="Q536" s="963" t="n"/>
      <c r="R536" s="1228" t="n"/>
      <c r="S536" s="1229" t="n"/>
    </row>
    <row r="537" ht="15.75" customHeight="1" s="1349">
      <c r="A537" s="1222" t="n"/>
      <c r="B537" s="1223" t="n"/>
      <c r="C537" s="1223" t="n"/>
      <c r="D537" s="1224" t="n"/>
      <c r="E537" s="1225" t="n"/>
      <c r="F537" s="1224" t="n"/>
      <c r="G537" s="1224" t="n"/>
      <c r="H537" s="963" t="n"/>
      <c r="I537" s="963" t="n"/>
      <c r="J537" s="963" t="n"/>
      <c r="K537" s="1226" t="n"/>
      <c r="L537" s="1226" t="n"/>
      <c r="M537" s="1226" t="n"/>
      <c r="N537" s="1227" t="n"/>
      <c r="O537" s="963" t="n"/>
      <c r="P537" s="963" t="n"/>
      <c r="Q537" s="963" t="n"/>
      <c r="R537" s="1228" t="n"/>
      <c r="S537" s="1229" t="n"/>
    </row>
    <row r="538" ht="15.75" customHeight="1" s="1349">
      <c r="A538" s="1222" t="n"/>
      <c r="B538" s="1223" t="n"/>
      <c r="C538" s="1223" t="n"/>
      <c r="D538" s="1224" t="n"/>
      <c r="E538" s="1225" t="n"/>
      <c r="F538" s="1224" t="n"/>
      <c r="G538" s="1224" t="n"/>
      <c r="H538" s="963" t="n"/>
      <c r="I538" s="963" t="n"/>
      <c r="J538" s="963" t="n"/>
      <c r="K538" s="1226" t="n"/>
      <c r="L538" s="1226" t="n"/>
      <c r="M538" s="1226" t="n"/>
      <c r="N538" s="1227" t="n"/>
      <c r="O538" s="963" t="n"/>
      <c r="P538" s="963" t="n"/>
      <c r="Q538" s="963" t="n"/>
      <c r="R538" s="1228" t="n"/>
      <c r="S538" s="1229" t="n"/>
    </row>
    <row r="539" ht="15.75" customHeight="1" s="1349">
      <c r="A539" s="1222" t="n"/>
      <c r="B539" s="1223" t="n"/>
      <c r="C539" s="1223" t="n"/>
      <c r="D539" s="1224" t="n"/>
      <c r="E539" s="1225" t="n"/>
      <c r="F539" s="1224" t="n"/>
      <c r="G539" s="1224" t="n"/>
      <c r="H539" s="963" t="n"/>
      <c r="I539" s="963" t="n"/>
      <c r="J539" s="963" t="n"/>
      <c r="K539" s="1226" t="n"/>
      <c r="L539" s="1226" t="n"/>
      <c r="M539" s="1226" t="n"/>
      <c r="N539" s="1227" t="n"/>
      <c r="O539" s="963" t="n"/>
      <c r="P539" s="963" t="n"/>
      <c r="Q539" s="963" t="n"/>
      <c r="R539" s="1228" t="n"/>
      <c r="S539" s="1229" t="n"/>
    </row>
    <row r="540" ht="15.75" customHeight="1" s="1349">
      <c r="A540" s="1222" t="n"/>
      <c r="B540" s="1223" t="n"/>
      <c r="C540" s="1223" t="n"/>
      <c r="D540" s="1224" t="n"/>
      <c r="E540" s="1225" t="n"/>
      <c r="F540" s="1224" t="n"/>
      <c r="G540" s="1224" t="n"/>
      <c r="H540" s="963" t="n"/>
      <c r="I540" s="963" t="n"/>
      <c r="J540" s="963" t="n"/>
      <c r="K540" s="1226" t="n"/>
      <c r="L540" s="1226" t="n"/>
      <c r="M540" s="1226" t="n"/>
      <c r="N540" s="1227" t="n"/>
      <c r="O540" s="963" t="n"/>
      <c r="P540" s="963" t="n"/>
      <c r="Q540" s="963" t="n"/>
      <c r="R540" s="1228" t="n"/>
      <c r="S540" s="1229" t="n"/>
    </row>
    <row r="541" ht="15.75" customHeight="1" s="1349">
      <c r="A541" s="1222" t="n"/>
      <c r="B541" s="1223" t="n"/>
      <c r="C541" s="1223" t="n"/>
      <c r="D541" s="1224" t="n"/>
      <c r="E541" s="1225" t="n"/>
      <c r="F541" s="1224" t="n"/>
      <c r="G541" s="1224" t="n"/>
      <c r="H541" s="963" t="n"/>
      <c r="I541" s="963" t="n"/>
      <c r="J541" s="963" t="n"/>
      <c r="K541" s="1226" t="n"/>
      <c r="L541" s="1226" t="n"/>
      <c r="M541" s="1226" t="n"/>
      <c r="N541" s="1227" t="n"/>
      <c r="O541" s="963" t="n"/>
      <c r="P541" s="963" t="n"/>
      <c r="Q541" s="963" t="n"/>
      <c r="R541" s="1228" t="n"/>
      <c r="S541" s="1229" t="n"/>
    </row>
    <row r="542" ht="15.75" customHeight="1" s="1349">
      <c r="A542" s="1222" t="n"/>
      <c r="B542" s="1223" t="n"/>
      <c r="C542" s="1223" t="n"/>
      <c r="D542" s="1224" t="n"/>
      <c r="E542" s="1225" t="n"/>
      <c r="F542" s="1224" t="n"/>
      <c r="G542" s="1224" t="n"/>
      <c r="H542" s="963" t="n"/>
      <c r="I542" s="963" t="n"/>
      <c r="J542" s="963" t="n"/>
      <c r="K542" s="1226" t="n"/>
      <c r="L542" s="1226" t="n"/>
      <c r="M542" s="1226" t="n"/>
      <c r="N542" s="1227" t="n"/>
      <c r="O542" s="963" t="n"/>
      <c r="P542" s="963" t="n"/>
      <c r="Q542" s="963" t="n"/>
      <c r="R542" s="1228" t="n"/>
      <c r="S542" s="1229" t="n"/>
    </row>
    <row r="543" ht="15.75" customHeight="1" s="1349">
      <c r="A543" s="1222" t="n"/>
      <c r="B543" s="1223" t="n"/>
      <c r="C543" s="1223" t="n"/>
      <c r="D543" s="1224" t="n"/>
      <c r="E543" s="1225" t="n"/>
      <c r="F543" s="1224" t="n"/>
      <c r="G543" s="1224" t="n"/>
      <c r="H543" s="963" t="n"/>
      <c r="I543" s="963" t="n"/>
      <c r="J543" s="963" t="n"/>
      <c r="K543" s="1226" t="n"/>
      <c r="L543" s="1226" t="n"/>
      <c r="M543" s="1226" t="n"/>
      <c r="N543" s="1227" t="n"/>
      <c r="O543" s="963" t="n"/>
      <c r="P543" s="963" t="n"/>
      <c r="Q543" s="963" t="n"/>
      <c r="R543" s="1228" t="n"/>
      <c r="S543" s="1229" t="n"/>
    </row>
    <row r="544" ht="15.75" customHeight="1" s="1349">
      <c r="A544" s="1222" t="n"/>
      <c r="B544" s="1223" t="n"/>
      <c r="C544" s="1223" t="n"/>
      <c r="D544" s="1224" t="n"/>
      <c r="E544" s="1225" t="n"/>
      <c r="F544" s="1224" t="n"/>
      <c r="G544" s="1224" t="n"/>
      <c r="H544" s="963" t="n"/>
      <c r="I544" s="963" t="n"/>
      <c r="J544" s="963" t="n"/>
      <c r="K544" s="1226" t="n"/>
      <c r="L544" s="1226" t="n"/>
      <c r="M544" s="1226" t="n"/>
      <c r="N544" s="1227" t="n"/>
      <c r="O544" s="963" t="n"/>
      <c r="P544" s="963" t="n"/>
      <c r="Q544" s="963" t="n"/>
      <c r="R544" s="1228" t="n"/>
      <c r="S544" s="1229" t="n"/>
    </row>
    <row r="545" ht="15.75" customHeight="1" s="1349">
      <c r="A545" s="1222" t="n"/>
      <c r="B545" s="1223" t="n"/>
      <c r="C545" s="1223" t="n"/>
      <c r="D545" s="1224" t="n"/>
      <c r="E545" s="1225" t="n"/>
      <c r="F545" s="1224" t="n"/>
      <c r="G545" s="1224" t="n"/>
      <c r="H545" s="963" t="n"/>
      <c r="I545" s="963" t="n"/>
      <c r="J545" s="963" t="n"/>
      <c r="K545" s="1226" t="n"/>
      <c r="L545" s="1226" t="n"/>
      <c r="M545" s="1226" t="n"/>
      <c r="N545" s="1227" t="n"/>
      <c r="O545" s="963" t="n"/>
      <c r="P545" s="963" t="n"/>
      <c r="Q545" s="963" t="n"/>
      <c r="R545" s="1228" t="n"/>
      <c r="S545" s="1229" t="n"/>
    </row>
    <row r="546" ht="15.75" customHeight="1" s="1349">
      <c r="A546" s="1222" t="n"/>
      <c r="B546" s="1223" t="n"/>
      <c r="C546" s="1223" t="n"/>
      <c r="D546" s="1224" t="n"/>
      <c r="E546" s="1225" t="n"/>
      <c r="F546" s="1224" t="n"/>
      <c r="G546" s="1224" t="n"/>
      <c r="H546" s="963" t="n"/>
      <c r="I546" s="963" t="n"/>
      <c r="J546" s="963" t="n"/>
      <c r="K546" s="1226" t="n"/>
      <c r="L546" s="1226" t="n"/>
      <c r="M546" s="1226" t="n"/>
      <c r="N546" s="1227" t="n"/>
      <c r="O546" s="963" t="n"/>
      <c r="P546" s="963" t="n"/>
      <c r="Q546" s="963" t="n"/>
      <c r="R546" s="1228" t="n"/>
      <c r="S546" s="1229" t="n"/>
    </row>
    <row r="547" ht="15.75" customHeight="1" s="1349">
      <c r="A547" s="1222" t="n"/>
      <c r="B547" s="1223" t="n"/>
      <c r="C547" s="1223" t="n"/>
      <c r="D547" s="1224" t="n"/>
      <c r="E547" s="1225" t="n"/>
      <c r="F547" s="1224" t="n"/>
      <c r="G547" s="1224" t="n"/>
      <c r="H547" s="963" t="n"/>
      <c r="I547" s="963" t="n"/>
      <c r="J547" s="963" t="n"/>
      <c r="K547" s="1226" t="n"/>
      <c r="L547" s="1226" t="n"/>
      <c r="M547" s="1226" t="n"/>
      <c r="N547" s="1227" t="n"/>
      <c r="O547" s="963" t="n"/>
      <c r="P547" s="963" t="n"/>
      <c r="Q547" s="963" t="n"/>
      <c r="R547" s="1228" t="n"/>
      <c r="S547" s="1229" t="n"/>
    </row>
    <row r="548" ht="15.75" customHeight="1" s="1349">
      <c r="A548" s="1222" t="n"/>
      <c r="B548" s="1223" t="n"/>
      <c r="C548" s="1223" t="n"/>
      <c r="D548" s="1224" t="n"/>
      <c r="E548" s="1225" t="n"/>
      <c r="F548" s="1224" t="n"/>
      <c r="G548" s="1224" t="n"/>
      <c r="H548" s="963" t="n"/>
      <c r="I548" s="963" t="n"/>
      <c r="J548" s="963" t="n"/>
      <c r="K548" s="1226" t="n"/>
      <c r="L548" s="1226" t="n"/>
      <c r="M548" s="1226" t="n"/>
      <c r="N548" s="1227" t="n"/>
      <c r="O548" s="963" t="n"/>
      <c r="P548" s="963" t="n"/>
      <c r="Q548" s="963" t="n"/>
      <c r="R548" s="1228" t="n"/>
      <c r="S548" s="1229" t="n"/>
    </row>
    <row r="549" ht="15.75" customHeight="1" s="1349">
      <c r="A549" s="1222" t="n"/>
      <c r="B549" s="1223" t="n"/>
      <c r="C549" s="1223" t="n"/>
      <c r="D549" s="1224" t="n"/>
      <c r="E549" s="1225" t="n"/>
      <c r="F549" s="1224" t="n"/>
      <c r="G549" s="1224" t="n"/>
      <c r="H549" s="963" t="n"/>
      <c r="I549" s="963" t="n"/>
      <c r="J549" s="963" t="n"/>
      <c r="K549" s="1226" t="n"/>
      <c r="L549" s="1226" t="n"/>
      <c r="M549" s="1226" t="n"/>
      <c r="N549" s="1227" t="n"/>
      <c r="O549" s="963" t="n"/>
      <c r="P549" s="963" t="n"/>
      <c r="Q549" s="963" t="n"/>
      <c r="R549" s="1228" t="n"/>
      <c r="S549" s="1229" t="n"/>
    </row>
    <row r="550" ht="15.75" customHeight="1" s="1349">
      <c r="A550" s="1222" t="n"/>
      <c r="B550" s="1223" t="n"/>
      <c r="C550" s="1223" t="n"/>
      <c r="D550" s="1224" t="n"/>
      <c r="E550" s="1225" t="n"/>
      <c r="F550" s="1224" t="n"/>
      <c r="G550" s="1224" t="n"/>
      <c r="H550" s="963" t="n"/>
      <c r="I550" s="963" t="n"/>
      <c r="J550" s="963" t="n"/>
      <c r="K550" s="1226" t="n"/>
      <c r="L550" s="1226" t="n"/>
      <c r="M550" s="1226" t="n"/>
      <c r="N550" s="1227" t="n"/>
      <c r="O550" s="963" t="n"/>
      <c r="P550" s="963" t="n"/>
      <c r="Q550" s="963" t="n"/>
      <c r="R550" s="1228" t="n"/>
      <c r="S550" s="1229" t="n"/>
    </row>
    <row r="551" ht="15.75" customHeight="1" s="1349">
      <c r="A551" s="1222" t="n"/>
      <c r="B551" s="1223" t="n"/>
      <c r="C551" s="1223" t="n"/>
      <c r="D551" s="1224" t="n"/>
      <c r="E551" s="1225" t="n"/>
      <c r="F551" s="1224" t="n"/>
      <c r="G551" s="1224" t="n"/>
      <c r="H551" s="963" t="n"/>
      <c r="I551" s="963" t="n"/>
      <c r="J551" s="963" t="n"/>
      <c r="K551" s="1226" t="n"/>
      <c r="L551" s="1226" t="n"/>
      <c r="M551" s="1226" t="n"/>
      <c r="N551" s="1227" t="n"/>
      <c r="O551" s="963" t="n"/>
      <c r="P551" s="963" t="n"/>
      <c r="Q551" s="963" t="n"/>
      <c r="R551" s="1228" t="n"/>
      <c r="S551" s="1229" t="n"/>
    </row>
    <row r="552" ht="15.75" customHeight="1" s="1349">
      <c r="A552" s="1222" t="n"/>
      <c r="B552" s="1223" t="n"/>
      <c r="C552" s="1223" t="n"/>
      <c r="D552" s="1224" t="n"/>
      <c r="E552" s="1225" t="n"/>
      <c r="F552" s="1224" t="n"/>
      <c r="G552" s="1224" t="n"/>
      <c r="H552" s="963" t="n"/>
      <c r="I552" s="963" t="n"/>
      <c r="J552" s="963" t="n"/>
      <c r="K552" s="1226" t="n"/>
      <c r="L552" s="1226" t="n"/>
      <c r="M552" s="1226" t="n"/>
      <c r="N552" s="1227" t="n"/>
      <c r="O552" s="963" t="n"/>
      <c r="P552" s="963" t="n"/>
      <c r="Q552" s="963" t="n"/>
      <c r="R552" s="1228" t="n"/>
      <c r="S552" s="1229" t="n"/>
    </row>
    <row r="553" ht="15.75" customHeight="1" s="1349">
      <c r="A553" s="1222" t="n"/>
      <c r="B553" s="1223" t="n"/>
      <c r="C553" s="1223" t="n"/>
      <c r="D553" s="1224" t="n"/>
      <c r="E553" s="1225" t="n"/>
      <c r="F553" s="1224" t="n"/>
      <c r="G553" s="1224" t="n"/>
      <c r="H553" s="963" t="n"/>
      <c r="I553" s="963" t="n"/>
      <c r="J553" s="963" t="n"/>
      <c r="K553" s="1226" t="n"/>
      <c r="L553" s="1226" t="n"/>
      <c r="M553" s="1226" t="n"/>
      <c r="N553" s="1227" t="n"/>
      <c r="O553" s="963" t="n"/>
      <c r="P553" s="963" t="n"/>
      <c r="Q553" s="963" t="n"/>
      <c r="R553" s="1228" t="n"/>
      <c r="S553" s="1229" t="n"/>
    </row>
    <row r="554" ht="15.75" customHeight="1" s="1349">
      <c r="A554" s="1222" t="n"/>
      <c r="B554" s="1223" t="n"/>
      <c r="C554" s="1223" t="n"/>
      <c r="D554" s="1224" t="n"/>
      <c r="E554" s="1225" t="n"/>
      <c r="F554" s="1224" t="n"/>
      <c r="G554" s="1224" t="n"/>
      <c r="H554" s="963" t="n"/>
      <c r="I554" s="963" t="n"/>
      <c r="J554" s="963" t="n"/>
      <c r="K554" s="1226" t="n"/>
      <c r="L554" s="1226" t="n"/>
      <c r="M554" s="1226" t="n"/>
      <c r="N554" s="1227" t="n"/>
      <c r="O554" s="963" t="n"/>
      <c r="P554" s="963" t="n"/>
      <c r="Q554" s="963" t="n"/>
      <c r="R554" s="1228" t="n"/>
      <c r="S554" s="1229" t="n"/>
    </row>
    <row r="555" ht="15.75" customHeight="1" s="1349">
      <c r="A555" s="1222" t="n"/>
      <c r="B555" s="1223" t="n"/>
      <c r="C555" s="1223" t="n"/>
      <c r="D555" s="1224" t="n"/>
      <c r="E555" s="1225" t="n"/>
      <c r="F555" s="1224" t="n"/>
      <c r="G555" s="1224" t="n"/>
      <c r="H555" s="963" t="n"/>
      <c r="I555" s="963" t="n"/>
      <c r="J555" s="963" t="n"/>
      <c r="K555" s="1226" t="n"/>
      <c r="L555" s="1226" t="n"/>
      <c r="M555" s="1226" t="n"/>
      <c r="N555" s="1227" t="n"/>
      <c r="O555" s="963" t="n"/>
      <c r="P555" s="963" t="n"/>
      <c r="Q555" s="963" t="n"/>
      <c r="R555" s="1228" t="n"/>
      <c r="S555" s="1229" t="n"/>
    </row>
    <row r="556" ht="15.75" customHeight="1" s="1349">
      <c r="A556" s="1222" t="n"/>
      <c r="B556" s="1223" t="n"/>
      <c r="C556" s="1223" t="n"/>
      <c r="D556" s="1224" t="n"/>
      <c r="E556" s="1225" t="n"/>
      <c r="F556" s="1224" t="n"/>
      <c r="G556" s="1224" t="n"/>
      <c r="H556" s="963" t="n"/>
      <c r="I556" s="963" t="n"/>
      <c r="J556" s="963" t="n"/>
      <c r="K556" s="1226" t="n"/>
      <c r="L556" s="1226" t="n"/>
      <c r="M556" s="1226" t="n"/>
      <c r="N556" s="1227" t="n"/>
      <c r="O556" s="963" t="n"/>
      <c r="P556" s="963" t="n"/>
      <c r="Q556" s="963" t="n"/>
      <c r="R556" s="1228" t="n"/>
      <c r="S556" s="1229" t="n"/>
    </row>
    <row r="557" ht="15.75" customHeight="1" s="1349">
      <c r="A557" s="1222" t="n"/>
      <c r="B557" s="1223" t="n"/>
      <c r="C557" s="1223" t="n"/>
      <c r="D557" s="1224" t="n"/>
      <c r="E557" s="1225" t="n"/>
      <c r="F557" s="1224" t="n"/>
      <c r="G557" s="1224" t="n"/>
      <c r="H557" s="963" t="n"/>
      <c r="I557" s="963" t="n"/>
      <c r="J557" s="963" t="n"/>
      <c r="K557" s="1226" t="n"/>
      <c r="L557" s="1226" t="n"/>
      <c r="M557" s="1226" t="n"/>
      <c r="N557" s="1227" t="n"/>
      <c r="O557" s="963" t="n"/>
      <c r="P557" s="963" t="n"/>
      <c r="Q557" s="963" t="n"/>
      <c r="R557" s="1228" t="n"/>
      <c r="S557" s="1229" t="n"/>
    </row>
    <row r="558" ht="15.75" customHeight="1" s="1349">
      <c r="A558" s="1222" t="n"/>
      <c r="B558" s="1223" t="n"/>
      <c r="C558" s="1223" t="n"/>
      <c r="D558" s="1224" t="n"/>
      <c r="E558" s="1225" t="n"/>
      <c r="F558" s="1224" t="n"/>
      <c r="G558" s="1224" t="n"/>
      <c r="H558" s="963" t="n"/>
      <c r="I558" s="963" t="n"/>
      <c r="J558" s="963" t="n"/>
      <c r="K558" s="1226" t="n"/>
      <c r="L558" s="1226" t="n"/>
      <c r="M558" s="1226" t="n"/>
      <c r="N558" s="1227" t="n"/>
      <c r="O558" s="963" t="n"/>
      <c r="P558" s="963" t="n"/>
      <c r="Q558" s="963" t="n"/>
      <c r="R558" s="1228" t="n"/>
      <c r="S558" s="1229" t="n"/>
    </row>
    <row r="559" ht="15.75" customHeight="1" s="1349">
      <c r="A559" s="1222" t="n"/>
      <c r="B559" s="1223" t="n"/>
      <c r="C559" s="1223" t="n"/>
      <c r="D559" s="1224" t="n"/>
      <c r="E559" s="1225" t="n"/>
      <c r="F559" s="1224" t="n"/>
      <c r="G559" s="1224" t="n"/>
      <c r="H559" s="963" t="n"/>
      <c r="I559" s="963" t="n"/>
      <c r="J559" s="963" t="n"/>
      <c r="K559" s="1226" t="n"/>
      <c r="L559" s="1226" t="n"/>
      <c r="M559" s="1226" t="n"/>
      <c r="N559" s="1227" t="n"/>
      <c r="O559" s="963" t="n"/>
      <c r="P559" s="963" t="n"/>
      <c r="Q559" s="963" t="n"/>
      <c r="R559" s="1228" t="n"/>
      <c r="S559" s="1229" t="n"/>
    </row>
    <row r="560" ht="15.75" customHeight="1" s="1349">
      <c r="A560" s="1222" t="n"/>
      <c r="B560" s="1223" t="n"/>
      <c r="C560" s="1223" t="n"/>
      <c r="D560" s="1224" t="n"/>
      <c r="E560" s="1225" t="n"/>
      <c r="F560" s="1224" t="n"/>
      <c r="G560" s="1224" t="n"/>
      <c r="H560" s="963" t="n"/>
      <c r="I560" s="963" t="n"/>
      <c r="J560" s="963" t="n"/>
      <c r="K560" s="1226" t="n"/>
      <c r="L560" s="1226" t="n"/>
      <c r="M560" s="1226" t="n"/>
      <c r="N560" s="1227" t="n"/>
      <c r="O560" s="963" t="n"/>
      <c r="P560" s="963" t="n"/>
      <c r="Q560" s="963" t="n"/>
      <c r="R560" s="1228" t="n"/>
      <c r="S560" s="1229" t="n"/>
    </row>
    <row r="561" ht="15.75" customHeight="1" s="1349">
      <c r="A561" s="1222" t="n"/>
      <c r="B561" s="1223" t="n"/>
      <c r="C561" s="1223" t="n"/>
      <c r="D561" s="1224" t="n"/>
      <c r="E561" s="1225" t="n"/>
      <c r="F561" s="1224" t="n"/>
      <c r="G561" s="1224" t="n"/>
      <c r="H561" s="963" t="n"/>
      <c r="I561" s="963" t="n"/>
      <c r="J561" s="963" t="n"/>
      <c r="K561" s="1226" t="n"/>
      <c r="L561" s="1226" t="n"/>
      <c r="M561" s="1226" t="n"/>
      <c r="N561" s="1227" t="n"/>
      <c r="O561" s="963" t="n"/>
      <c r="P561" s="963" t="n"/>
      <c r="Q561" s="963" t="n"/>
      <c r="R561" s="1228" t="n"/>
      <c r="S561" s="1229" t="n"/>
    </row>
    <row r="562" ht="15.75" customHeight="1" s="1349">
      <c r="A562" s="1222" t="n"/>
      <c r="B562" s="1223" t="n"/>
      <c r="C562" s="1223" t="n"/>
      <c r="D562" s="1224" t="n"/>
      <c r="E562" s="1225" t="n"/>
      <c r="F562" s="1224" t="n"/>
      <c r="G562" s="1224" t="n"/>
      <c r="H562" s="963" t="n"/>
      <c r="I562" s="963" t="n"/>
      <c r="J562" s="963" t="n"/>
      <c r="K562" s="1226" t="n"/>
      <c r="L562" s="1226" t="n"/>
      <c r="M562" s="1226" t="n"/>
      <c r="N562" s="1227" t="n"/>
      <c r="O562" s="963" t="n"/>
      <c r="P562" s="963" t="n"/>
      <c r="Q562" s="963" t="n"/>
      <c r="R562" s="1228" t="n"/>
      <c r="S562" s="1229" t="n"/>
    </row>
    <row r="563" ht="15.75" customHeight="1" s="1349">
      <c r="A563" s="1222" t="n"/>
      <c r="B563" s="1223" t="n"/>
      <c r="C563" s="1223" t="n"/>
      <c r="D563" s="1224" t="n"/>
      <c r="E563" s="1225" t="n"/>
      <c r="F563" s="1224" t="n"/>
      <c r="G563" s="1224" t="n"/>
      <c r="H563" s="963" t="n"/>
      <c r="I563" s="963" t="n"/>
      <c r="J563" s="963" t="n"/>
      <c r="K563" s="1226" t="n"/>
      <c r="L563" s="1226" t="n"/>
      <c r="M563" s="1226" t="n"/>
      <c r="N563" s="1227" t="n"/>
      <c r="O563" s="963" t="n"/>
      <c r="P563" s="963" t="n"/>
      <c r="Q563" s="963" t="n"/>
      <c r="R563" s="1228" t="n"/>
      <c r="S563" s="1229" t="n"/>
    </row>
    <row r="564" ht="15.75" customHeight="1" s="1349">
      <c r="A564" s="1222" t="n"/>
      <c r="B564" s="1223" t="n"/>
      <c r="C564" s="1223" t="n"/>
      <c r="D564" s="1224" t="n"/>
      <c r="E564" s="1225" t="n"/>
      <c r="F564" s="1224" t="n"/>
      <c r="G564" s="1224" t="n"/>
      <c r="H564" s="963" t="n"/>
      <c r="I564" s="963" t="n"/>
      <c r="J564" s="963" t="n"/>
      <c r="K564" s="1226" t="n"/>
      <c r="L564" s="1226" t="n"/>
      <c r="M564" s="1226" t="n"/>
      <c r="N564" s="1227" t="n"/>
      <c r="O564" s="963" t="n"/>
      <c r="P564" s="963" t="n"/>
      <c r="Q564" s="963" t="n"/>
      <c r="R564" s="1228" t="n"/>
      <c r="S564" s="1229" t="n"/>
    </row>
    <row r="565" ht="15.75" customHeight="1" s="1349">
      <c r="A565" s="1222" t="n"/>
      <c r="B565" s="1223" t="n"/>
      <c r="C565" s="1223" t="n"/>
      <c r="D565" s="1224" t="n"/>
      <c r="E565" s="1225" t="n"/>
      <c r="F565" s="1224" t="n"/>
      <c r="G565" s="1224" t="n"/>
      <c r="H565" s="963" t="n"/>
      <c r="I565" s="963" t="n"/>
      <c r="J565" s="963" t="n"/>
      <c r="K565" s="1226" t="n"/>
      <c r="L565" s="1226" t="n"/>
      <c r="M565" s="1226" t="n"/>
      <c r="N565" s="1227" t="n"/>
      <c r="O565" s="963" t="n"/>
      <c r="P565" s="963" t="n"/>
      <c r="Q565" s="963" t="n"/>
      <c r="R565" s="1228" t="n"/>
      <c r="S565" s="1229" t="n"/>
    </row>
    <row r="566" ht="15.75" customHeight="1" s="1349">
      <c r="A566" s="1222" t="n"/>
      <c r="B566" s="1223" t="n"/>
      <c r="C566" s="1223" t="n"/>
      <c r="D566" s="1224" t="n"/>
      <c r="E566" s="1225" t="n"/>
      <c r="F566" s="1224" t="n"/>
      <c r="G566" s="1224" t="n"/>
      <c r="H566" s="963" t="n"/>
      <c r="I566" s="963" t="n"/>
      <c r="J566" s="963" t="n"/>
      <c r="K566" s="1226" t="n"/>
      <c r="L566" s="1226" t="n"/>
      <c r="M566" s="1226" t="n"/>
      <c r="N566" s="1227" t="n"/>
      <c r="O566" s="963" t="n"/>
      <c r="P566" s="963" t="n"/>
      <c r="Q566" s="963" t="n"/>
      <c r="R566" s="1228" t="n"/>
      <c r="S566" s="1229" t="n"/>
    </row>
    <row r="567" ht="15.75" customHeight="1" s="1349">
      <c r="A567" s="1222" t="n"/>
      <c r="B567" s="1223" t="n"/>
      <c r="C567" s="1223" t="n"/>
      <c r="D567" s="1224" t="n"/>
      <c r="E567" s="1225" t="n"/>
      <c r="F567" s="1224" t="n"/>
      <c r="G567" s="1224" t="n"/>
      <c r="H567" s="963" t="n"/>
      <c r="I567" s="963" t="n"/>
      <c r="J567" s="963" t="n"/>
      <c r="K567" s="1226" t="n"/>
      <c r="L567" s="1226" t="n"/>
      <c r="M567" s="1226" t="n"/>
      <c r="N567" s="1227" t="n"/>
      <c r="O567" s="963" t="n"/>
      <c r="P567" s="963" t="n"/>
      <c r="Q567" s="963" t="n"/>
      <c r="R567" s="1228" t="n"/>
      <c r="S567" s="1229" t="n"/>
    </row>
    <row r="568" ht="15.75" customHeight="1" s="1349">
      <c r="A568" s="1222" t="n"/>
      <c r="B568" s="1223" t="n"/>
      <c r="C568" s="1223" t="n"/>
      <c r="D568" s="1224" t="n"/>
      <c r="E568" s="1225" t="n"/>
      <c r="F568" s="1224" t="n"/>
      <c r="G568" s="1224" t="n"/>
      <c r="H568" s="963" t="n"/>
      <c r="I568" s="963" t="n"/>
      <c r="J568" s="963" t="n"/>
      <c r="K568" s="1226" t="n"/>
      <c r="L568" s="1226" t="n"/>
      <c r="M568" s="1226" t="n"/>
      <c r="N568" s="1227" t="n"/>
      <c r="O568" s="963" t="n"/>
      <c r="P568" s="963" t="n"/>
      <c r="Q568" s="963" t="n"/>
      <c r="R568" s="1228" t="n"/>
      <c r="S568" s="1229" t="n"/>
    </row>
    <row r="569" ht="15.75" customHeight="1" s="1349">
      <c r="A569" s="1222" t="n"/>
      <c r="B569" s="1223" t="n"/>
      <c r="C569" s="1223" t="n"/>
      <c r="D569" s="1224" t="n"/>
      <c r="E569" s="1225" t="n"/>
      <c r="F569" s="1224" t="n"/>
      <c r="G569" s="1224" t="n"/>
      <c r="H569" s="963" t="n"/>
      <c r="I569" s="963" t="n"/>
      <c r="J569" s="963" t="n"/>
      <c r="K569" s="1226" t="n"/>
      <c r="L569" s="1226" t="n"/>
      <c r="M569" s="1226" t="n"/>
      <c r="N569" s="1227" t="n"/>
      <c r="O569" s="963" t="n"/>
      <c r="P569" s="963" t="n"/>
      <c r="Q569" s="963" t="n"/>
      <c r="R569" s="1228" t="n"/>
      <c r="S569" s="1229" t="n"/>
    </row>
    <row r="570" ht="15.75" customHeight="1" s="1349">
      <c r="A570" s="1222" t="n"/>
      <c r="B570" s="1223" t="n"/>
      <c r="C570" s="1223" t="n"/>
      <c r="D570" s="1224" t="n"/>
      <c r="E570" s="1225" t="n"/>
      <c r="F570" s="1224" t="n"/>
      <c r="G570" s="1224" t="n"/>
      <c r="H570" s="963" t="n"/>
      <c r="I570" s="963" t="n"/>
      <c r="J570" s="963" t="n"/>
      <c r="K570" s="1226" t="n"/>
      <c r="L570" s="1226" t="n"/>
      <c r="M570" s="1226" t="n"/>
      <c r="N570" s="1227" t="n"/>
      <c r="O570" s="963" t="n"/>
      <c r="P570" s="963" t="n"/>
      <c r="Q570" s="963" t="n"/>
      <c r="R570" s="1228" t="n"/>
      <c r="S570" s="1229" t="n"/>
    </row>
    <row r="571" ht="15.75" customHeight="1" s="1349">
      <c r="A571" s="1222" t="n"/>
      <c r="B571" s="1223" t="n"/>
      <c r="C571" s="1223" t="n"/>
      <c r="D571" s="1224" t="n"/>
      <c r="E571" s="1225" t="n"/>
      <c r="F571" s="1224" t="n"/>
      <c r="G571" s="1224" t="n"/>
      <c r="H571" s="963" t="n"/>
      <c r="I571" s="963" t="n"/>
      <c r="J571" s="963" t="n"/>
      <c r="K571" s="1226" t="n"/>
      <c r="L571" s="1226" t="n"/>
      <c r="M571" s="1226" t="n"/>
      <c r="N571" s="1227" t="n"/>
      <c r="O571" s="963" t="n"/>
      <c r="P571" s="963" t="n"/>
      <c r="Q571" s="963" t="n"/>
      <c r="R571" s="1228" t="n"/>
      <c r="S571" s="1229" t="n"/>
    </row>
    <row r="572" ht="15.75" customHeight="1" s="1349">
      <c r="A572" s="1222" t="n"/>
      <c r="B572" s="1223" t="n"/>
      <c r="C572" s="1223" t="n"/>
      <c r="D572" s="1224" t="n"/>
      <c r="E572" s="1225" t="n"/>
      <c r="F572" s="1224" t="n"/>
      <c r="G572" s="1224" t="n"/>
      <c r="H572" s="963" t="n"/>
      <c r="I572" s="963" t="n"/>
      <c r="J572" s="963" t="n"/>
      <c r="K572" s="1226" t="n"/>
      <c r="L572" s="1226" t="n"/>
      <c r="M572" s="1226" t="n"/>
      <c r="N572" s="1227" t="n"/>
      <c r="O572" s="963" t="n"/>
      <c r="P572" s="963" t="n"/>
      <c r="Q572" s="963" t="n"/>
      <c r="R572" s="1228" t="n"/>
      <c r="S572" s="1229" t="n"/>
    </row>
    <row r="573" ht="15.75" customHeight="1" s="1349">
      <c r="A573" s="1222" t="n"/>
      <c r="B573" s="1223" t="n"/>
      <c r="C573" s="1223" t="n"/>
      <c r="D573" s="1224" t="n"/>
      <c r="E573" s="1225" t="n"/>
      <c r="F573" s="1224" t="n"/>
      <c r="G573" s="1224" t="n"/>
      <c r="H573" s="963" t="n"/>
      <c r="I573" s="963" t="n"/>
      <c r="J573" s="963" t="n"/>
      <c r="K573" s="1226" t="n"/>
      <c r="L573" s="1226" t="n"/>
      <c r="M573" s="1226" t="n"/>
      <c r="N573" s="1227" t="n"/>
      <c r="O573" s="963" t="n"/>
      <c r="P573" s="963" t="n"/>
      <c r="Q573" s="963" t="n"/>
      <c r="R573" s="1228" t="n"/>
      <c r="S573" s="1229" t="n"/>
    </row>
    <row r="574" ht="15.75" customHeight="1" s="1349">
      <c r="A574" s="1222" t="n"/>
      <c r="B574" s="1223" t="n"/>
      <c r="C574" s="1223" t="n"/>
      <c r="D574" s="1224" t="n"/>
      <c r="E574" s="1225" t="n"/>
      <c r="F574" s="1224" t="n"/>
      <c r="G574" s="1224" t="n"/>
      <c r="H574" s="963" t="n"/>
      <c r="I574" s="963" t="n"/>
      <c r="J574" s="963" t="n"/>
      <c r="K574" s="1226" t="n"/>
      <c r="L574" s="1226" t="n"/>
      <c r="M574" s="1226" t="n"/>
      <c r="N574" s="1227" t="n"/>
      <c r="O574" s="963" t="n"/>
      <c r="P574" s="963" t="n"/>
      <c r="Q574" s="963" t="n"/>
      <c r="R574" s="1228" t="n"/>
      <c r="S574" s="1229" t="n"/>
    </row>
    <row r="575" ht="15.75" customHeight="1" s="1349">
      <c r="A575" s="1222" t="n"/>
      <c r="B575" s="1223" t="n"/>
      <c r="C575" s="1223" t="n"/>
      <c r="D575" s="1224" t="n"/>
      <c r="E575" s="1225" t="n"/>
      <c r="F575" s="1224" t="n"/>
      <c r="G575" s="1224" t="n"/>
      <c r="H575" s="963" t="n"/>
      <c r="I575" s="963" t="n"/>
      <c r="J575" s="963" t="n"/>
      <c r="K575" s="1226" t="n"/>
      <c r="L575" s="1226" t="n"/>
      <c r="M575" s="1226" t="n"/>
      <c r="N575" s="1227" t="n"/>
      <c r="O575" s="963" t="n"/>
      <c r="P575" s="963" t="n"/>
      <c r="Q575" s="963" t="n"/>
      <c r="R575" s="1228" t="n"/>
      <c r="S575" s="1229" t="n"/>
    </row>
    <row r="576" ht="15.75" customHeight="1" s="1349">
      <c r="A576" s="1222" t="n"/>
      <c r="B576" s="1223" t="n"/>
      <c r="C576" s="1223" t="n"/>
      <c r="D576" s="1224" t="n"/>
      <c r="E576" s="1225" t="n"/>
      <c r="F576" s="1224" t="n"/>
      <c r="G576" s="1224" t="n"/>
      <c r="H576" s="963" t="n"/>
      <c r="I576" s="963" t="n"/>
      <c r="J576" s="963" t="n"/>
      <c r="K576" s="1226" t="n"/>
      <c r="L576" s="1226" t="n"/>
      <c r="M576" s="1226" t="n"/>
      <c r="N576" s="1227" t="n"/>
      <c r="O576" s="963" t="n"/>
      <c r="P576" s="963" t="n"/>
      <c r="Q576" s="963" t="n"/>
      <c r="R576" s="1228" t="n"/>
      <c r="S576" s="1229" t="n"/>
    </row>
    <row r="577" ht="15.75" customHeight="1" s="1349">
      <c r="A577" s="1222" t="n"/>
      <c r="B577" s="1223" t="n"/>
      <c r="C577" s="1223" t="n"/>
      <c r="D577" s="1224" t="n"/>
      <c r="E577" s="1225" t="n"/>
      <c r="F577" s="1224" t="n"/>
      <c r="G577" s="1224" t="n"/>
      <c r="H577" s="963" t="n"/>
      <c r="I577" s="963" t="n"/>
      <c r="J577" s="963" t="n"/>
      <c r="K577" s="1226" t="n"/>
      <c r="L577" s="1226" t="n"/>
      <c r="M577" s="1226" t="n"/>
      <c r="N577" s="1227" t="n"/>
      <c r="O577" s="963" t="n"/>
      <c r="P577" s="963" t="n"/>
      <c r="Q577" s="963" t="n"/>
      <c r="R577" s="1228" t="n"/>
      <c r="S577" s="1229" t="n"/>
    </row>
    <row r="578" ht="15.75" customHeight="1" s="1349">
      <c r="A578" s="1222" t="n"/>
      <c r="B578" s="1223" t="n"/>
      <c r="C578" s="1223" t="n"/>
      <c r="D578" s="1224" t="n"/>
      <c r="E578" s="1225" t="n"/>
      <c r="F578" s="1224" t="n"/>
      <c r="G578" s="1224" t="n"/>
      <c r="H578" s="963" t="n"/>
      <c r="I578" s="963" t="n"/>
      <c r="J578" s="963" t="n"/>
      <c r="K578" s="1226" t="n"/>
      <c r="L578" s="1226" t="n"/>
      <c r="M578" s="1226" t="n"/>
      <c r="N578" s="1227" t="n"/>
      <c r="O578" s="963" t="n"/>
      <c r="P578" s="963" t="n"/>
      <c r="Q578" s="963" t="n"/>
      <c r="R578" s="1228" t="n"/>
      <c r="S578" s="1229" t="n"/>
    </row>
    <row r="579" ht="15.75" customHeight="1" s="1349">
      <c r="A579" s="1222" t="n"/>
      <c r="B579" s="1223" t="n"/>
      <c r="C579" s="1223" t="n"/>
      <c r="D579" s="1224" t="n"/>
      <c r="E579" s="1225" t="n"/>
      <c r="F579" s="1224" t="n"/>
      <c r="G579" s="1224" t="n"/>
      <c r="H579" s="963" t="n"/>
      <c r="I579" s="963" t="n"/>
      <c r="J579" s="963" t="n"/>
      <c r="K579" s="1226" t="n"/>
      <c r="L579" s="1226" t="n"/>
      <c r="M579" s="1226" t="n"/>
      <c r="N579" s="1227" t="n"/>
      <c r="O579" s="963" t="n"/>
      <c r="P579" s="963" t="n"/>
      <c r="Q579" s="963" t="n"/>
      <c r="R579" s="1228" t="n"/>
      <c r="S579" s="1229" t="n"/>
    </row>
    <row r="580" ht="15.75" customHeight="1" s="1349">
      <c r="A580" s="1222" t="n"/>
      <c r="B580" s="1223" t="n"/>
      <c r="C580" s="1223" t="n"/>
      <c r="D580" s="1224" t="n"/>
      <c r="E580" s="1225" t="n"/>
      <c r="F580" s="1224" t="n"/>
      <c r="G580" s="1224" t="n"/>
      <c r="H580" s="963" t="n"/>
      <c r="I580" s="963" t="n"/>
      <c r="J580" s="963" t="n"/>
      <c r="K580" s="1226" t="n"/>
      <c r="L580" s="1226" t="n"/>
      <c r="M580" s="1226" t="n"/>
      <c r="N580" s="1227" t="n"/>
      <c r="O580" s="963" t="n"/>
      <c r="P580" s="963" t="n"/>
      <c r="Q580" s="963" t="n"/>
      <c r="R580" s="1228" t="n"/>
      <c r="S580" s="1229" t="n"/>
    </row>
    <row r="581" ht="15.75" customHeight="1" s="1349">
      <c r="A581" s="1222" t="n"/>
      <c r="B581" s="1223" t="n"/>
      <c r="C581" s="1223" t="n"/>
      <c r="D581" s="1224" t="n"/>
      <c r="E581" s="1225" t="n"/>
      <c r="F581" s="1224" t="n"/>
      <c r="G581" s="1224" t="n"/>
      <c r="H581" s="963" t="n"/>
      <c r="I581" s="963" t="n"/>
      <c r="J581" s="963" t="n"/>
      <c r="K581" s="1226" t="n"/>
      <c r="L581" s="1226" t="n"/>
      <c r="M581" s="1226" t="n"/>
      <c r="N581" s="1227" t="n"/>
      <c r="O581" s="963" t="n"/>
      <c r="P581" s="963" t="n"/>
      <c r="Q581" s="963" t="n"/>
      <c r="R581" s="1228" t="n"/>
      <c r="S581" s="1229" t="n"/>
    </row>
    <row r="582" ht="15.75" customHeight="1" s="1349">
      <c r="A582" s="1222" t="n"/>
      <c r="B582" s="1223" t="n"/>
      <c r="C582" s="1223" t="n"/>
      <c r="D582" s="1224" t="n"/>
      <c r="E582" s="1225" t="n"/>
      <c r="F582" s="1224" t="n"/>
      <c r="G582" s="1224" t="n"/>
      <c r="H582" s="963" t="n"/>
      <c r="I582" s="963" t="n"/>
      <c r="J582" s="963" t="n"/>
      <c r="K582" s="1226" t="n"/>
      <c r="L582" s="1226" t="n"/>
      <c r="M582" s="1226" t="n"/>
      <c r="N582" s="1227" t="n"/>
      <c r="O582" s="963" t="n"/>
      <c r="P582" s="963" t="n"/>
      <c r="Q582" s="963" t="n"/>
      <c r="R582" s="1228" t="n"/>
      <c r="S582" s="1229" t="n"/>
    </row>
    <row r="583" ht="15.75" customHeight="1" s="1349">
      <c r="A583" s="1222" t="n"/>
      <c r="B583" s="1223" t="n"/>
      <c r="C583" s="1223" t="n"/>
      <c r="D583" s="1224" t="n"/>
      <c r="E583" s="1225" t="n"/>
      <c r="F583" s="1224" t="n"/>
      <c r="G583" s="1224" t="n"/>
      <c r="H583" s="963" t="n"/>
      <c r="I583" s="963" t="n"/>
      <c r="J583" s="963" t="n"/>
      <c r="K583" s="1226" t="n"/>
      <c r="L583" s="1226" t="n"/>
      <c r="M583" s="1226" t="n"/>
      <c r="N583" s="1227" t="n"/>
      <c r="O583" s="963" t="n"/>
      <c r="P583" s="963" t="n"/>
      <c r="Q583" s="963" t="n"/>
      <c r="R583" s="1228" t="n"/>
      <c r="S583" s="1229" t="n"/>
    </row>
    <row r="584" ht="15.75" customHeight="1" s="1349">
      <c r="A584" s="1222" t="n"/>
      <c r="B584" s="1223" t="n"/>
      <c r="C584" s="1223" t="n"/>
      <c r="D584" s="1224" t="n"/>
      <c r="E584" s="1225" t="n"/>
      <c r="F584" s="1224" t="n"/>
      <c r="G584" s="1224" t="n"/>
      <c r="H584" s="963" t="n"/>
      <c r="I584" s="963" t="n"/>
      <c r="J584" s="963" t="n"/>
      <c r="K584" s="1226" t="n"/>
      <c r="L584" s="1226" t="n"/>
      <c r="M584" s="1226" t="n"/>
      <c r="N584" s="1227" t="n"/>
      <c r="O584" s="963" t="n"/>
      <c r="P584" s="963" t="n"/>
      <c r="Q584" s="963" t="n"/>
      <c r="R584" s="1228" t="n"/>
      <c r="S584" s="1229" t="n"/>
    </row>
    <row r="585" ht="15.75" customHeight="1" s="1349">
      <c r="A585" s="1222" t="n"/>
      <c r="B585" s="1223" t="n"/>
      <c r="C585" s="1223" t="n"/>
      <c r="D585" s="1224" t="n"/>
      <c r="E585" s="1225" t="n"/>
      <c r="F585" s="1224" t="n"/>
      <c r="G585" s="1224" t="n"/>
      <c r="H585" s="963" t="n"/>
      <c r="I585" s="963" t="n"/>
      <c r="J585" s="963" t="n"/>
      <c r="K585" s="1226" t="n"/>
      <c r="L585" s="1226" t="n"/>
      <c r="M585" s="1226" t="n"/>
      <c r="N585" s="1227" t="n"/>
      <c r="O585" s="963" t="n"/>
      <c r="P585" s="963" t="n"/>
      <c r="Q585" s="963" t="n"/>
      <c r="R585" s="1228" t="n"/>
      <c r="S585" s="1229" t="n"/>
    </row>
    <row r="586" ht="15.75" customHeight="1" s="1349">
      <c r="A586" s="1222" t="n"/>
      <c r="B586" s="1223" t="n"/>
      <c r="C586" s="1223" t="n"/>
      <c r="D586" s="1224" t="n"/>
      <c r="E586" s="1225" t="n"/>
      <c r="F586" s="1224" t="n"/>
      <c r="G586" s="1224" t="n"/>
      <c r="H586" s="963" t="n"/>
      <c r="I586" s="963" t="n"/>
      <c r="J586" s="963" t="n"/>
      <c r="K586" s="1226" t="n"/>
      <c r="L586" s="1226" t="n"/>
      <c r="M586" s="1226" t="n"/>
      <c r="N586" s="1227" t="n"/>
      <c r="O586" s="963" t="n"/>
      <c r="P586" s="963" t="n"/>
      <c r="Q586" s="963" t="n"/>
      <c r="R586" s="1228" t="n"/>
      <c r="S586" s="1229" t="n"/>
    </row>
    <row r="587" ht="15.75" customHeight="1" s="1349">
      <c r="A587" s="1222" t="n"/>
      <c r="B587" s="1223" t="n"/>
      <c r="C587" s="1223" t="n"/>
      <c r="D587" s="1224" t="n"/>
      <c r="E587" s="1225" t="n"/>
      <c r="F587" s="1224" t="n"/>
      <c r="G587" s="1224" t="n"/>
      <c r="H587" s="963" t="n"/>
      <c r="I587" s="963" t="n"/>
      <c r="J587" s="963" t="n"/>
      <c r="K587" s="1226" t="n"/>
      <c r="L587" s="1226" t="n"/>
      <c r="M587" s="1226" t="n"/>
      <c r="N587" s="1227" t="n"/>
      <c r="O587" s="963" t="n"/>
      <c r="P587" s="963" t="n"/>
      <c r="Q587" s="963" t="n"/>
      <c r="R587" s="1228" t="n"/>
      <c r="S587" s="1229" t="n"/>
    </row>
    <row r="588" ht="15.75" customHeight="1" s="1349">
      <c r="A588" s="1222" t="n"/>
      <c r="B588" s="1223" t="n"/>
      <c r="C588" s="1223" t="n"/>
      <c r="D588" s="1224" t="n"/>
      <c r="E588" s="1225" t="n"/>
      <c r="F588" s="1224" t="n"/>
      <c r="G588" s="1224" t="n"/>
      <c r="H588" s="963" t="n"/>
      <c r="I588" s="963" t="n"/>
      <c r="J588" s="963" t="n"/>
      <c r="K588" s="1226" t="n"/>
      <c r="L588" s="1226" t="n"/>
      <c r="M588" s="1226" t="n"/>
      <c r="N588" s="1227" t="n"/>
      <c r="O588" s="963" t="n"/>
      <c r="P588" s="963" t="n"/>
      <c r="Q588" s="963" t="n"/>
      <c r="R588" s="1228" t="n"/>
      <c r="S588" s="1229" t="n"/>
    </row>
    <row r="589" ht="15.75" customHeight="1" s="1349">
      <c r="A589" s="1222" t="n"/>
      <c r="B589" s="1223" t="n"/>
      <c r="C589" s="1223" t="n"/>
      <c r="D589" s="1224" t="n"/>
      <c r="E589" s="1225" t="n"/>
      <c r="F589" s="1224" t="n"/>
      <c r="G589" s="1224" t="n"/>
      <c r="H589" s="963" t="n"/>
      <c r="I589" s="963" t="n"/>
      <c r="J589" s="963" t="n"/>
      <c r="K589" s="1226" t="n"/>
      <c r="L589" s="1226" t="n"/>
      <c r="M589" s="1226" t="n"/>
      <c r="N589" s="1227" t="n"/>
      <c r="O589" s="963" t="n"/>
      <c r="P589" s="963" t="n"/>
      <c r="Q589" s="963" t="n"/>
      <c r="R589" s="1228" t="n"/>
      <c r="S589" s="1229" t="n"/>
    </row>
    <row r="590" ht="15.75" customHeight="1" s="1349">
      <c r="A590" s="1222" t="n"/>
      <c r="B590" s="1223" t="n"/>
      <c r="C590" s="1223" t="n"/>
      <c r="D590" s="1224" t="n"/>
      <c r="E590" s="1225" t="n"/>
      <c r="F590" s="1224" t="n"/>
      <c r="G590" s="1224" t="n"/>
      <c r="H590" s="963" t="n"/>
      <c r="I590" s="963" t="n"/>
      <c r="J590" s="963" t="n"/>
      <c r="K590" s="1226" t="n"/>
      <c r="L590" s="1226" t="n"/>
      <c r="M590" s="1226" t="n"/>
      <c r="N590" s="1227" t="n"/>
      <c r="O590" s="963" t="n"/>
      <c r="P590" s="963" t="n"/>
      <c r="Q590" s="963" t="n"/>
      <c r="R590" s="1228" t="n"/>
      <c r="S590" s="1229" t="n"/>
    </row>
    <row r="591" ht="15.75" customHeight="1" s="1349">
      <c r="A591" s="1222" t="n"/>
      <c r="B591" s="1223" t="n"/>
      <c r="C591" s="1223" t="n"/>
      <c r="D591" s="1224" t="n"/>
      <c r="E591" s="1225" t="n"/>
      <c r="F591" s="1224" t="n"/>
      <c r="G591" s="1224" t="n"/>
      <c r="H591" s="963" t="n"/>
      <c r="I591" s="963" t="n"/>
      <c r="J591" s="963" t="n"/>
      <c r="K591" s="1226" t="n"/>
      <c r="L591" s="1226" t="n"/>
      <c r="M591" s="1226" t="n"/>
      <c r="N591" s="1227" t="n"/>
      <c r="O591" s="963" t="n"/>
      <c r="P591" s="963" t="n"/>
      <c r="Q591" s="963" t="n"/>
      <c r="R591" s="1228" t="n"/>
      <c r="S591" s="1229" t="n"/>
    </row>
    <row r="592" ht="15.75" customHeight="1" s="1349">
      <c r="A592" s="1222" t="n"/>
      <c r="B592" s="1223" t="n"/>
      <c r="C592" s="1223" t="n"/>
      <c r="D592" s="1224" t="n"/>
      <c r="E592" s="1225" t="n"/>
      <c r="F592" s="1224" t="n"/>
      <c r="G592" s="1224" t="n"/>
      <c r="H592" s="963" t="n"/>
      <c r="I592" s="963" t="n"/>
      <c r="J592" s="963" t="n"/>
      <c r="K592" s="1226" t="n"/>
      <c r="L592" s="1226" t="n"/>
      <c r="M592" s="1226" t="n"/>
      <c r="N592" s="1227" t="n"/>
      <c r="O592" s="963" t="n"/>
      <c r="P592" s="963" t="n"/>
      <c r="Q592" s="963" t="n"/>
      <c r="R592" s="1228" t="n"/>
      <c r="S592" s="1229" t="n"/>
    </row>
    <row r="593" ht="15.75" customHeight="1" s="1349">
      <c r="A593" s="1222" t="n"/>
      <c r="B593" s="1223" t="n"/>
      <c r="C593" s="1223" t="n"/>
      <c r="D593" s="1224" t="n"/>
      <c r="E593" s="1225" t="n"/>
      <c r="F593" s="1224" t="n"/>
      <c r="G593" s="1224" t="n"/>
      <c r="H593" s="963" t="n"/>
      <c r="I593" s="963" t="n"/>
      <c r="J593" s="963" t="n"/>
      <c r="K593" s="1226" t="n"/>
      <c r="L593" s="1226" t="n"/>
      <c r="M593" s="1226" t="n"/>
      <c r="N593" s="1227" t="n"/>
      <c r="O593" s="963" t="n"/>
      <c r="P593" s="963" t="n"/>
      <c r="Q593" s="963" t="n"/>
      <c r="R593" s="1228" t="n"/>
      <c r="S593" s="1229" t="n"/>
    </row>
    <row r="594" ht="15.75" customHeight="1" s="1349">
      <c r="A594" s="1222" t="n"/>
      <c r="B594" s="1223" t="n"/>
      <c r="C594" s="1223" t="n"/>
      <c r="D594" s="1224" t="n"/>
      <c r="E594" s="1225" t="n"/>
      <c r="F594" s="1224" t="n"/>
      <c r="G594" s="1224" t="n"/>
      <c r="H594" s="963" t="n"/>
      <c r="I594" s="963" t="n"/>
      <c r="J594" s="963" t="n"/>
      <c r="K594" s="1226" t="n"/>
      <c r="L594" s="1226" t="n"/>
      <c r="M594" s="1226" t="n"/>
      <c r="N594" s="1227" t="n"/>
      <c r="O594" s="963" t="n"/>
      <c r="P594" s="963" t="n"/>
      <c r="Q594" s="963" t="n"/>
      <c r="R594" s="1228" t="n"/>
      <c r="S594" s="1229" t="n"/>
    </row>
    <row r="595" ht="15.75" customHeight="1" s="1349">
      <c r="A595" s="1222" t="n"/>
      <c r="B595" s="1223" t="n"/>
      <c r="C595" s="1223" t="n"/>
      <c r="D595" s="1224" t="n"/>
      <c r="E595" s="1225" t="n"/>
      <c r="F595" s="1224" t="n"/>
      <c r="G595" s="1224" t="n"/>
      <c r="H595" s="963" t="n"/>
      <c r="I595" s="963" t="n"/>
      <c r="J595" s="963" t="n"/>
      <c r="K595" s="1226" t="n"/>
      <c r="L595" s="1226" t="n"/>
      <c r="M595" s="1226" t="n"/>
      <c r="N595" s="1227" t="n"/>
      <c r="O595" s="963" t="n"/>
      <c r="P595" s="963" t="n"/>
      <c r="Q595" s="963" t="n"/>
      <c r="R595" s="1228" t="n"/>
      <c r="S595" s="1229" t="n"/>
    </row>
    <row r="596" ht="15.75" customHeight="1" s="1349">
      <c r="A596" s="1222" t="n"/>
      <c r="B596" s="1223" t="n"/>
      <c r="C596" s="1223" t="n"/>
      <c r="D596" s="1224" t="n"/>
      <c r="E596" s="1225" t="n"/>
      <c r="F596" s="1224" t="n"/>
      <c r="G596" s="1224" t="n"/>
      <c r="H596" s="963" t="n"/>
      <c r="I596" s="963" t="n"/>
      <c r="J596" s="963" t="n"/>
      <c r="K596" s="1226" t="n"/>
      <c r="L596" s="1226" t="n"/>
      <c r="M596" s="1226" t="n"/>
      <c r="N596" s="1227" t="n"/>
      <c r="O596" s="963" t="n"/>
      <c r="P596" s="963" t="n"/>
      <c r="Q596" s="963" t="n"/>
      <c r="R596" s="1228" t="n"/>
      <c r="S596" s="1229" t="n"/>
    </row>
    <row r="597" ht="15.75" customHeight="1" s="1349">
      <c r="A597" s="1222" t="n"/>
      <c r="B597" s="1223" t="n"/>
      <c r="C597" s="1223" t="n"/>
      <c r="D597" s="1224" t="n"/>
      <c r="E597" s="1225" t="n"/>
      <c r="F597" s="1224" t="n"/>
      <c r="G597" s="1224" t="n"/>
      <c r="H597" s="963" t="n"/>
      <c r="I597" s="963" t="n"/>
      <c r="J597" s="963" t="n"/>
      <c r="K597" s="1226" t="n"/>
      <c r="L597" s="1226" t="n"/>
      <c r="M597" s="1226" t="n"/>
      <c r="N597" s="1227" t="n"/>
      <c r="O597" s="963" t="n"/>
      <c r="P597" s="963" t="n"/>
      <c r="Q597" s="963" t="n"/>
      <c r="R597" s="1228" t="n"/>
      <c r="S597" s="1229" t="n"/>
    </row>
    <row r="598" ht="15.75" customHeight="1" s="1349">
      <c r="A598" s="1222" t="n"/>
      <c r="B598" s="1223" t="n"/>
      <c r="C598" s="1223" t="n"/>
      <c r="D598" s="1224" t="n"/>
      <c r="E598" s="1225" t="n"/>
      <c r="F598" s="1224" t="n"/>
      <c r="G598" s="1224" t="n"/>
      <c r="H598" s="963" t="n"/>
      <c r="I598" s="963" t="n"/>
      <c r="J598" s="963" t="n"/>
      <c r="K598" s="1226" t="n"/>
      <c r="L598" s="1226" t="n"/>
      <c r="M598" s="1226" t="n"/>
      <c r="N598" s="1227" t="n"/>
      <c r="O598" s="963" t="n"/>
      <c r="P598" s="963" t="n"/>
      <c r="Q598" s="963" t="n"/>
      <c r="R598" s="1228" t="n"/>
      <c r="S598" s="1229" t="n"/>
    </row>
    <row r="599" ht="15.75" customHeight="1" s="1349">
      <c r="A599" s="1222" t="n"/>
      <c r="B599" s="1223" t="n"/>
      <c r="C599" s="1223" t="n"/>
      <c r="D599" s="1224" t="n"/>
      <c r="E599" s="1225" t="n"/>
      <c r="F599" s="1224" t="n"/>
      <c r="G599" s="1224" t="n"/>
      <c r="H599" s="963" t="n"/>
      <c r="I599" s="963" t="n"/>
      <c r="J599" s="963" t="n"/>
      <c r="K599" s="1226" t="n"/>
      <c r="L599" s="1226" t="n"/>
      <c r="M599" s="1226" t="n"/>
      <c r="N599" s="1227" t="n"/>
      <c r="O599" s="963" t="n"/>
      <c r="P599" s="963" t="n"/>
      <c r="Q599" s="963" t="n"/>
      <c r="R599" s="1228" t="n"/>
      <c r="S599" s="1229" t="n"/>
    </row>
    <row r="600" ht="15.75" customHeight="1" s="1349">
      <c r="A600" s="1222" t="n"/>
      <c r="B600" s="1223" t="n"/>
      <c r="C600" s="1223" t="n"/>
      <c r="D600" s="1224" t="n"/>
      <c r="E600" s="1225" t="n"/>
      <c r="F600" s="1224" t="n"/>
      <c r="G600" s="1224" t="n"/>
      <c r="H600" s="963" t="n"/>
      <c r="I600" s="963" t="n"/>
      <c r="J600" s="963" t="n"/>
      <c r="K600" s="1226" t="n"/>
      <c r="L600" s="1226" t="n"/>
      <c r="M600" s="1226" t="n"/>
      <c r="N600" s="1227" t="n"/>
      <c r="O600" s="963" t="n"/>
      <c r="P600" s="963" t="n"/>
      <c r="Q600" s="963" t="n"/>
      <c r="R600" s="1228" t="n"/>
      <c r="S600" s="1229" t="n"/>
    </row>
    <row r="601" ht="15.75" customHeight="1" s="1349">
      <c r="A601" s="1222" t="n"/>
      <c r="B601" s="1223" t="n"/>
      <c r="C601" s="1223" t="n"/>
      <c r="D601" s="1224" t="n"/>
      <c r="E601" s="1225" t="n"/>
      <c r="F601" s="1224" t="n"/>
      <c r="G601" s="1224" t="n"/>
      <c r="H601" s="963" t="n"/>
      <c r="I601" s="963" t="n"/>
      <c r="J601" s="963" t="n"/>
      <c r="K601" s="1226" t="n"/>
      <c r="L601" s="1226" t="n"/>
      <c r="M601" s="1226" t="n"/>
      <c r="N601" s="1227" t="n"/>
      <c r="O601" s="963" t="n"/>
      <c r="P601" s="963" t="n"/>
      <c r="Q601" s="963" t="n"/>
      <c r="R601" s="1228" t="n"/>
      <c r="S601" s="1229" t="n"/>
    </row>
    <row r="602" ht="15.75" customHeight="1" s="1349">
      <c r="A602" s="1222" t="n"/>
      <c r="B602" s="1223" t="n"/>
      <c r="C602" s="1223" t="n"/>
      <c r="D602" s="1224" t="n"/>
      <c r="E602" s="1225" t="n"/>
      <c r="F602" s="1224" t="n"/>
      <c r="G602" s="1224" t="n"/>
      <c r="H602" s="963" t="n"/>
      <c r="I602" s="963" t="n"/>
      <c r="J602" s="963" t="n"/>
      <c r="K602" s="1226" t="n"/>
      <c r="L602" s="1226" t="n"/>
      <c r="M602" s="1226" t="n"/>
      <c r="N602" s="1227" t="n"/>
      <c r="O602" s="963" t="n"/>
      <c r="P602" s="963" t="n"/>
      <c r="Q602" s="963" t="n"/>
      <c r="R602" s="1228" t="n"/>
      <c r="S602" s="1229" t="n"/>
    </row>
    <row r="603" ht="15.75" customHeight="1" s="1349">
      <c r="A603" s="1222" t="n"/>
      <c r="B603" s="1223" t="n"/>
      <c r="C603" s="1223" t="n"/>
      <c r="D603" s="1224" t="n"/>
      <c r="E603" s="1225" t="n"/>
      <c r="F603" s="1224" t="n"/>
      <c r="G603" s="1224" t="n"/>
      <c r="H603" s="963" t="n"/>
      <c r="I603" s="963" t="n"/>
      <c r="J603" s="963" t="n"/>
      <c r="K603" s="1226" t="n"/>
      <c r="L603" s="1226" t="n"/>
      <c r="M603" s="1226" t="n"/>
      <c r="N603" s="1227" t="n"/>
      <c r="O603" s="963" t="n"/>
      <c r="P603" s="963" t="n"/>
      <c r="Q603" s="963" t="n"/>
      <c r="R603" s="1228" t="n"/>
      <c r="S603" s="1229" t="n"/>
    </row>
    <row r="604" ht="15.75" customHeight="1" s="1349">
      <c r="A604" s="1222" t="n"/>
      <c r="B604" s="1223" t="n"/>
      <c r="C604" s="1223" t="n"/>
      <c r="D604" s="1224" t="n"/>
      <c r="E604" s="1225" t="n"/>
      <c r="F604" s="1224" t="n"/>
      <c r="G604" s="1224" t="n"/>
      <c r="H604" s="963" t="n"/>
      <c r="I604" s="963" t="n"/>
      <c r="J604" s="963" t="n"/>
      <c r="K604" s="1226" t="n"/>
      <c r="L604" s="1226" t="n"/>
      <c r="M604" s="1226" t="n"/>
      <c r="N604" s="1227" t="n"/>
      <c r="O604" s="963" t="n"/>
      <c r="P604" s="963" t="n"/>
      <c r="Q604" s="963" t="n"/>
      <c r="R604" s="1228" t="n"/>
      <c r="S604" s="1229" t="n"/>
    </row>
    <row r="605" ht="15.75" customHeight="1" s="1349">
      <c r="A605" s="1222" t="n"/>
      <c r="B605" s="1223" t="n"/>
      <c r="C605" s="1223" t="n"/>
      <c r="D605" s="1224" t="n"/>
      <c r="E605" s="1225" t="n"/>
      <c r="F605" s="1224" t="n"/>
      <c r="G605" s="1224" t="n"/>
      <c r="H605" s="963" t="n"/>
      <c r="I605" s="963" t="n"/>
      <c r="J605" s="963" t="n"/>
      <c r="K605" s="1226" t="n"/>
      <c r="L605" s="1226" t="n"/>
      <c r="M605" s="1226" t="n"/>
      <c r="N605" s="1227" t="n"/>
      <c r="O605" s="963" t="n"/>
      <c r="P605" s="963" t="n"/>
      <c r="Q605" s="963" t="n"/>
      <c r="R605" s="1228" t="n"/>
      <c r="S605" s="1229" t="n"/>
    </row>
    <row r="606" ht="15.75" customHeight="1" s="1349">
      <c r="A606" s="1222" t="n"/>
      <c r="B606" s="1223" t="n"/>
      <c r="C606" s="1223" t="n"/>
      <c r="D606" s="1224" t="n"/>
      <c r="E606" s="1225" t="n"/>
      <c r="F606" s="1224" t="n"/>
      <c r="G606" s="1224" t="n"/>
      <c r="H606" s="963" t="n"/>
      <c r="I606" s="963" t="n"/>
      <c r="J606" s="963" t="n"/>
      <c r="K606" s="1226" t="n"/>
      <c r="L606" s="1226" t="n"/>
      <c r="M606" s="1226" t="n"/>
      <c r="N606" s="1227" t="n"/>
      <c r="O606" s="963" t="n"/>
      <c r="P606" s="963" t="n"/>
      <c r="Q606" s="963" t="n"/>
      <c r="R606" s="1228" t="n"/>
      <c r="S606" s="1229" t="n"/>
    </row>
    <row r="607" ht="15.75" customHeight="1" s="1349">
      <c r="A607" s="1222" t="n"/>
      <c r="B607" s="1223" t="n"/>
      <c r="C607" s="1223" t="n"/>
      <c r="D607" s="1224" t="n"/>
      <c r="E607" s="1225" t="n"/>
      <c r="F607" s="1224" t="n"/>
      <c r="G607" s="1224" t="n"/>
      <c r="H607" s="963" t="n"/>
      <c r="I607" s="963" t="n"/>
      <c r="J607" s="963" t="n"/>
      <c r="K607" s="1226" t="n"/>
      <c r="L607" s="1226" t="n"/>
      <c r="M607" s="1226" t="n"/>
      <c r="N607" s="1227" t="n"/>
      <c r="O607" s="963" t="n"/>
      <c r="P607" s="963" t="n"/>
      <c r="Q607" s="963" t="n"/>
      <c r="R607" s="1228" t="n"/>
      <c r="S607" s="1229" t="n"/>
    </row>
    <row r="608" ht="15.75" customHeight="1" s="1349">
      <c r="A608" s="1222" t="n"/>
      <c r="B608" s="1223" t="n"/>
      <c r="C608" s="1223" t="n"/>
      <c r="D608" s="1224" t="n"/>
      <c r="E608" s="1225" t="n"/>
      <c r="F608" s="1224" t="n"/>
      <c r="G608" s="1224" t="n"/>
      <c r="H608" s="963" t="n"/>
      <c r="I608" s="963" t="n"/>
      <c r="J608" s="963" t="n"/>
      <c r="K608" s="1226" t="n"/>
      <c r="L608" s="1226" t="n"/>
      <c r="M608" s="1226" t="n"/>
      <c r="N608" s="1227" t="n"/>
      <c r="O608" s="963" t="n"/>
      <c r="P608" s="963" t="n"/>
      <c r="Q608" s="963" t="n"/>
      <c r="R608" s="1228" t="n"/>
      <c r="S608" s="1229" t="n"/>
    </row>
    <row r="609" ht="15.75" customHeight="1" s="1349">
      <c r="A609" s="1222" t="n"/>
      <c r="B609" s="1223" t="n"/>
      <c r="C609" s="1223" t="n"/>
      <c r="D609" s="1224" t="n"/>
      <c r="E609" s="1225" t="n"/>
      <c r="F609" s="1224" t="n"/>
      <c r="G609" s="1224" t="n"/>
      <c r="H609" s="963" t="n"/>
      <c r="I609" s="963" t="n"/>
      <c r="J609" s="963" t="n"/>
      <c r="K609" s="1226" t="n"/>
      <c r="L609" s="1226" t="n"/>
      <c r="M609" s="1226" t="n"/>
      <c r="N609" s="1227" t="n"/>
      <c r="O609" s="963" t="n"/>
      <c r="P609" s="963" t="n"/>
      <c r="Q609" s="963" t="n"/>
      <c r="R609" s="1228" t="n"/>
      <c r="S609" s="1229" t="n"/>
    </row>
    <row r="610" ht="15.75" customHeight="1" s="1349">
      <c r="A610" s="1222" t="n"/>
      <c r="B610" s="1223" t="n"/>
      <c r="C610" s="1223" t="n"/>
      <c r="D610" s="1224" t="n"/>
      <c r="E610" s="1225" t="n"/>
      <c r="F610" s="1224" t="n"/>
      <c r="G610" s="1224" t="n"/>
      <c r="H610" s="963" t="n"/>
      <c r="I610" s="963" t="n"/>
      <c r="J610" s="963" t="n"/>
      <c r="K610" s="1226" t="n"/>
      <c r="L610" s="1226" t="n"/>
      <c r="M610" s="1226" t="n"/>
      <c r="N610" s="1227" t="n"/>
      <c r="O610" s="963" t="n"/>
      <c r="P610" s="963" t="n"/>
      <c r="Q610" s="963" t="n"/>
      <c r="R610" s="1228" t="n"/>
      <c r="S610" s="1229" t="n"/>
    </row>
    <row r="611" ht="15.75" customHeight="1" s="1349">
      <c r="A611" s="1222" t="n"/>
      <c r="B611" s="1223" t="n"/>
      <c r="C611" s="1223" t="n"/>
      <c r="D611" s="1224" t="n"/>
      <c r="E611" s="1225" t="n"/>
      <c r="F611" s="1224" t="n"/>
      <c r="G611" s="1224" t="n"/>
      <c r="H611" s="963" t="n"/>
      <c r="I611" s="963" t="n"/>
      <c r="J611" s="963" t="n"/>
      <c r="K611" s="1226" t="n"/>
      <c r="L611" s="1226" t="n"/>
      <c r="M611" s="1226" t="n"/>
      <c r="N611" s="1227" t="n"/>
      <c r="O611" s="963" t="n"/>
      <c r="P611" s="963" t="n"/>
      <c r="Q611" s="963" t="n"/>
      <c r="R611" s="1228" t="n"/>
      <c r="S611" s="1229" t="n"/>
    </row>
    <row r="612" ht="15.75" customHeight="1" s="1349">
      <c r="A612" s="1222" t="n"/>
      <c r="B612" s="1223" t="n"/>
      <c r="C612" s="1223" t="n"/>
      <c r="D612" s="1224" t="n"/>
      <c r="E612" s="1225" t="n"/>
      <c r="F612" s="1224" t="n"/>
      <c r="G612" s="1224" t="n"/>
      <c r="H612" s="963" t="n"/>
      <c r="I612" s="963" t="n"/>
      <c r="J612" s="963" t="n"/>
      <c r="K612" s="1226" t="n"/>
      <c r="L612" s="1226" t="n"/>
      <c r="M612" s="1226" t="n"/>
      <c r="N612" s="1227" t="n"/>
      <c r="O612" s="963" t="n"/>
      <c r="P612" s="963" t="n"/>
      <c r="Q612" s="963" t="n"/>
      <c r="R612" s="1228" t="n"/>
      <c r="S612" s="1229" t="n"/>
    </row>
    <row r="613" ht="15.75" customHeight="1" s="1349">
      <c r="A613" s="1222" t="n"/>
      <c r="B613" s="1223" t="n"/>
      <c r="C613" s="1223" t="n"/>
      <c r="D613" s="1224" t="n"/>
      <c r="E613" s="1225" t="n"/>
      <c r="F613" s="1224" t="n"/>
      <c r="G613" s="1224" t="n"/>
      <c r="H613" s="963" t="n"/>
      <c r="I613" s="963" t="n"/>
      <c r="J613" s="963" t="n"/>
      <c r="K613" s="1226" t="n"/>
      <c r="L613" s="1226" t="n"/>
      <c r="M613" s="1226" t="n"/>
      <c r="N613" s="1227" t="n"/>
      <c r="O613" s="963" t="n"/>
      <c r="P613" s="963" t="n"/>
      <c r="Q613" s="963" t="n"/>
      <c r="R613" s="1228" t="n"/>
      <c r="S613" s="1229" t="n"/>
    </row>
    <row r="614" ht="15.75" customHeight="1" s="1349">
      <c r="A614" s="1222" t="n"/>
      <c r="B614" s="1223" t="n"/>
      <c r="C614" s="1223" t="n"/>
      <c r="D614" s="1224" t="n"/>
      <c r="E614" s="1225" t="n"/>
      <c r="F614" s="1224" t="n"/>
      <c r="G614" s="1224" t="n"/>
      <c r="H614" s="963" t="n"/>
      <c r="I614" s="963" t="n"/>
      <c r="J614" s="963" t="n"/>
      <c r="K614" s="1226" t="n"/>
      <c r="L614" s="1226" t="n"/>
      <c r="M614" s="1226" t="n"/>
      <c r="N614" s="1227" t="n"/>
      <c r="O614" s="963" t="n"/>
      <c r="P614" s="963" t="n"/>
      <c r="Q614" s="963" t="n"/>
      <c r="R614" s="1228" t="n"/>
      <c r="S614" s="1229" t="n"/>
    </row>
    <row r="615" ht="15.75" customHeight="1" s="1349">
      <c r="A615" s="1222" t="n"/>
      <c r="B615" s="1223" t="n"/>
      <c r="C615" s="1223" t="n"/>
      <c r="D615" s="1224" t="n"/>
      <c r="E615" s="1225" t="n"/>
      <c r="F615" s="1224" t="n"/>
      <c r="G615" s="1224" t="n"/>
      <c r="H615" s="963" t="n"/>
      <c r="I615" s="963" t="n"/>
      <c r="J615" s="963" t="n"/>
      <c r="K615" s="1226" t="n"/>
      <c r="L615" s="1226" t="n"/>
      <c r="M615" s="1226" t="n"/>
      <c r="N615" s="1227" t="n"/>
      <c r="O615" s="963" t="n"/>
      <c r="P615" s="963" t="n"/>
      <c r="Q615" s="963" t="n"/>
      <c r="R615" s="1228" t="n"/>
      <c r="S615" s="1229" t="n"/>
    </row>
    <row r="616" ht="15.75" customHeight="1" s="1349">
      <c r="A616" s="1222" t="n"/>
      <c r="B616" s="1223" t="n"/>
      <c r="C616" s="1223" t="n"/>
      <c r="D616" s="1224" t="n"/>
      <c r="E616" s="1225" t="n"/>
      <c r="F616" s="1224" t="n"/>
      <c r="G616" s="1224" t="n"/>
      <c r="H616" s="963" t="n"/>
      <c r="I616" s="963" t="n"/>
      <c r="J616" s="963" t="n"/>
      <c r="K616" s="1226" t="n"/>
      <c r="L616" s="1226" t="n"/>
      <c r="M616" s="1226" t="n"/>
      <c r="N616" s="1227" t="n"/>
      <c r="O616" s="963" t="n"/>
      <c r="P616" s="963" t="n"/>
      <c r="Q616" s="963" t="n"/>
      <c r="R616" s="1228" t="n"/>
      <c r="S616" s="1229" t="n"/>
    </row>
    <row r="617" ht="15.75" customHeight="1" s="1349">
      <c r="A617" s="1222" t="n"/>
      <c r="B617" s="1223" t="n"/>
      <c r="C617" s="1223" t="n"/>
      <c r="D617" s="1224" t="n"/>
      <c r="E617" s="1225" t="n"/>
      <c r="F617" s="1224" t="n"/>
      <c r="G617" s="1224" t="n"/>
      <c r="H617" s="963" t="n"/>
      <c r="I617" s="963" t="n"/>
      <c r="J617" s="963" t="n"/>
      <c r="K617" s="1226" t="n"/>
      <c r="L617" s="1226" t="n"/>
      <c r="M617" s="1226" t="n"/>
      <c r="N617" s="1227" t="n"/>
      <c r="O617" s="963" t="n"/>
      <c r="P617" s="963" t="n"/>
      <c r="Q617" s="963" t="n"/>
      <c r="R617" s="1228" t="n"/>
      <c r="S617" s="1229" t="n"/>
    </row>
    <row r="618" ht="15.75" customHeight="1" s="1349">
      <c r="A618" s="1222" t="n"/>
      <c r="B618" s="1223" t="n"/>
      <c r="C618" s="1223" t="n"/>
      <c r="D618" s="1224" t="n"/>
      <c r="E618" s="1225" t="n"/>
      <c r="F618" s="1224" t="n"/>
      <c r="G618" s="1224" t="n"/>
      <c r="H618" s="963" t="n"/>
      <c r="I618" s="963" t="n"/>
      <c r="J618" s="963" t="n"/>
      <c r="K618" s="1226" t="n"/>
      <c r="L618" s="1226" t="n"/>
      <c r="M618" s="1226" t="n"/>
      <c r="N618" s="1227" t="n"/>
      <c r="O618" s="963" t="n"/>
      <c r="P618" s="963" t="n"/>
      <c r="Q618" s="963" t="n"/>
      <c r="R618" s="1228" t="n"/>
      <c r="S618" s="1229" t="n"/>
    </row>
    <row r="619" ht="15.75" customHeight="1" s="1349">
      <c r="A619" s="1222" t="n"/>
      <c r="B619" s="1223" t="n"/>
      <c r="C619" s="1223" t="n"/>
      <c r="D619" s="1224" t="n"/>
      <c r="E619" s="1225" t="n"/>
      <c r="F619" s="1224" t="n"/>
      <c r="G619" s="1224" t="n"/>
      <c r="H619" s="963" t="n"/>
      <c r="I619" s="963" t="n"/>
      <c r="J619" s="963" t="n"/>
      <c r="K619" s="1226" t="n"/>
      <c r="L619" s="1226" t="n"/>
      <c r="M619" s="1226" t="n"/>
      <c r="N619" s="1227" t="n"/>
      <c r="O619" s="963" t="n"/>
      <c r="P619" s="963" t="n"/>
      <c r="Q619" s="963" t="n"/>
      <c r="R619" s="1228" t="n"/>
      <c r="S619" s="1229" t="n"/>
    </row>
    <row r="620" ht="15.75" customHeight="1" s="1349">
      <c r="A620" s="1222" t="n"/>
      <c r="B620" s="1223" t="n"/>
      <c r="C620" s="1223" t="n"/>
      <c r="D620" s="1224" t="n"/>
      <c r="E620" s="1225" t="n"/>
      <c r="F620" s="1224" t="n"/>
      <c r="G620" s="1224" t="n"/>
      <c r="H620" s="963" t="n"/>
      <c r="I620" s="963" t="n"/>
      <c r="J620" s="963" t="n"/>
      <c r="K620" s="1226" t="n"/>
      <c r="L620" s="1226" t="n"/>
      <c r="M620" s="1226" t="n"/>
      <c r="N620" s="1227" t="n"/>
      <c r="O620" s="963" t="n"/>
      <c r="P620" s="963" t="n"/>
      <c r="Q620" s="963" t="n"/>
      <c r="R620" s="1228" t="n"/>
      <c r="S620" s="1229" t="n"/>
    </row>
    <row r="621" ht="15.75" customHeight="1" s="1349">
      <c r="A621" s="1222" t="n"/>
      <c r="B621" s="1223" t="n"/>
      <c r="C621" s="1223" t="n"/>
      <c r="D621" s="1224" t="n"/>
      <c r="E621" s="1225" t="n"/>
      <c r="F621" s="1224" t="n"/>
      <c r="G621" s="1224" t="n"/>
      <c r="H621" s="963" t="n"/>
      <c r="I621" s="963" t="n"/>
      <c r="J621" s="963" t="n"/>
      <c r="K621" s="1226" t="n"/>
      <c r="L621" s="1226" t="n"/>
      <c r="M621" s="1226" t="n"/>
      <c r="N621" s="1227" t="n"/>
      <c r="O621" s="963" t="n"/>
      <c r="P621" s="963" t="n"/>
      <c r="Q621" s="963" t="n"/>
      <c r="R621" s="1228" t="n"/>
      <c r="S621" s="1229" t="n"/>
    </row>
    <row r="622" ht="15.75" customHeight="1" s="1349">
      <c r="A622" s="1222" t="n"/>
      <c r="B622" s="1223" t="n"/>
      <c r="C622" s="1223" t="n"/>
      <c r="D622" s="1224" t="n"/>
      <c r="E622" s="1225" t="n"/>
      <c r="F622" s="1224" t="n"/>
      <c r="G622" s="1224" t="n"/>
      <c r="H622" s="963" t="n"/>
      <c r="I622" s="963" t="n"/>
      <c r="J622" s="963" t="n"/>
      <c r="K622" s="1226" t="n"/>
      <c r="L622" s="1226" t="n"/>
      <c r="M622" s="1226" t="n"/>
      <c r="N622" s="1227" t="n"/>
      <c r="O622" s="963" t="n"/>
      <c r="P622" s="963" t="n"/>
      <c r="Q622" s="963" t="n"/>
      <c r="R622" s="1228" t="n"/>
      <c r="S622" s="1229" t="n"/>
    </row>
    <row r="623" ht="15.75" customHeight="1" s="1349">
      <c r="A623" s="1222" t="n"/>
      <c r="B623" s="1223" t="n"/>
      <c r="C623" s="1223" t="n"/>
      <c r="D623" s="1224" t="n"/>
      <c r="E623" s="1225" t="n"/>
      <c r="F623" s="1224" t="n"/>
      <c r="G623" s="1224" t="n"/>
      <c r="H623" s="963" t="n"/>
      <c r="I623" s="963" t="n"/>
      <c r="J623" s="963" t="n"/>
      <c r="K623" s="1226" t="n"/>
      <c r="L623" s="1226" t="n"/>
      <c r="M623" s="1226" t="n"/>
      <c r="N623" s="1227" t="n"/>
      <c r="O623" s="963" t="n"/>
      <c r="P623" s="963" t="n"/>
      <c r="Q623" s="963" t="n"/>
      <c r="R623" s="1228" t="n"/>
      <c r="S623" s="1229" t="n"/>
    </row>
    <row r="624" ht="15.75" customHeight="1" s="1349">
      <c r="A624" s="1222" t="n"/>
      <c r="B624" s="1223" t="n"/>
      <c r="C624" s="1223" t="n"/>
      <c r="D624" s="1224" t="n"/>
      <c r="E624" s="1225" t="n"/>
      <c r="F624" s="1224" t="n"/>
      <c r="G624" s="1224" t="n"/>
      <c r="H624" s="963" t="n"/>
      <c r="I624" s="963" t="n"/>
      <c r="J624" s="963" t="n"/>
      <c r="K624" s="1226" t="n"/>
      <c r="L624" s="1226" t="n"/>
      <c r="M624" s="1226" t="n"/>
      <c r="N624" s="1227" t="n"/>
      <c r="O624" s="963" t="n"/>
      <c r="P624" s="963" t="n"/>
      <c r="Q624" s="963" t="n"/>
      <c r="R624" s="1228" t="n"/>
      <c r="S624" s="1229" t="n"/>
    </row>
    <row r="625" ht="15.75" customHeight="1" s="1349">
      <c r="A625" s="1222" t="n"/>
      <c r="B625" s="1223" t="n"/>
      <c r="C625" s="1223" t="n"/>
      <c r="D625" s="1224" t="n"/>
      <c r="E625" s="1225" t="n"/>
      <c r="F625" s="1224" t="n"/>
      <c r="G625" s="1224" t="n"/>
      <c r="H625" s="963" t="n"/>
      <c r="I625" s="963" t="n"/>
      <c r="J625" s="963" t="n"/>
      <c r="K625" s="1226" t="n"/>
      <c r="L625" s="1226" t="n"/>
      <c r="M625" s="1226" t="n"/>
      <c r="N625" s="1227" t="n"/>
      <c r="O625" s="963" t="n"/>
      <c r="P625" s="963" t="n"/>
      <c r="Q625" s="963" t="n"/>
      <c r="R625" s="1228" t="n"/>
      <c r="S625" s="1229" t="n"/>
    </row>
    <row r="626" ht="15.75" customHeight="1" s="1349">
      <c r="A626" s="1222" t="n"/>
      <c r="B626" s="1223" t="n"/>
      <c r="C626" s="1223" t="n"/>
      <c r="D626" s="1224" t="n"/>
      <c r="E626" s="1225" t="n"/>
      <c r="F626" s="1224" t="n"/>
      <c r="G626" s="1224" t="n"/>
      <c r="H626" s="963" t="n"/>
      <c r="I626" s="963" t="n"/>
      <c r="J626" s="963" t="n"/>
      <c r="K626" s="1226" t="n"/>
      <c r="L626" s="1226" t="n"/>
      <c r="M626" s="1226" t="n"/>
      <c r="N626" s="1227" t="n"/>
      <c r="O626" s="963" t="n"/>
      <c r="P626" s="963" t="n"/>
      <c r="Q626" s="963" t="n"/>
      <c r="R626" s="1228" t="n"/>
      <c r="S626" s="1229" t="n"/>
    </row>
    <row r="627" ht="15.75" customHeight="1" s="1349">
      <c r="A627" s="1222" t="n"/>
      <c r="B627" s="1223" t="n"/>
      <c r="C627" s="1223" t="n"/>
      <c r="D627" s="1224" t="n"/>
      <c r="E627" s="1225" t="n"/>
      <c r="F627" s="1224" t="n"/>
      <c r="G627" s="1224" t="n"/>
      <c r="H627" s="963" t="n"/>
      <c r="I627" s="963" t="n"/>
      <c r="J627" s="963" t="n"/>
      <c r="K627" s="1226" t="n"/>
      <c r="L627" s="1226" t="n"/>
      <c r="M627" s="1226" t="n"/>
      <c r="N627" s="1227" t="n"/>
      <c r="O627" s="963" t="n"/>
      <c r="P627" s="963" t="n"/>
      <c r="Q627" s="963" t="n"/>
      <c r="R627" s="1228" t="n"/>
      <c r="S627" s="1229" t="n"/>
    </row>
    <row r="628" ht="15.75" customHeight="1" s="1349">
      <c r="A628" s="1222" t="n"/>
      <c r="B628" s="1223" t="n"/>
      <c r="C628" s="1223" t="n"/>
      <c r="D628" s="1224" t="n"/>
      <c r="E628" s="1225" t="n"/>
      <c r="F628" s="1224" t="n"/>
      <c r="G628" s="1224" t="n"/>
      <c r="H628" s="963" t="n"/>
      <c r="I628" s="963" t="n"/>
      <c r="J628" s="963" t="n"/>
      <c r="K628" s="1226" t="n"/>
      <c r="L628" s="1226" t="n"/>
      <c r="M628" s="1226" t="n"/>
      <c r="N628" s="1227" t="n"/>
      <c r="O628" s="963" t="n"/>
      <c r="P628" s="963" t="n"/>
      <c r="Q628" s="963" t="n"/>
      <c r="R628" s="1228" t="n"/>
      <c r="S628" s="1229" t="n"/>
    </row>
    <row r="629" ht="15.75" customHeight="1" s="1349">
      <c r="A629" s="1222" t="n"/>
      <c r="B629" s="1223" t="n"/>
      <c r="C629" s="1223" t="n"/>
      <c r="D629" s="1224" t="n"/>
      <c r="E629" s="1225" t="n"/>
      <c r="F629" s="1224" t="n"/>
      <c r="G629" s="1224" t="n"/>
      <c r="H629" s="963" t="n"/>
      <c r="I629" s="963" t="n"/>
      <c r="J629" s="963" t="n"/>
      <c r="K629" s="1226" t="n"/>
      <c r="L629" s="1226" t="n"/>
      <c r="M629" s="1226" t="n"/>
      <c r="N629" s="1227" t="n"/>
      <c r="O629" s="963" t="n"/>
      <c r="P629" s="963" t="n"/>
      <c r="Q629" s="963" t="n"/>
      <c r="R629" s="1228" t="n"/>
      <c r="S629" s="1229" t="n"/>
    </row>
    <row r="630" ht="15.75" customHeight="1" s="1349">
      <c r="A630" s="1222" t="n"/>
      <c r="B630" s="1223" t="n"/>
      <c r="C630" s="1223" t="n"/>
      <c r="D630" s="1224" t="n"/>
      <c r="E630" s="1225" t="n"/>
      <c r="F630" s="1224" t="n"/>
      <c r="G630" s="1224" t="n"/>
      <c r="H630" s="963" t="n"/>
      <c r="I630" s="963" t="n"/>
      <c r="J630" s="963" t="n"/>
      <c r="K630" s="1226" t="n"/>
      <c r="L630" s="1226" t="n"/>
      <c r="M630" s="1226" t="n"/>
      <c r="N630" s="1227" t="n"/>
      <c r="O630" s="963" t="n"/>
      <c r="P630" s="963" t="n"/>
      <c r="Q630" s="963" t="n"/>
      <c r="R630" s="1228" t="n"/>
      <c r="S630" s="1229" t="n"/>
    </row>
    <row r="631" ht="15.75" customHeight="1" s="1349">
      <c r="A631" s="1222" t="n"/>
      <c r="B631" s="1223" t="n"/>
      <c r="C631" s="1223" t="n"/>
      <c r="D631" s="1224" t="n"/>
      <c r="E631" s="1225" t="n"/>
      <c r="F631" s="1224" t="n"/>
      <c r="G631" s="1224" t="n"/>
      <c r="H631" s="963" t="n"/>
      <c r="I631" s="963" t="n"/>
      <c r="J631" s="963" t="n"/>
      <c r="K631" s="1226" t="n"/>
      <c r="L631" s="1226" t="n"/>
      <c r="M631" s="1226" t="n"/>
      <c r="N631" s="1227" t="n"/>
      <c r="O631" s="963" t="n"/>
      <c r="P631" s="963" t="n"/>
      <c r="Q631" s="963" t="n"/>
      <c r="R631" s="1228" t="n"/>
      <c r="S631" s="1229" t="n"/>
    </row>
    <row r="632" ht="15.75" customHeight="1" s="1349">
      <c r="A632" s="1222" t="n"/>
      <c r="B632" s="1223" t="n"/>
      <c r="C632" s="1223" t="n"/>
      <c r="D632" s="1224" t="n"/>
      <c r="E632" s="1225" t="n"/>
      <c r="F632" s="1224" t="n"/>
      <c r="G632" s="1224" t="n"/>
      <c r="H632" s="963" t="n"/>
      <c r="I632" s="963" t="n"/>
      <c r="J632" s="963" t="n"/>
      <c r="K632" s="1226" t="n"/>
      <c r="L632" s="1226" t="n"/>
      <c r="M632" s="1226" t="n"/>
      <c r="N632" s="1227" t="n"/>
      <c r="O632" s="963" t="n"/>
      <c r="P632" s="963" t="n"/>
      <c r="Q632" s="963" t="n"/>
      <c r="R632" s="1228" t="n"/>
      <c r="S632" s="1229" t="n"/>
    </row>
    <row r="633" ht="15.75" customHeight="1" s="1349">
      <c r="A633" s="1222" t="n"/>
      <c r="B633" s="1223" t="n"/>
      <c r="C633" s="1223" t="n"/>
      <c r="D633" s="1224" t="n"/>
      <c r="E633" s="1225" t="n"/>
      <c r="F633" s="1224" t="n"/>
      <c r="G633" s="1224" t="n"/>
      <c r="H633" s="963" t="n"/>
      <c r="I633" s="963" t="n"/>
      <c r="J633" s="963" t="n"/>
      <c r="K633" s="1226" t="n"/>
      <c r="L633" s="1226" t="n"/>
      <c r="M633" s="1226" t="n"/>
      <c r="N633" s="1227" t="n"/>
      <c r="O633" s="963" t="n"/>
      <c r="P633" s="963" t="n"/>
      <c r="Q633" s="963" t="n"/>
      <c r="R633" s="1228" t="n"/>
      <c r="S633" s="1229" t="n"/>
    </row>
    <row r="634" ht="15.75" customHeight="1" s="1349">
      <c r="A634" s="1222" t="n"/>
      <c r="B634" s="1223" t="n"/>
      <c r="C634" s="1223" t="n"/>
      <c r="D634" s="1224" t="n"/>
      <c r="E634" s="1225" t="n"/>
      <c r="F634" s="1224" t="n"/>
      <c r="G634" s="1224" t="n"/>
      <c r="H634" s="963" t="n"/>
      <c r="I634" s="963" t="n"/>
      <c r="J634" s="963" t="n"/>
      <c r="K634" s="1226" t="n"/>
      <c r="L634" s="1226" t="n"/>
      <c r="M634" s="1226" t="n"/>
      <c r="N634" s="1227" t="n"/>
      <c r="O634" s="963" t="n"/>
      <c r="P634" s="963" t="n"/>
      <c r="Q634" s="963" t="n"/>
      <c r="R634" s="1228" t="n"/>
      <c r="S634" s="1229" t="n"/>
    </row>
    <row r="635" ht="15.75" customHeight="1" s="1349">
      <c r="A635" s="1222" t="n"/>
      <c r="B635" s="1223" t="n"/>
      <c r="C635" s="1223" t="n"/>
      <c r="D635" s="1224" t="n"/>
      <c r="E635" s="1225" t="n"/>
      <c r="F635" s="1224" t="n"/>
      <c r="G635" s="1224" t="n"/>
      <c r="H635" s="963" t="n"/>
      <c r="I635" s="963" t="n"/>
      <c r="J635" s="963" t="n"/>
      <c r="K635" s="1226" t="n"/>
      <c r="L635" s="1226" t="n"/>
      <c r="M635" s="1226" t="n"/>
      <c r="N635" s="1227" t="n"/>
      <c r="O635" s="963" t="n"/>
      <c r="P635" s="963" t="n"/>
      <c r="Q635" s="963" t="n"/>
      <c r="R635" s="1228" t="n"/>
      <c r="S635" s="1229" t="n"/>
    </row>
    <row r="636" ht="15.75" customHeight="1" s="1349">
      <c r="A636" s="1222" t="n"/>
      <c r="B636" s="1223" t="n"/>
      <c r="C636" s="1223" t="n"/>
      <c r="D636" s="1224" t="n"/>
      <c r="E636" s="1225" t="n"/>
      <c r="F636" s="1224" t="n"/>
      <c r="G636" s="1224" t="n"/>
      <c r="H636" s="963" t="n"/>
      <c r="I636" s="963" t="n"/>
      <c r="J636" s="963" t="n"/>
      <c r="K636" s="1226" t="n"/>
      <c r="L636" s="1226" t="n"/>
      <c r="M636" s="1226" t="n"/>
      <c r="N636" s="1227" t="n"/>
      <c r="O636" s="963" t="n"/>
      <c r="P636" s="963" t="n"/>
      <c r="Q636" s="963" t="n"/>
      <c r="R636" s="1228" t="n"/>
      <c r="S636" s="1229" t="n"/>
    </row>
    <row r="637" ht="15.75" customHeight="1" s="1349">
      <c r="A637" s="1222" t="n"/>
      <c r="B637" s="1223" t="n"/>
      <c r="C637" s="1223" t="n"/>
      <c r="D637" s="1224" t="n"/>
      <c r="E637" s="1225" t="n"/>
      <c r="F637" s="1224" t="n"/>
      <c r="G637" s="1224" t="n"/>
      <c r="H637" s="963" t="n"/>
      <c r="I637" s="963" t="n"/>
      <c r="J637" s="963" t="n"/>
      <c r="K637" s="1226" t="n"/>
      <c r="L637" s="1226" t="n"/>
      <c r="M637" s="1226" t="n"/>
      <c r="N637" s="1227" t="n"/>
      <c r="O637" s="963" t="n"/>
      <c r="P637" s="963" t="n"/>
      <c r="Q637" s="963" t="n"/>
      <c r="R637" s="1228" t="n"/>
      <c r="S637" s="1229" t="n"/>
    </row>
    <row r="638" ht="15.75" customHeight="1" s="1349">
      <c r="A638" s="1222" t="n"/>
      <c r="B638" s="1223" t="n"/>
      <c r="C638" s="1223" t="n"/>
      <c r="D638" s="1224" t="n"/>
      <c r="E638" s="1225" t="n"/>
      <c r="F638" s="1224" t="n"/>
      <c r="G638" s="1224" t="n"/>
      <c r="H638" s="963" t="n"/>
      <c r="I638" s="963" t="n"/>
      <c r="J638" s="963" t="n"/>
      <c r="K638" s="1226" t="n"/>
      <c r="L638" s="1226" t="n"/>
      <c r="M638" s="1226" t="n"/>
      <c r="N638" s="1227" t="n"/>
      <c r="O638" s="963" t="n"/>
      <c r="P638" s="963" t="n"/>
      <c r="Q638" s="963" t="n"/>
      <c r="R638" s="1228" t="n"/>
      <c r="S638" s="1229" t="n"/>
    </row>
    <row r="639" ht="15.75" customHeight="1" s="1349">
      <c r="A639" s="1222" t="n"/>
      <c r="B639" s="1223" t="n"/>
      <c r="C639" s="1223" t="n"/>
      <c r="D639" s="1224" t="n"/>
      <c r="E639" s="1225" t="n"/>
      <c r="F639" s="1224" t="n"/>
      <c r="G639" s="1224" t="n"/>
      <c r="H639" s="963" t="n"/>
      <c r="I639" s="963" t="n"/>
      <c r="J639" s="963" t="n"/>
      <c r="K639" s="1226" t="n"/>
      <c r="L639" s="1226" t="n"/>
      <c r="M639" s="1226" t="n"/>
      <c r="N639" s="1227" t="n"/>
      <c r="O639" s="963" t="n"/>
      <c r="P639" s="963" t="n"/>
      <c r="Q639" s="963" t="n"/>
      <c r="R639" s="1228" t="n"/>
      <c r="S639" s="1229" t="n"/>
    </row>
    <row r="640" ht="15.75" customHeight="1" s="1349">
      <c r="A640" s="1222" t="n"/>
      <c r="B640" s="1223" t="n"/>
      <c r="C640" s="1223" t="n"/>
      <c r="D640" s="1224" t="n"/>
      <c r="E640" s="1225" t="n"/>
      <c r="F640" s="1224" t="n"/>
      <c r="G640" s="1224" t="n"/>
      <c r="H640" s="963" t="n"/>
      <c r="I640" s="963" t="n"/>
      <c r="J640" s="963" t="n"/>
      <c r="K640" s="1226" t="n"/>
      <c r="L640" s="1226" t="n"/>
      <c r="M640" s="1226" t="n"/>
      <c r="N640" s="1227" t="n"/>
      <c r="O640" s="963" t="n"/>
      <c r="P640" s="963" t="n"/>
      <c r="Q640" s="963" t="n"/>
      <c r="R640" s="1228" t="n"/>
      <c r="S640" s="1229" t="n"/>
    </row>
    <row r="641" ht="15.75" customHeight="1" s="1349">
      <c r="A641" s="1222" t="n"/>
      <c r="B641" s="1223" t="n"/>
      <c r="C641" s="1223" t="n"/>
      <c r="D641" s="1224" t="n"/>
      <c r="E641" s="1225" t="n"/>
      <c r="F641" s="1224" t="n"/>
      <c r="G641" s="1224" t="n"/>
      <c r="H641" s="963" t="n"/>
      <c r="I641" s="963" t="n"/>
      <c r="J641" s="963" t="n"/>
      <c r="K641" s="1226" t="n"/>
      <c r="L641" s="1226" t="n"/>
      <c r="M641" s="1226" t="n"/>
      <c r="N641" s="1227" t="n"/>
      <c r="O641" s="963" t="n"/>
      <c r="P641" s="963" t="n"/>
      <c r="Q641" s="963" t="n"/>
      <c r="R641" s="1228" t="n"/>
      <c r="S641" s="1229" t="n"/>
    </row>
    <row r="642" ht="15.75" customHeight="1" s="1349">
      <c r="A642" s="1222" t="n"/>
      <c r="B642" s="1223" t="n"/>
      <c r="C642" s="1223" t="n"/>
      <c r="D642" s="1224" t="n"/>
      <c r="E642" s="1225" t="n"/>
      <c r="F642" s="1224" t="n"/>
      <c r="G642" s="1224" t="n"/>
      <c r="H642" s="963" t="n"/>
      <c r="I642" s="963" t="n"/>
      <c r="J642" s="963" t="n"/>
      <c r="K642" s="1226" t="n"/>
      <c r="L642" s="1226" t="n"/>
      <c r="M642" s="1226" t="n"/>
      <c r="N642" s="1227" t="n"/>
      <c r="O642" s="963" t="n"/>
      <c r="P642" s="963" t="n"/>
      <c r="Q642" s="963" t="n"/>
      <c r="R642" s="1228" t="n"/>
      <c r="S642" s="1229" t="n"/>
    </row>
    <row r="643" ht="15.75" customHeight="1" s="1349">
      <c r="A643" s="1222" t="n"/>
      <c r="B643" s="1223" t="n"/>
      <c r="C643" s="1223" t="n"/>
      <c r="D643" s="1224" t="n"/>
      <c r="E643" s="1225" t="n"/>
      <c r="F643" s="1224" t="n"/>
      <c r="G643" s="1224" t="n"/>
      <c r="H643" s="963" t="n"/>
      <c r="I643" s="963" t="n"/>
      <c r="J643" s="963" t="n"/>
      <c r="K643" s="1226" t="n"/>
      <c r="L643" s="1226" t="n"/>
      <c r="M643" s="1226" t="n"/>
      <c r="N643" s="1227" t="n"/>
      <c r="O643" s="963" t="n"/>
      <c r="P643" s="963" t="n"/>
      <c r="Q643" s="963" t="n"/>
      <c r="R643" s="1228" t="n"/>
      <c r="S643" s="1229" t="n"/>
    </row>
    <row r="644" ht="15.75" customHeight="1" s="1349">
      <c r="A644" s="1222" t="n"/>
      <c r="B644" s="1223" t="n"/>
      <c r="C644" s="1223" t="n"/>
      <c r="D644" s="1224" t="n"/>
      <c r="E644" s="1225" t="n"/>
      <c r="F644" s="1224" t="n"/>
      <c r="G644" s="1224" t="n"/>
      <c r="H644" s="963" t="n"/>
      <c r="I644" s="963" t="n"/>
      <c r="J644" s="963" t="n"/>
      <c r="K644" s="1226" t="n"/>
      <c r="L644" s="1226" t="n"/>
      <c r="M644" s="1226" t="n"/>
      <c r="N644" s="1227" t="n"/>
      <c r="O644" s="963" t="n"/>
      <c r="P644" s="963" t="n"/>
      <c r="Q644" s="963" t="n"/>
      <c r="R644" s="1228" t="n"/>
      <c r="S644" s="1229" t="n"/>
    </row>
    <row r="645" ht="15.75" customHeight="1" s="1349">
      <c r="A645" s="1222" t="n"/>
      <c r="B645" s="1223" t="n"/>
      <c r="C645" s="1223" t="n"/>
      <c r="D645" s="1224" t="n"/>
      <c r="E645" s="1225" t="n"/>
      <c r="F645" s="1224" t="n"/>
      <c r="G645" s="1224" t="n"/>
      <c r="H645" s="963" t="n"/>
      <c r="I645" s="963" t="n"/>
      <c r="J645" s="963" t="n"/>
      <c r="K645" s="1226" t="n"/>
      <c r="L645" s="1226" t="n"/>
      <c r="M645" s="1226" t="n"/>
      <c r="N645" s="1227" t="n"/>
      <c r="O645" s="963" t="n"/>
      <c r="P645" s="963" t="n"/>
      <c r="Q645" s="963" t="n"/>
      <c r="R645" s="1228" t="n"/>
      <c r="S645" s="1229" t="n"/>
    </row>
    <row r="646" ht="15.75" customHeight="1" s="1349">
      <c r="A646" s="1222" t="n"/>
      <c r="B646" s="1223" t="n"/>
      <c r="C646" s="1223" t="n"/>
      <c r="D646" s="1224" t="n"/>
      <c r="E646" s="1225" t="n"/>
      <c r="F646" s="1224" t="n"/>
      <c r="G646" s="1224" t="n"/>
      <c r="H646" s="963" t="n"/>
      <c r="I646" s="963" t="n"/>
      <c r="J646" s="963" t="n"/>
      <c r="K646" s="1226" t="n"/>
      <c r="L646" s="1226" t="n"/>
      <c r="M646" s="1226" t="n"/>
      <c r="N646" s="1227" t="n"/>
      <c r="O646" s="963" t="n"/>
      <c r="P646" s="963" t="n"/>
      <c r="Q646" s="963" t="n"/>
      <c r="R646" s="1228" t="n"/>
      <c r="S646" s="1229" t="n"/>
    </row>
    <row r="647" ht="15.75" customHeight="1" s="1349">
      <c r="A647" s="1222" t="n"/>
      <c r="B647" s="1223" t="n"/>
      <c r="C647" s="1223" t="n"/>
      <c r="D647" s="1224" t="n"/>
      <c r="E647" s="1225" t="n"/>
      <c r="F647" s="1224" t="n"/>
      <c r="G647" s="1224" t="n"/>
      <c r="H647" s="963" t="n"/>
      <c r="I647" s="963" t="n"/>
      <c r="J647" s="963" t="n"/>
      <c r="K647" s="1226" t="n"/>
      <c r="L647" s="1226" t="n"/>
      <c r="M647" s="1226" t="n"/>
      <c r="N647" s="1227" t="n"/>
      <c r="O647" s="963" t="n"/>
      <c r="P647" s="963" t="n"/>
      <c r="Q647" s="963" t="n"/>
      <c r="R647" s="1228" t="n"/>
      <c r="S647" s="1229" t="n"/>
    </row>
    <row r="648" ht="15.75" customHeight="1" s="1349">
      <c r="A648" s="1222" t="n"/>
      <c r="B648" s="1223" t="n"/>
      <c r="C648" s="1223" t="n"/>
      <c r="D648" s="1224" t="n"/>
      <c r="E648" s="1225" t="n"/>
      <c r="F648" s="1224" t="n"/>
      <c r="G648" s="1224" t="n"/>
      <c r="H648" s="963" t="n"/>
      <c r="I648" s="963" t="n"/>
      <c r="J648" s="963" t="n"/>
      <c r="K648" s="1226" t="n"/>
      <c r="L648" s="1226" t="n"/>
      <c r="M648" s="1226" t="n"/>
      <c r="N648" s="1227" t="n"/>
      <c r="O648" s="963" t="n"/>
      <c r="P648" s="963" t="n"/>
      <c r="Q648" s="963" t="n"/>
      <c r="R648" s="1228" t="n"/>
      <c r="S648" s="1229" t="n"/>
    </row>
    <row r="649" ht="15.75" customHeight="1" s="1349">
      <c r="A649" s="1222" t="n"/>
      <c r="B649" s="1223" t="n"/>
      <c r="C649" s="1223" t="n"/>
      <c r="D649" s="1224" t="n"/>
      <c r="E649" s="1225" t="n"/>
      <c r="F649" s="1224" t="n"/>
      <c r="G649" s="1224" t="n"/>
      <c r="H649" s="963" t="n"/>
      <c r="I649" s="963" t="n"/>
      <c r="J649" s="963" t="n"/>
      <c r="K649" s="1226" t="n"/>
      <c r="L649" s="1226" t="n"/>
      <c r="M649" s="1226" t="n"/>
      <c r="N649" s="1227" t="n"/>
      <c r="O649" s="963" t="n"/>
      <c r="P649" s="963" t="n"/>
      <c r="Q649" s="963" t="n"/>
      <c r="R649" s="1228" t="n"/>
      <c r="S649" s="1229" t="n"/>
    </row>
    <row r="650" ht="15.75" customHeight="1" s="1349">
      <c r="A650" s="1222" t="n"/>
      <c r="B650" s="1223" t="n"/>
      <c r="C650" s="1223" t="n"/>
      <c r="D650" s="1224" t="n"/>
      <c r="E650" s="1225" t="n"/>
      <c r="F650" s="1224" t="n"/>
      <c r="G650" s="1224" t="n"/>
      <c r="H650" s="963" t="n"/>
      <c r="I650" s="963" t="n"/>
      <c r="J650" s="963" t="n"/>
      <c r="K650" s="1226" t="n"/>
      <c r="L650" s="1226" t="n"/>
      <c r="M650" s="1226" t="n"/>
      <c r="N650" s="1227" t="n"/>
      <c r="O650" s="963" t="n"/>
      <c r="P650" s="963" t="n"/>
      <c r="Q650" s="963" t="n"/>
      <c r="R650" s="1228" t="n"/>
      <c r="S650" s="1229" t="n"/>
    </row>
    <row r="651" ht="15.75" customHeight="1" s="1349">
      <c r="A651" s="1222" t="n"/>
      <c r="B651" s="1223" t="n"/>
      <c r="C651" s="1223" t="n"/>
      <c r="D651" s="1224" t="n"/>
      <c r="E651" s="1225" t="n"/>
      <c r="F651" s="1224" t="n"/>
      <c r="G651" s="1224" t="n"/>
      <c r="H651" s="963" t="n"/>
      <c r="I651" s="963" t="n"/>
      <c r="J651" s="963" t="n"/>
      <c r="K651" s="1226" t="n"/>
      <c r="L651" s="1226" t="n"/>
      <c r="M651" s="1226" t="n"/>
      <c r="N651" s="1227" t="n"/>
      <c r="O651" s="963" t="n"/>
      <c r="P651" s="963" t="n"/>
      <c r="Q651" s="963" t="n"/>
      <c r="R651" s="1228" t="n"/>
      <c r="S651" s="1229" t="n"/>
    </row>
    <row r="652" ht="15.75" customHeight="1" s="1349">
      <c r="A652" s="1222" t="n"/>
      <c r="B652" s="1223" t="n"/>
      <c r="C652" s="1223" t="n"/>
      <c r="D652" s="1224" t="n"/>
      <c r="E652" s="1225" t="n"/>
      <c r="F652" s="1224" t="n"/>
      <c r="G652" s="1224" t="n"/>
      <c r="H652" s="963" t="n"/>
      <c r="I652" s="963" t="n"/>
      <c r="J652" s="963" t="n"/>
      <c r="K652" s="1226" t="n"/>
      <c r="L652" s="1226" t="n"/>
      <c r="M652" s="1226" t="n"/>
      <c r="N652" s="1227" t="n"/>
      <c r="O652" s="963" t="n"/>
      <c r="P652" s="963" t="n"/>
      <c r="Q652" s="963" t="n"/>
      <c r="R652" s="1228" t="n"/>
      <c r="S652" s="1229" t="n"/>
    </row>
    <row r="653" ht="15.75" customHeight="1" s="1349">
      <c r="A653" s="1222" t="n"/>
      <c r="B653" s="1223" t="n"/>
      <c r="C653" s="1223" t="n"/>
      <c r="D653" s="1224" t="n"/>
      <c r="E653" s="1225" t="n"/>
      <c r="F653" s="1224" t="n"/>
      <c r="G653" s="1224" t="n"/>
      <c r="H653" s="963" t="n"/>
      <c r="I653" s="963" t="n"/>
      <c r="J653" s="963" t="n"/>
      <c r="K653" s="1226" t="n"/>
      <c r="L653" s="1226" t="n"/>
      <c r="M653" s="1226" t="n"/>
      <c r="N653" s="1227" t="n"/>
      <c r="O653" s="963" t="n"/>
      <c r="P653" s="963" t="n"/>
      <c r="Q653" s="963" t="n"/>
      <c r="R653" s="1228" t="n"/>
      <c r="S653" s="1229" t="n"/>
    </row>
    <row r="654" ht="15.75" customHeight="1" s="1349">
      <c r="A654" s="1222" t="n"/>
      <c r="B654" s="1223" t="n"/>
      <c r="C654" s="1223" t="n"/>
      <c r="D654" s="1224" t="n"/>
      <c r="E654" s="1225" t="n"/>
      <c r="F654" s="1224" t="n"/>
      <c r="G654" s="1224" t="n"/>
      <c r="H654" s="963" t="n"/>
      <c r="I654" s="963" t="n"/>
      <c r="J654" s="963" t="n"/>
      <c r="K654" s="1226" t="n"/>
      <c r="L654" s="1226" t="n"/>
      <c r="M654" s="1226" t="n"/>
      <c r="N654" s="1227" t="n"/>
      <c r="O654" s="963" t="n"/>
      <c r="P654" s="963" t="n"/>
      <c r="Q654" s="963" t="n"/>
      <c r="R654" s="1228" t="n"/>
      <c r="S654" s="1229" t="n"/>
    </row>
    <row r="655" ht="15.75" customHeight="1" s="1349">
      <c r="A655" s="1222" t="n"/>
      <c r="B655" s="1223" t="n"/>
      <c r="C655" s="1223" t="n"/>
      <c r="D655" s="1224" t="n"/>
      <c r="E655" s="1225" t="n"/>
      <c r="F655" s="1224" t="n"/>
      <c r="G655" s="1224" t="n"/>
      <c r="H655" s="963" t="n"/>
      <c r="I655" s="963" t="n"/>
      <c r="J655" s="963" t="n"/>
      <c r="K655" s="1226" t="n"/>
      <c r="L655" s="1226" t="n"/>
      <c r="M655" s="1226" t="n"/>
      <c r="N655" s="1227" t="n"/>
      <c r="O655" s="963" t="n"/>
      <c r="P655" s="963" t="n"/>
      <c r="Q655" s="963" t="n"/>
      <c r="R655" s="1228" t="n"/>
      <c r="S655" s="1229" t="n"/>
    </row>
    <row r="656" ht="15.75" customHeight="1" s="1349">
      <c r="A656" s="1222" t="n"/>
      <c r="B656" s="1223" t="n"/>
      <c r="C656" s="1223" t="n"/>
      <c r="D656" s="1224" t="n"/>
      <c r="E656" s="1225" t="n"/>
      <c r="F656" s="1224" t="n"/>
      <c r="G656" s="1224" t="n"/>
      <c r="H656" s="963" t="n"/>
      <c r="I656" s="963" t="n"/>
      <c r="J656" s="963" t="n"/>
      <c r="K656" s="1226" t="n"/>
      <c r="L656" s="1226" t="n"/>
      <c r="M656" s="1226" t="n"/>
      <c r="N656" s="1227" t="n"/>
      <c r="O656" s="963" t="n"/>
      <c r="P656" s="963" t="n"/>
      <c r="Q656" s="963" t="n"/>
      <c r="R656" s="1228" t="n"/>
      <c r="S656" s="1229" t="n"/>
    </row>
    <row r="657" ht="15.75" customHeight="1" s="1349">
      <c r="A657" s="1222" t="n"/>
      <c r="B657" s="1223" t="n"/>
      <c r="C657" s="1223" t="n"/>
      <c r="D657" s="1224" t="n"/>
      <c r="E657" s="1225" t="n"/>
      <c r="F657" s="1224" t="n"/>
      <c r="G657" s="1224" t="n"/>
      <c r="H657" s="963" t="n"/>
      <c r="I657" s="963" t="n"/>
      <c r="J657" s="963" t="n"/>
      <c r="K657" s="1226" t="n"/>
      <c r="L657" s="1226" t="n"/>
      <c r="M657" s="1226" t="n"/>
      <c r="N657" s="1227" t="n"/>
      <c r="O657" s="963" t="n"/>
      <c r="P657" s="963" t="n"/>
      <c r="Q657" s="963" t="n"/>
      <c r="R657" s="1228" t="n"/>
      <c r="S657" s="1229" t="n"/>
    </row>
    <row r="658" ht="15.75" customHeight="1" s="1349">
      <c r="A658" s="1222" t="n"/>
      <c r="B658" s="1223" t="n"/>
      <c r="C658" s="1223" t="n"/>
      <c r="D658" s="1224" t="n"/>
      <c r="E658" s="1225" t="n"/>
      <c r="F658" s="1224" t="n"/>
      <c r="G658" s="1224" t="n"/>
      <c r="H658" s="963" t="n"/>
      <c r="I658" s="963" t="n"/>
      <c r="J658" s="963" t="n"/>
      <c r="K658" s="1226" t="n"/>
      <c r="L658" s="1226" t="n"/>
      <c r="M658" s="1226" t="n"/>
      <c r="N658" s="1227" t="n"/>
      <c r="O658" s="963" t="n"/>
      <c r="P658" s="963" t="n"/>
      <c r="Q658" s="963" t="n"/>
      <c r="R658" s="1228" t="n"/>
      <c r="S658" s="1229" t="n"/>
    </row>
    <row r="659" ht="15.75" customHeight="1" s="1349">
      <c r="A659" s="1222" t="n"/>
      <c r="B659" s="1223" t="n"/>
      <c r="C659" s="1223" t="n"/>
      <c r="D659" s="1224" t="n"/>
      <c r="E659" s="1225" t="n"/>
      <c r="F659" s="1224" t="n"/>
      <c r="G659" s="1224" t="n"/>
      <c r="H659" s="963" t="n"/>
      <c r="I659" s="963" t="n"/>
      <c r="J659" s="963" t="n"/>
      <c r="K659" s="1226" t="n"/>
      <c r="L659" s="1226" t="n"/>
      <c r="M659" s="1226" t="n"/>
      <c r="N659" s="1227" t="n"/>
      <c r="O659" s="963" t="n"/>
      <c r="P659" s="963" t="n"/>
      <c r="Q659" s="963" t="n"/>
      <c r="R659" s="1228" t="n"/>
      <c r="S659" s="1229" t="n"/>
    </row>
    <row r="660" ht="15.75" customHeight="1" s="1349">
      <c r="A660" s="1222" t="n"/>
      <c r="B660" s="1223" t="n"/>
      <c r="C660" s="1223" t="n"/>
      <c r="D660" s="1224" t="n"/>
      <c r="E660" s="1225" t="n"/>
      <c r="F660" s="1224" t="n"/>
      <c r="G660" s="1224" t="n"/>
      <c r="H660" s="963" t="n"/>
      <c r="I660" s="963" t="n"/>
      <c r="J660" s="963" t="n"/>
      <c r="K660" s="1226" t="n"/>
      <c r="L660" s="1226" t="n"/>
      <c r="M660" s="1226" t="n"/>
      <c r="N660" s="1227" t="n"/>
      <c r="O660" s="963" t="n"/>
      <c r="P660" s="963" t="n"/>
      <c r="Q660" s="963" t="n"/>
      <c r="R660" s="1228" t="n"/>
      <c r="S660" s="1229" t="n"/>
    </row>
    <row r="661" ht="15.75" customHeight="1" s="1349">
      <c r="A661" s="1222" t="n"/>
      <c r="B661" s="1223" t="n"/>
      <c r="C661" s="1223" t="n"/>
      <c r="D661" s="1224" t="n"/>
      <c r="E661" s="1225" t="n"/>
      <c r="F661" s="1224" t="n"/>
      <c r="G661" s="1224" t="n"/>
      <c r="H661" s="963" t="n"/>
      <c r="I661" s="963" t="n"/>
      <c r="J661" s="963" t="n"/>
      <c r="K661" s="1226" t="n"/>
      <c r="L661" s="1226" t="n"/>
      <c r="M661" s="1226" t="n"/>
      <c r="N661" s="1227" t="n"/>
      <c r="O661" s="963" t="n"/>
      <c r="P661" s="963" t="n"/>
      <c r="Q661" s="963" t="n"/>
      <c r="R661" s="1228" t="n"/>
      <c r="S661" s="1229" t="n"/>
    </row>
    <row r="662" ht="15.75" customHeight="1" s="1349">
      <c r="A662" s="1222" t="n"/>
      <c r="B662" s="1223" t="n"/>
      <c r="C662" s="1223" t="n"/>
      <c r="D662" s="1224" t="n"/>
      <c r="E662" s="1225" t="n"/>
      <c r="F662" s="1224" t="n"/>
      <c r="G662" s="1224" t="n"/>
      <c r="H662" s="963" t="n"/>
      <c r="I662" s="963" t="n"/>
      <c r="J662" s="963" t="n"/>
      <c r="K662" s="1226" t="n"/>
      <c r="L662" s="1226" t="n"/>
      <c r="M662" s="1226" t="n"/>
      <c r="N662" s="1227" t="n"/>
      <c r="O662" s="963" t="n"/>
      <c r="P662" s="963" t="n"/>
      <c r="Q662" s="963" t="n"/>
      <c r="R662" s="1228" t="n"/>
      <c r="S662" s="1229" t="n"/>
    </row>
    <row r="663" ht="15.75" customHeight="1" s="1349">
      <c r="A663" s="1222" t="n"/>
      <c r="B663" s="1223" t="n"/>
      <c r="C663" s="1223" t="n"/>
      <c r="D663" s="1224" t="n"/>
      <c r="E663" s="1225" t="n"/>
      <c r="F663" s="1224" t="n"/>
      <c r="G663" s="1224" t="n"/>
      <c r="H663" s="963" t="n"/>
      <c r="I663" s="963" t="n"/>
      <c r="J663" s="963" t="n"/>
      <c r="K663" s="1226" t="n"/>
      <c r="L663" s="1226" t="n"/>
      <c r="M663" s="1226" t="n"/>
      <c r="N663" s="1227" t="n"/>
      <c r="O663" s="963" t="n"/>
      <c r="P663" s="963" t="n"/>
      <c r="Q663" s="963" t="n"/>
      <c r="R663" s="1228" t="n"/>
      <c r="S663" s="1229" t="n"/>
    </row>
    <row r="664" ht="15.75" customHeight="1" s="1349">
      <c r="A664" s="1222" t="n"/>
      <c r="B664" s="1223" t="n"/>
      <c r="C664" s="1223" t="n"/>
      <c r="D664" s="1224" t="n"/>
      <c r="E664" s="1225" t="n"/>
      <c r="F664" s="1224" t="n"/>
      <c r="G664" s="1224" t="n"/>
      <c r="H664" s="963" t="n"/>
      <c r="I664" s="963" t="n"/>
      <c r="J664" s="963" t="n"/>
      <c r="K664" s="1226" t="n"/>
      <c r="L664" s="1226" t="n"/>
      <c r="M664" s="1226" t="n"/>
      <c r="N664" s="1227" t="n"/>
      <c r="O664" s="963" t="n"/>
      <c r="P664" s="963" t="n"/>
      <c r="Q664" s="963" t="n"/>
      <c r="R664" s="1228" t="n"/>
      <c r="S664" s="1229" t="n"/>
    </row>
    <row r="665" ht="15.75" customHeight="1" s="1349">
      <c r="A665" s="1222" t="n"/>
      <c r="B665" s="1223" t="n"/>
      <c r="C665" s="1223" t="n"/>
      <c r="D665" s="1224" t="n"/>
      <c r="E665" s="1225" t="n"/>
      <c r="F665" s="1224" t="n"/>
      <c r="G665" s="1224" t="n"/>
      <c r="H665" s="963" t="n"/>
      <c r="I665" s="963" t="n"/>
      <c r="J665" s="963" t="n"/>
      <c r="K665" s="1226" t="n"/>
      <c r="L665" s="1226" t="n"/>
      <c r="M665" s="1226" t="n"/>
      <c r="N665" s="1227" t="n"/>
      <c r="O665" s="963" t="n"/>
      <c r="P665" s="963" t="n"/>
      <c r="Q665" s="963" t="n"/>
      <c r="R665" s="1228" t="n"/>
      <c r="S665" s="1229" t="n"/>
    </row>
    <row r="666" ht="15.75" customHeight="1" s="1349">
      <c r="A666" s="1222" t="n"/>
      <c r="B666" s="1223" t="n"/>
      <c r="C666" s="1223" t="n"/>
      <c r="D666" s="1224" t="n"/>
      <c r="E666" s="1225" t="n"/>
      <c r="F666" s="1224" t="n"/>
      <c r="G666" s="1224" t="n"/>
      <c r="H666" s="963" t="n"/>
      <c r="I666" s="963" t="n"/>
      <c r="J666" s="963" t="n"/>
      <c r="K666" s="1226" t="n"/>
      <c r="L666" s="1226" t="n"/>
      <c r="M666" s="1226" t="n"/>
      <c r="N666" s="1227" t="n"/>
      <c r="O666" s="963" t="n"/>
      <c r="P666" s="963" t="n"/>
      <c r="Q666" s="963" t="n"/>
      <c r="R666" s="1228" t="n"/>
      <c r="S666" s="1229" t="n"/>
    </row>
    <row r="667" ht="15.75" customHeight="1" s="1349">
      <c r="A667" s="1222" t="n"/>
      <c r="B667" s="1223" t="n"/>
      <c r="C667" s="1223" t="n"/>
      <c r="D667" s="1224" t="n"/>
      <c r="E667" s="1225" t="n"/>
      <c r="F667" s="1224" t="n"/>
      <c r="G667" s="1224" t="n"/>
      <c r="H667" s="963" t="n"/>
      <c r="I667" s="963" t="n"/>
      <c r="J667" s="963" t="n"/>
      <c r="K667" s="1226" t="n"/>
      <c r="L667" s="1226" t="n"/>
      <c r="M667" s="1226" t="n"/>
      <c r="N667" s="1227" t="n"/>
      <c r="O667" s="963" t="n"/>
      <c r="P667" s="963" t="n"/>
      <c r="Q667" s="963" t="n"/>
      <c r="R667" s="1228" t="n"/>
      <c r="S667" s="1229" t="n"/>
    </row>
    <row r="668" ht="15.75" customHeight="1" s="1349">
      <c r="A668" s="1222" t="n"/>
      <c r="B668" s="1223" t="n"/>
      <c r="C668" s="1223" t="n"/>
      <c r="D668" s="1224" t="n"/>
      <c r="E668" s="1225" t="n"/>
      <c r="F668" s="1224" t="n"/>
      <c r="G668" s="1224" t="n"/>
      <c r="H668" s="963" t="n"/>
      <c r="I668" s="963" t="n"/>
      <c r="J668" s="963" t="n"/>
      <c r="K668" s="1226" t="n"/>
      <c r="L668" s="1226" t="n"/>
      <c r="M668" s="1226" t="n"/>
      <c r="N668" s="1227" t="n"/>
      <c r="O668" s="963" t="n"/>
      <c r="P668" s="963" t="n"/>
      <c r="Q668" s="963" t="n"/>
      <c r="R668" s="1228" t="n"/>
      <c r="S668" s="1229" t="n"/>
    </row>
    <row r="669" ht="15.75" customHeight="1" s="1349">
      <c r="A669" s="1222" t="n"/>
      <c r="B669" s="1223" t="n"/>
      <c r="C669" s="1223" t="n"/>
      <c r="D669" s="1224" t="n"/>
      <c r="E669" s="1225" t="n"/>
      <c r="F669" s="1224" t="n"/>
      <c r="G669" s="1224" t="n"/>
      <c r="H669" s="963" t="n"/>
      <c r="I669" s="963" t="n"/>
      <c r="J669" s="963" t="n"/>
      <c r="K669" s="1226" t="n"/>
      <c r="L669" s="1226" t="n"/>
      <c r="M669" s="1226" t="n"/>
      <c r="N669" s="1227" t="n"/>
      <c r="O669" s="963" t="n"/>
      <c r="P669" s="963" t="n"/>
      <c r="Q669" s="963" t="n"/>
      <c r="R669" s="1228" t="n"/>
      <c r="S669" s="1229" t="n"/>
    </row>
    <row r="670" ht="15.75" customHeight="1" s="1349">
      <c r="A670" s="1222" t="n"/>
      <c r="B670" s="1223" t="n"/>
      <c r="C670" s="1223" t="n"/>
      <c r="D670" s="1224" t="n"/>
      <c r="E670" s="1225" t="n"/>
      <c r="F670" s="1224" t="n"/>
      <c r="G670" s="1224" t="n"/>
      <c r="H670" s="963" t="n"/>
      <c r="I670" s="963" t="n"/>
      <c r="J670" s="963" t="n"/>
      <c r="K670" s="1226" t="n"/>
      <c r="L670" s="1226" t="n"/>
      <c r="M670" s="1226" t="n"/>
      <c r="N670" s="1227" t="n"/>
      <c r="O670" s="963" t="n"/>
      <c r="P670" s="963" t="n"/>
      <c r="Q670" s="963" t="n"/>
      <c r="R670" s="1228" t="n"/>
      <c r="S670" s="1229" t="n"/>
    </row>
    <row r="671" ht="15.75" customHeight="1" s="1349">
      <c r="A671" s="1222" t="n"/>
      <c r="B671" s="1223" t="n"/>
      <c r="C671" s="1223" t="n"/>
      <c r="D671" s="1224" t="n"/>
      <c r="E671" s="1225" t="n"/>
      <c r="F671" s="1224" t="n"/>
      <c r="G671" s="1224" t="n"/>
      <c r="H671" s="963" t="n"/>
      <c r="I671" s="963" t="n"/>
      <c r="J671" s="963" t="n"/>
      <c r="K671" s="1226" t="n"/>
      <c r="L671" s="1226" t="n"/>
      <c r="M671" s="1226" t="n"/>
      <c r="N671" s="1227" t="n"/>
      <c r="O671" s="963" t="n"/>
      <c r="P671" s="963" t="n"/>
      <c r="Q671" s="963" t="n"/>
      <c r="R671" s="1228" t="n"/>
      <c r="S671" s="1229" t="n"/>
    </row>
    <row r="672" ht="15.75" customHeight="1" s="1349">
      <c r="A672" s="1222" t="n"/>
      <c r="B672" s="1223" t="n"/>
      <c r="C672" s="1223" t="n"/>
      <c r="D672" s="1224" t="n"/>
      <c r="E672" s="1225" t="n"/>
      <c r="F672" s="1224" t="n"/>
      <c r="G672" s="1224" t="n"/>
      <c r="H672" s="963" t="n"/>
      <c r="I672" s="963" t="n"/>
      <c r="J672" s="963" t="n"/>
      <c r="K672" s="1226" t="n"/>
      <c r="L672" s="1226" t="n"/>
      <c r="M672" s="1226" t="n"/>
      <c r="N672" s="1227" t="n"/>
      <c r="O672" s="963" t="n"/>
      <c r="P672" s="963" t="n"/>
      <c r="Q672" s="963" t="n"/>
      <c r="R672" s="1228" t="n"/>
      <c r="S672" s="1229" t="n"/>
    </row>
    <row r="673" ht="15.75" customHeight="1" s="1349">
      <c r="A673" s="1222" t="n"/>
      <c r="B673" s="1223" t="n"/>
      <c r="C673" s="1223" t="n"/>
      <c r="D673" s="1224" t="n"/>
      <c r="E673" s="1225" t="n"/>
      <c r="F673" s="1224" t="n"/>
      <c r="G673" s="1224" t="n"/>
      <c r="H673" s="963" t="n"/>
      <c r="I673" s="963" t="n"/>
      <c r="J673" s="963" t="n"/>
      <c r="K673" s="1226" t="n"/>
      <c r="L673" s="1226" t="n"/>
      <c r="M673" s="1226" t="n"/>
      <c r="N673" s="1227" t="n"/>
      <c r="O673" s="963" t="n"/>
      <c r="P673" s="963" t="n"/>
      <c r="Q673" s="963" t="n"/>
      <c r="R673" s="1228" t="n"/>
      <c r="S673" s="1229" t="n"/>
    </row>
    <row r="674" ht="15.75" customHeight="1" s="1349">
      <c r="A674" s="1222" t="n"/>
      <c r="B674" s="1223" t="n"/>
      <c r="C674" s="1223" t="n"/>
      <c r="D674" s="1224" t="n"/>
      <c r="E674" s="1225" t="n"/>
      <c r="F674" s="1224" t="n"/>
      <c r="G674" s="1224" t="n"/>
      <c r="H674" s="963" t="n"/>
      <c r="I674" s="963" t="n"/>
      <c r="J674" s="963" t="n"/>
      <c r="K674" s="1226" t="n"/>
      <c r="L674" s="1226" t="n"/>
      <c r="M674" s="1226" t="n"/>
      <c r="N674" s="1227" t="n"/>
      <c r="O674" s="963" t="n"/>
      <c r="P674" s="963" t="n"/>
      <c r="Q674" s="963" t="n"/>
      <c r="R674" s="1228" t="n"/>
      <c r="S674" s="1229" t="n"/>
    </row>
    <row r="675" ht="15.75" customHeight="1" s="1349">
      <c r="A675" s="1222" t="n"/>
      <c r="B675" s="1223" t="n"/>
      <c r="C675" s="1223" t="n"/>
      <c r="D675" s="1224" t="n"/>
      <c r="E675" s="1225" t="n"/>
      <c r="F675" s="1224" t="n"/>
      <c r="G675" s="1224" t="n"/>
      <c r="H675" s="963" t="n"/>
      <c r="I675" s="963" t="n"/>
      <c r="J675" s="963" t="n"/>
      <c r="K675" s="1226" t="n"/>
      <c r="L675" s="1226" t="n"/>
      <c r="M675" s="1226" t="n"/>
      <c r="N675" s="1227" t="n"/>
      <c r="O675" s="963" t="n"/>
      <c r="P675" s="963" t="n"/>
      <c r="Q675" s="963" t="n"/>
      <c r="R675" s="1228" t="n"/>
      <c r="S675" s="1229" t="n"/>
    </row>
    <row r="676" ht="15.75" customHeight="1" s="1349">
      <c r="A676" s="1222" t="n"/>
      <c r="B676" s="1223" t="n"/>
      <c r="C676" s="1223" t="n"/>
      <c r="D676" s="1224" t="n"/>
      <c r="E676" s="1225" t="n"/>
      <c r="F676" s="1224" t="n"/>
      <c r="G676" s="1224" t="n"/>
      <c r="H676" s="963" t="n"/>
      <c r="I676" s="963" t="n"/>
      <c r="J676" s="963" t="n"/>
      <c r="K676" s="1226" t="n"/>
      <c r="L676" s="1226" t="n"/>
      <c r="M676" s="1226" t="n"/>
      <c r="N676" s="1227" t="n"/>
      <c r="O676" s="963" t="n"/>
      <c r="P676" s="963" t="n"/>
      <c r="Q676" s="963" t="n"/>
      <c r="R676" s="1228" t="n"/>
      <c r="S676" s="1229" t="n"/>
    </row>
    <row r="677" ht="15.75" customHeight="1" s="1349">
      <c r="A677" s="1222" t="n"/>
      <c r="B677" s="1223" t="n"/>
      <c r="C677" s="1223" t="n"/>
      <c r="D677" s="1224" t="n"/>
      <c r="E677" s="1225" t="n"/>
      <c r="F677" s="1224" t="n"/>
      <c r="G677" s="1224" t="n"/>
      <c r="H677" s="963" t="n"/>
      <c r="I677" s="963" t="n"/>
      <c r="J677" s="963" t="n"/>
      <c r="K677" s="1226" t="n"/>
      <c r="L677" s="1226" t="n"/>
      <c r="M677" s="1226" t="n"/>
      <c r="N677" s="1227" t="n"/>
      <c r="O677" s="963" t="n"/>
      <c r="P677" s="963" t="n"/>
      <c r="Q677" s="963" t="n"/>
      <c r="R677" s="1228" t="n"/>
      <c r="S677" s="1229" t="n"/>
    </row>
    <row r="678" ht="15.75" customHeight="1" s="1349">
      <c r="A678" s="1222" t="n"/>
      <c r="B678" s="1223" t="n"/>
      <c r="C678" s="1223" t="n"/>
      <c r="D678" s="1224" t="n"/>
      <c r="E678" s="1225" t="n"/>
      <c r="F678" s="1224" t="n"/>
      <c r="G678" s="1224" t="n"/>
      <c r="H678" s="963" t="n"/>
      <c r="I678" s="963" t="n"/>
      <c r="J678" s="963" t="n"/>
      <c r="K678" s="1226" t="n"/>
      <c r="L678" s="1226" t="n"/>
      <c r="M678" s="1226" t="n"/>
      <c r="N678" s="1227" t="n"/>
      <c r="O678" s="963" t="n"/>
      <c r="P678" s="963" t="n"/>
      <c r="Q678" s="963" t="n"/>
      <c r="R678" s="1228" t="n"/>
      <c r="S678" s="1229" t="n"/>
    </row>
    <row r="679" ht="15.75" customHeight="1" s="1349">
      <c r="A679" s="1222" t="n"/>
      <c r="B679" s="1223" t="n"/>
      <c r="C679" s="1223" t="n"/>
      <c r="D679" s="1224" t="n"/>
      <c r="E679" s="1225" t="n"/>
      <c r="F679" s="1224" t="n"/>
      <c r="G679" s="1224" t="n"/>
      <c r="H679" s="963" t="n"/>
      <c r="I679" s="963" t="n"/>
      <c r="J679" s="963" t="n"/>
      <c r="K679" s="1226" t="n"/>
      <c r="L679" s="1226" t="n"/>
      <c r="M679" s="1226" t="n"/>
      <c r="N679" s="1227" t="n"/>
      <c r="O679" s="963" t="n"/>
      <c r="P679" s="963" t="n"/>
      <c r="Q679" s="963" t="n"/>
      <c r="R679" s="1228" t="n"/>
      <c r="S679" s="1229" t="n"/>
    </row>
    <row r="680" ht="15.75" customHeight="1" s="1349">
      <c r="A680" s="1222" t="n"/>
      <c r="B680" s="1223" t="n"/>
      <c r="C680" s="1223" t="n"/>
      <c r="D680" s="1224" t="n"/>
      <c r="E680" s="1225" t="n"/>
      <c r="F680" s="1224" t="n"/>
      <c r="G680" s="1224" t="n"/>
      <c r="H680" s="963" t="n"/>
      <c r="I680" s="963" t="n"/>
      <c r="J680" s="963" t="n"/>
      <c r="K680" s="1226" t="n"/>
      <c r="L680" s="1226" t="n"/>
      <c r="M680" s="1226" t="n"/>
      <c r="N680" s="1227" t="n"/>
      <c r="O680" s="963" t="n"/>
      <c r="P680" s="963" t="n"/>
      <c r="Q680" s="963" t="n"/>
      <c r="R680" s="1228" t="n"/>
      <c r="S680" s="1229" t="n"/>
    </row>
    <row r="681" ht="15.75" customHeight="1" s="1349">
      <c r="A681" s="1222" t="n"/>
      <c r="B681" s="1223" t="n"/>
      <c r="C681" s="1223" t="n"/>
      <c r="D681" s="1224" t="n"/>
      <c r="E681" s="1225" t="n"/>
      <c r="F681" s="1224" t="n"/>
      <c r="G681" s="1224" t="n"/>
      <c r="H681" s="963" t="n"/>
      <c r="I681" s="963" t="n"/>
      <c r="J681" s="963" t="n"/>
      <c r="K681" s="1226" t="n"/>
      <c r="L681" s="1226" t="n"/>
      <c r="M681" s="1226" t="n"/>
      <c r="N681" s="1227" t="n"/>
      <c r="O681" s="963" t="n"/>
      <c r="P681" s="963" t="n"/>
      <c r="Q681" s="963" t="n"/>
      <c r="R681" s="1228" t="n"/>
      <c r="S681" s="1229" t="n"/>
    </row>
    <row r="682" ht="15.75" customHeight="1" s="1349">
      <c r="A682" s="1222" t="n"/>
      <c r="B682" s="1223" t="n"/>
      <c r="C682" s="1223" t="n"/>
      <c r="D682" s="1224" t="n"/>
      <c r="E682" s="1225" t="n"/>
      <c r="F682" s="1224" t="n"/>
      <c r="G682" s="1224" t="n"/>
      <c r="H682" s="963" t="n"/>
      <c r="I682" s="963" t="n"/>
      <c r="J682" s="963" t="n"/>
      <c r="K682" s="1226" t="n"/>
      <c r="L682" s="1226" t="n"/>
      <c r="M682" s="1226" t="n"/>
      <c r="N682" s="1227" t="n"/>
      <c r="O682" s="963" t="n"/>
      <c r="P682" s="963" t="n"/>
      <c r="Q682" s="963" t="n"/>
      <c r="R682" s="1228" t="n"/>
      <c r="S682" s="1229" t="n"/>
    </row>
    <row r="683" ht="15.75" customHeight="1" s="1349">
      <c r="A683" s="1222" t="n"/>
      <c r="B683" s="1223" t="n"/>
      <c r="C683" s="1223" t="n"/>
      <c r="D683" s="1224" t="n"/>
      <c r="E683" s="1225" t="n"/>
      <c r="F683" s="1224" t="n"/>
      <c r="G683" s="1224" t="n"/>
      <c r="H683" s="963" t="n"/>
      <c r="I683" s="963" t="n"/>
      <c r="J683" s="963" t="n"/>
      <c r="K683" s="1226" t="n"/>
      <c r="L683" s="1226" t="n"/>
      <c r="M683" s="1226" t="n"/>
      <c r="N683" s="1227" t="n"/>
      <c r="O683" s="963" t="n"/>
      <c r="P683" s="963" t="n"/>
      <c r="Q683" s="963" t="n"/>
      <c r="R683" s="1228" t="n"/>
      <c r="S683" s="1229" t="n"/>
    </row>
    <row r="684" ht="15.75" customHeight="1" s="1349">
      <c r="A684" s="1222" t="n"/>
      <c r="B684" s="1223" t="n"/>
      <c r="C684" s="1223" t="n"/>
      <c r="D684" s="1224" t="n"/>
      <c r="E684" s="1225" t="n"/>
      <c r="F684" s="1224" t="n"/>
      <c r="G684" s="1224" t="n"/>
      <c r="H684" s="963" t="n"/>
      <c r="I684" s="963" t="n"/>
      <c r="J684" s="963" t="n"/>
      <c r="K684" s="1226" t="n"/>
      <c r="L684" s="1226" t="n"/>
      <c r="M684" s="1226" t="n"/>
      <c r="N684" s="1227" t="n"/>
      <c r="O684" s="963" t="n"/>
      <c r="P684" s="963" t="n"/>
      <c r="Q684" s="963" t="n"/>
      <c r="R684" s="1228" t="n"/>
      <c r="S684" s="1229" t="n"/>
    </row>
    <row r="685" ht="15.75" customHeight="1" s="1349">
      <c r="A685" s="1222" t="n"/>
      <c r="B685" s="1223" t="n"/>
      <c r="C685" s="1223" t="n"/>
      <c r="D685" s="1224" t="n"/>
      <c r="E685" s="1225" t="n"/>
      <c r="F685" s="1224" t="n"/>
      <c r="G685" s="1224" t="n"/>
      <c r="H685" s="963" t="n"/>
      <c r="I685" s="963" t="n"/>
      <c r="J685" s="963" t="n"/>
      <c r="K685" s="1226" t="n"/>
      <c r="L685" s="1226" t="n"/>
      <c r="M685" s="1226" t="n"/>
      <c r="N685" s="1227" t="n"/>
      <c r="O685" s="963" t="n"/>
      <c r="P685" s="963" t="n"/>
      <c r="Q685" s="963" t="n"/>
      <c r="R685" s="1228" t="n"/>
      <c r="S685" s="1229" t="n"/>
    </row>
    <row r="686" ht="15.75" customHeight="1" s="1349">
      <c r="A686" s="1222" t="n"/>
      <c r="B686" s="1223" t="n"/>
      <c r="C686" s="1223" t="n"/>
      <c r="D686" s="1224" t="n"/>
      <c r="E686" s="1225" t="n"/>
      <c r="F686" s="1224" t="n"/>
      <c r="G686" s="1224" t="n"/>
      <c r="H686" s="963" t="n"/>
      <c r="I686" s="963" t="n"/>
      <c r="J686" s="963" t="n"/>
      <c r="K686" s="1226" t="n"/>
      <c r="L686" s="1226" t="n"/>
      <c r="M686" s="1226" t="n"/>
      <c r="N686" s="1227" t="n"/>
      <c r="O686" s="963" t="n"/>
      <c r="P686" s="963" t="n"/>
      <c r="Q686" s="963" t="n"/>
      <c r="R686" s="1228" t="n"/>
      <c r="S686" s="1229" t="n"/>
    </row>
    <row r="687" ht="15.75" customHeight="1" s="1349">
      <c r="A687" s="1222" t="n"/>
      <c r="B687" s="1223" t="n"/>
      <c r="C687" s="1223" t="n"/>
      <c r="D687" s="1224" t="n"/>
      <c r="E687" s="1225" t="n"/>
      <c r="F687" s="1224" t="n"/>
      <c r="G687" s="1224" t="n"/>
      <c r="H687" s="963" t="n"/>
      <c r="I687" s="963" t="n"/>
      <c r="J687" s="963" t="n"/>
      <c r="K687" s="1226" t="n"/>
      <c r="L687" s="1226" t="n"/>
      <c r="M687" s="1226" t="n"/>
      <c r="N687" s="1227" t="n"/>
      <c r="O687" s="963" t="n"/>
      <c r="P687" s="963" t="n"/>
      <c r="Q687" s="963" t="n"/>
      <c r="R687" s="1228" t="n"/>
      <c r="S687" s="1229" t="n"/>
    </row>
    <row r="688" ht="15.75" customHeight="1" s="1349">
      <c r="A688" s="1222" t="n"/>
      <c r="B688" s="1223" t="n"/>
      <c r="C688" s="1223" t="n"/>
      <c r="D688" s="1224" t="n"/>
      <c r="E688" s="1225" t="n"/>
      <c r="F688" s="1224" t="n"/>
      <c r="G688" s="1224" t="n"/>
      <c r="H688" s="963" t="n"/>
      <c r="I688" s="963" t="n"/>
      <c r="J688" s="963" t="n"/>
      <c r="K688" s="1226" t="n"/>
      <c r="L688" s="1226" t="n"/>
      <c r="M688" s="1226" t="n"/>
      <c r="N688" s="1227" t="n"/>
      <c r="O688" s="963" t="n"/>
      <c r="P688" s="963" t="n"/>
      <c r="Q688" s="963" t="n"/>
      <c r="R688" s="1228" t="n"/>
      <c r="S688" s="1229" t="n"/>
    </row>
    <row r="689" ht="15.75" customHeight="1" s="1349">
      <c r="A689" s="1222" t="n"/>
      <c r="B689" s="1223" t="n"/>
      <c r="C689" s="1223" t="n"/>
      <c r="D689" s="1224" t="n"/>
      <c r="E689" s="1225" t="n"/>
      <c r="F689" s="1224" t="n"/>
      <c r="G689" s="1224" t="n"/>
      <c r="H689" s="963" t="n"/>
      <c r="I689" s="963" t="n"/>
      <c r="J689" s="963" t="n"/>
      <c r="K689" s="1226" t="n"/>
      <c r="L689" s="1226" t="n"/>
      <c r="M689" s="1226" t="n"/>
      <c r="N689" s="1227" t="n"/>
      <c r="O689" s="963" t="n"/>
      <c r="P689" s="963" t="n"/>
      <c r="Q689" s="963" t="n"/>
      <c r="R689" s="1228" t="n"/>
      <c r="S689" s="1229" t="n"/>
    </row>
    <row r="690" ht="15.75" customHeight="1" s="1349">
      <c r="A690" s="1222" t="n"/>
      <c r="B690" s="1223" t="n"/>
      <c r="C690" s="1223" t="n"/>
      <c r="D690" s="1224" t="n"/>
      <c r="E690" s="1225" t="n"/>
      <c r="F690" s="1224" t="n"/>
      <c r="G690" s="1224" t="n"/>
      <c r="H690" s="963" t="n"/>
      <c r="I690" s="963" t="n"/>
      <c r="J690" s="963" t="n"/>
      <c r="K690" s="1226" t="n"/>
      <c r="L690" s="1226" t="n"/>
      <c r="M690" s="1226" t="n"/>
      <c r="N690" s="1227" t="n"/>
      <c r="O690" s="963" t="n"/>
      <c r="P690" s="963" t="n"/>
      <c r="Q690" s="963" t="n"/>
      <c r="R690" s="1228" t="n"/>
      <c r="S690" s="1229" t="n"/>
    </row>
    <row r="691" ht="15.75" customHeight="1" s="1349">
      <c r="A691" s="1222" t="n"/>
      <c r="B691" s="1223" t="n"/>
      <c r="C691" s="1223" t="n"/>
      <c r="D691" s="1224" t="n"/>
      <c r="E691" s="1225" t="n"/>
      <c r="F691" s="1224" t="n"/>
      <c r="G691" s="1224" t="n"/>
      <c r="H691" s="963" t="n"/>
      <c r="I691" s="963" t="n"/>
      <c r="J691" s="963" t="n"/>
      <c r="K691" s="1226" t="n"/>
      <c r="L691" s="1226" t="n"/>
      <c r="M691" s="1226" t="n"/>
      <c r="N691" s="1227" t="n"/>
      <c r="O691" s="963" t="n"/>
      <c r="P691" s="963" t="n"/>
      <c r="Q691" s="963" t="n"/>
      <c r="R691" s="1228" t="n"/>
      <c r="S691" s="1229" t="n"/>
    </row>
    <row r="692" ht="15.75" customHeight="1" s="1349">
      <c r="A692" s="1222" t="n"/>
      <c r="B692" s="1223" t="n"/>
      <c r="C692" s="1223" t="n"/>
      <c r="D692" s="1224" t="n"/>
      <c r="E692" s="1225" t="n"/>
      <c r="F692" s="1224" t="n"/>
      <c r="G692" s="1224" t="n"/>
      <c r="H692" s="963" t="n"/>
      <c r="I692" s="963" t="n"/>
      <c r="J692" s="963" t="n"/>
      <c r="K692" s="1226" t="n"/>
      <c r="L692" s="1226" t="n"/>
      <c r="M692" s="1226" t="n"/>
      <c r="N692" s="1227" t="n"/>
      <c r="O692" s="963" t="n"/>
      <c r="P692" s="963" t="n"/>
      <c r="Q692" s="963" t="n"/>
      <c r="R692" s="1228" t="n"/>
      <c r="S692" s="1229" t="n"/>
    </row>
    <row r="693" ht="15.75" customHeight="1" s="1349">
      <c r="A693" s="1222" t="n"/>
      <c r="B693" s="1223" t="n"/>
      <c r="C693" s="1223" t="n"/>
      <c r="D693" s="1224" t="n"/>
      <c r="E693" s="1225" t="n"/>
      <c r="F693" s="1224" t="n"/>
      <c r="G693" s="1224" t="n"/>
      <c r="H693" s="963" t="n"/>
      <c r="I693" s="963" t="n"/>
      <c r="J693" s="963" t="n"/>
      <c r="K693" s="1226" t="n"/>
      <c r="L693" s="1226" t="n"/>
      <c r="M693" s="1226" t="n"/>
      <c r="N693" s="1227" t="n"/>
      <c r="O693" s="963" t="n"/>
      <c r="P693" s="963" t="n"/>
      <c r="Q693" s="963" t="n"/>
      <c r="R693" s="1228" t="n"/>
      <c r="S693" s="1229" t="n"/>
    </row>
    <row r="694" ht="15.75" customHeight="1" s="1349">
      <c r="A694" s="1222" t="n"/>
      <c r="B694" s="1223" t="n"/>
      <c r="C694" s="1223" t="n"/>
      <c r="D694" s="1224" t="n"/>
      <c r="E694" s="1225" t="n"/>
      <c r="F694" s="1224" t="n"/>
      <c r="G694" s="1224" t="n"/>
      <c r="H694" s="963" t="n"/>
      <c r="I694" s="963" t="n"/>
      <c r="J694" s="963" t="n"/>
      <c r="K694" s="1226" t="n"/>
      <c r="L694" s="1226" t="n"/>
      <c r="M694" s="1226" t="n"/>
      <c r="N694" s="1227" t="n"/>
      <c r="O694" s="963" t="n"/>
      <c r="P694" s="963" t="n"/>
      <c r="Q694" s="963" t="n"/>
      <c r="R694" s="1228" t="n"/>
      <c r="S694" s="1229" t="n"/>
    </row>
    <row r="695" ht="15.75" customHeight="1" s="1349">
      <c r="A695" s="1222" t="n"/>
      <c r="B695" s="1223" t="n"/>
      <c r="C695" s="1223" t="n"/>
      <c r="D695" s="1224" t="n"/>
      <c r="E695" s="1225" t="n"/>
      <c r="F695" s="1224" t="n"/>
      <c r="G695" s="1224" t="n"/>
      <c r="H695" s="963" t="n"/>
      <c r="I695" s="963" t="n"/>
      <c r="J695" s="963" t="n"/>
      <c r="K695" s="1226" t="n"/>
      <c r="L695" s="1226" t="n"/>
      <c r="M695" s="1226" t="n"/>
      <c r="N695" s="1227" t="n"/>
      <c r="O695" s="963" t="n"/>
      <c r="P695" s="963" t="n"/>
      <c r="Q695" s="963" t="n"/>
      <c r="R695" s="1228" t="n"/>
      <c r="S695" s="1229" t="n"/>
    </row>
    <row r="696" ht="15.75" customHeight="1" s="1349">
      <c r="A696" s="1222" t="n"/>
      <c r="B696" s="1223" t="n"/>
      <c r="C696" s="1223" t="n"/>
      <c r="D696" s="1224" t="n"/>
      <c r="E696" s="1225" t="n"/>
      <c r="F696" s="1224" t="n"/>
      <c r="G696" s="1224" t="n"/>
      <c r="H696" s="963" t="n"/>
      <c r="I696" s="963" t="n"/>
      <c r="J696" s="963" t="n"/>
      <c r="K696" s="1226" t="n"/>
      <c r="L696" s="1226" t="n"/>
      <c r="M696" s="1226" t="n"/>
      <c r="N696" s="1227" t="n"/>
      <c r="O696" s="963" t="n"/>
      <c r="P696" s="963" t="n"/>
      <c r="Q696" s="963" t="n"/>
      <c r="R696" s="1228" t="n"/>
      <c r="S696" s="1229" t="n"/>
    </row>
    <row r="697" ht="15.75" customHeight="1" s="1349">
      <c r="A697" s="1222" t="n"/>
      <c r="B697" s="1223" t="n"/>
      <c r="C697" s="1223" t="n"/>
      <c r="D697" s="1224" t="n"/>
      <c r="E697" s="1225" t="n"/>
      <c r="F697" s="1224" t="n"/>
      <c r="G697" s="1224" t="n"/>
      <c r="H697" s="963" t="n"/>
      <c r="I697" s="963" t="n"/>
      <c r="J697" s="963" t="n"/>
      <c r="K697" s="1226" t="n"/>
      <c r="L697" s="1226" t="n"/>
      <c r="M697" s="1226" t="n"/>
      <c r="N697" s="1227" t="n"/>
      <c r="O697" s="963" t="n"/>
      <c r="P697" s="963" t="n"/>
      <c r="Q697" s="963" t="n"/>
      <c r="R697" s="1228" t="n"/>
      <c r="S697" s="1229" t="n"/>
    </row>
    <row r="698" ht="15.75" customHeight="1" s="1349">
      <c r="A698" s="1222" t="n"/>
      <c r="B698" s="1223" t="n"/>
      <c r="C698" s="1223" t="n"/>
      <c r="D698" s="1224" t="n"/>
      <c r="E698" s="1225" t="n"/>
      <c r="F698" s="1224" t="n"/>
      <c r="G698" s="1224" t="n"/>
      <c r="H698" s="963" t="n"/>
      <c r="I698" s="963" t="n"/>
      <c r="J698" s="963" t="n"/>
      <c r="K698" s="1226" t="n"/>
      <c r="L698" s="1226" t="n"/>
      <c r="M698" s="1226" t="n"/>
      <c r="N698" s="1227" t="n"/>
      <c r="O698" s="963" t="n"/>
      <c r="P698" s="963" t="n"/>
      <c r="Q698" s="963" t="n"/>
      <c r="R698" s="1228" t="n"/>
      <c r="S698" s="1229" t="n"/>
    </row>
    <row r="699" ht="15.75" customHeight="1" s="1349">
      <c r="A699" s="1222" t="n"/>
      <c r="B699" s="1223" t="n"/>
      <c r="C699" s="1223" t="n"/>
      <c r="D699" s="1224" t="n"/>
      <c r="E699" s="1225" t="n"/>
      <c r="F699" s="1224" t="n"/>
      <c r="G699" s="1224" t="n"/>
      <c r="H699" s="963" t="n"/>
      <c r="I699" s="963" t="n"/>
      <c r="J699" s="963" t="n"/>
      <c r="K699" s="1226" t="n"/>
      <c r="L699" s="1226" t="n"/>
      <c r="M699" s="1226" t="n"/>
      <c r="N699" s="1227" t="n"/>
      <c r="O699" s="963" t="n"/>
      <c r="P699" s="963" t="n"/>
      <c r="Q699" s="963" t="n"/>
      <c r="R699" s="1228" t="n"/>
      <c r="S699" s="1229" t="n"/>
    </row>
    <row r="700" ht="15.75" customHeight="1" s="1349">
      <c r="A700" s="1222" t="n"/>
      <c r="B700" s="1223" t="n"/>
      <c r="C700" s="1223" t="n"/>
      <c r="D700" s="1224" t="n"/>
      <c r="E700" s="1225" t="n"/>
      <c r="F700" s="1224" t="n"/>
      <c r="G700" s="1224" t="n"/>
      <c r="H700" s="963" t="n"/>
      <c r="I700" s="963" t="n"/>
      <c r="J700" s="963" t="n"/>
      <c r="K700" s="1226" t="n"/>
      <c r="L700" s="1226" t="n"/>
      <c r="M700" s="1226" t="n"/>
      <c r="N700" s="1227" t="n"/>
      <c r="O700" s="963" t="n"/>
      <c r="P700" s="963" t="n"/>
      <c r="Q700" s="963" t="n"/>
      <c r="R700" s="1228" t="n"/>
      <c r="S700" s="1229" t="n"/>
    </row>
    <row r="701" ht="15.75" customHeight="1" s="1349">
      <c r="A701" s="1222" t="n"/>
      <c r="B701" s="1223" t="n"/>
      <c r="C701" s="1223" t="n"/>
      <c r="D701" s="1224" t="n"/>
      <c r="E701" s="1225" t="n"/>
      <c r="F701" s="1224" t="n"/>
      <c r="G701" s="1224" t="n"/>
      <c r="H701" s="963" t="n"/>
      <c r="I701" s="963" t="n"/>
      <c r="J701" s="963" t="n"/>
      <c r="K701" s="1226" t="n"/>
      <c r="L701" s="1226" t="n"/>
      <c r="M701" s="1226" t="n"/>
      <c r="N701" s="1227" t="n"/>
      <c r="O701" s="963" t="n"/>
      <c r="P701" s="963" t="n"/>
      <c r="Q701" s="963" t="n"/>
      <c r="R701" s="1228" t="n"/>
      <c r="S701" s="1229" t="n"/>
    </row>
    <row r="702" ht="15.75" customHeight="1" s="1349">
      <c r="A702" s="1222" t="n"/>
      <c r="B702" s="1223" t="n"/>
      <c r="C702" s="1223" t="n"/>
      <c r="D702" s="1224" t="n"/>
      <c r="E702" s="1225" t="n"/>
      <c r="F702" s="1224" t="n"/>
      <c r="G702" s="1224" t="n"/>
      <c r="H702" s="963" t="n"/>
      <c r="I702" s="963" t="n"/>
      <c r="J702" s="963" t="n"/>
      <c r="K702" s="1226" t="n"/>
      <c r="L702" s="1226" t="n"/>
      <c r="M702" s="1226" t="n"/>
      <c r="N702" s="1227" t="n"/>
      <c r="O702" s="963" t="n"/>
      <c r="P702" s="963" t="n"/>
      <c r="Q702" s="963" t="n"/>
      <c r="R702" s="1228" t="n"/>
      <c r="S702" s="1229" t="n"/>
    </row>
    <row r="703" ht="15.75" customHeight="1" s="1349">
      <c r="A703" s="1222" t="n"/>
      <c r="B703" s="1223" t="n"/>
      <c r="C703" s="1223" t="n"/>
      <c r="D703" s="1224" t="n"/>
      <c r="E703" s="1225" t="n"/>
      <c r="F703" s="1224" t="n"/>
      <c r="G703" s="1224" t="n"/>
      <c r="H703" s="963" t="n"/>
      <c r="I703" s="963" t="n"/>
      <c r="J703" s="963" t="n"/>
      <c r="K703" s="1226" t="n"/>
      <c r="L703" s="1226" t="n"/>
      <c r="M703" s="1226" t="n"/>
      <c r="N703" s="1227" t="n"/>
      <c r="O703" s="963" t="n"/>
      <c r="P703" s="963" t="n"/>
      <c r="Q703" s="963" t="n"/>
      <c r="R703" s="1228" t="n"/>
      <c r="S703" s="1229" t="n"/>
    </row>
    <row r="704" ht="15.75" customHeight="1" s="1349">
      <c r="A704" s="1222" t="n"/>
      <c r="B704" s="1223" t="n"/>
      <c r="C704" s="1223" t="n"/>
      <c r="D704" s="1224" t="n"/>
      <c r="E704" s="1225" t="n"/>
      <c r="F704" s="1224" t="n"/>
      <c r="G704" s="1224" t="n"/>
      <c r="H704" s="963" t="n"/>
      <c r="I704" s="963" t="n"/>
      <c r="J704" s="963" t="n"/>
      <c r="K704" s="1226" t="n"/>
      <c r="L704" s="1226" t="n"/>
      <c r="M704" s="1226" t="n"/>
      <c r="N704" s="1227" t="n"/>
      <c r="O704" s="963" t="n"/>
      <c r="P704" s="963" t="n"/>
      <c r="Q704" s="963" t="n"/>
      <c r="R704" s="1228" t="n"/>
      <c r="S704" s="1229" t="n"/>
    </row>
    <row r="705" ht="15.75" customHeight="1" s="1349">
      <c r="A705" s="1222" t="n"/>
      <c r="B705" s="1223" t="n"/>
      <c r="C705" s="1223" t="n"/>
      <c r="D705" s="1224" t="n"/>
      <c r="E705" s="1225" t="n"/>
      <c r="F705" s="1224" t="n"/>
      <c r="G705" s="1224" t="n"/>
      <c r="H705" s="963" t="n"/>
      <c r="I705" s="963" t="n"/>
      <c r="J705" s="963" t="n"/>
      <c r="K705" s="1226" t="n"/>
      <c r="L705" s="1226" t="n"/>
      <c r="M705" s="1226" t="n"/>
      <c r="N705" s="1227" t="n"/>
      <c r="O705" s="963" t="n"/>
      <c r="P705" s="963" t="n"/>
      <c r="Q705" s="963" t="n"/>
      <c r="R705" s="1228" t="n"/>
      <c r="S705" s="1229" t="n"/>
    </row>
    <row r="706" ht="15.75" customHeight="1" s="1349">
      <c r="A706" s="1222" t="n"/>
      <c r="B706" s="1223" t="n"/>
      <c r="C706" s="1223" t="n"/>
      <c r="D706" s="1224" t="n"/>
      <c r="E706" s="1225" t="n"/>
      <c r="F706" s="1224" t="n"/>
      <c r="G706" s="1224" t="n"/>
      <c r="H706" s="963" t="n"/>
      <c r="I706" s="963" t="n"/>
      <c r="J706" s="963" t="n"/>
      <c r="K706" s="1226" t="n"/>
      <c r="L706" s="1226" t="n"/>
      <c r="M706" s="1226" t="n"/>
      <c r="N706" s="1227" t="n"/>
      <c r="O706" s="963" t="n"/>
      <c r="P706" s="963" t="n"/>
      <c r="Q706" s="963" t="n"/>
      <c r="R706" s="1228" t="n"/>
      <c r="S706" s="1229" t="n"/>
    </row>
    <row r="707" ht="15.75" customHeight="1" s="1349">
      <c r="A707" s="1222" t="n"/>
      <c r="B707" s="1223" t="n"/>
      <c r="C707" s="1223" t="n"/>
      <c r="D707" s="1224" t="n"/>
      <c r="E707" s="1225" t="n"/>
      <c r="F707" s="1224" t="n"/>
      <c r="G707" s="1224" t="n"/>
      <c r="H707" s="963" t="n"/>
      <c r="I707" s="963" t="n"/>
      <c r="J707" s="963" t="n"/>
      <c r="K707" s="1226" t="n"/>
      <c r="L707" s="1226" t="n"/>
      <c r="M707" s="1226" t="n"/>
      <c r="N707" s="1227" t="n"/>
      <c r="O707" s="963" t="n"/>
      <c r="P707" s="963" t="n"/>
      <c r="Q707" s="963" t="n"/>
      <c r="R707" s="1228" t="n"/>
      <c r="S707" s="1229" t="n"/>
    </row>
    <row r="708" ht="15.75" customHeight="1" s="1349">
      <c r="A708" s="1222" t="n"/>
      <c r="B708" s="1223" t="n"/>
      <c r="C708" s="1223" t="n"/>
      <c r="D708" s="1224" t="n"/>
      <c r="E708" s="1225" t="n"/>
      <c r="F708" s="1224" t="n"/>
      <c r="G708" s="1224" t="n"/>
      <c r="H708" s="963" t="n"/>
      <c r="I708" s="963" t="n"/>
      <c r="J708" s="963" t="n"/>
      <c r="K708" s="1226" t="n"/>
      <c r="L708" s="1226" t="n"/>
      <c r="M708" s="1226" t="n"/>
      <c r="N708" s="1227" t="n"/>
      <c r="O708" s="963" t="n"/>
      <c r="P708" s="963" t="n"/>
      <c r="Q708" s="963" t="n"/>
      <c r="R708" s="1228" t="n"/>
      <c r="S708" s="1229" t="n"/>
    </row>
    <row r="709" ht="15.75" customHeight="1" s="1349">
      <c r="A709" s="1222" t="n"/>
      <c r="B709" s="1223" t="n"/>
      <c r="C709" s="1223" t="n"/>
      <c r="D709" s="1224" t="n"/>
      <c r="E709" s="1225" t="n"/>
      <c r="F709" s="1224" t="n"/>
      <c r="G709" s="1224" t="n"/>
      <c r="H709" s="963" t="n"/>
      <c r="I709" s="963" t="n"/>
      <c r="J709" s="963" t="n"/>
      <c r="K709" s="1226" t="n"/>
      <c r="L709" s="1226" t="n"/>
      <c r="M709" s="1226" t="n"/>
      <c r="N709" s="1227" t="n"/>
      <c r="O709" s="963" t="n"/>
      <c r="P709" s="963" t="n"/>
      <c r="Q709" s="963" t="n"/>
      <c r="R709" s="1228" t="n"/>
      <c r="S709" s="1229" t="n"/>
    </row>
    <row r="710" ht="15.75" customHeight="1" s="1349">
      <c r="A710" s="1222" t="n"/>
      <c r="B710" s="1223" t="n"/>
      <c r="C710" s="1223" t="n"/>
      <c r="D710" s="1224" t="n"/>
      <c r="E710" s="1225" t="n"/>
      <c r="F710" s="1224" t="n"/>
      <c r="G710" s="1224" t="n"/>
      <c r="H710" s="963" t="n"/>
      <c r="I710" s="963" t="n"/>
      <c r="J710" s="963" t="n"/>
      <c r="K710" s="1226" t="n"/>
      <c r="L710" s="1226" t="n"/>
      <c r="M710" s="1226" t="n"/>
      <c r="N710" s="1227" t="n"/>
      <c r="O710" s="963" t="n"/>
      <c r="P710" s="963" t="n"/>
      <c r="Q710" s="963" t="n"/>
      <c r="R710" s="1228" t="n"/>
      <c r="S710" s="1229" t="n"/>
    </row>
    <row r="711" ht="15.75" customHeight="1" s="1349">
      <c r="A711" s="1222" t="n"/>
      <c r="B711" s="1223" t="n"/>
      <c r="C711" s="1223" t="n"/>
      <c r="D711" s="1224" t="n"/>
      <c r="E711" s="1225" t="n"/>
      <c r="F711" s="1224" t="n"/>
      <c r="G711" s="1224" t="n"/>
      <c r="H711" s="963" t="n"/>
      <c r="I711" s="963" t="n"/>
      <c r="J711" s="963" t="n"/>
      <c r="K711" s="1226" t="n"/>
      <c r="L711" s="1226" t="n"/>
      <c r="M711" s="1226" t="n"/>
      <c r="N711" s="1227" t="n"/>
      <c r="O711" s="963" t="n"/>
      <c r="P711" s="963" t="n"/>
      <c r="Q711" s="963" t="n"/>
      <c r="R711" s="1228" t="n"/>
      <c r="S711" s="1229" t="n"/>
    </row>
    <row r="712" ht="15.75" customHeight="1" s="1349">
      <c r="A712" s="1222" t="n"/>
      <c r="B712" s="1223" t="n"/>
      <c r="C712" s="1223" t="n"/>
      <c r="D712" s="1224" t="n"/>
      <c r="E712" s="1225" t="n"/>
      <c r="F712" s="1224" t="n"/>
      <c r="G712" s="1224" t="n"/>
      <c r="H712" s="963" t="n"/>
      <c r="I712" s="963" t="n"/>
      <c r="J712" s="963" t="n"/>
      <c r="K712" s="1226" t="n"/>
      <c r="L712" s="1226" t="n"/>
      <c r="M712" s="1226" t="n"/>
      <c r="N712" s="1227" t="n"/>
      <c r="O712" s="963" t="n"/>
      <c r="P712" s="963" t="n"/>
      <c r="Q712" s="963" t="n"/>
      <c r="R712" s="1228" t="n"/>
      <c r="S712" s="1229" t="n"/>
    </row>
    <row r="713" ht="15.75" customHeight="1" s="1349">
      <c r="A713" s="1222" t="n"/>
      <c r="B713" s="1223" t="n"/>
      <c r="C713" s="1223" t="n"/>
      <c r="D713" s="1224" t="n"/>
      <c r="E713" s="1225" t="n"/>
      <c r="F713" s="1224" t="n"/>
      <c r="G713" s="1224" t="n"/>
      <c r="H713" s="963" t="n"/>
      <c r="I713" s="963" t="n"/>
      <c r="J713" s="963" t="n"/>
      <c r="K713" s="1226" t="n"/>
      <c r="L713" s="1226" t="n"/>
      <c r="M713" s="1226" t="n"/>
      <c r="N713" s="1227" t="n"/>
      <c r="O713" s="963" t="n"/>
      <c r="P713" s="963" t="n"/>
      <c r="Q713" s="963" t="n"/>
      <c r="R713" s="1228" t="n"/>
      <c r="S713" s="1229" t="n"/>
    </row>
    <row r="714" ht="15.75" customHeight="1" s="1349">
      <c r="A714" s="1222" t="n"/>
      <c r="B714" s="1223" t="n"/>
      <c r="C714" s="1223" t="n"/>
      <c r="D714" s="1224" t="n"/>
      <c r="E714" s="1225" t="n"/>
      <c r="F714" s="1224" t="n"/>
      <c r="G714" s="1224" t="n"/>
      <c r="H714" s="963" t="n"/>
      <c r="I714" s="963" t="n"/>
      <c r="J714" s="963" t="n"/>
      <c r="K714" s="1226" t="n"/>
      <c r="L714" s="1226" t="n"/>
      <c r="M714" s="1226" t="n"/>
      <c r="N714" s="1227" t="n"/>
      <c r="O714" s="963" t="n"/>
      <c r="P714" s="963" t="n"/>
      <c r="Q714" s="963" t="n"/>
      <c r="R714" s="1228" t="n"/>
      <c r="S714" s="1229" t="n"/>
    </row>
    <row r="715" ht="15.75" customHeight="1" s="1349">
      <c r="A715" s="1222" t="n"/>
      <c r="B715" s="1223" t="n"/>
      <c r="C715" s="1223" t="n"/>
      <c r="D715" s="1224" t="n"/>
      <c r="E715" s="1225" t="n"/>
      <c r="F715" s="1224" t="n"/>
      <c r="G715" s="1224" t="n"/>
      <c r="H715" s="963" t="n"/>
      <c r="I715" s="963" t="n"/>
      <c r="J715" s="963" t="n"/>
      <c r="K715" s="1226" t="n"/>
      <c r="L715" s="1226" t="n"/>
      <c r="M715" s="1226" t="n"/>
      <c r="N715" s="1227" t="n"/>
      <c r="O715" s="963" t="n"/>
      <c r="P715" s="963" t="n"/>
      <c r="Q715" s="963" t="n"/>
      <c r="R715" s="1228" t="n"/>
      <c r="S715" s="1229" t="n"/>
    </row>
    <row r="716" ht="15.75" customHeight="1" s="1349">
      <c r="A716" s="1222" t="n"/>
      <c r="B716" s="1223" t="n"/>
      <c r="C716" s="1223" t="n"/>
      <c r="D716" s="1224" t="n"/>
      <c r="E716" s="1225" t="n"/>
      <c r="F716" s="1224" t="n"/>
      <c r="G716" s="1224" t="n"/>
      <c r="H716" s="963" t="n"/>
      <c r="I716" s="963" t="n"/>
      <c r="J716" s="963" t="n"/>
      <c r="K716" s="1226" t="n"/>
      <c r="L716" s="1226" t="n"/>
      <c r="M716" s="1226" t="n"/>
      <c r="N716" s="1227" t="n"/>
      <c r="O716" s="963" t="n"/>
      <c r="P716" s="963" t="n"/>
      <c r="Q716" s="963" t="n"/>
      <c r="R716" s="1228" t="n"/>
      <c r="S716" s="1229" t="n"/>
    </row>
    <row r="717" ht="15.75" customHeight="1" s="1349">
      <c r="A717" s="1222" t="n"/>
      <c r="B717" s="1223" t="n"/>
      <c r="C717" s="1223" t="n"/>
      <c r="D717" s="1224" t="n"/>
      <c r="E717" s="1225" t="n"/>
      <c r="F717" s="1224" t="n"/>
      <c r="G717" s="1224" t="n"/>
      <c r="H717" s="963" t="n"/>
      <c r="I717" s="963" t="n"/>
      <c r="J717" s="963" t="n"/>
      <c r="K717" s="1226" t="n"/>
      <c r="L717" s="1226" t="n"/>
      <c r="M717" s="1226" t="n"/>
      <c r="N717" s="1227" t="n"/>
      <c r="O717" s="963" t="n"/>
      <c r="P717" s="963" t="n"/>
      <c r="Q717" s="963" t="n"/>
      <c r="R717" s="1228" t="n"/>
      <c r="S717" s="1229" t="n"/>
    </row>
    <row r="718" ht="15.75" customHeight="1" s="1349">
      <c r="A718" s="1222" t="n"/>
      <c r="B718" s="1223" t="n"/>
      <c r="C718" s="1223" t="n"/>
      <c r="D718" s="1224" t="n"/>
      <c r="E718" s="1225" t="n"/>
      <c r="F718" s="1224" t="n"/>
      <c r="G718" s="1224" t="n"/>
      <c r="H718" s="963" t="n"/>
      <c r="I718" s="963" t="n"/>
      <c r="J718" s="963" t="n"/>
      <c r="K718" s="1226" t="n"/>
      <c r="L718" s="1226" t="n"/>
      <c r="M718" s="1226" t="n"/>
      <c r="N718" s="1227" t="n"/>
      <c r="O718" s="963" t="n"/>
      <c r="P718" s="963" t="n"/>
      <c r="Q718" s="963" t="n"/>
      <c r="R718" s="1228" t="n"/>
      <c r="S718" s="1229" t="n"/>
    </row>
    <row r="719" ht="15.75" customHeight="1" s="1349">
      <c r="A719" s="1222" t="n"/>
      <c r="B719" s="1223" t="n"/>
      <c r="C719" s="1223" t="n"/>
      <c r="D719" s="1224" t="n"/>
      <c r="E719" s="1225" t="n"/>
      <c r="F719" s="1224" t="n"/>
      <c r="G719" s="1224" t="n"/>
      <c r="H719" s="963" t="n"/>
      <c r="I719" s="963" t="n"/>
      <c r="J719" s="963" t="n"/>
      <c r="K719" s="1226" t="n"/>
      <c r="L719" s="1226" t="n"/>
      <c r="M719" s="1226" t="n"/>
      <c r="N719" s="1227" t="n"/>
      <c r="O719" s="963" t="n"/>
      <c r="P719" s="963" t="n"/>
      <c r="Q719" s="963" t="n"/>
      <c r="R719" s="1228" t="n"/>
      <c r="S719" s="1229" t="n"/>
    </row>
    <row r="720" ht="15.75" customHeight="1" s="1349">
      <c r="A720" s="1222" t="n"/>
      <c r="B720" s="1223" t="n"/>
      <c r="C720" s="1223" t="n"/>
      <c r="D720" s="1224" t="n"/>
      <c r="E720" s="1225" t="n"/>
      <c r="F720" s="1224" t="n"/>
      <c r="G720" s="1224" t="n"/>
      <c r="H720" s="963" t="n"/>
      <c r="I720" s="963" t="n"/>
      <c r="J720" s="963" t="n"/>
      <c r="K720" s="1226" t="n"/>
      <c r="L720" s="1226" t="n"/>
      <c r="M720" s="1226" t="n"/>
      <c r="N720" s="1227" t="n"/>
      <c r="O720" s="963" t="n"/>
      <c r="P720" s="963" t="n"/>
      <c r="Q720" s="963" t="n"/>
      <c r="R720" s="1228" t="n"/>
      <c r="S720" s="1229" t="n"/>
    </row>
    <row r="721" ht="15.75" customHeight="1" s="1349">
      <c r="A721" s="1222" t="n"/>
      <c r="B721" s="1223" t="n"/>
      <c r="C721" s="1223" t="n"/>
      <c r="D721" s="1224" t="n"/>
      <c r="E721" s="1225" t="n"/>
      <c r="F721" s="1224" t="n"/>
      <c r="G721" s="1224" t="n"/>
      <c r="H721" s="963" t="n"/>
      <c r="I721" s="963" t="n"/>
      <c r="J721" s="963" t="n"/>
      <c r="K721" s="1226" t="n"/>
      <c r="L721" s="1226" t="n"/>
      <c r="M721" s="1226" t="n"/>
      <c r="N721" s="1227" t="n"/>
      <c r="O721" s="963" t="n"/>
      <c r="P721" s="963" t="n"/>
      <c r="Q721" s="963" t="n"/>
      <c r="R721" s="1228" t="n"/>
      <c r="S721" s="1229" t="n"/>
    </row>
    <row r="722" ht="15.75" customHeight="1" s="1349">
      <c r="A722" s="1222" t="n"/>
      <c r="B722" s="1223" t="n"/>
      <c r="C722" s="1223" t="n"/>
      <c r="D722" s="1224" t="n"/>
      <c r="E722" s="1225" t="n"/>
      <c r="F722" s="1224" t="n"/>
      <c r="G722" s="1224" t="n"/>
      <c r="H722" s="963" t="n"/>
      <c r="I722" s="963" t="n"/>
      <c r="J722" s="963" t="n"/>
      <c r="K722" s="1226" t="n"/>
      <c r="L722" s="1226" t="n"/>
      <c r="M722" s="1226" t="n"/>
      <c r="N722" s="1227" t="n"/>
      <c r="O722" s="963" t="n"/>
      <c r="P722" s="963" t="n"/>
      <c r="Q722" s="963" t="n"/>
      <c r="R722" s="1228" t="n"/>
      <c r="S722" s="1229" t="n"/>
    </row>
    <row r="723" ht="15.75" customHeight="1" s="1349">
      <c r="A723" s="1222" t="n"/>
      <c r="B723" s="1223" t="n"/>
      <c r="C723" s="1223" t="n"/>
      <c r="D723" s="1224" t="n"/>
      <c r="E723" s="1225" t="n"/>
      <c r="F723" s="1224" t="n"/>
      <c r="G723" s="1224" t="n"/>
      <c r="H723" s="963" t="n"/>
      <c r="I723" s="963" t="n"/>
      <c r="J723" s="963" t="n"/>
      <c r="K723" s="1226" t="n"/>
      <c r="L723" s="1226" t="n"/>
      <c r="M723" s="1226" t="n"/>
      <c r="N723" s="1227" t="n"/>
      <c r="O723" s="963" t="n"/>
      <c r="P723" s="963" t="n"/>
      <c r="Q723" s="963" t="n"/>
      <c r="R723" s="1228" t="n"/>
      <c r="S723" s="1229" t="n"/>
    </row>
    <row r="724" ht="15.75" customHeight="1" s="1349">
      <c r="A724" s="1222" t="n"/>
      <c r="B724" s="1223" t="n"/>
      <c r="C724" s="1223" t="n"/>
      <c r="D724" s="1224" t="n"/>
      <c r="E724" s="1225" t="n"/>
      <c r="F724" s="1224" t="n"/>
      <c r="G724" s="1224" t="n"/>
      <c r="H724" s="963" t="n"/>
      <c r="I724" s="963" t="n"/>
      <c r="J724" s="963" t="n"/>
      <c r="K724" s="1226" t="n"/>
      <c r="L724" s="1226" t="n"/>
      <c r="M724" s="1226" t="n"/>
      <c r="N724" s="1227" t="n"/>
      <c r="O724" s="963" t="n"/>
      <c r="P724" s="963" t="n"/>
      <c r="Q724" s="963" t="n"/>
      <c r="R724" s="1228" t="n"/>
      <c r="S724" s="1229" t="n"/>
    </row>
    <row r="725" ht="15.75" customHeight="1" s="1349">
      <c r="A725" s="1222" t="n"/>
      <c r="B725" s="1223" t="n"/>
      <c r="C725" s="1223" t="n"/>
      <c r="D725" s="1224" t="n"/>
      <c r="E725" s="1225" t="n"/>
      <c r="F725" s="1224" t="n"/>
      <c r="G725" s="1224" t="n"/>
      <c r="H725" s="963" t="n"/>
      <c r="I725" s="963" t="n"/>
      <c r="J725" s="963" t="n"/>
      <c r="K725" s="1226" t="n"/>
      <c r="L725" s="1226" t="n"/>
      <c r="M725" s="1226" t="n"/>
      <c r="N725" s="1227" t="n"/>
      <c r="O725" s="963" t="n"/>
      <c r="P725" s="963" t="n"/>
      <c r="Q725" s="963" t="n"/>
      <c r="R725" s="1228" t="n"/>
      <c r="S725" s="1229" t="n"/>
    </row>
    <row r="726" ht="15.75" customHeight="1" s="1349">
      <c r="A726" s="1222" t="n"/>
      <c r="B726" s="1223" t="n"/>
      <c r="C726" s="1223" t="n"/>
      <c r="D726" s="1224" t="n"/>
      <c r="E726" s="1225" t="n"/>
      <c r="F726" s="1224" t="n"/>
      <c r="G726" s="1224" t="n"/>
      <c r="H726" s="963" t="n"/>
      <c r="I726" s="963" t="n"/>
      <c r="J726" s="963" t="n"/>
      <c r="K726" s="1226" t="n"/>
      <c r="L726" s="1226" t="n"/>
      <c r="M726" s="1226" t="n"/>
      <c r="N726" s="1227" t="n"/>
      <c r="O726" s="963" t="n"/>
      <c r="P726" s="963" t="n"/>
      <c r="Q726" s="963" t="n"/>
      <c r="R726" s="1228" t="n"/>
      <c r="S726" s="1229" t="n"/>
    </row>
    <row r="727" ht="15.75" customHeight="1" s="1349">
      <c r="A727" s="1222" t="n"/>
      <c r="B727" s="1223" t="n"/>
      <c r="C727" s="1223" t="n"/>
      <c r="D727" s="1224" t="n"/>
      <c r="E727" s="1225" t="n"/>
      <c r="F727" s="1224" t="n"/>
      <c r="G727" s="1224" t="n"/>
      <c r="H727" s="963" t="n"/>
      <c r="I727" s="963" t="n"/>
      <c r="J727" s="963" t="n"/>
      <c r="K727" s="1226" t="n"/>
      <c r="L727" s="1226" t="n"/>
      <c r="M727" s="1226" t="n"/>
      <c r="N727" s="1227" t="n"/>
      <c r="O727" s="963" t="n"/>
      <c r="P727" s="963" t="n"/>
      <c r="Q727" s="963" t="n"/>
      <c r="R727" s="1228" t="n"/>
      <c r="S727" s="1229" t="n"/>
    </row>
    <row r="728" ht="15.75" customHeight="1" s="1349">
      <c r="A728" s="1222" t="n"/>
      <c r="B728" s="1223" t="n"/>
      <c r="C728" s="1223" t="n"/>
      <c r="D728" s="1224" t="n"/>
      <c r="E728" s="1225" t="n"/>
      <c r="F728" s="1224" t="n"/>
      <c r="G728" s="1224" t="n"/>
      <c r="H728" s="963" t="n"/>
      <c r="I728" s="963" t="n"/>
      <c r="J728" s="963" t="n"/>
      <c r="K728" s="1226" t="n"/>
      <c r="L728" s="1226" t="n"/>
      <c r="M728" s="1226" t="n"/>
      <c r="N728" s="1227" t="n"/>
      <c r="O728" s="963" t="n"/>
      <c r="P728" s="963" t="n"/>
      <c r="Q728" s="963" t="n"/>
      <c r="R728" s="1228" t="n"/>
      <c r="S728" s="1229" t="n"/>
    </row>
    <row r="729" ht="15.75" customHeight="1" s="1349">
      <c r="A729" s="1222" t="n"/>
      <c r="B729" s="1223" t="n"/>
      <c r="C729" s="1223" t="n"/>
      <c r="D729" s="1224" t="n"/>
      <c r="E729" s="1225" t="n"/>
      <c r="F729" s="1224" t="n"/>
      <c r="G729" s="1224" t="n"/>
      <c r="H729" s="963" t="n"/>
      <c r="I729" s="963" t="n"/>
      <c r="J729" s="963" t="n"/>
      <c r="K729" s="1226" t="n"/>
      <c r="L729" s="1226" t="n"/>
      <c r="M729" s="1226" t="n"/>
      <c r="N729" s="1227" t="n"/>
      <c r="O729" s="963" t="n"/>
      <c r="P729" s="963" t="n"/>
      <c r="Q729" s="963" t="n"/>
      <c r="R729" s="1228" t="n"/>
      <c r="S729" s="1229" t="n"/>
    </row>
    <row r="730" ht="15.75" customHeight="1" s="1349">
      <c r="A730" s="1222" t="n"/>
      <c r="B730" s="1223" t="n"/>
      <c r="C730" s="1223" t="n"/>
      <c r="D730" s="1224" t="n"/>
      <c r="E730" s="1225" t="n"/>
      <c r="F730" s="1224" t="n"/>
      <c r="G730" s="1224" t="n"/>
      <c r="H730" s="963" t="n"/>
      <c r="I730" s="963" t="n"/>
      <c r="J730" s="963" t="n"/>
      <c r="K730" s="1226" t="n"/>
      <c r="L730" s="1226" t="n"/>
      <c r="M730" s="1226" t="n"/>
      <c r="N730" s="1227" t="n"/>
      <c r="O730" s="963" t="n"/>
      <c r="P730" s="963" t="n"/>
      <c r="Q730" s="963" t="n"/>
      <c r="R730" s="1228" t="n"/>
      <c r="S730" s="1229" t="n"/>
    </row>
    <row r="731" ht="15.75" customHeight="1" s="1349">
      <c r="A731" s="1222" t="n"/>
      <c r="B731" s="1223" t="n"/>
      <c r="C731" s="1223" t="n"/>
      <c r="D731" s="1224" t="n"/>
      <c r="E731" s="1225" t="n"/>
      <c r="F731" s="1224" t="n"/>
      <c r="G731" s="1224" t="n"/>
      <c r="H731" s="963" t="n"/>
      <c r="I731" s="963" t="n"/>
      <c r="J731" s="963" t="n"/>
      <c r="K731" s="1226" t="n"/>
      <c r="L731" s="1226" t="n"/>
      <c r="M731" s="1226" t="n"/>
      <c r="N731" s="1227" t="n"/>
      <c r="O731" s="963" t="n"/>
      <c r="P731" s="963" t="n"/>
      <c r="Q731" s="963" t="n"/>
      <c r="R731" s="1228" t="n"/>
      <c r="S731" s="1229" t="n"/>
    </row>
    <row r="732" ht="15.75" customHeight="1" s="1349">
      <c r="A732" s="1222" t="n"/>
      <c r="B732" s="1223" t="n"/>
      <c r="C732" s="1223" t="n"/>
      <c r="D732" s="1224" t="n"/>
      <c r="E732" s="1225" t="n"/>
      <c r="F732" s="1224" t="n"/>
      <c r="G732" s="1224" t="n"/>
      <c r="H732" s="963" t="n"/>
      <c r="I732" s="963" t="n"/>
      <c r="J732" s="963" t="n"/>
      <c r="K732" s="1226" t="n"/>
      <c r="L732" s="1226" t="n"/>
      <c r="M732" s="1226" t="n"/>
      <c r="N732" s="1227" t="n"/>
      <c r="O732" s="963" t="n"/>
      <c r="P732" s="963" t="n"/>
      <c r="Q732" s="963" t="n"/>
      <c r="R732" s="1228" t="n"/>
      <c r="S732" s="1229" t="n"/>
    </row>
    <row r="733" ht="15.75" customHeight="1" s="1349">
      <c r="A733" s="1222" t="n"/>
      <c r="B733" s="1223" t="n"/>
      <c r="C733" s="1223" t="n"/>
      <c r="D733" s="1224" t="n"/>
      <c r="E733" s="1225" t="n"/>
      <c r="F733" s="1224" t="n"/>
      <c r="G733" s="1224" t="n"/>
      <c r="H733" s="963" t="n"/>
      <c r="I733" s="963" t="n"/>
      <c r="J733" s="963" t="n"/>
      <c r="K733" s="1226" t="n"/>
      <c r="L733" s="1226" t="n"/>
      <c r="M733" s="1226" t="n"/>
      <c r="N733" s="1227" t="n"/>
      <c r="O733" s="963" t="n"/>
      <c r="P733" s="963" t="n"/>
      <c r="Q733" s="963" t="n"/>
      <c r="R733" s="1228" t="n"/>
      <c r="S733" s="1229" t="n"/>
    </row>
    <row r="734" ht="15.75" customHeight="1" s="1349">
      <c r="A734" s="1222" t="n"/>
      <c r="B734" s="1223" t="n"/>
      <c r="C734" s="1223" t="n"/>
      <c r="D734" s="1224" t="n"/>
      <c r="E734" s="1225" t="n"/>
      <c r="F734" s="1224" t="n"/>
      <c r="G734" s="1224" t="n"/>
      <c r="H734" s="963" t="n"/>
      <c r="I734" s="963" t="n"/>
      <c r="J734" s="963" t="n"/>
      <c r="K734" s="1226" t="n"/>
      <c r="L734" s="1226" t="n"/>
      <c r="M734" s="1226" t="n"/>
      <c r="N734" s="1227" t="n"/>
      <c r="O734" s="963" t="n"/>
      <c r="P734" s="963" t="n"/>
      <c r="Q734" s="963" t="n"/>
      <c r="R734" s="1228" t="n"/>
      <c r="S734" s="1229" t="n"/>
    </row>
    <row r="735" ht="15.75" customHeight="1" s="1349">
      <c r="A735" s="1222" t="n"/>
      <c r="B735" s="1223" t="n"/>
      <c r="C735" s="1223" t="n"/>
      <c r="D735" s="1224" t="n"/>
      <c r="E735" s="1225" t="n"/>
      <c r="F735" s="1224" t="n"/>
      <c r="G735" s="1224" t="n"/>
      <c r="H735" s="963" t="n"/>
      <c r="I735" s="963" t="n"/>
      <c r="J735" s="963" t="n"/>
      <c r="K735" s="1226" t="n"/>
      <c r="L735" s="1226" t="n"/>
      <c r="M735" s="1226" t="n"/>
      <c r="N735" s="1227" t="n"/>
      <c r="O735" s="963" t="n"/>
      <c r="P735" s="963" t="n"/>
      <c r="Q735" s="963" t="n"/>
      <c r="R735" s="1228" t="n"/>
      <c r="S735" s="1229" t="n"/>
    </row>
    <row r="736" ht="15.75" customHeight="1" s="1349">
      <c r="A736" s="1222" t="n"/>
      <c r="B736" s="1223" t="n"/>
      <c r="C736" s="1223" t="n"/>
      <c r="D736" s="1224" t="n"/>
      <c r="E736" s="1225" t="n"/>
      <c r="F736" s="1224" t="n"/>
      <c r="G736" s="1224" t="n"/>
      <c r="H736" s="963" t="n"/>
      <c r="I736" s="963" t="n"/>
      <c r="J736" s="963" t="n"/>
      <c r="K736" s="1226" t="n"/>
      <c r="L736" s="1226" t="n"/>
      <c r="M736" s="1226" t="n"/>
      <c r="N736" s="1227" t="n"/>
      <c r="O736" s="963" t="n"/>
      <c r="P736" s="963" t="n"/>
      <c r="Q736" s="963" t="n"/>
      <c r="R736" s="1228" t="n"/>
      <c r="S736" s="1229" t="n"/>
    </row>
    <row r="737" ht="15.75" customHeight="1" s="1349">
      <c r="A737" s="1222" t="n"/>
      <c r="B737" s="1223" t="n"/>
      <c r="C737" s="1223" t="n"/>
      <c r="D737" s="1224" t="n"/>
      <c r="E737" s="1225" t="n"/>
      <c r="F737" s="1224" t="n"/>
      <c r="G737" s="1224" t="n"/>
      <c r="H737" s="963" t="n"/>
      <c r="I737" s="963" t="n"/>
      <c r="J737" s="963" t="n"/>
      <c r="K737" s="1226" t="n"/>
      <c r="L737" s="1226" t="n"/>
      <c r="M737" s="1226" t="n"/>
      <c r="N737" s="1227" t="n"/>
      <c r="O737" s="963" t="n"/>
      <c r="P737" s="963" t="n"/>
      <c r="Q737" s="963" t="n"/>
      <c r="R737" s="1228" t="n"/>
      <c r="S737" s="1229" t="n"/>
    </row>
    <row r="738" ht="15.75" customHeight="1" s="1349">
      <c r="A738" s="1222" t="n"/>
      <c r="B738" s="1223" t="n"/>
      <c r="C738" s="1223" t="n"/>
      <c r="D738" s="1224" t="n"/>
      <c r="E738" s="1225" t="n"/>
      <c r="F738" s="1224" t="n"/>
      <c r="G738" s="1224" t="n"/>
      <c r="H738" s="963" t="n"/>
      <c r="I738" s="963" t="n"/>
      <c r="J738" s="963" t="n"/>
      <c r="K738" s="1226" t="n"/>
      <c r="L738" s="1226" t="n"/>
      <c r="M738" s="1226" t="n"/>
      <c r="N738" s="1227" t="n"/>
      <c r="O738" s="963" t="n"/>
      <c r="P738" s="963" t="n"/>
      <c r="Q738" s="963" t="n"/>
      <c r="R738" s="1228" t="n"/>
      <c r="S738" s="1229" t="n"/>
    </row>
    <row r="739" ht="15.75" customHeight="1" s="1349">
      <c r="A739" s="1222" t="n"/>
      <c r="B739" s="1223" t="n"/>
      <c r="C739" s="1223" t="n"/>
      <c r="D739" s="1224" t="n"/>
      <c r="E739" s="1225" t="n"/>
      <c r="F739" s="1224" t="n"/>
      <c r="G739" s="1224" t="n"/>
      <c r="H739" s="963" t="n"/>
      <c r="I739" s="963" t="n"/>
      <c r="J739" s="963" t="n"/>
      <c r="K739" s="1226" t="n"/>
      <c r="L739" s="1226" t="n"/>
      <c r="M739" s="1226" t="n"/>
      <c r="N739" s="1227" t="n"/>
      <c r="O739" s="963" t="n"/>
      <c r="P739" s="963" t="n"/>
      <c r="Q739" s="963" t="n"/>
      <c r="R739" s="1228" t="n"/>
      <c r="S739" s="1229" t="n"/>
    </row>
    <row r="740" ht="15.75" customHeight="1" s="1349">
      <c r="A740" s="1222" t="n"/>
      <c r="B740" s="1223" t="n"/>
      <c r="C740" s="1223" t="n"/>
      <c r="D740" s="1224" t="n"/>
      <c r="E740" s="1225" t="n"/>
      <c r="F740" s="1224" t="n"/>
      <c r="G740" s="1224" t="n"/>
      <c r="H740" s="963" t="n"/>
      <c r="I740" s="963" t="n"/>
      <c r="J740" s="963" t="n"/>
      <c r="K740" s="1226" t="n"/>
      <c r="L740" s="1226" t="n"/>
      <c r="M740" s="1226" t="n"/>
      <c r="N740" s="1227" t="n"/>
      <c r="O740" s="963" t="n"/>
      <c r="P740" s="963" t="n"/>
      <c r="Q740" s="963" t="n"/>
      <c r="R740" s="1228" t="n"/>
      <c r="S740" s="1229" t="n"/>
    </row>
    <row r="741" ht="15.75" customHeight="1" s="1349">
      <c r="A741" s="1222" t="n"/>
      <c r="B741" s="1223" t="n"/>
      <c r="C741" s="1223" t="n"/>
      <c r="D741" s="1224" t="n"/>
      <c r="E741" s="1225" t="n"/>
      <c r="F741" s="1224" t="n"/>
      <c r="G741" s="1224" t="n"/>
      <c r="H741" s="963" t="n"/>
      <c r="I741" s="963" t="n"/>
      <c r="J741" s="963" t="n"/>
      <c r="K741" s="1226" t="n"/>
      <c r="L741" s="1226" t="n"/>
      <c r="M741" s="1226" t="n"/>
      <c r="N741" s="1227" t="n"/>
      <c r="O741" s="963" t="n"/>
      <c r="P741" s="963" t="n"/>
      <c r="Q741" s="963" t="n"/>
      <c r="R741" s="1228" t="n"/>
      <c r="S741" s="1229" t="n"/>
    </row>
    <row r="742" ht="15.75" customHeight="1" s="1349">
      <c r="A742" s="1222" t="n"/>
      <c r="B742" s="1223" t="n"/>
      <c r="C742" s="1223" t="n"/>
      <c r="D742" s="1224" t="n"/>
      <c r="E742" s="1225" t="n"/>
      <c r="F742" s="1224" t="n"/>
      <c r="G742" s="1224" t="n"/>
      <c r="H742" s="963" t="n"/>
      <c r="I742" s="963" t="n"/>
      <c r="J742" s="963" t="n"/>
      <c r="K742" s="1226" t="n"/>
      <c r="L742" s="1226" t="n"/>
      <c r="M742" s="1226" t="n"/>
      <c r="N742" s="1227" t="n"/>
      <c r="O742" s="963" t="n"/>
      <c r="P742" s="963" t="n"/>
      <c r="Q742" s="963" t="n"/>
      <c r="R742" s="1228" t="n"/>
      <c r="S742" s="1229" t="n"/>
    </row>
    <row r="743" ht="15.75" customHeight="1" s="1349">
      <c r="A743" s="1222" t="n"/>
      <c r="B743" s="1223" t="n"/>
      <c r="C743" s="1223" t="n"/>
      <c r="D743" s="1224" t="n"/>
      <c r="E743" s="1225" t="n"/>
      <c r="F743" s="1224" t="n"/>
      <c r="G743" s="1224" t="n"/>
      <c r="H743" s="963" t="n"/>
      <c r="I743" s="963" t="n"/>
      <c r="J743" s="963" t="n"/>
      <c r="K743" s="1226" t="n"/>
      <c r="L743" s="1226" t="n"/>
      <c r="M743" s="1226" t="n"/>
      <c r="N743" s="1227" t="n"/>
      <c r="O743" s="963" t="n"/>
      <c r="P743" s="963" t="n"/>
      <c r="Q743" s="963" t="n"/>
      <c r="R743" s="1228" t="n"/>
      <c r="S743" s="1229" t="n"/>
    </row>
    <row r="744" ht="15.75" customHeight="1" s="1349">
      <c r="A744" s="1222" t="n"/>
      <c r="B744" s="1223" t="n"/>
      <c r="C744" s="1223" t="n"/>
      <c r="D744" s="1224" t="n"/>
      <c r="E744" s="1225" t="n"/>
      <c r="F744" s="1224" t="n"/>
      <c r="G744" s="1224" t="n"/>
      <c r="H744" s="963" t="n"/>
      <c r="I744" s="963" t="n"/>
      <c r="J744" s="963" t="n"/>
      <c r="K744" s="1226" t="n"/>
      <c r="L744" s="1226" t="n"/>
      <c r="M744" s="1226" t="n"/>
      <c r="N744" s="1227" t="n"/>
      <c r="O744" s="963" t="n"/>
      <c r="P744" s="963" t="n"/>
      <c r="Q744" s="963" t="n"/>
      <c r="R744" s="1228" t="n"/>
      <c r="S744" s="1229" t="n"/>
    </row>
    <row r="745" ht="15.75" customHeight="1" s="1349">
      <c r="A745" s="1222" t="n"/>
      <c r="B745" s="1223" t="n"/>
      <c r="C745" s="1223" t="n"/>
      <c r="D745" s="1224" t="n"/>
      <c r="E745" s="1225" t="n"/>
      <c r="F745" s="1224" t="n"/>
      <c r="G745" s="1224" t="n"/>
      <c r="H745" s="963" t="n"/>
      <c r="I745" s="963" t="n"/>
      <c r="J745" s="963" t="n"/>
      <c r="K745" s="1226" t="n"/>
      <c r="L745" s="1226" t="n"/>
      <c r="M745" s="1226" t="n"/>
      <c r="N745" s="1227" t="n"/>
      <c r="O745" s="963" t="n"/>
      <c r="P745" s="963" t="n"/>
      <c r="Q745" s="963" t="n"/>
      <c r="R745" s="1228" t="n"/>
      <c r="S745" s="1229" t="n"/>
    </row>
    <row r="746" ht="15.75" customHeight="1" s="1349">
      <c r="A746" s="1222" t="n"/>
      <c r="B746" s="1223" t="n"/>
      <c r="C746" s="1223" t="n"/>
      <c r="D746" s="1224" t="n"/>
      <c r="E746" s="1225" t="n"/>
      <c r="F746" s="1224" t="n"/>
      <c r="G746" s="1224" t="n"/>
      <c r="H746" s="963" t="n"/>
      <c r="I746" s="963" t="n"/>
      <c r="J746" s="963" t="n"/>
      <c r="K746" s="1226" t="n"/>
      <c r="L746" s="1226" t="n"/>
      <c r="M746" s="1226" t="n"/>
      <c r="N746" s="1227" t="n"/>
      <c r="O746" s="963" t="n"/>
      <c r="P746" s="963" t="n"/>
      <c r="Q746" s="963" t="n"/>
      <c r="R746" s="1228" t="n"/>
      <c r="S746" s="1229" t="n"/>
    </row>
    <row r="747" ht="15.75" customHeight="1" s="1349">
      <c r="A747" s="1222" t="n"/>
      <c r="B747" s="1223" t="n"/>
      <c r="C747" s="1223" t="n"/>
      <c r="D747" s="1224" t="n"/>
      <c r="E747" s="1225" t="n"/>
      <c r="F747" s="1224" t="n"/>
      <c r="G747" s="1224" t="n"/>
      <c r="H747" s="963" t="n"/>
      <c r="I747" s="963" t="n"/>
      <c r="J747" s="963" t="n"/>
      <c r="K747" s="1226" t="n"/>
      <c r="L747" s="1226" t="n"/>
      <c r="M747" s="1226" t="n"/>
      <c r="N747" s="1227" t="n"/>
      <c r="O747" s="963" t="n"/>
      <c r="P747" s="963" t="n"/>
      <c r="Q747" s="963" t="n"/>
      <c r="R747" s="1228" t="n"/>
      <c r="S747" s="1229" t="n"/>
    </row>
    <row r="748" ht="15.75" customHeight="1" s="1349">
      <c r="A748" s="1222" t="n"/>
      <c r="B748" s="1223" t="n"/>
      <c r="C748" s="1223" t="n"/>
      <c r="D748" s="1224" t="n"/>
      <c r="E748" s="1225" t="n"/>
      <c r="F748" s="1224" t="n"/>
      <c r="G748" s="1224" t="n"/>
      <c r="H748" s="963" t="n"/>
      <c r="I748" s="963" t="n"/>
      <c r="J748" s="963" t="n"/>
      <c r="K748" s="1226" t="n"/>
      <c r="L748" s="1226" t="n"/>
      <c r="M748" s="1226" t="n"/>
      <c r="N748" s="1227" t="n"/>
      <c r="O748" s="963" t="n"/>
      <c r="P748" s="963" t="n"/>
      <c r="Q748" s="963" t="n"/>
      <c r="R748" s="1228" t="n"/>
      <c r="S748" s="1229" t="n"/>
    </row>
    <row r="749" ht="15.75" customHeight="1" s="1349">
      <c r="A749" s="1222" t="n"/>
      <c r="B749" s="1223" t="n"/>
      <c r="C749" s="1223" t="n"/>
      <c r="D749" s="1224" t="n"/>
      <c r="E749" s="1225" t="n"/>
      <c r="F749" s="1224" t="n"/>
      <c r="G749" s="1224" t="n"/>
      <c r="H749" s="963" t="n"/>
      <c r="I749" s="963" t="n"/>
      <c r="J749" s="963" t="n"/>
      <c r="K749" s="1226" t="n"/>
      <c r="L749" s="1226" t="n"/>
      <c r="M749" s="1226" t="n"/>
      <c r="N749" s="1227" t="n"/>
      <c r="O749" s="963" t="n"/>
      <c r="P749" s="963" t="n"/>
      <c r="Q749" s="963" t="n"/>
      <c r="R749" s="1228" t="n"/>
      <c r="S749" s="1229" t="n"/>
    </row>
    <row r="750" ht="15.75" customHeight="1" s="1349">
      <c r="A750" s="1222" t="n"/>
      <c r="B750" s="1223" t="n"/>
      <c r="C750" s="1223" t="n"/>
      <c r="D750" s="1224" t="n"/>
      <c r="E750" s="1225" t="n"/>
      <c r="F750" s="1224" t="n"/>
      <c r="G750" s="1224" t="n"/>
      <c r="H750" s="963" t="n"/>
      <c r="I750" s="963" t="n"/>
      <c r="J750" s="963" t="n"/>
      <c r="K750" s="1226" t="n"/>
      <c r="L750" s="1226" t="n"/>
      <c r="M750" s="1226" t="n"/>
      <c r="N750" s="1227" t="n"/>
      <c r="O750" s="963" t="n"/>
      <c r="P750" s="963" t="n"/>
      <c r="Q750" s="963" t="n"/>
      <c r="R750" s="1228" t="n"/>
      <c r="S750" s="1229" t="n"/>
    </row>
    <row r="751" ht="15.75" customHeight="1" s="1349">
      <c r="A751" s="1222" t="n"/>
      <c r="B751" s="1223" t="n"/>
      <c r="C751" s="1223" t="n"/>
      <c r="D751" s="1224" t="n"/>
      <c r="E751" s="1225" t="n"/>
      <c r="F751" s="1224" t="n"/>
      <c r="G751" s="1224" t="n"/>
      <c r="H751" s="963" t="n"/>
      <c r="I751" s="963" t="n"/>
      <c r="J751" s="963" t="n"/>
      <c r="K751" s="1226" t="n"/>
      <c r="L751" s="1226" t="n"/>
      <c r="M751" s="1226" t="n"/>
      <c r="N751" s="1227" t="n"/>
      <c r="O751" s="963" t="n"/>
      <c r="P751" s="963" t="n"/>
      <c r="Q751" s="963" t="n"/>
      <c r="R751" s="1228" t="n"/>
      <c r="S751" s="1229" t="n"/>
    </row>
    <row r="752" ht="15.75" customHeight="1" s="1349">
      <c r="A752" s="1222" t="n"/>
      <c r="B752" s="1223" t="n"/>
      <c r="C752" s="1223" t="n"/>
      <c r="D752" s="1224" t="n"/>
      <c r="E752" s="1225" t="n"/>
      <c r="F752" s="1224" t="n"/>
      <c r="G752" s="1224" t="n"/>
      <c r="H752" s="963" t="n"/>
      <c r="I752" s="963" t="n"/>
      <c r="J752" s="963" t="n"/>
      <c r="K752" s="1226" t="n"/>
      <c r="L752" s="1226" t="n"/>
      <c r="M752" s="1226" t="n"/>
      <c r="N752" s="1227" t="n"/>
      <c r="O752" s="963" t="n"/>
      <c r="P752" s="963" t="n"/>
      <c r="Q752" s="963" t="n"/>
      <c r="R752" s="1228" t="n"/>
      <c r="S752" s="1229" t="n"/>
    </row>
    <row r="753" ht="15.75" customHeight="1" s="1349">
      <c r="A753" s="1222" t="n"/>
      <c r="B753" s="1223" t="n"/>
      <c r="C753" s="1223" t="n"/>
      <c r="D753" s="1224" t="n"/>
      <c r="E753" s="1225" t="n"/>
      <c r="F753" s="1224" t="n"/>
      <c r="G753" s="1224" t="n"/>
      <c r="H753" s="963" t="n"/>
      <c r="I753" s="963" t="n"/>
      <c r="J753" s="963" t="n"/>
      <c r="K753" s="1226" t="n"/>
      <c r="L753" s="1226" t="n"/>
      <c r="M753" s="1226" t="n"/>
      <c r="N753" s="1227" t="n"/>
      <c r="O753" s="963" t="n"/>
      <c r="P753" s="963" t="n"/>
      <c r="Q753" s="963" t="n"/>
      <c r="R753" s="1228" t="n"/>
      <c r="S753" s="1229" t="n"/>
    </row>
    <row r="754" ht="15.75" customHeight="1" s="1349">
      <c r="A754" s="1222" t="n"/>
      <c r="B754" s="1223" t="n"/>
      <c r="C754" s="1223" t="n"/>
      <c r="D754" s="1224" t="n"/>
      <c r="E754" s="1225" t="n"/>
      <c r="F754" s="1224" t="n"/>
      <c r="G754" s="1224" t="n"/>
      <c r="H754" s="963" t="n"/>
      <c r="I754" s="963" t="n"/>
      <c r="J754" s="963" t="n"/>
      <c r="K754" s="1226" t="n"/>
      <c r="L754" s="1226" t="n"/>
      <c r="M754" s="1226" t="n"/>
      <c r="N754" s="1227" t="n"/>
      <c r="O754" s="963" t="n"/>
      <c r="P754" s="963" t="n"/>
      <c r="Q754" s="963" t="n"/>
      <c r="R754" s="1228" t="n"/>
      <c r="S754" s="1229" t="n"/>
    </row>
    <row r="755" ht="15.75" customHeight="1" s="1349">
      <c r="A755" s="1222" t="n"/>
      <c r="B755" s="1223" t="n"/>
      <c r="C755" s="1223" t="n"/>
      <c r="D755" s="1224" t="n"/>
      <c r="E755" s="1225" t="n"/>
      <c r="F755" s="1224" t="n"/>
      <c r="G755" s="1224" t="n"/>
      <c r="H755" s="963" t="n"/>
      <c r="I755" s="963" t="n"/>
      <c r="J755" s="963" t="n"/>
      <c r="K755" s="1226" t="n"/>
      <c r="L755" s="1226" t="n"/>
      <c r="M755" s="1226" t="n"/>
      <c r="N755" s="1227" t="n"/>
      <c r="O755" s="963" t="n"/>
      <c r="P755" s="963" t="n"/>
      <c r="Q755" s="963" t="n"/>
      <c r="R755" s="1228" t="n"/>
      <c r="S755" s="1229" t="n"/>
    </row>
    <row r="756" ht="15.75" customHeight="1" s="1349">
      <c r="A756" s="1222" t="n"/>
      <c r="B756" s="1223" t="n"/>
      <c r="C756" s="1223" t="n"/>
      <c r="D756" s="1224" t="n"/>
      <c r="E756" s="1225" t="n"/>
      <c r="F756" s="1224" t="n"/>
      <c r="G756" s="1224" t="n"/>
      <c r="H756" s="963" t="n"/>
      <c r="I756" s="963" t="n"/>
      <c r="J756" s="963" t="n"/>
      <c r="K756" s="1226" t="n"/>
      <c r="L756" s="1226" t="n"/>
      <c r="M756" s="1226" t="n"/>
      <c r="N756" s="1227" t="n"/>
      <c r="O756" s="963" t="n"/>
      <c r="P756" s="963" t="n"/>
      <c r="Q756" s="963" t="n"/>
      <c r="R756" s="1228" t="n"/>
      <c r="S756" s="1229" t="n"/>
    </row>
    <row r="757" ht="15.75" customHeight="1" s="1349">
      <c r="A757" s="1222" t="n"/>
      <c r="B757" s="1223" t="n"/>
      <c r="C757" s="1223" t="n"/>
      <c r="D757" s="1224" t="n"/>
      <c r="E757" s="1225" t="n"/>
      <c r="F757" s="1224" t="n"/>
      <c r="G757" s="1224" t="n"/>
      <c r="H757" s="963" t="n"/>
      <c r="I757" s="963" t="n"/>
      <c r="J757" s="963" t="n"/>
      <c r="K757" s="1226" t="n"/>
      <c r="L757" s="1226" t="n"/>
      <c r="M757" s="1226" t="n"/>
      <c r="N757" s="1227" t="n"/>
      <c r="O757" s="963" t="n"/>
      <c r="P757" s="963" t="n"/>
      <c r="Q757" s="963" t="n"/>
      <c r="R757" s="1228" t="n"/>
      <c r="S757" s="1229" t="n"/>
    </row>
    <row r="758" ht="15.75" customHeight="1" s="1349">
      <c r="A758" s="1222" t="n"/>
      <c r="B758" s="1223" t="n"/>
      <c r="C758" s="1223" t="n"/>
      <c r="D758" s="1224" t="n"/>
      <c r="E758" s="1225" t="n"/>
      <c r="F758" s="1224" t="n"/>
      <c r="G758" s="1224" t="n"/>
      <c r="H758" s="963" t="n"/>
      <c r="I758" s="963" t="n"/>
      <c r="J758" s="963" t="n"/>
      <c r="K758" s="1226" t="n"/>
      <c r="L758" s="1226" t="n"/>
      <c r="M758" s="1226" t="n"/>
      <c r="N758" s="1227" t="n"/>
      <c r="O758" s="963" t="n"/>
      <c r="P758" s="963" t="n"/>
      <c r="Q758" s="963" t="n"/>
      <c r="R758" s="1228" t="n"/>
      <c r="S758" s="1229" t="n"/>
    </row>
    <row r="759" ht="15.75" customHeight="1" s="1349">
      <c r="A759" s="1222" t="n"/>
      <c r="B759" s="1223" t="n"/>
      <c r="C759" s="1223" t="n"/>
      <c r="D759" s="1224" t="n"/>
      <c r="E759" s="1225" t="n"/>
      <c r="F759" s="1224" t="n"/>
      <c r="G759" s="1224" t="n"/>
      <c r="H759" s="963" t="n"/>
      <c r="I759" s="963" t="n"/>
      <c r="J759" s="963" t="n"/>
      <c r="K759" s="1226" t="n"/>
      <c r="L759" s="1226" t="n"/>
      <c r="M759" s="1226" t="n"/>
      <c r="N759" s="1227" t="n"/>
      <c r="O759" s="963" t="n"/>
      <c r="P759" s="963" t="n"/>
      <c r="Q759" s="963" t="n"/>
      <c r="R759" s="1228" t="n"/>
      <c r="S759" s="1229" t="n"/>
    </row>
    <row r="760" ht="15.75" customHeight="1" s="1349">
      <c r="A760" s="1222" t="n"/>
      <c r="B760" s="1223" t="n"/>
      <c r="C760" s="1223" t="n"/>
      <c r="D760" s="1224" t="n"/>
      <c r="E760" s="1225" t="n"/>
      <c r="F760" s="1224" t="n"/>
      <c r="G760" s="1224" t="n"/>
      <c r="H760" s="963" t="n"/>
      <c r="I760" s="963" t="n"/>
      <c r="J760" s="963" t="n"/>
      <c r="K760" s="1226" t="n"/>
      <c r="L760" s="1226" t="n"/>
      <c r="M760" s="1226" t="n"/>
      <c r="N760" s="1227" t="n"/>
      <c r="O760" s="963" t="n"/>
      <c r="P760" s="963" t="n"/>
      <c r="Q760" s="963" t="n"/>
      <c r="R760" s="1228" t="n"/>
      <c r="S760" s="1229" t="n"/>
    </row>
    <row r="761" ht="15.75" customHeight="1" s="1349">
      <c r="A761" s="1222" t="n"/>
      <c r="B761" s="1223" t="n"/>
      <c r="C761" s="1223" t="n"/>
      <c r="D761" s="1224" t="n"/>
      <c r="E761" s="1225" t="n"/>
      <c r="F761" s="1224" t="n"/>
      <c r="G761" s="1224" t="n"/>
      <c r="H761" s="963" t="n"/>
      <c r="I761" s="963" t="n"/>
      <c r="J761" s="963" t="n"/>
      <c r="K761" s="1226" t="n"/>
      <c r="L761" s="1226" t="n"/>
      <c r="M761" s="1226" t="n"/>
      <c r="N761" s="1227" t="n"/>
      <c r="O761" s="963" t="n"/>
      <c r="P761" s="963" t="n"/>
      <c r="Q761" s="963" t="n"/>
      <c r="R761" s="1228" t="n"/>
      <c r="S761" s="1229" t="n"/>
    </row>
    <row r="762" ht="15.75" customHeight="1" s="1349">
      <c r="A762" s="1222" t="n"/>
      <c r="B762" s="1223" t="n"/>
      <c r="C762" s="1223" t="n"/>
      <c r="D762" s="1224" t="n"/>
      <c r="E762" s="1225" t="n"/>
      <c r="F762" s="1224" t="n"/>
      <c r="G762" s="1224" t="n"/>
      <c r="H762" s="963" t="n"/>
      <c r="I762" s="963" t="n"/>
      <c r="J762" s="963" t="n"/>
      <c r="K762" s="1226" t="n"/>
      <c r="L762" s="1226" t="n"/>
      <c r="M762" s="1226" t="n"/>
      <c r="N762" s="1227" t="n"/>
      <c r="O762" s="963" t="n"/>
      <c r="P762" s="963" t="n"/>
      <c r="Q762" s="963" t="n"/>
      <c r="R762" s="1228" t="n"/>
      <c r="S762" s="1229" t="n"/>
    </row>
    <row r="763" ht="15.75" customHeight="1" s="1349">
      <c r="A763" s="1222" t="n"/>
      <c r="B763" s="1223" t="n"/>
      <c r="C763" s="1223" t="n"/>
      <c r="D763" s="1224" t="n"/>
      <c r="E763" s="1225" t="n"/>
      <c r="F763" s="1224" t="n"/>
      <c r="G763" s="1224" t="n"/>
      <c r="H763" s="963" t="n"/>
      <c r="I763" s="963" t="n"/>
      <c r="J763" s="963" t="n"/>
      <c r="K763" s="1226" t="n"/>
      <c r="L763" s="1226" t="n"/>
      <c r="M763" s="1226" t="n"/>
      <c r="N763" s="1227" t="n"/>
      <c r="O763" s="963" t="n"/>
      <c r="P763" s="963" t="n"/>
      <c r="Q763" s="963" t="n"/>
      <c r="R763" s="1228" t="n"/>
      <c r="S763" s="1229" t="n"/>
    </row>
    <row r="764" ht="15.75" customHeight="1" s="1349">
      <c r="A764" s="1222" t="n"/>
      <c r="B764" s="1223" t="n"/>
      <c r="C764" s="1223" t="n"/>
      <c r="D764" s="1224" t="n"/>
      <c r="E764" s="1225" t="n"/>
      <c r="F764" s="1224" t="n"/>
      <c r="G764" s="1224" t="n"/>
      <c r="H764" s="963" t="n"/>
      <c r="I764" s="963" t="n"/>
      <c r="J764" s="963" t="n"/>
      <c r="K764" s="1226" t="n"/>
      <c r="L764" s="1226" t="n"/>
      <c r="M764" s="1226" t="n"/>
      <c r="N764" s="1227" t="n"/>
      <c r="O764" s="963" t="n"/>
      <c r="P764" s="963" t="n"/>
      <c r="Q764" s="963" t="n"/>
      <c r="R764" s="1228" t="n"/>
      <c r="S764" s="1229" t="n"/>
    </row>
    <row r="765" ht="15.75" customHeight="1" s="1349">
      <c r="A765" s="1222" t="n"/>
      <c r="B765" s="1223" t="n"/>
      <c r="C765" s="1223" t="n"/>
      <c r="D765" s="1224" t="n"/>
      <c r="E765" s="1225" t="n"/>
      <c r="F765" s="1224" t="n"/>
      <c r="G765" s="1224" t="n"/>
      <c r="H765" s="963" t="n"/>
      <c r="I765" s="963" t="n"/>
      <c r="J765" s="963" t="n"/>
      <c r="K765" s="1226" t="n"/>
      <c r="L765" s="1226" t="n"/>
      <c r="M765" s="1226" t="n"/>
      <c r="N765" s="1227" t="n"/>
      <c r="O765" s="963" t="n"/>
      <c r="P765" s="963" t="n"/>
      <c r="Q765" s="963" t="n"/>
      <c r="R765" s="1228" t="n"/>
      <c r="S765" s="1229" t="n"/>
    </row>
    <row r="766" ht="15.75" customHeight="1" s="1349">
      <c r="A766" s="1222" t="n"/>
      <c r="B766" s="1223" t="n"/>
      <c r="C766" s="1223" t="n"/>
      <c r="D766" s="1224" t="n"/>
      <c r="E766" s="1225" t="n"/>
      <c r="F766" s="1224" t="n"/>
      <c r="G766" s="1224" t="n"/>
      <c r="H766" s="963" t="n"/>
      <c r="I766" s="963" t="n"/>
      <c r="J766" s="963" t="n"/>
      <c r="K766" s="1226" t="n"/>
      <c r="L766" s="1226" t="n"/>
      <c r="M766" s="1226" t="n"/>
      <c r="N766" s="1227" t="n"/>
      <c r="O766" s="963" t="n"/>
      <c r="P766" s="963" t="n"/>
      <c r="Q766" s="963" t="n"/>
      <c r="R766" s="1228" t="n"/>
      <c r="S766" s="1229" t="n"/>
    </row>
    <row r="767" ht="15.75" customHeight="1" s="1349">
      <c r="A767" s="1222" t="n"/>
      <c r="B767" s="1223" t="n"/>
      <c r="C767" s="1223" t="n"/>
      <c r="D767" s="1224" t="n"/>
      <c r="E767" s="1225" t="n"/>
      <c r="F767" s="1224" t="n"/>
      <c r="G767" s="1224" t="n"/>
      <c r="H767" s="963" t="n"/>
      <c r="I767" s="963" t="n"/>
      <c r="J767" s="963" t="n"/>
      <c r="K767" s="1226" t="n"/>
      <c r="L767" s="1226" t="n"/>
      <c r="M767" s="1226" t="n"/>
      <c r="N767" s="1227" t="n"/>
      <c r="O767" s="963" t="n"/>
      <c r="P767" s="963" t="n"/>
      <c r="Q767" s="963" t="n"/>
      <c r="R767" s="1228" t="n"/>
      <c r="S767" s="1229" t="n"/>
    </row>
    <row r="768" ht="15.75" customHeight="1" s="1349">
      <c r="A768" s="1222" t="n"/>
      <c r="B768" s="1223" t="n"/>
      <c r="C768" s="1223" t="n"/>
      <c r="D768" s="1224" t="n"/>
      <c r="E768" s="1225" t="n"/>
      <c r="F768" s="1224" t="n"/>
      <c r="G768" s="1224" t="n"/>
      <c r="H768" s="963" t="n"/>
      <c r="I768" s="963" t="n"/>
      <c r="J768" s="963" t="n"/>
      <c r="K768" s="1226" t="n"/>
      <c r="L768" s="1226" t="n"/>
      <c r="M768" s="1226" t="n"/>
      <c r="N768" s="1227" t="n"/>
      <c r="O768" s="963" t="n"/>
      <c r="P768" s="963" t="n"/>
      <c r="Q768" s="963" t="n"/>
      <c r="R768" s="1228" t="n"/>
      <c r="S768" s="1229" t="n"/>
    </row>
    <row r="769" ht="15.75" customHeight="1" s="1349">
      <c r="A769" s="1222" t="n"/>
      <c r="B769" s="1223" t="n"/>
      <c r="C769" s="1223" t="n"/>
      <c r="D769" s="1224" t="n"/>
      <c r="E769" s="1225" t="n"/>
      <c r="F769" s="1224" t="n"/>
      <c r="G769" s="1224" t="n"/>
      <c r="H769" s="963" t="n"/>
      <c r="I769" s="963" t="n"/>
      <c r="J769" s="963" t="n"/>
      <c r="K769" s="1226" t="n"/>
      <c r="L769" s="1226" t="n"/>
      <c r="M769" s="1226" t="n"/>
      <c r="N769" s="1227" t="n"/>
      <c r="O769" s="963" t="n"/>
      <c r="P769" s="963" t="n"/>
      <c r="Q769" s="963" t="n"/>
      <c r="R769" s="1228" t="n"/>
      <c r="S769" s="1229" t="n"/>
    </row>
    <row r="770" ht="15.75" customHeight="1" s="1349">
      <c r="A770" s="1222" t="n"/>
      <c r="B770" s="1223" t="n"/>
      <c r="C770" s="1223" t="n"/>
      <c r="D770" s="1224" t="n"/>
      <c r="E770" s="1225" t="n"/>
      <c r="F770" s="1224" t="n"/>
      <c r="G770" s="1224" t="n"/>
      <c r="H770" s="963" t="n"/>
      <c r="I770" s="963" t="n"/>
      <c r="J770" s="963" t="n"/>
      <c r="K770" s="1226" t="n"/>
      <c r="L770" s="1226" t="n"/>
      <c r="M770" s="1226" t="n"/>
      <c r="N770" s="1227" t="n"/>
      <c r="O770" s="963" t="n"/>
      <c r="P770" s="963" t="n"/>
      <c r="Q770" s="963" t="n"/>
      <c r="R770" s="1228" t="n"/>
      <c r="S770" s="1229" t="n"/>
    </row>
    <row r="771" ht="15.75" customHeight="1" s="1349">
      <c r="A771" s="1222" t="n"/>
      <c r="B771" s="1223" t="n"/>
      <c r="C771" s="1223" t="n"/>
      <c r="D771" s="1224" t="n"/>
      <c r="E771" s="1225" t="n"/>
      <c r="F771" s="1224" t="n"/>
      <c r="G771" s="1224" t="n"/>
      <c r="H771" s="963" t="n"/>
      <c r="I771" s="963" t="n"/>
      <c r="J771" s="963" t="n"/>
      <c r="K771" s="1226" t="n"/>
      <c r="L771" s="1226" t="n"/>
      <c r="M771" s="1226" t="n"/>
      <c r="N771" s="1227" t="n"/>
      <c r="O771" s="963" t="n"/>
      <c r="P771" s="963" t="n"/>
      <c r="Q771" s="963" t="n"/>
      <c r="R771" s="1228" t="n"/>
      <c r="S771" s="1229" t="n"/>
    </row>
    <row r="772" ht="15.75" customHeight="1" s="1349">
      <c r="A772" s="1222" t="n"/>
      <c r="B772" s="1223" t="n"/>
      <c r="C772" s="1223" t="n"/>
      <c r="D772" s="1224" t="n"/>
      <c r="E772" s="1225" t="n"/>
      <c r="F772" s="1224" t="n"/>
      <c r="G772" s="1224" t="n"/>
      <c r="H772" s="963" t="n"/>
      <c r="I772" s="963" t="n"/>
      <c r="J772" s="963" t="n"/>
      <c r="K772" s="1226" t="n"/>
      <c r="L772" s="1226" t="n"/>
      <c r="M772" s="1226" t="n"/>
      <c r="N772" s="1227" t="n"/>
      <c r="O772" s="963" t="n"/>
      <c r="P772" s="963" t="n"/>
      <c r="Q772" s="963" t="n"/>
      <c r="R772" s="1228" t="n"/>
      <c r="S772" s="1229" t="n"/>
    </row>
    <row r="773" ht="15.75" customHeight="1" s="1349">
      <c r="A773" s="1222" t="n"/>
      <c r="B773" s="1223" t="n"/>
      <c r="C773" s="1223" t="n"/>
      <c r="D773" s="1224" t="n"/>
      <c r="E773" s="1225" t="n"/>
      <c r="F773" s="1224" t="n"/>
      <c r="G773" s="1224" t="n"/>
      <c r="H773" s="963" t="n"/>
      <c r="I773" s="963" t="n"/>
      <c r="J773" s="963" t="n"/>
      <c r="K773" s="1226" t="n"/>
      <c r="L773" s="1226" t="n"/>
      <c r="M773" s="1226" t="n"/>
      <c r="N773" s="1227" t="n"/>
      <c r="O773" s="963" t="n"/>
      <c r="P773" s="963" t="n"/>
      <c r="Q773" s="963" t="n"/>
      <c r="R773" s="1228" t="n"/>
      <c r="S773" s="1229" t="n"/>
    </row>
    <row r="774" ht="15.75" customHeight="1" s="1349">
      <c r="A774" s="1222" t="n"/>
      <c r="B774" s="1223" t="n"/>
      <c r="C774" s="1223" t="n"/>
      <c r="D774" s="1224" t="n"/>
      <c r="E774" s="1225" t="n"/>
      <c r="F774" s="1224" t="n"/>
      <c r="G774" s="1224" t="n"/>
      <c r="H774" s="963" t="n"/>
      <c r="I774" s="963" t="n"/>
      <c r="J774" s="963" t="n"/>
      <c r="K774" s="1226" t="n"/>
      <c r="L774" s="1226" t="n"/>
      <c r="M774" s="1226" t="n"/>
      <c r="N774" s="1227" t="n"/>
      <c r="O774" s="963" t="n"/>
      <c r="P774" s="963" t="n"/>
      <c r="Q774" s="963" t="n"/>
      <c r="R774" s="1228" t="n"/>
      <c r="S774" s="1229" t="n"/>
    </row>
    <row r="775" ht="15.75" customHeight="1" s="1349">
      <c r="A775" s="1222" t="n"/>
      <c r="B775" s="1223" t="n"/>
      <c r="C775" s="1223" t="n"/>
      <c r="D775" s="1224" t="n"/>
      <c r="E775" s="1225" t="n"/>
      <c r="F775" s="1224" t="n"/>
      <c r="G775" s="1224" t="n"/>
      <c r="H775" s="963" t="n"/>
      <c r="I775" s="963" t="n"/>
      <c r="J775" s="963" t="n"/>
      <c r="K775" s="1226" t="n"/>
      <c r="L775" s="1226" t="n"/>
      <c r="M775" s="1226" t="n"/>
      <c r="N775" s="1227" t="n"/>
      <c r="O775" s="963" t="n"/>
      <c r="P775" s="963" t="n"/>
      <c r="Q775" s="963" t="n"/>
      <c r="R775" s="1228" t="n"/>
      <c r="S775" s="1229" t="n"/>
    </row>
    <row r="776" ht="15.75" customHeight="1" s="1349">
      <c r="A776" s="1222" t="n"/>
      <c r="B776" s="1223" t="n"/>
      <c r="C776" s="1223" t="n"/>
      <c r="D776" s="1224" t="n"/>
      <c r="E776" s="1225" t="n"/>
      <c r="F776" s="1224" t="n"/>
      <c r="G776" s="1224" t="n"/>
      <c r="H776" s="963" t="n"/>
      <c r="I776" s="963" t="n"/>
      <c r="J776" s="963" t="n"/>
      <c r="K776" s="1226" t="n"/>
      <c r="L776" s="1226" t="n"/>
      <c r="M776" s="1226" t="n"/>
      <c r="N776" s="1227" t="n"/>
      <c r="O776" s="963" t="n"/>
      <c r="P776" s="963" t="n"/>
      <c r="Q776" s="963" t="n"/>
      <c r="R776" s="1228" t="n"/>
      <c r="S776" s="1229" t="n"/>
    </row>
    <row r="777" ht="15.75" customHeight="1" s="1349">
      <c r="A777" s="1222" t="n"/>
      <c r="B777" s="1223" t="n"/>
      <c r="C777" s="1223" t="n"/>
      <c r="D777" s="1224" t="n"/>
      <c r="E777" s="1225" t="n"/>
      <c r="F777" s="1224" t="n"/>
      <c r="G777" s="1224" t="n"/>
      <c r="H777" s="963" t="n"/>
      <c r="I777" s="963" t="n"/>
      <c r="J777" s="963" t="n"/>
      <c r="K777" s="1226" t="n"/>
      <c r="L777" s="1226" t="n"/>
      <c r="M777" s="1226" t="n"/>
      <c r="N777" s="1227" t="n"/>
      <c r="O777" s="963" t="n"/>
      <c r="P777" s="963" t="n"/>
      <c r="Q777" s="963" t="n"/>
      <c r="R777" s="1228" t="n"/>
      <c r="S777" s="1229" t="n"/>
    </row>
    <row r="778" ht="15.75" customHeight="1" s="1349">
      <c r="A778" s="1222" t="n"/>
      <c r="B778" s="1223" t="n"/>
      <c r="C778" s="1223" t="n"/>
      <c r="D778" s="1224" t="n"/>
      <c r="E778" s="1225" t="n"/>
      <c r="F778" s="1224" t="n"/>
      <c r="G778" s="1224" t="n"/>
      <c r="H778" s="963" t="n"/>
      <c r="I778" s="963" t="n"/>
      <c r="J778" s="963" t="n"/>
      <c r="K778" s="1226" t="n"/>
      <c r="L778" s="1226" t="n"/>
      <c r="M778" s="1226" t="n"/>
      <c r="N778" s="1227" t="n"/>
      <c r="O778" s="963" t="n"/>
      <c r="P778" s="963" t="n"/>
      <c r="Q778" s="963" t="n"/>
      <c r="R778" s="1228" t="n"/>
      <c r="S778" s="1229" t="n"/>
    </row>
    <row r="779" ht="15.75" customHeight="1" s="1349">
      <c r="A779" s="1222" t="n"/>
      <c r="B779" s="1223" t="n"/>
      <c r="C779" s="1223" t="n"/>
      <c r="D779" s="1224" t="n"/>
      <c r="E779" s="1225" t="n"/>
      <c r="F779" s="1224" t="n"/>
      <c r="G779" s="1224" t="n"/>
      <c r="H779" s="963" t="n"/>
      <c r="I779" s="963" t="n"/>
      <c r="J779" s="963" t="n"/>
      <c r="K779" s="1226" t="n"/>
      <c r="L779" s="1226" t="n"/>
      <c r="M779" s="1226" t="n"/>
      <c r="N779" s="1227" t="n"/>
      <c r="O779" s="963" t="n"/>
      <c r="P779" s="963" t="n"/>
      <c r="Q779" s="963" t="n"/>
      <c r="R779" s="1228" t="n"/>
      <c r="S779" s="1229" t="n"/>
    </row>
    <row r="780" ht="15.75" customHeight="1" s="1349">
      <c r="A780" s="1222" t="n"/>
      <c r="B780" s="1223" t="n"/>
      <c r="C780" s="1223" t="n"/>
      <c r="D780" s="1224" t="n"/>
      <c r="E780" s="1225" t="n"/>
      <c r="F780" s="1224" t="n"/>
      <c r="G780" s="1224" t="n"/>
      <c r="H780" s="963" t="n"/>
      <c r="I780" s="963" t="n"/>
      <c r="J780" s="963" t="n"/>
      <c r="K780" s="1226" t="n"/>
      <c r="L780" s="1226" t="n"/>
      <c r="M780" s="1226" t="n"/>
      <c r="N780" s="1227" t="n"/>
      <c r="O780" s="963" t="n"/>
      <c r="P780" s="963" t="n"/>
      <c r="Q780" s="963" t="n"/>
      <c r="R780" s="1228" t="n"/>
      <c r="S780" s="1229" t="n"/>
    </row>
    <row r="781" ht="15.75" customHeight="1" s="1349">
      <c r="A781" s="1222" t="n"/>
      <c r="B781" s="1223" t="n"/>
      <c r="C781" s="1223" t="n"/>
      <c r="D781" s="1224" t="n"/>
      <c r="E781" s="1225" t="n"/>
      <c r="F781" s="1224" t="n"/>
      <c r="G781" s="1224" t="n"/>
      <c r="H781" s="963" t="n"/>
      <c r="I781" s="963" t="n"/>
      <c r="J781" s="963" t="n"/>
      <c r="K781" s="1226" t="n"/>
      <c r="L781" s="1226" t="n"/>
      <c r="M781" s="1226" t="n"/>
      <c r="N781" s="1227" t="n"/>
      <c r="O781" s="963" t="n"/>
      <c r="P781" s="963" t="n"/>
      <c r="Q781" s="963" t="n"/>
      <c r="R781" s="1228" t="n"/>
      <c r="S781" s="1229" t="n"/>
    </row>
    <row r="782" ht="15.75" customHeight="1" s="1349">
      <c r="A782" s="1222" t="n"/>
      <c r="B782" s="1223" t="n"/>
      <c r="C782" s="1223" t="n"/>
      <c r="D782" s="1224" t="n"/>
      <c r="E782" s="1225" t="n"/>
      <c r="F782" s="1224" t="n"/>
      <c r="G782" s="1224" t="n"/>
      <c r="H782" s="963" t="n"/>
      <c r="I782" s="963" t="n"/>
      <c r="J782" s="963" t="n"/>
      <c r="K782" s="1226" t="n"/>
      <c r="L782" s="1226" t="n"/>
      <c r="M782" s="1226" t="n"/>
      <c r="N782" s="1227" t="n"/>
      <c r="O782" s="963" t="n"/>
      <c r="P782" s="963" t="n"/>
      <c r="Q782" s="963" t="n"/>
      <c r="R782" s="1228" t="n"/>
      <c r="S782" s="1229" t="n"/>
    </row>
    <row r="783" ht="15.75" customHeight="1" s="1349">
      <c r="A783" s="1222" t="n"/>
      <c r="B783" s="1223" t="n"/>
      <c r="C783" s="1223" t="n"/>
      <c r="D783" s="1224" t="n"/>
      <c r="E783" s="1225" t="n"/>
      <c r="F783" s="1224" t="n"/>
      <c r="G783" s="1224" t="n"/>
      <c r="H783" s="963" t="n"/>
      <c r="I783" s="963" t="n"/>
      <c r="J783" s="963" t="n"/>
      <c r="K783" s="1226" t="n"/>
      <c r="L783" s="1226" t="n"/>
      <c r="M783" s="1226" t="n"/>
      <c r="N783" s="1227" t="n"/>
      <c r="O783" s="963" t="n"/>
      <c r="P783" s="963" t="n"/>
      <c r="Q783" s="963" t="n"/>
      <c r="R783" s="1228" t="n"/>
      <c r="S783" s="1229" t="n"/>
    </row>
    <row r="784" ht="15.75" customHeight="1" s="1349">
      <c r="A784" s="1222" t="n"/>
      <c r="B784" s="1223" t="n"/>
      <c r="C784" s="1223" t="n"/>
      <c r="D784" s="1224" t="n"/>
      <c r="E784" s="1225" t="n"/>
      <c r="F784" s="1224" t="n"/>
      <c r="G784" s="1224" t="n"/>
      <c r="H784" s="963" t="n"/>
      <c r="I784" s="963" t="n"/>
      <c r="J784" s="963" t="n"/>
      <c r="K784" s="1226" t="n"/>
      <c r="L784" s="1226" t="n"/>
      <c r="M784" s="1226" t="n"/>
      <c r="N784" s="1227" t="n"/>
      <c r="O784" s="963" t="n"/>
      <c r="P784" s="963" t="n"/>
      <c r="Q784" s="963" t="n"/>
      <c r="R784" s="1228" t="n"/>
      <c r="S784" s="1229" t="n"/>
    </row>
    <row r="785" ht="15.75" customHeight="1" s="1349">
      <c r="A785" s="1222" t="n"/>
      <c r="B785" s="1223" t="n"/>
      <c r="C785" s="1223" t="n"/>
      <c r="D785" s="1224" t="n"/>
      <c r="E785" s="1225" t="n"/>
      <c r="F785" s="1224" t="n"/>
      <c r="G785" s="1224" t="n"/>
      <c r="H785" s="963" t="n"/>
      <c r="I785" s="963" t="n"/>
      <c r="J785" s="963" t="n"/>
      <c r="K785" s="1226" t="n"/>
      <c r="L785" s="1226" t="n"/>
      <c r="M785" s="1226" t="n"/>
      <c r="N785" s="1227" t="n"/>
      <c r="O785" s="963" t="n"/>
      <c r="P785" s="963" t="n"/>
      <c r="Q785" s="963" t="n"/>
      <c r="R785" s="1228" t="n"/>
      <c r="S785" s="1229" t="n"/>
    </row>
    <row r="786" ht="15.75" customHeight="1" s="1349">
      <c r="A786" s="1222" t="n"/>
      <c r="B786" s="1223" t="n"/>
      <c r="C786" s="1223" t="n"/>
      <c r="D786" s="1224" t="n"/>
      <c r="E786" s="1225" t="n"/>
      <c r="F786" s="1224" t="n"/>
      <c r="G786" s="1224" t="n"/>
      <c r="H786" s="963" t="n"/>
      <c r="I786" s="963" t="n"/>
      <c r="J786" s="963" t="n"/>
      <c r="K786" s="1226" t="n"/>
      <c r="L786" s="1226" t="n"/>
      <c r="M786" s="1226" t="n"/>
      <c r="N786" s="1227" t="n"/>
      <c r="O786" s="963" t="n"/>
      <c r="P786" s="963" t="n"/>
      <c r="Q786" s="963" t="n"/>
      <c r="R786" s="1228" t="n"/>
      <c r="S786" s="1229" t="n"/>
    </row>
    <row r="787" ht="15.75" customHeight="1" s="1349">
      <c r="A787" s="1222" t="n"/>
      <c r="B787" s="1223" t="n"/>
      <c r="C787" s="1223" t="n"/>
      <c r="D787" s="1224" t="n"/>
      <c r="E787" s="1225" t="n"/>
      <c r="F787" s="1224" t="n"/>
      <c r="G787" s="1224" t="n"/>
      <c r="H787" s="963" t="n"/>
      <c r="I787" s="963" t="n"/>
      <c r="J787" s="963" t="n"/>
      <c r="K787" s="1226" t="n"/>
      <c r="L787" s="1226" t="n"/>
      <c r="M787" s="1226" t="n"/>
      <c r="N787" s="1227" t="n"/>
      <c r="O787" s="963" t="n"/>
      <c r="P787" s="963" t="n"/>
      <c r="Q787" s="963" t="n"/>
      <c r="R787" s="1228" t="n"/>
      <c r="S787" s="1229" t="n"/>
    </row>
    <row r="788" ht="15.75" customHeight="1" s="1349">
      <c r="A788" s="1222" t="n"/>
      <c r="B788" s="1223" t="n"/>
      <c r="C788" s="1223" t="n"/>
      <c r="D788" s="1224" t="n"/>
      <c r="E788" s="1225" t="n"/>
      <c r="F788" s="1224" t="n"/>
      <c r="G788" s="1224" t="n"/>
      <c r="H788" s="963" t="n"/>
      <c r="I788" s="963" t="n"/>
      <c r="J788" s="963" t="n"/>
      <c r="K788" s="1226" t="n"/>
      <c r="L788" s="1226" t="n"/>
      <c r="M788" s="1226" t="n"/>
      <c r="N788" s="1227" t="n"/>
      <c r="O788" s="963" t="n"/>
      <c r="P788" s="963" t="n"/>
      <c r="Q788" s="963" t="n"/>
      <c r="R788" s="1228" t="n"/>
      <c r="S788" s="1229" t="n"/>
    </row>
    <row r="789" ht="15.75" customHeight="1" s="1349">
      <c r="A789" s="1222" t="n"/>
      <c r="B789" s="1223" t="n"/>
      <c r="C789" s="1223" t="n"/>
      <c r="D789" s="1224" t="n"/>
      <c r="E789" s="1225" t="n"/>
      <c r="F789" s="1224" t="n"/>
      <c r="G789" s="1224" t="n"/>
      <c r="H789" s="963" t="n"/>
      <c r="I789" s="963" t="n"/>
      <c r="J789" s="963" t="n"/>
      <c r="K789" s="1226" t="n"/>
      <c r="L789" s="1226" t="n"/>
      <c r="M789" s="1226" t="n"/>
      <c r="N789" s="1227" t="n"/>
      <c r="O789" s="963" t="n"/>
      <c r="P789" s="963" t="n"/>
      <c r="Q789" s="963" t="n"/>
      <c r="R789" s="1228" t="n"/>
      <c r="S789" s="1229" t="n"/>
    </row>
    <row r="790" ht="15.75" customHeight="1" s="1349">
      <c r="A790" s="1222" t="n"/>
      <c r="B790" s="1223" t="n"/>
      <c r="C790" s="1223" t="n"/>
      <c r="D790" s="1224" t="n"/>
      <c r="E790" s="1225" t="n"/>
      <c r="F790" s="1224" t="n"/>
      <c r="G790" s="1224" t="n"/>
      <c r="H790" s="963" t="n"/>
      <c r="I790" s="963" t="n"/>
      <c r="J790" s="963" t="n"/>
      <c r="K790" s="1226" t="n"/>
      <c r="L790" s="1226" t="n"/>
      <c r="M790" s="1226" t="n"/>
      <c r="N790" s="1227" t="n"/>
      <c r="O790" s="963" t="n"/>
      <c r="P790" s="963" t="n"/>
      <c r="Q790" s="963" t="n"/>
      <c r="R790" s="1228" t="n"/>
      <c r="S790" s="1229" t="n"/>
    </row>
    <row r="791" ht="15.75" customHeight="1" s="1349">
      <c r="A791" s="1222" t="n"/>
      <c r="B791" s="1223" t="n"/>
      <c r="C791" s="1223" t="n"/>
      <c r="D791" s="1224" t="n"/>
      <c r="E791" s="1225" t="n"/>
      <c r="F791" s="1224" t="n"/>
      <c r="G791" s="1224" t="n"/>
      <c r="H791" s="963" t="n"/>
      <c r="I791" s="963" t="n"/>
      <c r="J791" s="963" t="n"/>
      <c r="K791" s="1226" t="n"/>
      <c r="L791" s="1226" t="n"/>
      <c r="M791" s="1226" t="n"/>
      <c r="N791" s="1227" t="n"/>
      <c r="O791" s="963" t="n"/>
      <c r="P791" s="963" t="n"/>
      <c r="Q791" s="963" t="n"/>
      <c r="R791" s="1228" t="n"/>
      <c r="S791" s="1229" t="n"/>
    </row>
    <row r="792" ht="15.75" customHeight="1" s="1349">
      <c r="A792" s="1222" t="n"/>
      <c r="B792" s="1223" t="n"/>
      <c r="C792" s="1223" t="n"/>
      <c r="D792" s="1224" t="n"/>
      <c r="E792" s="1225" t="n"/>
      <c r="F792" s="1224" t="n"/>
      <c r="G792" s="1224" t="n"/>
      <c r="H792" s="963" t="n"/>
      <c r="I792" s="963" t="n"/>
      <c r="J792" s="963" t="n"/>
      <c r="K792" s="1226" t="n"/>
      <c r="L792" s="1226" t="n"/>
      <c r="M792" s="1226" t="n"/>
      <c r="N792" s="1227" t="n"/>
      <c r="O792" s="963" t="n"/>
      <c r="P792" s="963" t="n"/>
      <c r="Q792" s="963" t="n"/>
      <c r="R792" s="1228" t="n"/>
      <c r="S792" s="1229" t="n"/>
    </row>
    <row r="793" ht="15.75" customHeight="1" s="1349">
      <c r="A793" s="1222" t="n"/>
      <c r="B793" s="1223" t="n"/>
      <c r="C793" s="1223" t="n"/>
      <c r="D793" s="1224" t="n"/>
      <c r="E793" s="1225" t="n"/>
      <c r="F793" s="1224" t="n"/>
      <c r="G793" s="1224" t="n"/>
      <c r="H793" s="963" t="n"/>
      <c r="I793" s="963" t="n"/>
      <c r="J793" s="963" t="n"/>
      <c r="K793" s="1226" t="n"/>
      <c r="L793" s="1226" t="n"/>
      <c r="M793" s="1226" t="n"/>
      <c r="N793" s="1227" t="n"/>
      <c r="O793" s="963" t="n"/>
      <c r="P793" s="963" t="n"/>
      <c r="Q793" s="963" t="n"/>
      <c r="R793" s="1228" t="n"/>
      <c r="S793" s="1229" t="n"/>
    </row>
    <row r="794" ht="15.75" customHeight="1" s="1349">
      <c r="A794" s="1222" t="n"/>
      <c r="B794" s="1223" t="n"/>
      <c r="C794" s="1223" t="n"/>
      <c r="D794" s="1224" t="n"/>
      <c r="E794" s="1225" t="n"/>
      <c r="F794" s="1224" t="n"/>
      <c r="G794" s="1224" t="n"/>
      <c r="H794" s="963" t="n"/>
      <c r="I794" s="963" t="n"/>
      <c r="J794" s="963" t="n"/>
      <c r="K794" s="1226" t="n"/>
      <c r="L794" s="1226" t="n"/>
      <c r="M794" s="1226" t="n"/>
      <c r="N794" s="1227" t="n"/>
      <c r="O794" s="963" t="n"/>
      <c r="P794" s="963" t="n"/>
      <c r="Q794" s="963" t="n"/>
      <c r="R794" s="1228" t="n"/>
      <c r="S794" s="1229" t="n"/>
    </row>
    <row r="795" ht="15.75" customHeight="1" s="1349">
      <c r="A795" s="1222" t="n"/>
      <c r="B795" s="1223" t="n"/>
      <c r="C795" s="1223" t="n"/>
      <c r="D795" s="1224" t="n"/>
      <c r="E795" s="1225" t="n"/>
      <c r="F795" s="1224" t="n"/>
      <c r="G795" s="1224" t="n"/>
      <c r="H795" s="963" t="n"/>
      <c r="I795" s="963" t="n"/>
      <c r="J795" s="963" t="n"/>
      <c r="K795" s="1226" t="n"/>
      <c r="L795" s="1226" t="n"/>
      <c r="M795" s="1226" t="n"/>
      <c r="N795" s="1227" t="n"/>
      <c r="O795" s="963" t="n"/>
      <c r="P795" s="963" t="n"/>
      <c r="Q795" s="963" t="n"/>
      <c r="R795" s="1228" t="n"/>
      <c r="S795" s="1229" t="n"/>
    </row>
    <row r="796" ht="15.75" customHeight="1" s="1349">
      <c r="A796" s="1222" t="n"/>
      <c r="B796" s="1223" t="n"/>
      <c r="C796" s="1223" t="n"/>
      <c r="D796" s="1224" t="n"/>
      <c r="E796" s="1225" t="n"/>
      <c r="F796" s="1224" t="n"/>
      <c r="G796" s="1224" t="n"/>
      <c r="H796" s="963" t="n"/>
      <c r="I796" s="963" t="n"/>
      <c r="J796" s="963" t="n"/>
      <c r="K796" s="1226" t="n"/>
      <c r="L796" s="1226" t="n"/>
      <c r="M796" s="1226" t="n"/>
      <c r="N796" s="1227" t="n"/>
      <c r="O796" s="963" t="n"/>
      <c r="P796" s="963" t="n"/>
      <c r="Q796" s="963" t="n"/>
      <c r="R796" s="1228" t="n"/>
      <c r="S796" s="1229" t="n"/>
    </row>
    <row r="797" ht="15.75" customHeight="1" s="1349">
      <c r="A797" s="1222" t="n"/>
      <c r="B797" s="1223" t="n"/>
      <c r="C797" s="1223" t="n"/>
      <c r="D797" s="1224" t="n"/>
      <c r="E797" s="1225" t="n"/>
      <c r="F797" s="1224" t="n"/>
      <c r="G797" s="1224" t="n"/>
      <c r="H797" s="963" t="n"/>
      <c r="I797" s="963" t="n"/>
      <c r="J797" s="963" t="n"/>
      <c r="K797" s="1226" t="n"/>
      <c r="L797" s="1226" t="n"/>
      <c r="M797" s="1226" t="n"/>
      <c r="N797" s="1227" t="n"/>
      <c r="O797" s="963" t="n"/>
      <c r="P797" s="963" t="n"/>
      <c r="Q797" s="963" t="n"/>
      <c r="R797" s="1228" t="n"/>
      <c r="S797" s="1229" t="n"/>
    </row>
    <row r="798" ht="15.75" customHeight="1" s="1349">
      <c r="A798" s="1222" t="n"/>
      <c r="B798" s="1223" t="n"/>
      <c r="C798" s="1223" t="n"/>
      <c r="D798" s="1224" t="n"/>
      <c r="E798" s="1225" t="n"/>
      <c r="F798" s="1224" t="n"/>
      <c r="G798" s="1224" t="n"/>
      <c r="H798" s="963" t="n"/>
      <c r="I798" s="963" t="n"/>
      <c r="J798" s="963" t="n"/>
      <c r="K798" s="1226" t="n"/>
      <c r="L798" s="1226" t="n"/>
      <c r="M798" s="1226" t="n"/>
      <c r="N798" s="1227" t="n"/>
      <c r="O798" s="963" t="n"/>
      <c r="P798" s="963" t="n"/>
      <c r="Q798" s="963" t="n"/>
      <c r="R798" s="1228" t="n"/>
      <c r="S798" s="1229" t="n"/>
    </row>
    <row r="799" ht="15.75" customHeight="1" s="1349">
      <c r="A799" s="1222" t="n"/>
      <c r="B799" s="1223" t="n"/>
      <c r="C799" s="1223" t="n"/>
      <c r="D799" s="1224" t="n"/>
      <c r="E799" s="1225" t="n"/>
      <c r="F799" s="1224" t="n"/>
      <c r="G799" s="1224" t="n"/>
      <c r="H799" s="963" t="n"/>
      <c r="I799" s="963" t="n"/>
      <c r="J799" s="963" t="n"/>
      <c r="K799" s="1226" t="n"/>
      <c r="L799" s="1226" t="n"/>
      <c r="M799" s="1226" t="n"/>
      <c r="N799" s="1227" t="n"/>
      <c r="O799" s="963" t="n"/>
      <c r="P799" s="963" t="n"/>
      <c r="Q799" s="963" t="n"/>
      <c r="R799" s="1228" t="n"/>
      <c r="S799" s="1229" t="n"/>
    </row>
    <row r="800" ht="15.75" customHeight="1" s="1349">
      <c r="A800" s="1222" t="n"/>
      <c r="B800" s="1223" t="n"/>
      <c r="C800" s="1223" t="n"/>
      <c r="D800" s="1224" t="n"/>
      <c r="E800" s="1225" t="n"/>
      <c r="F800" s="1224" t="n"/>
      <c r="G800" s="1224" t="n"/>
      <c r="H800" s="963" t="n"/>
      <c r="I800" s="963" t="n"/>
      <c r="J800" s="963" t="n"/>
      <c r="K800" s="1226" t="n"/>
      <c r="L800" s="1226" t="n"/>
      <c r="M800" s="1226" t="n"/>
      <c r="N800" s="1227" t="n"/>
      <c r="O800" s="963" t="n"/>
      <c r="P800" s="963" t="n"/>
      <c r="Q800" s="963" t="n"/>
      <c r="R800" s="1228" t="n"/>
      <c r="S800" s="1229" t="n"/>
    </row>
    <row r="801" ht="15.75" customHeight="1" s="1349">
      <c r="A801" s="1222" t="n"/>
      <c r="B801" s="1223" t="n"/>
      <c r="C801" s="1223" t="n"/>
      <c r="D801" s="1224" t="n"/>
      <c r="E801" s="1225" t="n"/>
      <c r="F801" s="1224" t="n"/>
      <c r="G801" s="1224" t="n"/>
      <c r="H801" s="963" t="n"/>
      <c r="I801" s="963" t="n"/>
      <c r="J801" s="963" t="n"/>
      <c r="K801" s="1226" t="n"/>
      <c r="L801" s="1226" t="n"/>
      <c r="M801" s="1226" t="n"/>
      <c r="N801" s="1227" t="n"/>
      <c r="O801" s="963" t="n"/>
      <c r="P801" s="963" t="n"/>
      <c r="Q801" s="963" t="n"/>
      <c r="R801" s="1228" t="n"/>
      <c r="S801" s="1229" t="n"/>
    </row>
    <row r="802" ht="15.75" customHeight="1" s="1349">
      <c r="A802" s="1222" t="n"/>
      <c r="B802" s="1223" t="n"/>
      <c r="C802" s="1223" t="n"/>
      <c r="D802" s="1224" t="n"/>
      <c r="E802" s="1225" t="n"/>
      <c r="F802" s="1224" t="n"/>
      <c r="G802" s="1224" t="n"/>
      <c r="H802" s="963" t="n"/>
      <c r="I802" s="963" t="n"/>
      <c r="J802" s="963" t="n"/>
      <c r="K802" s="1226" t="n"/>
      <c r="L802" s="1226" t="n"/>
      <c r="M802" s="1226" t="n"/>
      <c r="N802" s="1227" t="n"/>
      <c r="O802" s="963" t="n"/>
      <c r="P802" s="963" t="n"/>
      <c r="Q802" s="963" t="n"/>
      <c r="R802" s="1228" t="n"/>
      <c r="S802" s="1229" t="n"/>
    </row>
    <row r="803" ht="15.75" customHeight="1" s="1349">
      <c r="A803" s="1222" t="n"/>
      <c r="B803" s="1223" t="n"/>
      <c r="C803" s="1223" t="n"/>
      <c r="D803" s="1224" t="n"/>
      <c r="E803" s="1225" t="n"/>
      <c r="F803" s="1224" t="n"/>
      <c r="G803" s="1224" t="n"/>
      <c r="H803" s="963" t="n"/>
      <c r="I803" s="963" t="n"/>
      <c r="J803" s="963" t="n"/>
      <c r="K803" s="1226" t="n"/>
      <c r="L803" s="1226" t="n"/>
      <c r="M803" s="1226" t="n"/>
      <c r="N803" s="1227" t="n"/>
      <c r="O803" s="963" t="n"/>
      <c r="P803" s="963" t="n"/>
      <c r="Q803" s="963" t="n"/>
      <c r="R803" s="1228" t="n"/>
      <c r="S803" s="1229" t="n"/>
    </row>
    <row r="804" ht="15.75" customHeight="1" s="1349">
      <c r="A804" s="1222" t="n"/>
      <c r="B804" s="1223" t="n"/>
      <c r="C804" s="1223" t="n"/>
      <c r="D804" s="1224" t="n"/>
      <c r="E804" s="1225" t="n"/>
      <c r="F804" s="1224" t="n"/>
      <c r="G804" s="1224" t="n"/>
      <c r="H804" s="963" t="n"/>
      <c r="I804" s="963" t="n"/>
      <c r="J804" s="963" t="n"/>
      <c r="K804" s="1226" t="n"/>
      <c r="L804" s="1226" t="n"/>
      <c r="M804" s="1226" t="n"/>
      <c r="N804" s="1227" t="n"/>
      <c r="O804" s="963" t="n"/>
      <c r="P804" s="963" t="n"/>
      <c r="Q804" s="963" t="n"/>
      <c r="R804" s="1228" t="n"/>
      <c r="S804" s="1229" t="n"/>
    </row>
    <row r="805" ht="15.75" customHeight="1" s="1349">
      <c r="A805" s="1222" t="n"/>
      <c r="B805" s="1223" t="n"/>
      <c r="C805" s="1223" t="n"/>
      <c r="D805" s="1224" t="n"/>
      <c r="E805" s="1225" t="n"/>
      <c r="F805" s="1224" t="n"/>
      <c r="G805" s="1224" t="n"/>
      <c r="H805" s="963" t="n"/>
      <c r="I805" s="963" t="n"/>
      <c r="J805" s="963" t="n"/>
      <c r="K805" s="1226" t="n"/>
      <c r="L805" s="1226" t="n"/>
      <c r="M805" s="1226" t="n"/>
      <c r="N805" s="1227" t="n"/>
      <c r="O805" s="963" t="n"/>
      <c r="P805" s="963" t="n"/>
      <c r="Q805" s="963" t="n"/>
      <c r="R805" s="1228" t="n"/>
      <c r="S805" s="1229" t="n"/>
    </row>
    <row r="806" ht="15.75" customHeight="1" s="1349">
      <c r="A806" s="1222" t="n"/>
      <c r="B806" s="1223" t="n"/>
      <c r="C806" s="1223" t="n"/>
      <c r="D806" s="1224" t="n"/>
      <c r="E806" s="1225" t="n"/>
      <c r="F806" s="1224" t="n"/>
      <c r="G806" s="1224" t="n"/>
      <c r="H806" s="963" t="n"/>
      <c r="I806" s="963" t="n"/>
      <c r="J806" s="963" t="n"/>
      <c r="K806" s="1226" t="n"/>
      <c r="L806" s="1226" t="n"/>
      <c r="M806" s="1226" t="n"/>
      <c r="N806" s="1227" t="n"/>
      <c r="O806" s="963" t="n"/>
      <c r="P806" s="963" t="n"/>
      <c r="Q806" s="963" t="n"/>
      <c r="R806" s="1228" t="n"/>
      <c r="S806" s="1229" t="n"/>
    </row>
    <row r="807" ht="15.75" customHeight="1" s="1349">
      <c r="A807" s="1222" t="n"/>
      <c r="B807" s="1223" t="n"/>
      <c r="C807" s="1223" t="n"/>
      <c r="D807" s="1224" t="n"/>
      <c r="E807" s="1225" t="n"/>
      <c r="F807" s="1224" t="n"/>
      <c r="G807" s="1224" t="n"/>
      <c r="H807" s="963" t="n"/>
      <c r="I807" s="963" t="n"/>
      <c r="J807" s="963" t="n"/>
      <c r="K807" s="1226" t="n"/>
      <c r="L807" s="1226" t="n"/>
      <c r="M807" s="1226" t="n"/>
      <c r="N807" s="1227" t="n"/>
      <c r="O807" s="963" t="n"/>
      <c r="P807" s="963" t="n"/>
      <c r="Q807" s="963" t="n"/>
      <c r="R807" s="1228" t="n"/>
      <c r="S807" s="1229" t="n"/>
    </row>
    <row r="808" ht="15.75" customHeight="1" s="1349">
      <c r="A808" s="1222" t="n"/>
      <c r="B808" s="1223" t="n"/>
      <c r="C808" s="1223" t="n"/>
      <c r="D808" s="1224" t="n"/>
      <c r="E808" s="1225" t="n"/>
      <c r="F808" s="1224" t="n"/>
      <c r="G808" s="1224" t="n"/>
      <c r="H808" s="963" t="n"/>
      <c r="I808" s="963" t="n"/>
      <c r="J808" s="963" t="n"/>
      <c r="K808" s="1226" t="n"/>
      <c r="L808" s="1226" t="n"/>
      <c r="M808" s="1226" t="n"/>
      <c r="N808" s="1227" t="n"/>
      <c r="O808" s="963" t="n"/>
      <c r="P808" s="963" t="n"/>
      <c r="Q808" s="963" t="n"/>
      <c r="R808" s="1228" t="n"/>
      <c r="S808" s="1229" t="n"/>
    </row>
    <row r="809" ht="15.75" customHeight="1" s="1349">
      <c r="A809" s="1222" t="n"/>
      <c r="B809" s="1223" t="n"/>
      <c r="C809" s="1223" t="n"/>
      <c r="D809" s="1224" t="n"/>
      <c r="E809" s="1225" t="n"/>
      <c r="F809" s="1224" t="n"/>
      <c r="G809" s="1224" t="n"/>
      <c r="H809" s="963" t="n"/>
      <c r="I809" s="963" t="n"/>
      <c r="J809" s="963" t="n"/>
      <c r="K809" s="1226" t="n"/>
      <c r="L809" s="1226" t="n"/>
      <c r="M809" s="1226" t="n"/>
      <c r="N809" s="1227" t="n"/>
      <c r="O809" s="963" t="n"/>
      <c r="P809" s="963" t="n"/>
      <c r="Q809" s="963" t="n"/>
      <c r="R809" s="1228" t="n"/>
      <c r="S809" s="1229" t="n"/>
    </row>
    <row r="810" ht="15.75" customHeight="1" s="1349">
      <c r="A810" s="1222" t="n"/>
      <c r="B810" s="1223" t="n"/>
      <c r="C810" s="1223" t="n"/>
      <c r="D810" s="1224" t="n"/>
      <c r="E810" s="1225" t="n"/>
      <c r="F810" s="1224" t="n"/>
      <c r="G810" s="1224" t="n"/>
      <c r="H810" s="963" t="n"/>
      <c r="I810" s="963" t="n"/>
      <c r="J810" s="963" t="n"/>
      <c r="K810" s="1226" t="n"/>
      <c r="L810" s="1226" t="n"/>
      <c r="M810" s="1226" t="n"/>
      <c r="N810" s="1227" t="n"/>
      <c r="O810" s="963" t="n"/>
      <c r="P810" s="963" t="n"/>
      <c r="Q810" s="963" t="n"/>
      <c r="R810" s="1228" t="n"/>
      <c r="S810" s="1229" t="n"/>
    </row>
    <row r="811" ht="15.75" customHeight="1" s="1349">
      <c r="A811" s="1222" t="n"/>
      <c r="B811" s="1223" t="n"/>
      <c r="C811" s="1223" t="n"/>
      <c r="D811" s="1224" t="n"/>
      <c r="E811" s="1225" t="n"/>
      <c r="F811" s="1224" t="n"/>
      <c r="G811" s="1224" t="n"/>
      <c r="H811" s="963" t="n"/>
      <c r="I811" s="963" t="n"/>
      <c r="J811" s="963" t="n"/>
      <c r="K811" s="1226" t="n"/>
      <c r="L811" s="1226" t="n"/>
      <c r="M811" s="1226" t="n"/>
      <c r="N811" s="1227" t="n"/>
      <c r="O811" s="963" t="n"/>
      <c r="P811" s="963" t="n"/>
      <c r="Q811" s="963" t="n"/>
      <c r="R811" s="1228" t="n"/>
      <c r="S811" s="1229" t="n"/>
    </row>
    <row r="812" ht="15.75" customHeight="1" s="1349">
      <c r="A812" s="1222" t="n"/>
      <c r="B812" s="1223" t="n"/>
      <c r="C812" s="1223" t="n"/>
      <c r="D812" s="1224" t="n"/>
      <c r="E812" s="1225" t="n"/>
      <c r="F812" s="1224" t="n"/>
      <c r="G812" s="1224" t="n"/>
      <c r="H812" s="963" t="n"/>
      <c r="I812" s="963" t="n"/>
      <c r="J812" s="963" t="n"/>
      <c r="K812" s="1226" t="n"/>
      <c r="L812" s="1226" t="n"/>
      <c r="M812" s="1226" t="n"/>
      <c r="N812" s="1227" t="n"/>
      <c r="O812" s="963" t="n"/>
      <c r="P812" s="963" t="n"/>
      <c r="Q812" s="963" t="n"/>
      <c r="R812" s="1228" t="n"/>
      <c r="S812" s="1229" t="n"/>
    </row>
    <row r="813" ht="15.75" customHeight="1" s="1349">
      <c r="A813" s="1222" t="n"/>
      <c r="B813" s="1223" t="n"/>
      <c r="C813" s="1223" t="n"/>
      <c r="D813" s="1224" t="n"/>
      <c r="E813" s="1225" t="n"/>
      <c r="F813" s="1224" t="n"/>
      <c r="G813" s="1224" t="n"/>
      <c r="H813" s="963" t="n"/>
      <c r="I813" s="963" t="n"/>
      <c r="J813" s="963" t="n"/>
      <c r="K813" s="1226" t="n"/>
      <c r="L813" s="1226" t="n"/>
      <c r="M813" s="1226" t="n"/>
      <c r="N813" s="1227" t="n"/>
      <c r="O813" s="963" t="n"/>
      <c r="P813" s="963" t="n"/>
      <c r="Q813" s="963" t="n"/>
      <c r="R813" s="1228" t="n"/>
      <c r="S813" s="1229" t="n"/>
    </row>
    <row r="814" ht="15.75" customHeight="1" s="1349">
      <c r="A814" s="1222" t="n"/>
      <c r="B814" s="1223" t="n"/>
      <c r="C814" s="1223" t="n"/>
      <c r="D814" s="1224" t="n"/>
      <c r="E814" s="1225" t="n"/>
      <c r="F814" s="1224" t="n"/>
      <c r="G814" s="1224" t="n"/>
      <c r="H814" s="963" t="n"/>
      <c r="I814" s="963" t="n"/>
      <c r="J814" s="963" t="n"/>
      <c r="K814" s="1226" t="n"/>
      <c r="L814" s="1226" t="n"/>
      <c r="M814" s="1226" t="n"/>
      <c r="N814" s="1227" t="n"/>
      <c r="O814" s="963" t="n"/>
      <c r="P814" s="963" t="n"/>
      <c r="Q814" s="963" t="n"/>
      <c r="R814" s="1228" t="n"/>
      <c r="S814" s="1229" t="n"/>
    </row>
    <row r="815" ht="15.75" customHeight="1" s="1349">
      <c r="A815" s="1222" t="n"/>
      <c r="B815" s="1223" t="n"/>
      <c r="C815" s="1223" t="n"/>
      <c r="D815" s="1224" t="n"/>
      <c r="E815" s="1225" t="n"/>
      <c r="F815" s="1224" t="n"/>
      <c r="G815" s="1224" t="n"/>
      <c r="H815" s="963" t="n"/>
      <c r="I815" s="963" t="n"/>
      <c r="J815" s="963" t="n"/>
      <c r="K815" s="1226" t="n"/>
      <c r="L815" s="1226" t="n"/>
      <c r="M815" s="1226" t="n"/>
      <c r="N815" s="1227" t="n"/>
      <c r="O815" s="963" t="n"/>
      <c r="P815" s="963" t="n"/>
      <c r="Q815" s="963" t="n"/>
      <c r="R815" s="1228" t="n"/>
      <c r="S815" s="1229" t="n"/>
    </row>
    <row r="816" ht="15.75" customHeight="1" s="1349">
      <c r="A816" s="1222" t="n"/>
      <c r="B816" s="1223" t="n"/>
      <c r="C816" s="1223" t="n"/>
      <c r="D816" s="1224" t="n"/>
      <c r="E816" s="1225" t="n"/>
      <c r="F816" s="1224" t="n"/>
      <c r="G816" s="1224" t="n"/>
      <c r="H816" s="963" t="n"/>
      <c r="I816" s="963" t="n"/>
      <c r="J816" s="963" t="n"/>
      <c r="K816" s="1226" t="n"/>
      <c r="L816" s="1226" t="n"/>
      <c r="M816" s="1226" t="n"/>
      <c r="N816" s="1227" t="n"/>
      <c r="O816" s="963" t="n"/>
      <c r="P816" s="963" t="n"/>
      <c r="Q816" s="963" t="n"/>
      <c r="R816" s="1228" t="n"/>
      <c r="S816" s="1229" t="n"/>
    </row>
    <row r="817" ht="15.75" customHeight="1" s="1349">
      <c r="A817" s="1222" t="n"/>
      <c r="B817" s="1223" t="n"/>
      <c r="C817" s="1223" t="n"/>
      <c r="D817" s="1224" t="n"/>
      <c r="E817" s="1225" t="n"/>
      <c r="F817" s="1224" t="n"/>
      <c r="G817" s="1224" t="n"/>
      <c r="H817" s="963" t="n"/>
      <c r="I817" s="963" t="n"/>
      <c r="J817" s="963" t="n"/>
      <c r="K817" s="1226" t="n"/>
      <c r="L817" s="1226" t="n"/>
      <c r="M817" s="1226" t="n"/>
      <c r="N817" s="1227" t="n"/>
      <c r="O817" s="963" t="n"/>
      <c r="P817" s="963" t="n"/>
      <c r="Q817" s="963" t="n"/>
      <c r="R817" s="1228" t="n"/>
      <c r="S817" s="1229" t="n"/>
    </row>
    <row r="818" ht="15.75" customHeight="1" s="1349">
      <c r="A818" s="1222" t="n"/>
      <c r="B818" s="1223" t="n"/>
      <c r="C818" s="1223" t="n"/>
      <c r="D818" s="1224" t="n"/>
      <c r="E818" s="1225" t="n"/>
      <c r="F818" s="1224" t="n"/>
      <c r="G818" s="1224" t="n"/>
      <c r="H818" s="963" t="n"/>
      <c r="I818" s="963" t="n"/>
      <c r="J818" s="963" t="n"/>
      <c r="K818" s="1226" t="n"/>
      <c r="L818" s="1226" t="n"/>
      <c r="M818" s="1226" t="n"/>
      <c r="N818" s="1227" t="n"/>
      <c r="O818" s="963" t="n"/>
      <c r="P818" s="963" t="n"/>
      <c r="Q818" s="963" t="n"/>
      <c r="R818" s="1228" t="n"/>
      <c r="S818" s="1229" t="n"/>
    </row>
    <row r="819" ht="15.75" customHeight="1" s="1349">
      <c r="A819" s="1222" t="n"/>
      <c r="B819" s="1223" t="n"/>
      <c r="C819" s="1223" t="n"/>
      <c r="D819" s="1224" t="n"/>
      <c r="E819" s="1225" t="n"/>
      <c r="F819" s="1224" t="n"/>
      <c r="G819" s="1224" t="n"/>
      <c r="H819" s="963" t="n"/>
      <c r="I819" s="963" t="n"/>
      <c r="J819" s="963" t="n"/>
      <c r="K819" s="1226" t="n"/>
      <c r="L819" s="1226" t="n"/>
      <c r="M819" s="1226" t="n"/>
      <c r="N819" s="1227" t="n"/>
      <c r="O819" s="963" t="n"/>
      <c r="P819" s="963" t="n"/>
      <c r="Q819" s="963" t="n"/>
      <c r="R819" s="1228" t="n"/>
      <c r="S819" s="1229" t="n"/>
    </row>
    <row r="820" ht="15.75" customHeight="1" s="1349">
      <c r="A820" s="1222" t="n"/>
      <c r="B820" s="1223" t="n"/>
      <c r="C820" s="1223" t="n"/>
      <c r="D820" s="1224" t="n"/>
      <c r="E820" s="1225" t="n"/>
      <c r="F820" s="1224" t="n"/>
      <c r="G820" s="1224" t="n"/>
      <c r="H820" s="963" t="n"/>
      <c r="I820" s="963" t="n"/>
      <c r="J820" s="963" t="n"/>
      <c r="K820" s="1226" t="n"/>
      <c r="L820" s="1226" t="n"/>
      <c r="M820" s="1226" t="n"/>
      <c r="N820" s="1227" t="n"/>
      <c r="O820" s="963" t="n"/>
      <c r="P820" s="963" t="n"/>
      <c r="Q820" s="963" t="n"/>
      <c r="R820" s="1228" t="n"/>
      <c r="S820" s="1229" t="n"/>
    </row>
    <row r="821" ht="15.75" customHeight="1" s="1349">
      <c r="A821" s="1222" t="n"/>
      <c r="B821" s="1223" t="n"/>
      <c r="C821" s="1223" t="n"/>
      <c r="D821" s="1224" t="n"/>
      <c r="E821" s="1225" t="n"/>
      <c r="F821" s="1224" t="n"/>
      <c r="G821" s="1224" t="n"/>
      <c r="H821" s="963" t="n"/>
      <c r="I821" s="963" t="n"/>
      <c r="J821" s="963" t="n"/>
      <c r="K821" s="1226" t="n"/>
      <c r="L821" s="1226" t="n"/>
      <c r="M821" s="1226" t="n"/>
      <c r="N821" s="1227" t="n"/>
      <c r="O821" s="963" t="n"/>
      <c r="P821" s="963" t="n"/>
      <c r="Q821" s="963" t="n"/>
      <c r="R821" s="1228" t="n"/>
      <c r="S821" s="1229" t="n"/>
    </row>
    <row r="822" ht="15.75" customHeight="1" s="1349">
      <c r="A822" s="1222" t="n"/>
      <c r="B822" s="1223" t="n"/>
      <c r="C822" s="1223" t="n"/>
      <c r="D822" s="1224" t="n"/>
      <c r="E822" s="1225" t="n"/>
      <c r="F822" s="1224" t="n"/>
      <c r="G822" s="1224" t="n"/>
      <c r="H822" s="963" t="n"/>
      <c r="I822" s="963" t="n"/>
      <c r="J822" s="963" t="n"/>
      <c r="K822" s="1226" t="n"/>
      <c r="L822" s="1226" t="n"/>
      <c r="M822" s="1226" t="n"/>
      <c r="N822" s="1227" t="n"/>
      <c r="O822" s="963" t="n"/>
      <c r="P822" s="963" t="n"/>
      <c r="Q822" s="963" t="n"/>
      <c r="R822" s="1228" t="n"/>
      <c r="S822" s="1229" t="n"/>
    </row>
    <row r="823" ht="15.75" customHeight="1" s="1349">
      <c r="A823" s="1222" t="n"/>
      <c r="B823" s="1223" t="n"/>
      <c r="C823" s="1223" t="n"/>
      <c r="D823" s="1224" t="n"/>
      <c r="E823" s="1225" t="n"/>
      <c r="F823" s="1224" t="n"/>
      <c r="G823" s="1224" t="n"/>
      <c r="H823" s="963" t="n"/>
      <c r="I823" s="963" t="n"/>
      <c r="J823" s="963" t="n"/>
      <c r="K823" s="1226" t="n"/>
      <c r="L823" s="1226" t="n"/>
      <c r="M823" s="1226" t="n"/>
      <c r="N823" s="1227" t="n"/>
      <c r="O823" s="963" t="n"/>
      <c r="P823" s="963" t="n"/>
      <c r="Q823" s="963" t="n"/>
      <c r="R823" s="1228" t="n"/>
      <c r="S823" s="1229" t="n"/>
    </row>
    <row r="824" ht="15.75" customHeight="1" s="1349">
      <c r="A824" s="1222" t="n"/>
      <c r="B824" s="1223" t="n"/>
      <c r="C824" s="1223" t="n"/>
      <c r="D824" s="1224" t="n"/>
      <c r="E824" s="1225" t="n"/>
      <c r="F824" s="1224" t="n"/>
      <c r="G824" s="1224" t="n"/>
      <c r="H824" s="963" t="n"/>
      <c r="I824" s="963" t="n"/>
      <c r="J824" s="963" t="n"/>
      <c r="K824" s="1226" t="n"/>
      <c r="L824" s="1226" t="n"/>
      <c r="M824" s="1226" t="n"/>
      <c r="N824" s="1227" t="n"/>
      <c r="O824" s="963" t="n"/>
      <c r="P824" s="963" t="n"/>
      <c r="Q824" s="963" t="n"/>
      <c r="R824" s="1228" t="n"/>
      <c r="S824" s="1229" t="n"/>
    </row>
    <row r="825" ht="15.75" customHeight="1" s="1349">
      <c r="A825" s="1222" t="n"/>
      <c r="B825" s="1223" t="n"/>
      <c r="C825" s="1223" t="n"/>
      <c r="D825" s="1224" t="n"/>
      <c r="E825" s="1225" t="n"/>
      <c r="F825" s="1224" t="n"/>
      <c r="G825" s="1224" t="n"/>
      <c r="H825" s="963" t="n"/>
      <c r="I825" s="963" t="n"/>
      <c r="J825" s="963" t="n"/>
      <c r="K825" s="1226" t="n"/>
      <c r="L825" s="1226" t="n"/>
      <c r="M825" s="1226" t="n"/>
      <c r="N825" s="1227" t="n"/>
      <c r="O825" s="963" t="n"/>
      <c r="P825" s="963" t="n"/>
      <c r="Q825" s="963" t="n"/>
      <c r="R825" s="1228" t="n"/>
      <c r="S825" s="1229" t="n"/>
    </row>
    <row r="826" ht="15.75" customHeight="1" s="1349">
      <c r="A826" s="1222" t="n"/>
      <c r="B826" s="1223" t="n"/>
      <c r="C826" s="1223" t="n"/>
      <c r="D826" s="1224" t="n"/>
      <c r="E826" s="1225" t="n"/>
      <c r="F826" s="1224" t="n"/>
      <c r="G826" s="1224" t="n"/>
      <c r="H826" s="963" t="n"/>
      <c r="I826" s="963" t="n"/>
      <c r="J826" s="963" t="n"/>
      <c r="K826" s="1226" t="n"/>
      <c r="L826" s="1226" t="n"/>
      <c r="M826" s="1226" t="n"/>
      <c r="N826" s="1227" t="n"/>
      <c r="O826" s="963" t="n"/>
      <c r="P826" s="963" t="n"/>
      <c r="Q826" s="963" t="n"/>
      <c r="R826" s="1228" t="n"/>
      <c r="S826" s="1229" t="n"/>
    </row>
    <row r="827" ht="15.75" customHeight="1" s="1349">
      <c r="A827" s="1222" t="n"/>
      <c r="B827" s="1223" t="n"/>
      <c r="C827" s="1223" t="n"/>
      <c r="D827" s="1224" t="n"/>
      <c r="E827" s="1225" t="n"/>
      <c r="F827" s="1224" t="n"/>
      <c r="G827" s="1224" t="n"/>
      <c r="H827" s="963" t="n"/>
      <c r="I827" s="963" t="n"/>
      <c r="J827" s="963" t="n"/>
      <c r="K827" s="1226" t="n"/>
      <c r="L827" s="1226" t="n"/>
      <c r="M827" s="1226" t="n"/>
      <c r="N827" s="1227" t="n"/>
      <c r="O827" s="963" t="n"/>
      <c r="P827" s="963" t="n"/>
      <c r="Q827" s="963" t="n"/>
      <c r="R827" s="1228" t="n"/>
      <c r="S827" s="1229" t="n"/>
    </row>
    <row r="828" ht="15.75" customHeight="1" s="1349">
      <c r="A828" s="1222" t="n"/>
      <c r="B828" s="1223" t="n"/>
      <c r="C828" s="1223" t="n"/>
      <c r="D828" s="1224" t="n"/>
      <c r="E828" s="1225" t="n"/>
      <c r="F828" s="1224" t="n"/>
      <c r="G828" s="1224" t="n"/>
      <c r="H828" s="963" t="n"/>
      <c r="I828" s="963" t="n"/>
      <c r="J828" s="963" t="n"/>
      <c r="K828" s="1226" t="n"/>
      <c r="L828" s="1226" t="n"/>
      <c r="M828" s="1226" t="n"/>
      <c r="N828" s="1227" t="n"/>
      <c r="O828" s="963" t="n"/>
      <c r="P828" s="963" t="n"/>
      <c r="Q828" s="963" t="n"/>
      <c r="R828" s="1228" t="n"/>
      <c r="S828" s="1229" t="n"/>
    </row>
    <row r="829" ht="15.75" customHeight="1" s="1349">
      <c r="A829" s="1222" t="n"/>
      <c r="B829" s="1223" t="n"/>
      <c r="C829" s="1223" t="n"/>
      <c r="D829" s="1224" t="n"/>
      <c r="E829" s="1225" t="n"/>
      <c r="F829" s="1224" t="n"/>
      <c r="G829" s="1224" t="n"/>
      <c r="H829" s="963" t="n"/>
      <c r="I829" s="963" t="n"/>
      <c r="J829" s="963" t="n"/>
      <c r="K829" s="1226" t="n"/>
      <c r="L829" s="1226" t="n"/>
      <c r="M829" s="1226" t="n"/>
      <c r="N829" s="1227" t="n"/>
      <c r="O829" s="963" t="n"/>
      <c r="P829" s="963" t="n"/>
      <c r="Q829" s="963" t="n"/>
      <c r="R829" s="1228" t="n"/>
      <c r="S829" s="1229" t="n"/>
    </row>
    <row r="830" ht="15.75" customHeight="1" s="1349">
      <c r="A830" s="1222" t="n"/>
      <c r="B830" s="1223" t="n"/>
      <c r="C830" s="1223" t="n"/>
      <c r="D830" s="1224" t="n"/>
      <c r="E830" s="1225" t="n"/>
      <c r="F830" s="1224" t="n"/>
      <c r="G830" s="1224" t="n"/>
      <c r="H830" s="963" t="n"/>
      <c r="I830" s="963" t="n"/>
      <c r="J830" s="963" t="n"/>
      <c r="K830" s="1226" t="n"/>
      <c r="L830" s="1226" t="n"/>
      <c r="M830" s="1226" t="n"/>
      <c r="N830" s="1227" t="n"/>
      <c r="O830" s="963" t="n"/>
      <c r="P830" s="963" t="n"/>
      <c r="Q830" s="963" t="n"/>
      <c r="R830" s="1228" t="n"/>
      <c r="S830" s="1229" t="n"/>
    </row>
    <row r="831" ht="15.75" customHeight="1" s="1349">
      <c r="A831" s="1222" t="n"/>
      <c r="B831" s="1223" t="n"/>
      <c r="C831" s="1223" t="n"/>
      <c r="D831" s="1224" t="n"/>
      <c r="E831" s="1225" t="n"/>
      <c r="F831" s="1224" t="n"/>
      <c r="G831" s="1224" t="n"/>
      <c r="H831" s="963" t="n"/>
      <c r="I831" s="963" t="n"/>
      <c r="J831" s="963" t="n"/>
      <c r="K831" s="1226" t="n"/>
      <c r="L831" s="1226" t="n"/>
      <c r="M831" s="1226" t="n"/>
      <c r="N831" s="1227" t="n"/>
      <c r="O831" s="963" t="n"/>
      <c r="P831" s="963" t="n"/>
      <c r="Q831" s="963" t="n"/>
      <c r="R831" s="1228" t="n"/>
      <c r="S831" s="1229" t="n"/>
    </row>
    <row r="832" ht="15.75" customHeight="1" s="1349">
      <c r="A832" s="1222" t="n"/>
      <c r="B832" s="1223" t="n"/>
      <c r="C832" s="1223" t="n"/>
      <c r="D832" s="1224" t="n"/>
      <c r="E832" s="1225" t="n"/>
      <c r="F832" s="1224" t="n"/>
      <c r="G832" s="1224" t="n"/>
      <c r="H832" s="963" t="n"/>
      <c r="I832" s="963" t="n"/>
      <c r="J832" s="963" t="n"/>
      <c r="K832" s="1226" t="n"/>
      <c r="L832" s="1226" t="n"/>
      <c r="M832" s="1226" t="n"/>
      <c r="N832" s="1227" t="n"/>
      <c r="O832" s="963" t="n"/>
      <c r="P832" s="963" t="n"/>
      <c r="Q832" s="963" t="n"/>
      <c r="R832" s="1228" t="n"/>
      <c r="S832" s="1229" t="n"/>
    </row>
    <row r="833" ht="15.75" customHeight="1" s="1349">
      <c r="A833" s="1222" t="n"/>
      <c r="B833" s="1223" t="n"/>
      <c r="C833" s="1223" t="n"/>
      <c r="D833" s="1224" t="n"/>
      <c r="E833" s="1225" t="n"/>
      <c r="F833" s="1224" t="n"/>
      <c r="G833" s="1224" t="n"/>
      <c r="H833" s="963" t="n"/>
      <c r="I833" s="963" t="n"/>
      <c r="J833" s="963" t="n"/>
      <c r="K833" s="1226" t="n"/>
      <c r="L833" s="1226" t="n"/>
      <c r="M833" s="1226" t="n"/>
      <c r="N833" s="1227" t="n"/>
      <c r="O833" s="963" t="n"/>
      <c r="P833" s="963" t="n"/>
      <c r="Q833" s="963" t="n"/>
      <c r="R833" s="1228" t="n"/>
      <c r="S833" s="1229" t="n"/>
    </row>
    <row r="834" ht="15.75" customHeight="1" s="1349">
      <c r="A834" s="1222" t="n"/>
      <c r="B834" s="1223" t="n"/>
      <c r="C834" s="1223" t="n"/>
      <c r="D834" s="1224" t="n"/>
      <c r="E834" s="1225" t="n"/>
      <c r="F834" s="1224" t="n"/>
      <c r="G834" s="1224" t="n"/>
      <c r="H834" s="963" t="n"/>
      <c r="I834" s="963" t="n"/>
      <c r="J834" s="963" t="n"/>
      <c r="K834" s="1226" t="n"/>
      <c r="L834" s="1226" t="n"/>
      <c r="M834" s="1226" t="n"/>
      <c r="N834" s="1227" t="n"/>
      <c r="O834" s="963" t="n"/>
      <c r="P834" s="963" t="n"/>
      <c r="Q834" s="963" t="n"/>
      <c r="R834" s="1228" t="n"/>
      <c r="S834" s="1229" t="n"/>
    </row>
    <row r="835" ht="15.75" customHeight="1" s="1349">
      <c r="A835" s="1222" t="n"/>
      <c r="B835" s="1223" t="n"/>
      <c r="C835" s="1223" t="n"/>
      <c r="D835" s="1224" t="n"/>
      <c r="E835" s="1225" t="n"/>
      <c r="F835" s="1224" t="n"/>
      <c r="G835" s="1224" t="n"/>
      <c r="H835" s="963" t="n"/>
      <c r="I835" s="963" t="n"/>
      <c r="J835" s="963" t="n"/>
      <c r="K835" s="1226" t="n"/>
      <c r="L835" s="1226" t="n"/>
      <c r="M835" s="1226" t="n"/>
      <c r="N835" s="1227" t="n"/>
      <c r="O835" s="963" t="n"/>
      <c r="P835" s="963" t="n"/>
      <c r="Q835" s="963" t="n"/>
      <c r="R835" s="1228" t="n"/>
      <c r="S835" s="1229" t="n"/>
    </row>
    <row r="836" ht="15.75" customHeight="1" s="1349">
      <c r="A836" s="1222" t="n"/>
      <c r="B836" s="1223" t="n"/>
      <c r="C836" s="1223" t="n"/>
      <c r="D836" s="1224" t="n"/>
      <c r="E836" s="1225" t="n"/>
      <c r="F836" s="1224" t="n"/>
      <c r="G836" s="1224" t="n"/>
      <c r="H836" s="963" t="n"/>
      <c r="I836" s="963" t="n"/>
      <c r="J836" s="963" t="n"/>
      <c r="K836" s="1226" t="n"/>
      <c r="L836" s="1226" t="n"/>
      <c r="M836" s="1226" t="n"/>
      <c r="N836" s="1227" t="n"/>
      <c r="O836" s="963" t="n"/>
      <c r="P836" s="963" t="n"/>
      <c r="Q836" s="963" t="n"/>
      <c r="R836" s="1228" t="n"/>
      <c r="S836" s="1229" t="n"/>
    </row>
    <row r="837" ht="15.75" customHeight="1" s="1349">
      <c r="A837" s="1222" t="n"/>
      <c r="B837" s="1223" t="n"/>
      <c r="C837" s="1223" t="n"/>
      <c r="D837" s="1224" t="n"/>
      <c r="E837" s="1225" t="n"/>
      <c r="F837" s="1224" t="n"/>
      <c r="G837" s="1224" t="n"/>
      <c r="H837" s="963" t="n"/>
      <c r="I837" s="963" t="n"/>
      <c r="J837" s="963" t="n"/>
      <c r="K837" s="1226" t="n"/>
      <c r="L837" s="1226" t="n"/>
      <c r="M837" s="1226" t="n"/>
      <c r="N837" s="1227" t="n"/>
      <c r="O837" s="963" t="n"/>
      <c r="P837" s="963" t="n"/>
      <c r="Q837" s="963" t="n"/>
      <c r="R837" s="1228" t="n"/>
      <c r="S837" s="1229" t="n"/>
    </row>
    <row r="838" ht="15.75" customHeight="1" s="1349">
      <c r="A838" s="1222" t="n"/>
      <c r="B838" s="1223" t="n"/>
      <c r="C838" s="1223" t="n"/>
      <c r="D838" s="1224" t="n"/>
      <c r="E838" s="1225" t="n"/>
      <c r="F838" s="1224" t="n"/>
      <c r="G838" s="1224" t="n"/>
      <c r="H838" s="963" t="n"/>
      <c r="I838" s="963" t="n"/>
      <c r="J838" s="963" t="n"/>
      <c r="K838" s="1226" t="n"/>
      <c r="L838" s="1226" t="n"/>
      <c r="M838" s="1226" t="n"/>
      <c r="N838" s="1227" t="n"/>
      <c r="O838" s="963" t="n"/>
      <c r="P838" s="963" t="n"/>
      <c r="Q838" s="963" t="n"/>
      <c r="R838" s="1228" t="n"/>
      <c r="S838" s="1229" t="n"/>
    </row>
    <row r="839" ht="15.75" customHeight="1" s="1349">
      <c r="A839" s="1222" t="n"/>
      <c r="B839" s="1223" t="n"/>
      <c r="C839" s="1223" t="n"/>
      <c r="D839" s="1224" t="n"/>
      <c r="E839" s="1225" t="n"/>
      <c r="F839" s="1224" t="n"/>
      <c r="G839" s="1224" t="n"/>
      <c r="H839" s="963" t="n"/>
      <c r="I839" s="963" t="n"/>
      <c r="J839" s="963" t="n"/>
      <c r="K839" s="1226" t="n"/>
      <c r="L839" s="1226" t="n"/>
      <c r="M839" s="1226" t="n"/>
      <c r="N839" s="1227" t="n"/>
      <c r="O839" s="963" t="n"/>
      <c r="P839" s="963" t="n"/>
      <c r="Q839" s="963" t="n"/>
      <c r="R839" s="1228" t="n"/>
      <c r="S839" s="1229" t="n"/>
    </row>
    <row r="840" ht="15.75" customHeight="1" s="1349">
      <c r="A840" s="1222" t="n"/>
      <c r="B840" s="1223" t="n"/>
      <c r="C840" s="1223" t="n"/>
      <c r="D840" s="1224" t="n"/>
      <c r="E840" s="1225" t="n"/>
      <c r="F840" s="1224" t="n"/>
      <c r="G840" s="1224" t="n"/>
      <c r="H840" s="963" t="n"/>
      <c r="I840" s="963" t="n"/>
      <c r="J840" s="963" t="n"/>
      <c r="K840" s="1226" t="n"/>
      <c r="L840" s="1226" t="n"/>
      <c r="M840" s="1226" t="n"/>
      <c r="N840" s="1227" t="n"/>
      <c r="O840" s="963" t="n"/>
      <c r="P840" s="963" t="n"/>
      <c r="Q840" s="963" t="n"/>
      <c r="R840" s="1228" t="n"/>
      <c r="S840" s="1229" t="n"/>
    </row>
    <row r="841" ht="15.75" customHeight="1" s="1349">
      <c r="A841" s="1222" t="n"/>
      <c r="B841" s="1223" t="n"/>
      <c r="C841" s="1223" t="n"/>
      <c r="D841" s="1224" t="n"/>
      <c r="E841" s="1225" t="n"/>
      <c r="F841" s="1224" t="n"/>
      <c r="G841" s="1224" t="n"/>
      <c r="H841" s="963" t="n"/>
      <c r="I841" s="963" t="n"/>
      <c r="J841" s="963" t="n"/>
      <c r="K841" s="1226" t="n"/>
      <c r="L841" s="1226" t="n"/>
      <c r="M841" s="1226" t="n"/>
      <c r="N841" s="1227" t="n"/>
      <c r="O841" s="963" t="n"/>
      <c r="P841" s="963" t="n"/>
      <c r="Q841" s="963" t="n"/>
      <c r="R841" s="1228" t="n"/>
      <c r="S841" s="1229" t="n"/>
    </row>
    <row r="842" ht="15.75" customHeight="1" s="1349">
      <c r="A842" s="1222" t="n"/>
      <c r="B842" s="1223" t="n"/>
      <c r="C842" s="1223" t="n"/>
      <c r="D842" s="1224" t="n"/>
      <c r="E842" s="1225" t="n"/>
      <c r="F842" s="1224" t="n"/>
      <c r="G842" s="1224" t="n"/>
      <c r="H842" s="963" t="n"/>
      <c r="I842" s="963" t="n"/>
      <c r="J842" s="963" t="n"/>
      <c r="K842" s="1226" t="n"/>
      <c r="L842" s="1226" t="n"/>
      <c r="M842" s="1226" t="n"/>
      <c r="N842" s="1227" t="n"/>
      <c r="O842" s="963" t="n"/>
      <c r="P842" s="963" t="n"/>
      <c r="Q842" s="963" t="n"/>
      <c r="R842" s="1228" t="n"/>
      <c r="S842" s="1229" t="n"/>
    </row>
    <row r="843" ht="15.75" customHeight="1" s="1349">
      <c r="A843" s="1222" t="n"/>
      <c r="B843" s="1223" t="n"/>
      <c r="C843" s="1223" t="n"/>
      <c r="D843" s="1224" t="n"/>
      <c r="E843" s="1225" t="n"/>
      <c r="F843" s="1224" t="n"/>
      <c r="G843" s="1224" t="n"/>
      <c r="H843" s="963" t="n"/>
      <c r="I843" s="963" t="n"/>
      <c r="J843" s="963" t="n"/>
      <c r="K843" s="1226" t="n"/>
      <c r="L843" s="1226" t="n"/>
      <c r="M843" s="1226" t="n"/>
      <c r="N843" s="1227" t="n"/>
      <c r="O843" s="963" t="n"/>
      <c r="P843" s="963" t="n"/>
      <c r="Q843" s="963" t="n"/>
      <c r="R843" s="1228" t="n"/>
      <c r="S843" s="1229" t="n"/>
    </row>
    <row r="844" ht="15.75" customHeight="1" s="1349">
      <c r="A844" s="1222" t="n"/>
      <c r="B844" s="1223" t="n"/>
      <c r="C844" s="1223" t="n"/>
      <c r="D844" s="1224" t="n"/>
      <c r="E844" s="1225" t="n"/>
      <c r="F844" s="1224" t="n"/>
      <c r="G844" s="1224" t="n"/>
      <c r="H844" s="963" t="n"/>
      <c r="I844" s="963" t="n"/>
      <c r="J844" s="963" t="n"/>
      <c r="K844" s="1226" t="n"/>
      <c r="L844" s="1226" t="n"/>
      <c r="M844" s="1226" t="n"/>
      <c r="N844" s="1227" t="n"/>
      <c r="O844" s="963" t="n"/>
      <c r="P844" s="963" t="n"/>
      <c r="Q844" s="963" t="n"/>
      <c r="R844" s="1228" t="n"/>
      <c r="S844" s="1229" t="n"/>
    </row>
    <row r="845" ht="15.75" customHeight="1" s="1349">
      <c r="A845" s="1222" t="n"/>
      <c r="B845" s="1223" t="n"/>
      <c r="C845" s="1223" t="n"/>
      <c r="D845" s="1224" t="n"/>
      <c r="E845" s="1225" t="n"/>
      <c r="F845" s="1224" t="n"/>
      <c r="G845" s="1224" t="n"/>
      <c r="H845" s="963" t="n"/>
      <c r="I845" s="963" t="n"/>
      <c r="J845" s="963" t="n"/>
      <c r="K845" s="1226" t="n"/>
      <c r="L845" s="1226" t="n"/>
      <c r="M845" s="1226" t="n"/>
      <c r="N845" s="1227" t="n"/>
      <c r="O845" s="963" t="n"/>
      <c r="P845" s="963" t="n"/>
      <c r="Q845" s="963" t="n"/>
      <c r="R845" s="1228" t="n"/>
      <c r="S845" s="1229" t="n"/>
    </row>
    <row r="846" ht="15.75" customHeight="1" s="1349">
      <c r="A846" s="1222" t="n"/>
      <c r="B846" s="1223" t="n"/>
      <c r="C846" s="1223" t="n"/>
      <c r="D846" s="1224" t="n"/>
      <c r="E846" s="1225" t="n"/>
      <c r="F846" s="1224" t="n"/>
      <c r="G846" s="1224" t="n"/>
      <c r="H846" s="963" t="n"/>
      <c r="I846" s="963" t="n"/>
      <c r="J846" s="963" t="n"/>
      <c r="K846" s="1226" t="n"/>
      <c r="L846" s="1226" t="n"/>
      <c r="M846" s="1226" t="n"/>
      <c r="N846" s="1227" t="n"/>
      <c r="O846" s="963" t="n"/>
      <c r="P846" s="963" t="n"/>
      <c r="Q846" s="963" t="n"/>
      <c r="R846" s="1228" t="n"/>
      <c r="S846" s="1229" t="n"/>
    </row>
    <row r="847" ht="15.75" customHeight="1" s="1349">
      <c r="A847" s="1222" t="n"/>
      <c r="B847" s="1223" t="n"/>
      <c r="C847" s="1223" t="n"/>
      <c r="D847" s="1224" t="n"/>
      <c r="E847" s="1225" t="n"/>
      <c r="F847" s="1224" t="n"/>
      <c r="G847" s="1224" t="n"/>
      <c r="H847" s="963" t="n"/>
      <c r="I847" s="963" t="n"/>
      <c r="J847" s="963" t="n"/>
      <c r="K847" s="1226" t="n"/>
      <c r="L847" s="1226" t="n"/>
      <c r="M847" s="1226" t="n"/>
      <c r="N847" s="1227" t="n"/>
      <c r="O847" s="963" t="n"/>
      <c r="P847" s="963" t="n"/>
      <c r="Q847" s="963" t="n"/>
      <c r="R847" s="1228" t="n"/>
      <c r="S847" s="1229" t="n"/>
    </row>
    <row r="848" ht="15.75" customHeight="1" s="1349">
      <c r="A848" s="1222" t="n"/>
      <c r="B848" s="1223" t="n"/>
      <c r="C848" s="1223" t="n"/>
      <c r="D848" s="1224" t="n"/>
      <c r="E848" s="1225" t="n"/>
      <c r="F848" s="1224" t="n"/>
      <c r="G848" s="1224" t="n"/>
      <c r="H848" s="963" t="n"/>
      <c r="I848" s="963" t="n"/>
      <c r="J848" s="963" t="n"/>
      <c r="K848" s="1226" t="n"/>
      <c r="L848" s="1226" t="n"/>
      <c r="M848" s="1226" t="n"/>
      <c r="N848" s="1227" t="n"/>
      <c r="O848" s="963" t="n"/>
      <c r="P848" s="963" t="n"/>
      <c r="Q848" s="963" t="n"/>
      <c r="R848" s="1228" t="n"/>
      <c r="S848" s="1229" t="n"/>
    </row>
    <row r="849" ht="15.75" customHeight="1" s="1349">
      <c r="A849" s="1222" t="n"/>
      <c r="B849" s="1223" t="n"/>
      <c r="C849" s="1223" t="n"/>
      <c r="D849" s="1224" t="n"/>
      <c r="E849" s="1225" t="n"/>
      <c r="F849" s="1224" t="n"/>
      <c r="G849" s="1224" t="n"/>
      <c r="H849" s="963" t="n"/>
      <c r="I849" s="963" t="n"/>
      <c r="J849" s="963" t="n"/>
      <c r="K849" s="1226" t="n"/>
      <c r="L849" s="1226" t="n"/>
      <c r="M849" s="1226" t="n"/>
      <c r="N849" s="1227" t="n"/>
      <c r="O849" s="963" t="n"/>
      <c r="P849" s="963" t="n"/>
      <c r="Q849" s="963" t="n"/>
      <c r="R849" s="1228" t="n"/>
      <c r="S849" s="1229" t="n"/>
    </row>
    <row r="850" ht="15.75" customHeight="1" s="1349">
      <c r="A850" s="1222" t="n"/>
      <c r="B850" s="1223" t="n"/>
      <c r="C850" s="1223" t="n"/>
      <c r="D850" s="1224" t="n"/>
      <c r="E850" s="1225" t="n"/>
      <c r="F850" s="1224" t="n"/>
      <c r="G850" s="1224" t="n"/>
      <c r="H850" s="963" t="n"/>
      <c r="I850" s="963" t="n"/>
      <c r="J850" s="963" t="n"/>
      <c r="K850" s="1226" t="n"/>
      <c r="L850" s="1226" t="n"/>
      <c r="M850" s="1226" t="n"/>
      <c r="N850" s="1227" t="n"/>
      <c r="O850" s="963" t="n"/>
      <c r="P850" s="963" t="n"/>
      <c r="Q850" s="963" t="n"/>
      <c r="R850" s="1228" t="n"/>
      <c r="S850" s="1229" t="n"/>
    </row>
    <row r="851" ht="15.75" customHeight="1" s="1349">
      <c r="A851" s="1222" t="n"/>
      <c r="B851" s="1223" t="n"/>
      <c r="C851" s="1223" t="n"/>
      <c r="D851" s="1224" t="n"/>
      <c r="E851" s="1225" t="n"/>
      <c r="F851" s="1224" t="n"/>
      <c r="G851" s="1224" t="n"/>
      <c r="H851" s="963" t="n"/>
      <c r="I851" s="963" t="n"/>
      <c r="J851" s="963" t="n"/>
      <c r="K851" s="1226" t="n"/>
      <c r="L851" s="1226" t="n"/>
      <c r="M851" s="1226" t="n"/>
      <c r="N851" s="1227" t="n"/>
      <c r="O851" s="963" t="n"/>
      <c r="P851" s="963" t="n"/>
      <c r="Q851" s="963" t="n"/>
      <c r="R851" s="1228" t="n"/>
      <c r="S851" s="1229" t="n"/>
    </row>
    <row r="852" ht="15.75" customHeight="1" s="1349">
      <c r="A852" s="1222" t="n"/>
      <c r="B852" s="1223" t="n"/>
      <c r="C852" s="1223" t="n"/>
      <c r="D852" s="1224" t="n"/>
      <c r="E852" s="1225" t="n"/>
      <c r="F852" s="1224" t="n"/>
      <c r="G852" s="1224" t="n"/>
      <c r="H852" s="963" t="n"/>
      <c r="I852" s="963" t="n"/>
      <c r="J852" s="963" t="n"/>
      <c r="K852" s="1226" t="n"/>
      <c r="L852" s="1226" t="n"/>
      <c r="M852" s="1226" t="n"/>
      <c r="N852" s="1227" t="n"/>
      <c r="O852" s="963" t="n"/>
      <c r="P852" s="963" t="n"/>
      <c r="Q852" s="963" t="n"/>
      <c r="R852" s="1228" t="n"/>
      <c r="S852" s="1229" t="n"/>
    </row>
    <row r="853" ht="15.75" customHeight="1" s="1349">
      <c r="A853" s="1222" t="n"/>
      <c r="B853" s="1223" t="n"/>
      <c r="C853" s="1223" t="n"/>
      <c r="D853" s="1224" t="n"/>
      <c r="E853" s="1225" t="n"/>
      <c r="F853" s="1224" t="n"/>
      <c r="G853" s="1224" t="n"/>
      <c r="H853" s="963" t="n"/>
      <c r="I853" s="963" t="n"/>
      <c r="J853" s="963" t="n"/>
      <c r="K853" s="1226" t="n"/>
      <c r="L853" s="1226" t="n"/>
      <c r="M853" s="1226" t="n"/>
      <c r="N853" s="1227" t="n"/>
      <c r="O853" s="963" t="n"/>
      <c r="P853" s="963" t="n"/>
      <c r="Q853" s="963" t="n"/>
      <c r="R853" s="1228" t="n"/>
      <c r="S853" s="1229" t="n"/>
    </row>
    <row r="854" ht="15.75" customHeight="1" s="1349">
      <c r="A854" s="1222" t="n"/>
      <c r="B854" s="1223" t="n"/>
      <c r="C854" s="1223" t="n"/>
      <c r="D854" s="1224" t="n"/>
      <c r="E854" s="1225" t="n"/>
      <c r="F854" s="1224" t="n"/>
      <c r="G854" s="1224" t="n"/>
      <c r="H854" s="963" t="n"/>
      <c r="I854" s="963" t="n"/>
      <c r="J854" s="963" t="n"/>
      <c r="K854" s="1226" t="n"/>
      <c r="L854" s="1226" t="n"/>
      <c r="M854" s="1226" t="n"/>
      <c r="N854" s="1227" t="n"/>
      <c r="O854" s="963" t="n"/>
      <c r="P854" s="963" t="n"/>
      <c r="Q854" s="963" t="n"/>
      <c r="R854" s="1228" t="n"/>
      <c r="S854" s="1229" t="n"/>
    </row>
    <row r="855" ht="15.75" customHeight="1" s="1349">
      <c r="A855" s="1222" t="n"/>
      <c r="B855" s="1223" t="n"/>
      <c r="C855" s="1223" t="n"/>
      <c r="D855" s="1224" t="n"/>
      <c r="E855" s="1225" t="n"/>
      <c r="F855" s="1224" t="n"/>
      <c r="G855" s="1224" t="n"/>
      <c r="H855" s="963" t="n"/>
      <c r="I855" s="963" t="n"/>
      <c r="J855" s="963" t="n"/>
      <c r="K855" s="1226" t="n"/>
      <c r="L855" s="1226" t="n"/>
      <c r="M855" s="1226" t="n"/>
      <c r="N855" s="1227" t="n"/>
      <c r="O855" s="963" t="n"/>
      <c r="P855" s="963" t="n"/>
      <c r="Q855" s="963" t="n"/>
      <c r="R855" s="1228" t="n"/>
      <c r="S855" s="1229" t="n"/>
    </row>
    <row r="856" ht="15.75" customHeight="1" s="1349">
      <c r="A856" s="1222" t="n"/>
      <c r="B856" s="1223" t="n"/>
      <c r="C856" s="1223" t="n"/>
      <c r="D856" s="1224" t="n"/>
      <c r="E856" s="1225" t="n"/>
      <c r="F856" s="1224" t="n"/>
      <c r="G856" s="1224" t="n"/>
      <c r="H856" s="963" t="n"/>
      <c r="I856" s="963" t="n"/>
      <c r="J856" s="963" t="n"/>
      <c r="K856" s="1226" t="n"/>
      <c r="L856" s="1226" t="n"/>
      <c r="M856" s="1226" t="n"/>
      <c r="N856" s="1227" t="n"/>
      <c r="O856" s="963" t="n"/>
      <c r="P856" s="963" t="n"/>
      <c r="Q856" s="963" t="n"/>
      <c r="R856" s="1228" t="n"/>
      <c r="S856" s="1229" t="n"/>
    </row>
    <row r="857" ht="15.75" customHeight="1" s="1349">
      <c r="A857" s="1222" t="n"/>
      <c r="B857" s="1223" t="n"/>
      <c r="C857" s="1223" t="n"/>
      <c r="D857" s="1224" t="n"/>
      <c r="E857" s="1225" t="n"/>
      <c r="F857" s="1224" t="n"/>
      <c r="G857" s="1224" t="n"/>
      <c r="H857" s="963" t="n"/>
      <c r="I857" s="963" t="n"/>
      <c r="J857" s="963" t="n"/>
      <c r="K857" s="1226" t="n"/>
      <c r="L857" s="1226" t="n"/>
      <c r="M857" s="1226" t="n"/>
      <c r="N857" s="1227" t="n"/>
      <c r="O857" s="963" t="n"/>
      <c r="P857" s="963" t="n"/>
      <c r="Q857" s="963" t="n"/>
      <c r="R857" s="1228" t="n"/>
      <c r="S857" s="1229" t="n"/>
    </row>
    <row r="858" ht="15.75" customHeight="1" s="1349">
      <c r="A858" s="1222" t="n"/>
      <c r="B858" s="1223" t="n"/>
      <c r="C858" s="1223" t="n"/>
      <c r="D858" s="1224" t="n"/>
      <c r="E858" s="1225" t="n"/>
      <c r="F858" s="1224" t="n"/>
      <c r="G858" s="1224" t="n"/>
      <c r="H858" s="963" t="n"/>
      <c r="I858" s="963" t="n"/>
      <c r="J858" s="963" t="n"/>
      <c r="K858" s="1226" t="n"/>
      <c r="L858" s="1226" t="n"/>
      <c r="M858" s="1226" t="n"/>
      <c r="N858" s="1227" t="n"/>
      <c r="O858" s="963" t="n"/>
      <c r="P858" s="963" t="n"/>
      <c r="Q858" s="963" t="n"/>
      <c r="R858" s="1228" t="n"/>
      <c r="S858" s="1229" t="n"/>
    </row>
    <row r="859" ht="15.75" customHeight="1" s="1349">
      <c r="A859" s="1222" t="n"/>
      <c r="B859" s="1223" t="n"/>
      <c r="C859" s="1223" t="n"/>
      <c r="D859" s="1224" t="n"/>
      <c r="E859" s="1225" t="n"/>
      <c r="F859" s="1224" t="n"/>
      <c r="G859" s="1224" t="n"/>
      <c r="H859" s="963" t="n"/>
      <c r="I859" s="963" t="n"/>
      <c r="J859" s="963" t="n"/>
      <c r="K859" s="1226" t="n"/>
      <c r="L859" s="1226" t="n"/>
      <c r="M859" s="1226" t="n"/>
      <c r="N859" s="1227" t="n"/>
      <c r="O859" s="963" t="n"/>
      <c r="P859" s="963" t="n"/>
      <c r="Q859" s="963" t="n"/>
      <c r="R859" s="1228" t="n"/>
      <c r="S859" s="1229" t="n"/>
    </row>
    <row r="860" ht="15.75" customHeight="1" s="1349">
      <c r="A860" s="1222" t="n"/>
      <c r="B860" s="1223" t="n"/>
      <c r="C860" s="1223" t="n"/>
      <c r="D860" s="1224" t="n"/>
      <c r="E860" s="1225" t="n"/>
      <c r="F860" s="1224" t="n"/>
      <c r="G860" s="1224" t="n"/>
      <c r="H860" s="963" t="n"/>
      <c r="I860" s="963" t="n"/>
      <c r="J860" s="963" t="n"/>
      <c r="K860" s="1226" t="n"/>
      <c r="L860" s="1226" t="n"/>
      <c r="M860" s="1226" t="n"/>
      <c r="N860" s="1227" t="n"/>
      <c r="O860" s="963" t="n"/>
      <c r="P860" s="963" t="n"/>
      <c r="Q860" s="963" t="n"/>
      <c r="R860" s="1228" t="n"/>
      <c r="S860" s="1229" t="n"/>
    </row>
    <row r="861" ht="15.75" customHeight="1" s="1349">
      <c r="A861" s="1222" t="n"/>
      <c r="B861" s="1223" t="n"/>
      <c r="C861" s="1223" t="n"/>
      <c r="D861" s="1224" t="n"/>
      <c r="E861" s="1225" t="n"/>
      <c r="F861" s="1224" t="n"/>
      <c r="G861" s="1224" t="n"/>
      <c r="H861" s="963" t="n"/>
      <c r="I861" s="963" t="n"/>
      <c r="J861" s="963" t="n"/>
      <c r="K861" s="1226" t="n"/>
      <c r="L861" s="1226" t="n"/>
      <c r="M861" s="1226" t="n"/>
      <c r="N861" s="1227" t="n"/>
      <c r="O861" s="963" t="n"/>
      <c r="P861" s="963" t="n"/>
      <c r="Q861" s="963" t="n"/>
      <c r="R861" s="1228" t="n"/>
      <c r="S861" s="1229" t="n"/>
    </row>
    <row r="862" ht="15.75" customHeight="1" s="1349">
      <c r="A862" s="1222" t="n"/>
      <c r="B862" s="1223" t="n"/>
      <c r="C862" s="1223" t="n"/>
      <c r="D862" s="1224" t="n"/>
      <c r="E862" s="1225" t="n"/>
      <c r="F862" s="1224" t="n"/>
      <c r="G862" s="1224" t="n"/>
      <c r="H862" s="963" t="n"/>
      <c r="I862" s="963" t="n"/>
      <c r="J862" s="963" t="n"/>
      <c r="K862" s="1226" t="n"/>
      <c r="L862" s="1226" t="n"/>
      <c r="M862" s="1226" t="n"/>
      <c r="N862" s="1227" t="n"/>
      <c r="O862" s="963" t="n"/>
      <c r="P862" s="963" t="n"/>
      <c r="Q862" s="963" t="n"/>
      <c r="R862" s="1228" t="n"/>
      <c r="S862" s="1229" t="n"/>
    </row>
    <row r="863" ht="15.75" customHeight="1" s="1349">
      <c r="A863" s="1222" t="n"/>
      <c r="B863" s="1223" t="n"/>
      <c r="C863" s="1223" t="n"/>
      <c r="D863" s="1224" t="n"/>
      <c r="E863" s="1225" t="n"/>
      <c r="F863" s="1224" t="n"/>
      <c r="G863" s="1224" t="n"/>
      <c r="H863" s="963" t="n"/>
      <c r="I863" s="963" t="n"/>
      <c r="J863" s="963" t="n"/>
      <c r="K863" s="1226" t="n"/>
      <c r="L863" s="1226" t="n"/>
      <c r="M863" s="1226" t="n"/>
      <c r="N863" s="1227" t="n"/>
      <c r="O863" s="963" t="n"/>
      <c r="P863" s="963" t="n"/>
      <c r="Q863" s="963" t="n"/>
      <c r="R863" s="1228" t="n"/>
      <c r="S863" s="1229" t="n"/>
    </row>
    <row r="864" ht="15.75" customHeight="1" s="1349">
      <c r="A864" s="1222" t="n"/>
      <c r="B864" s="1223" t="n"/>
      <c r="C864" s="1223" t="n"/>
      <c r="D864" s="1224" t="n"/>
      <c r="E864" s="1225" t="n"/>
      <c r="F864" s="1224" t="n"/>
      <c r="G864" s="1224" t="n"/>
      <c r="H864" s="963" t="n"/>
      <c r="I864" s="963" t="n"/>
      <c r="J864" s="963" t="n"/>
      <c r="K864" s="1226" t="n"/>
      <c r="L864" s="1226" t="n"/>
      <c r="M864" s="1226" t="n"/>
      <c r="N864" s="1227" t="n"/>
      <c r="O864" s="963" t="n"/>
      <c r="P864" s="963" t="n"/>
      <c r="Q864" s="963" t="n"/>
      <c r="R864" s="1228" t="n"/>
      <c r="S864" s="1229" t="n"/>
    </row>
    <row r="865" ht="15.75" customHeight="1" s="1349">
      <c r="A865" s="1222" t="n"/>
      <c r="B865" s="1223" t="n"/>
      <c r="C865" s="1223" t="n"/>
      <c r="D865" s="1224" t="n"/>
      <c r="E865" s="1225" t="n"/>
      <c r="F865" s="1224" t="n"/>
      <c r="G865" s="1224" t="n"/>
      <c r="H865" s="963" t="n"/>
      <c r="I865" s="963" t="n"/>
      <c r="J865" s="963" t="n"/>
      <c r="K865" s="1226" t="n"/>
      <c r="L865" s="1226" t="n"/>
      <c r="M865" s="1226" t="n"/>
      <c r="N865" s="1227" t="n"/>
      <c r="O865" s="963" t="n"/>
      <c r="P865" s="963" t="n"/>
      <c r="Q865" s="963" t="n"/>
      <c r="R865" s="1228" t="n"/>
      <c r="S865" s="1229" t="n"/>
    </row>
    <row r="866" ht="15.75" customHeight="1" s="1349">
      <c r="A866" s="1222" t="n"/>
      <c r="B866" s="1223" t="n"/>
      <c r="C866" s="1223" t="n"/>
      <c r="D866" s="1224" t="n"/>
      <c r="E866" s="1225" t="n"/>
      <c r="F866" s="1224" t="n"/>
      <c r="G866" s="1224" t="n"/>
      <c r="H866" s="963" t="n"/>
      <c r="I866" s="963" t="n"/>
      <c r="J866" s="963" t="n"/>
      <c r="K866" s="1226" t="n"/>
      <c r="L866" s="1226" t="n"/>
      <c r="M866" s="1226" t="n"/>
      <c r="N866" s="1227" t="n"/>
      <c r="O866" s="963" t="n"/>
      <c r="P866" s="963" t="n"/>
      <c r="Q866" s="963" t="n"/>
      <c r="R866" s="1228" t="n"/>
      <c r="S866" s="1229" t="n"/>
    </row>
    <row r="867" ht="15.75" customHeight="1" s="1349">
      <c r="A867" s="1222" t="n"/>
      <c r="B867" s="1223" t="n"/>
      <c r="C867" s="1223" t="n"/>
      <c r="D867" s="1224" t="n"/>
      <c r="E867" s="1225" t="n"/>
      <c r="F867" s="1224" t="n"/>
      <c r="G867" s="1224" t="n"/>
      <c r="H867" s="963" t="n"/>
      <c r="I867" s="963" t="n"/>
      <c r="J867" s="963" t="n"/>
      <c r="K867" s="1226" t="n"/>
      <c r="L867" s="1226" t="n"/>
      <c r="M867" s="1226" t="n"/>
      <c r="N867" s="1227" t="n"/>
      <c r="O867" s="963" t="n"/>
      <c r="P867" s="963" t="n"/>
      <c r="Q867" s="963" t="n"/>
      <c r="R867" s="1228" t="n"/>
      <c r="S867" s="1229" t="n"/>
    </row>
    <row r="868" ht="15.75" customHeight="1" s="1349">
      <c r="A868" s="1222" t="n"/>
      <c r="B868" s="1223" t="n"/>
      <c r="C868" s="1223" t="n"/>
      <c r="D868" s="1224" t="n"/>
      <c r="E868" s="1225" t="n"/>
      <c r="F868" s="1224" t="n"/>
      <c r="G868" s="1224" t="n"/>
      <c r="H868" s="963" t="n"/>
      <c r="I868" s="963" t="n"/>
      <c r="J868" s="963" t="n"/>
      <c r="K868" s="1226" t="n"/>
      <c r="L868" s="1226" t="n"/>
      <c r="M868" s="1226" t="n"/>
      <c r="N868" s="1227" t="n"/>
      <c r="O868" s="963" t="n"/>
      <c r="P868" s="963" t="n"/>
      <c r="Q868" s="963" t="n"/>
      <c r="R868" s="1228" t="n"/>
      <c r="S868" s="1229" t="n"/>
    </row>
    <row r="869" ht="15.75" customHeight="1" s="1349">
      <c r="A869" s="1222" t="n"/>
      <c r="B869" s="1223" t="n"/>
      <c r="C869" s="1223" t="n"/>
      <c r="D869" s="1224" t="n"/>
      <c r="E869" s="1225" t="n"/>
      <c r="F869" s="1224" t="n"/>
      <c r="G869" s="1224" t="n"/>
      <c r="H869" s="963" t="n"/>
      <c r="I869" s="963" t="n"/>
      <c r="J869" s="963" t="n"/>
      <c r="K869" s="1226" t="n"/>
      <c r="L869" s="1226" t="n"/>
      <c r="M869" s="1226" t="n"/>
      <c r="N869" s="1227" t="n"/>
      <c r="O869" s="963" t="n"/>
      <c r="P869" s="963" t="n"/>
      <c r="Q869" s="963" t="n"/>
      <c r="R869" s="1228" t="n"/>
      <c r="S869" s="1229" t="n"/>
    </row>
    <row r="870" ht="15.75" customHeight="1" s="1349">
      <c r="A870" s="1222" t="n"/>
      <c r="B870" s="1223" t="n"/>
      <c r="C870" s="1223" t="n"/>
      <c r="D870" s="1224" t="n"/>
      <c r="E870" s="1225" t="n"/>
      <c r="F870" s="1224" t="n"/>
      <c r="G870" s="1224" t="n"/>
      <c r="H870" s="963" t="n"/>
      <c r="I870" s="963" t="n"/>
      <c r="J870" s="963" t="n"/>
      <c r="K870" s="1226" t="n"/>
      <c r="L870" s="1226" t="n"/>
      <c r="M870" s="1226" t="n"/>
      <c r="N870" s="1227" t="n"/>
      <c r="O870" s="963" t="n"/>
      <c r="P870" s="963" t="n"/>
      <c r="Q870" s="963" t="n"/>
      <c r="R870" s="1228" t="n"/>
      <c r="S870" s="1229" t="n"/>
    </row>
    <row r="871" ht="15.75" customHeight="1" s="1349">
      <c r="A871" s="1222" t="n"/>
      <c r="B871" s="1223" t="n"/>
      <c r="C871" s="1223" t="n"/>
      <c r="D871" s="1224" t="n"/>
      <c r="E871" s="1225" t="n"/>
      <c r="F871" s="1224" t="n"/>
      <c r="G871" s="1224" t="n"/>
      <c r="H871" s="963" t="n"/>
      <c r="I871" s="963" t="n"/>
      <c r="J871" s="963" t="n"/>
      <c r="K871" s="1226" t="n"/>
      <c r="L871" s="1226" t="n"/>
      <c r="M871" s="1226" t="n"/>
      <c r="N871" s="1227" t="n"/>
      <c r="O871" s="963" t="n"/>
      <c r="P871" s="963" t="n"/>
      <c r="Q871" s="963" t="n"/>
      <c r="R871" s="1228" t="n"/>
      <c r="S871" s="1229" t="n"/>
    </row>
    <row r="872" ht="15.75" customHeight="1" s="1349">
      <c r="A872" s="1222" t="n"/>
      <c r="B872" s="1223" t="n"/>
      <c r="C872" s="1223" t="n"/>
      <c r="D872" s="1224" t="n"/>
      <c r="E872" s="1225" t="n"/>
      <c r="F872" s="1224" t="n"/>
      <c r="G872" s="1224" t="n"/>
      <c r="H872" s="963" t="n"/>
      <c r="I872" s="963" t="n"/>
      <c r="J872" s="963" t="n"/>
      <c r="K872" s="1226" t="n"/>
      <c r="L872" s="1226" t="n"/>
      <c r="M872" s="1226" t="n"/>
      <c r="N872" s="1227" t="n"/>
      <c r="O872" s="963" t="n"/>
      <c r="P872" s="963" t="n"/>
      <c r="Q872" s="963" t="n"/>
      <c r="R872" s="1228" t="n"/>
      <c r="S872" s="1229" t="n"/>
    </row>
    <row r="873" ht="15.75" customHeight="1" s="1349">
      <c r="A873" s="1222" t="n"/>
      <c r="B873" s="1223" t="n"/>
      <c r="C873" s="1223" t="n"/>
      <c r="D873" s="1224" t="n"/>
      <c r="E873" s="1225" t="n"/>
      <c r="F873" s="1224" t="n"/>
      <c r="G873" s="1224" t="n"/>
      <c r="H873" s="963" t="n"/>
      <c r="I873" s="963" t="n"/>
      <c r="J873" s="963" t="n"/>
      <c r="K873" s="1226" t="n"/>
      <c r="L873" s="1226" t="n"/>
      <c r="M873" s="1226" t="n"/>
      <c r="N873" s="1227" t="n"/>
      <c r="O873" s="963" t="n"/>
      <c r="P873" s="963" t="n"/>
      <c r="Q873" s="963" t="n"/>
      <c r="R873" s="1228" t="n"/>
      <c r="S873" s="1229" t="n"/>
    </row>
    <row r="874" ht="15.75" customHeight="1" s="1349">
      <c r="A874" s="1222" t="n"/>
      <c r="B874" s="1223" t="n"/>
      <c r="C874" s="1223" t="n"/>
      <c r="D874" s="1224" t="n"/>
      <c r="E874" s="1225" t="n"/>
      <c r="F874" s="1224" t="n"/>
      <c r="G874" s="1224" t="n"/>
      <c r="H874" s="963" t="n"/>
      <c r="I874" s="963" t="n"/>
      <c r="J874" s="963" t="n"/>
      <c r="K874" s="1226" t="n"/>
      <c r="L874" s="1226" t="n"/>
      <c r="M874" s="1226" t="n"/>
      <c r="N874" s="1227" t="n"/>
      <c r="O874" s="963" t="n"/>
      <c r="P874" s="963" t="n"/>
      <c r="Q874" s="963" t="n"/>
      <c r="R874" s="1228" t="n"/>
      <c r="S874" s="1229" t="n"/>
    </row>
    <row r="875" ht="15.75" customHeight="1" s="1349">
      <c r="A875" s="1222" t="n"/>
      <c r="B875" s="1223" t="n"/>
      <c r="C875" s="1223" t="n"/>
      <c r="D875" s="1224" t="n"/>
      <c r="E875" s="1225" t="n"/>
      <c r="F875" s="1224" t="n"/>
      <c r="G875" s="1224" t="n"/>
      <c r="H875" s="963" t="n"/>
      <c r="I875" s="963" t="n"/>
      <c r="J875" s="963" t="n"/>
      <c r="K875" s="1226" t="n"/>
      <c r="L875" s="1226" t="n"/>
      <c r="M875" s="1226" t="n"/>
      <c r="N875" s="1227" t="n"/>
      <c r="O875" s="963" t="n"/>
      <c r="P875" s="963" t="n"/>
      <c r="Q875" s="963" t="n"/>
      <c r="R875" s="1228" t="n"/>
      <c r="S875" s="1229" t="n"/>
    </row>
    <row r="876" ht="15.75" customHeight="1" s="1349">
      <c r="A876" s="1222" t="n"/>
      <c r="B876" s="1223" t="n"/>
      <c r="C876" s="1223" t="n"/>
      <c r="D876" s="1224" t="n"/>
      <c r="E876" s="1225" t="n"/>
      <c r="F876" s="1224" t="n"/>
      <c r="G876" s="1224" t="n"/>
      <c r="H876" s="963" t="n"/>
      <c r="I876" s="963" t="n"/>
      <c r="J876" s="963" t="n"/>
      <c r="K876" s="1226" t="n"/>
      <c r="L876" s="1226" t="n"/>
      <c r="M876" s="1226" t="n"/>
      <c r="N876" s="1227" t="n"/>
      <c r="O876" s="963" t="n"/>
      <c r="P876" s="963" t="n"/>
      <c r="Q876" s="963" t="n"/>
      <c r="R876" s="1228" t="n"/>
      <c r="S876" s="1229" t="n"/>
    </row>
    <row r="877" ht="15.75" customHeight="1" s="1349">
      <c r="A877" s="1222" t="n"/>
      <c r="B877" s="1223" t="n"/>
      <c r="C877" s="1223" t="n"/>
      <c r="D877" s="1224" t="n"/>
      <c r="E877" s="1225" t="n"/>
      <c r="F877" s="1224" t="n"/>
      <c r="G877" s="1224" t="n"/>
      <c r="H877" s="963" t="n"/>
      <c r="I877" s="963" t="n"/>
      <c r="J877" s="963" t="n"/>
      <c r="K877" s="1226" t="n"/>
      <c r="L877" s="1226" t="n"/>
      <c r="M877" s="1226" t="n"/>
      <c r="N877" s="1227" t="n"/>
      <c r="O877" s="963" t="n"/>
      <c r="P877" s="963" t="n"/>
      <c r="Q877" s="963" t="n"/>
      <c r="R877" s="1228" t="n"/>
      <c r="S877" s="1229" t="n"/>
    </row>
    <row r="878" ht="15.75" customHeight="1" s="1349">
      <c r="A878" s="1222" t="n"/>
      <c r="B878" s="1223" t="n"/>
      <c r="C878" s="1223" t="n"/>
      <c r="D878" s="1224" t="n"/>
      <c r="E878" s="1225" t="n"/>
      <c r="F878" s="1224" t="n"/>
      <c r="G878" s="1224" t="n"/>
      <c r="H878" s="963" t="n"/>
      <c r="I878" s="963" t="n"/>
      <c r="J878" s="963" t="n"/>
      <c r="K878" s="1226" t="n"/>
      <c r="L878" s="1226" t="n"/>
      <c r="M878" s="1226" t="n"/>
      <c r="N878" s="1227" t="n"/>
      <c r="O878" s="963" t="n"/>
      <c r="P878" s="963" t="n"/>
      <c r="Q878" s="963" t="n"/>
      <c r="R878" s="1228" t="n"/>
      <c r="S878" s="1229" t="n"/>
    </row>
    <row r="879" ht="15.75" customHeight="1" s="1349">
      <c r="A879" s="1222" t="n"/>
      <c r="B879" s="1223" t="n"/>
      <c r="C879" s="1223" t="n"/>
      <c r="D879" s="1224" t="n"/>
      <c r="E879" s="1225" t="n"/>
      <c r="F879" s="1224" t="n"/>
      <c r="G879" s="1224" t="n"/>
      <c r="H879" s="963" t="n"/>
      <c r="I879" s="963" t="n"/>
      <c r="J879" s="963" t="n"/>
      <c r="K879" s="1226" t="n"/>
      <c r="L879" s="1226" t="n"/>
      <c r="M879" s="1226" t="n"/>
      <c r="N879" s="1227" t="n"/>
      <c r="O879" s="963" t="n"/>
      <c r="P879" s="963" t="n"/>
      <c r="Q879" s="963" t="n"/>
      <c r="R879" s="1228" t="n"/>
      <c r="S879" s="1229" t="n"/>
    </row>
    <row r="880" ht="15.75" customHeight="1" s="1349">
      <c r="A880" s="1222" t="n"/>
      <c r="B880" s="1223" t="n"/>
      <c r="C880" s="1223" t="n"/>
      <c r="D880" s="1224" t="n"/>
      <c r="E880" s="1225" t="n"/>
      <c r="F880" s="1224" t="n"/>
      <c r="G880" s="1224" t="n"/>
      <c r="H880" s="963" t="n"/>
      <c r="I880" s="963" t="n"/>
      <c r="J880" s="963" t="n"/>
      <c r="K880" s="1226" t="n"/>
      <c r="L880" s="1226" t="n"/>
      <c r="M880" s="1226" t="n"/>
      <c r="N880" s="1227" t="n"/>
      <c r="O880" s="963" t="n"/>
      <c r="P880" s="963" t="n"/>
      <c r="Q880" s="963" t="n"/>
      <c r="R880" s="1228" t="n"/>
      <c r="S880" s="1229" t="n"/>
    </row>
    <row r="881" ht="15.75" customHeight="1" s="1349">
      <c r="A881" s="1222" t="n"/>
      <c r="B881" s="1223" t="n"/>
      <c r="C881" s="1223" t="n"/>
      <c r="D881" s="1224" t="n"/>
      <c r="E881" s="1225" t="n"/>
      <c r="F881" s="1224" t="n"/>
      <c r="G881" s="1224" t="n"/>
      <c r="H881" s="963" t="n"/>
      <c r="I881" s="963" t="n"/>
      <c r="J881" s="963" t="n"/>
      <c r="K881" s="1226" t="n"/>
      <c r="L881" s="1226" t="n"/>
      <c r="M881" s="1226" t="n"/>
      <c r="N881" s="1227" t="n"/>
      <c r="O881" s="963" t="n"/>
      <c r="P881" s="963" t="n"/>
      <c r="Q881" s="963" t="n"/>
      <c r="R881" s="1228" t="n"/>
      <c r="S881" s="1229" t="n"/>
    </row>
    <row r="882" ht="15.75" customHeight="1" s="1349">
      <c r="A882" s="1222" t="n"/>
      <c r="B882" s="1223" t="n"/>
      <c r="C882" s="1223" t="n"/>
      <c r="D882" s="1224" t="n"/>
      <c r="E882" s="1225" t="n"/>
      <c r="F882" s="1224" t="n"/>
      <c r="G882" s="1224" t="n"/>
      <c r="H882" s="963" t="n"/>
      <c r="I882" s="963" t="n"/>
      <c r="J882" s="963" t="n"/>
      <c r="K882" s="1226" t="n"/>
      <c r="L882" s="1226" t="n"/>
      <c r="M882" s="1226" t="n"/>
      <c r="N882" s="1227" t="n"/>
      <c r="O882" s="963" t="n"/>
      <c r="P882" s="963" t="n"/>
      <c r="Q882" s="963" t="n"/>
      <c r="R882" s="1228" t="n"/>
      <c r="S882" s="1229" t="n"/>
    </row>
    <row r="883" ht="15.75" customHeight="1" s="1349">
      <c r="A883" s="1222" t="n"/>
      <c r="B883" s="1223" t="n"/>
      <c r="C883" s="1223" t="n"/>
      <c r="D883" s="1224" t="n"/>
      <c r="E883" s="1225" t="n"/>
      <c r="F883" s="1224" t="n"/>
      <c r="G883" s="1224" t="n"/>
      <c r="H883" s="963" t="n"/>
      <c r="I883" s="963" t="n"/>
      <c r="J883" s="963" t="n"/>
      <c r="K883" s="1226" t="n"/>
      <c r="L883" s="1226" t="n"/>
      <c r="M883" s="1226" t="n"/>
      <c r="N883" s="1227" t="n"/>
      <c r="O883" s="963" t="n"/>
      <c r="P883" s="963" t="n"/>
      <c r="Q883" s="963" t="n"/>
      <c r="R883" s="1228" t="n"/>
      <c r="S883" s="1229" t="n"/>
    </row>
    <row r="884" ht="15.75" customHeight="1" s="1349">
      <c r="A884" s="1222" t="n"/>
      <c r="B884" s="1223" t="n"/>
      <c r="C884" s="1223" t="n"/>
      <c r="D884" s="1224" t="n"/>
      <c r="E884" s="1225" t="n"/>
      <c r="F884" s="1224" t="n"/>
      <c r="G884" s="1224" t="n"/>
      <c r="H884" s="963" t="n"/>
      <c r="I884" s="963" t="n"/>
      <c r="J884" s="963" t="n"/>
      <c r="K884" s="1226" t="n"/>
      <c r="L884" s="1226" t="n"/>
      <c r="M884" s="1226" t="n"/>
      <c r="N884" s="1227" t="n"/>
      <c r="O884" s="963" t="n"/>
      <c r="P884" s="963" t="n"/>
      <c r="Q884" s="963" t="n"/>
      <c r="R884" s="1228" t="n"/>
      <c r="S884" s="1229" t="n"/>
    </row>
    <row r="885" ht="15.75" customHeight="1" s="1349">
      <c r="A885" s="1222" t="n"/>
      <c r="B885" s="1223" t="n"/>
      <c r="C885" s="1223" t="n"/>
      <c r="D885" s="1224" t="n"/>
      <c r="E885" s="1225" t="n"/>
      <c r="F885" s="1224" t="n"/>
      <c r="G885" s="1224" t="n"/>
      <c r="H885" s="963" t="n"/>
      <c r="I885" s="963" t="n"/>
      <c r="J885" s="963" t="n"/>
      <c r="K885" s="1226" t="n"/>
      <c r="L885" s="1226" t="n"/>
      <c r="M885" s="1226" t="n"/>
      <c r="N885" s="1227" t="n"/>
      <c r="O885" s="963" t="n"/>
      <c r="P885" s="963" t="n"/>
      <c r="Q885" s="963" t="n"/>
      <c r="R885" s="1228" t="n"/>
      <c r="S885" s="1229" t="n"/>
    </row>
    <row r="886" ht="15.75" customHeight="1" s="1349">
      <c r="A886" s="1222" t="n"/>
      <c r="B886" s="1223" t="n"/>
      <c r="C886" s="1223" t="n"/>
      <c r="D886" s="1224" t="n"/>
      <c r="E886" s="1225" t="n"/>
      <c r="F886" s="1224" t="n"/>
      <c r="G886" s="1224" t="n"/>
      <c r="H886" s="963" t="n"/>
      <c r="I886" s="963" t="n"/>
      <c r="J886" s="963" t="n"/>
      <c r="K886" s="1226" t="n"/>
      <c r="L886" s="1226" t="n"/>
      <c r="M886" s="1226" t="n"/>
      <c r="N886" s="1227" t="n"/>
      <c r="O886" s="963" t="n"/>
      <c r="P886" s="963" t="n"/>
      <c r="Q886" s="963" t="n"/>
      <c r="R886" s="1228" t="n"/>
      <c r="S886" s="1229" t="n"/>
    </row>
    <row r="887" ht="15.75" customHeight="1" s="1349">
      <c r="A887" s="1222" t="n"/>
      <c r="B887" s="1223" t="n"/>
      <c r="C887" s="1223" t="n"/>
      <c r="D887" s="1224" t="n"/>
      <c r="E887" s="1225" t="n"/>
      <c r="F887" s="1224" t="n"/>
      <c r="G887" s="1224" t="n"/>
      <c r="H887" s="963" t="n"/>
      <c r="I887" s="963" t="n"/>
      <c r="J887" s="963" t="n"/>
      <c r="K887" s="1226" t="n"/>
      <c r="L887" s="1226" t="n"/>
      <c r="M887" s="1226" t="n"/>
      <c r="N887" s="1227" t="n"/>
      <c r="O887" s="963" t="n"/>
      <c r="P887" s="963" t="n"/>
      <c r="Q887" s="963" t="n"/>
      <c r="R887" s="1228" t="n"/>
      <c r="S887" s="1229" t="n"/>
    </row>
    <row r="888" ht="15.75" customHeight="1" s="1349">
      <c r="A888" s="1222" t="n"/>
      <c r="B888" s="1223" t="n"/>
      <c r="C888" s="1223" t="n"/>
      <c r="D888" s="1224" t="n"/>
      <c r="E888" s="1225" t="n"/>
      <c r="F888" s="1224" t="n"/>
      <c r="G888" s="1224" t="n"/>
      <c r="H888" s="963" t="n"/>
      <c r="I888" s="963" t="n"/>
      <c r="J888" s="963" t="n"/>
      <c r="K888" s="1226" t="n"/>
      <c r="L888" s="1226" t="n"/>
      <c r="M888" s="1226" t="n"/>
      <c r="N888" s="1227" t="n"/>
      <c r="O888" s="963" t="n"/>
      <c r="P888" s="963" t="n"/>
      <c r="Q888" s="963" t="n"/>
      <c r="R888" s="1228" t="n"/>
      <c r="S888" s="1229" t="n"/>
    </row>
    <row r="889" ht="15.75" customHeight="1" s="1349">
      <c r="A889" s="1222" t="n"/>
      <c r="B889" s="1223" t="n"/>
      <c r="C889" s="1223" t="n"/>
      <c r="D889" s="1224" t="n"/>
      <c r="E889" s="1225" t="n"/>
      <c r="F889" s="1224" t="n"/>
      <c r="G889" s="1224" t="n"/>
      <c r="H889" s="963" t="n"/>
      <c r="I889" s="963" t="n"/>
      <c r="J889" s="963" t="n"/>
      <c r="K889" s="1226" t="n"/>
      <c r="L889" s="1226" t="n"/>
      <c r="M889" s="1226" t="n"/>
      <c r="N889" s="1227" t="n"/>
      <c r="O889" s="963" t="n"/>
      <c r="P889" s="963" t="n"/>
      <c r="Q889" s="963" t="n"/>
      <c r="R889" s="1228" t="n"/>
      <c r="S889" s="1229" t="n"/>
    </row>
    <row r="890" ht="15.75" customHeight="1" s="1349">
      <c r="A890" s="1222" t="n"/>
      <c r="B890" s="1223" t="n"/>
      <c r="C890" s="1223" t="n"/>
      <c r="D890" s="1224" t="n"/>
      <c r="E890" s="1225" t="n"/>
      <c r="F890" s="1224" t="n"/>
      <c r="G890" s="1224" t="n"/>
      <c r="H890" s="963" t="n"/>
      <c r="I890" s="963" t="n"/>
      <c r="J890" s="963" t="n"/>
      <c r="K890" s="1226" t="n"/>
      <c r="L890" s="1226" t="n"/>
      <c r="M890" s="1226" t="n"/>
      <c r="N890" s="1227" t="n"/>
      <c r="O890" s="963" t="n"/>
      <c r="P890" s="963" t="n"/>
      <c r="Q890" s="963" t="n"/>
      <c r="R890" s="1228" t="n"/>
      <c r="S890" s="1229" t="n"/>
    </row>
    <row r="891" ht="15.75" customHeight="1" s="1349">
      <c r="A891" s="1222" t="n"/>
      <c r="B891" s="1223" t="n"/>
      <c r="C891" s="1223" t="n"/>
      <c r="D891" s="1224" t="n"/>
      <c r="E891" s="1225" t="n"/>
      <c r="F891" s="1224" t="n"/>
      <c r="G891" s="1224" t="n"/>
      <c r="H891" s="963" t="n"/>
      <c r="I891" s="963" t="n"/>
      <c r="J891" s="963" t="n"/>
      <c r="K891" s="1226" t="n"/>
      <c r="L891" s="1226" t="n"/>
      <c r="M891" s="1226" t="n"/>
      <c r="N891" s="1227" t="n"/>
      <c r="O891" s="963" t="n"/>
      <c r="P891" s="963" t="n"/>
      <c r="Q891" s="963" t="n"/>
      <c r="R891" s="1228" t="n"/>
      <c r="S891" s="1229" t="n"/>
    </row>
    <row r="892" ht="15.75" customHeight="1" s="1349">
      <c r="A892" s="1222" t="n"/>
      <c r="B892" s="1223" t="n"/>
      <c r="C892" s="1223" t="n"/>
      <c r="D892" s="1224" t="n"/>
      <c r="E892" s="1225" t="n"/>
      <c r="F892" s="1224" t="n"/>
      <c r="G892" s="1224" t="n"/>
      <c r="H892" s="963" t="n"/>
      <c r="I892" s="963" t="n"/>
      <c r="J892" s="963" t="n"/>
      <c r="K892" s="1226" t="n"/>
      <c r="L892" s="1226" t="n"/>
      <c r="M892" s="1226" t="n"/>
      <c r="N892" s="1227" t="n"/>
      <c r="O892" s="963" t="n"/>
      <c r="P892" s="963" t="n"/>
      <c r="Q892" s="963" t="n"/>
      <c r="R892" s="1228" t="n"/>
      <c r="S892" s="1229" t="n"/>
    </row>
    <row r="893" ht="15.75" customHeight="1" s="1349">
      <c r="A893" s="1222" t="n"/>
      <c r="B893" s="1223" t="n"/>
      <c r="C893" s="1223" t="n"/>
      <c r="D893" s="1224" t="n"/>
      <c r="E893" s="1225" t="n"/>
      <c r="F893" s="1224" t="n"/>
      <c r="G893" s="1224" t="n"/>
      <c r="H893" s="963" t="n"/>
      <c r="I893" s="963" t="n"/>
      <c r="J893" s="963" t="n"/>
      <c r="K893" s="1226" t="n"/>
      <c r="L893" s="1226" t="n"/>
      <c r="M893" s="1226" t="n"/>
      <c r="N893" s="1227" t="n"/>
      <c r="O893" s="963" t="n"/>
      <c r="P893" s="963" t="n"/>
      <c r="Q893" s="963" t="n"/>
      <c r="R893" s="1228" t="n"/>
      <c r="S893" s="1229" t="n"/>
    </row>
    <row r="894" ht="15.75" customHeight="1" s="1349">
      <c r="A894" s="1222" t="n"/>
      <c r="B894" s="1223" t="n"/>
      <c r="C894" s="1223" t="n"/>
      <c r="D894" s="1224" t="n"/>
      <c r="E894" s="1225" t="n"/>
      <c r="F894" s="1224" t="n"/>
      <c r="G894" s="1224" t="n"/>
      <c r="H894" s="963" t="n"/>
      <c r="I894" s="963" t="n"/>
      <c r="J894" s="963" t="n"/>
      <c r="K894" s="1226" t="n"/>
      <c r="L894" s="1226" t="n"/>
      <c r="M894" s="1226" t="n"/>
      <c r="N894" s="1227" t="n"/>
      <c r="O894" s="963" t="n"/>
      <c r="P894" s="963" t="n"/>
      <c r="Q894" s="963" t="n"/>
      <c r="R894" s="1228" t="n"/>
      <c r="S894" s="1229" t="n"/>
    </row>
    <row r="895" ht="15.75" customHeight="1" s="1349">
      <c r="A895" s="1222" t="n"/>
      <c r="B895" s="1223" t="n"/>
      <c r="C895" s="1223" t="n"/>
      <c r="D895" s="1224" t="n"/>
      <c r="E895" s="1225" t="n"/>
      <c r="F895" s="1224" t="n"/>
      <c r="G895" s="1224" t="n"/>
      <c r="H895" s="963" t="n"/>
      <c r="I895" s="963" t="n"/>
      <c r="J895" s="963" t="n"/>
      <c r="K895" s="1226" t="n"/>
      <c r="L895" s="1226" t="n"/>
      <c r="M895" s="1226" t="n"/>
      <c r="N895" s="1227" t="n"/>
      <c r="O895" s="963" t="n"/>
      <c r="P895" s="963" t="n"/>
      <c r="Q895" s="963" t="n"/>
      <c r="R895" s="1228" t="n"/>
      <c r="S895" s="1229" t="n"/>
    </row>
    <row r="896" ht="15.75" customHeight="1" s="1349">
      <c r="A896" s="1222" t="n"/>
      <c r="B896" s="1223" t="n"/>
      <c r="C896" s="1223" t="n"/>
      <c r="D896" s="1224" t="n"/>
      <c r="E896" s="1225" t="n"/>
      <c r="F896" s="1224" t="n"/>
      <c r="G896" s="1224" t="n"/>
      <c r="H896" s="963" t="n"/>
      <c r="I896" s="963" t="n"/>
      <c r="J896" s="963" t="n"/>
      <c r="K896" s="1226" t="n"/>
      <c r="L896" s="1226" t="n"/>
      <c r="M896" s="1226" t="n"/>
      <c r="N896" s="1227" t="n"/>
      <c r="O896" s="963" t="n"/>
      <c r="P896" s="963" t="n"/>
      <c r="Q896" s="963" t="n"/>
      <c r="R896" s="1228" t="n"/>
      <c r="S896" s="1229" t="n"/>
    </row>
    <row r="897" ht="15.75" customHeight="1" s="1349">
      <c r="A897" s="1222" t="n"/>
      <c r="B897" s="1223" t="n"/>
      <c r="C897" s="1223" t="n"/>
      <c r="D897" s="1224" t="n"/>
      <c r="E897" s="1225" t="n"/>
      <c r="F897" s="1224" t="n"/>
      <c r="G897" s="1224" t="n"/>
      <c r="H897" s="963" t="n"/>
      <c r="I897" s="963" t="n"/>
      <c r="J897" s="963" t="n"/>
      <c r="K897" s="1226" t="n"/>
      <c r="L897" s="1226" t="n"/>
      <c r="M897" s="1226" t="n"/>
      <c r="N897" s="1227" t="n"/>
      <c r="O897" s="963" t="n"/>
      <c r="P897" s="963" t="n"/>
      <c r="Q897" s="963" t="n"/>
      <c r="R897" s="1228" t="n"/>
      <c r="S897" s="1229" t="n"/>
    </row>
    <row r="898" ht="15.75" customHeight="1" s="1349">
      <c r="A898" s="1222" t="n"/>
      <c r="B898" s="1223" t="n"/>
      <c r="C898" s="1223" t="n"/>
      <c r="D898" s="1224" t="n"/>
      <c r="E898" s="1225" t="n"/>
      <c r="F898" s="1224" t="n"/>
      <c r="G898" s="1224" t="n"/>
      <c r="H898" s="963" t="n"/>
      <c r="I898" s="963" t="n"/>
      <c r="J898" s="963" t="n"/>
      <c r="K898" s="1226" t="n"/>
      <c r="L898" s="1226" t="n"/>
      <c r="M898" s="1226" t="n"/>
      <c r="N898" s="1227" t="n"/>
      <c r="O898" s="963" t="n"/>
      <c r="P898" s="963" t="n"/>
      <c r="Q898" s="963" t="n"/>
      <c r="R898" s="1228" t="n"/>
      <c r="S898" s="1229" t="n"/>
    </row>
    <row r="899" ht="15.75" customHeight="1" s="1349">
      <c r="A899" s="1222" t="n"/>
      <c r="B899" s="1223" t="n"/>
      <c r="C899" s="1223" t="n"/>
      <c r="D899" s="1224" t="n"/>
      <c r="E899" s="1225" t="n"/>
      <c r="F899" s="1224" t="n"/>
      <c r="G899" s="1224" t="n"/>
      <c r="H899" s="963" t="n"/>
      <c r="I899" s="963" t="n"/>
      <c r="J899" s="963" t="n"/>
      <c r="K899" s="1226" t="n"/>
      <c r="L899" s="1226" t="n"/>
      <c r="M899" s="1226" t="n"/>
      <c r="N899" s="1227" t="n"/>
      <c r="O899" s="963" t="n"/>
      <c r="P899" s="963" t="n"/>
      <c r="Q899" s="963" t="n"/>
      <c r="R899" s="1228" t="n"/>
      <c r="S899" s="1229" t="n"/>
    </row>
    <row r="900" ht="15.75" customHeight="1" s="1349">
      <c r="A900" s="1222" t="n"/>
      <c r="B900" s="1223" t="n"/>
      <c r="C900" s="1223" t="n"/>
      <c r="D900" s="1224" t="n"/>
      <c r="E900" s="1225" t="n"/>
      <c r="F900" s="1224" t="n"/>
      <c r="G900" s="1224" t="n"/>
      <c r="H900" s="963" t="n"/>
      <c r="I900" s="963" t="n"/>
      <c r="J900" s="963" t="n"/>
      <c r="K900" s="1226" t="n"/>
      <c r="L900" s="1226" t="n"/>
      <c r="M900" s="1226" t="n"/>
      <c r="N900" s="1227" t="n"/>
      <c r="O900" s="963" t="n"/>
      <c r="P900" s="963" t="n"/>
      <c r="Q900" s="963" t="n"/>
      <c r="R900" s="1228" t="n"/>
      <c r="S900" s="1229" t="n"/>
    </row>
    <row r="901" ht="15.75" customHeight="1" s="1349">
      <c r="A901" s="1222" t="n"/>
      <c r="B901" s="1223" t="n"/>
      <c r="C901" s="1223" t="n"/>
      <c r="D901" s="1224" t="n"/>
      <c r="E901" s="1225" t="n"/>
      <c r="F901" s="1224" t="n"/>
      <c r="G901" s="1224" t="n"/>
      <c r="H901" s="963" t="n"/>
      <c r="I901" s="963" t="n"/>
      <c r="J901" s="963" t="n"/>
      <c r="K901" s="1226" t="n"/>
      <c r="L901" s="1226" t="n"/>
      <c r="M901" s="1226" t="n"/>
      <c r="N901" s="1227" t="n"/>
      <c r="O901" s="963" t="n"/>
      <c r="P901" s="963" t="n"/>
      <c r="Q901" s="963" t="n"/>
      <c r="R901" s="1228" t="n"/>
      <c r="S901" s="1229" t="n"/>
    </row>
    <row r="902" ht="15.75" customHeight="1" s="1349">
      <c r="A902" s="1222" t="n"/>
      <c r="B902" s="1223" t="n"/>
      <c r="C902" s="1223" t="n"/>
      <c r="D902" s="1224" t="n"/>
      <c r="E902" s="1225" t="n"/>
      <c r="F902" s="1224" t="n"/>
      <c r="G902" s="1224" t="n"/>
      <c r="H902" s="963" t="n"/>
      <c r="I902" s="963" t="n"/>
      <c r="J902" s="963" t="n"/>
      <c r="K902" s="1226" t="n"/>
      <c r="L902" s="1226" t="n"/>
      <c r="M902" s="1226" t="n"/>
      <c r="N902" s="1227" t="n"/>
      <c r="O902" s="963" t="n"/>
      <c r="P902" s="963" t="n"/>
      <c r="Q902" s="963" t="n"/>
      <c r="R902" s="1228" t="n"/>
      <c r="S902" s="1229" t="n"/>
    </row>
    <row r="903" ht="15.75" customHeight="1" s="1349">
      <c r="A903" s="1222" t="n"/>
      <c r="B903" s="1223" t="n"/>
      <c r="C903" s="1223" t="n"/>
      <c r="D903" s="1224" t="n"/>
      <c r="E903" s="1225" t="n"/>
      <c r="F903" s="1224" t="n"/>
      <c r="G903" s="1224" t="n"/>
      <c r="H903" s="963" t="n"/>
      <c r="I903" s="963" t="n"/>
      <c r="J903" s="963" t="n"/>
      <c r="K903" s="1226" t="n"/>
      <c r="L903" s="1226" t="n"/>
      <c r="M903" s="1226" t="n"/>
      <c r="N903" s="1227" t="n"/>
      <c r="O903" s="963" t="n"/>
      <c r="P903" s="963" t="n"/>
      <c r="Q903" s="963" t="n"/>
      <c r="R903" s="1228" t="n"/>
      <c r="S903" s="1229" t="n"/>
    </row>
    <row r="904" ht="15.75" customHeight="1" s="1349">
      <c r="A904" s="1222" t="n"/>
      <c r="B904" s="1223" t="n"/>
      <c r="C904" s="1223" t="n"/>
      <c r="D904" s="1224" t="n"/>
      <c r="E904" s="1225" t="n"/>
      <c r="F904" s="1224" t="n"/>
      <c r="G904" s="1224" t="n"/>
      <c r="H904" s="963" t="n"/>
      <c r="I904" s="963" t="n"/>
      <c r="J904" s="963" t="n"/>
      <c r="K904" s="1226" t="n"/>
      <c r="L904" s="1226" t="n"/>
      <c r="M904" s="1226" t="n"/>
      <c r="N904" s="1227" t="n"/>
      <c r="O904" s="963" t="n"/>
      <c r="P904" s="963" t="n"/>
      <c r="Q904" s="963" t="n"/>
      <c r="R904" s="1228" t="n"/>
      <c r="S904" s="1229" t="n"/>
    </row>
    <row r="905" ht="15.75" customHeight="1" s="1349">
      <c r="A905" s="1222" t="n"/>
      <c r="B905" s="1223" t="n"/>
      <c r="C905" s="1223" t="n"/>
      <c r="D905" s="1224" t="n"/>
      <c r="E905" s="1225" t="n"/>
      <c r="F905" s="1224" t="n"/>
      <c r="G905" s="1224" t="n"/>
      <c r="H905" s="963" t="n"/>
      <c r="I905" s="963" t="n"/>
      <c r="J905" s="963" t="n"/>
      <c r="K905" s="1226" t="n"/>
      <c r="L905" s="1226" t="n"/>
      <c r="M905" s="1226" t="n"/>
      <c r="N905" s="1227" t="n"/>
      <c r="O905" s="963" t="n"/>
      <c r="P905" s="963" t="n"/>
      <c r="Q905" s="963" t="n"/>
      <c r="R905" s="1228" t="n"/>
      <c r="S905" s="1229" t="n"/>
    </row>
    <row r="906" ht="15.75" customHeight="1" s="1349">
      <c r="A906" s="1222" t="n"/>
      <c r="B906" s="1223" t="n"/>
      <c r="C906" s="1223" t="n"/>
      <c r="D906" s="1224" t="n"/>
      <c r="E906" s="1225" t="n"/>
      <c r="F906" s="1224" t="n"/>
      <c r="G906" s="1224" t="n"/>
      <c r="H906" s="963" t="n"/>
      <c r="I906" s="963" t="n"/>
      <c r="J906" s="963" t="n"/>
      <c r="K906" s="1226" t="n"/>
      <c r="L906" s="1226" t="n"/>
      <c r="M906" s="1226" t="n"/>
      <c r="N906" s="1227" t="n"/>
      <c r="O906" s="963" t="n"/>
      <c r="P906" s="963" t="n"/>
      <c r="Q906" s="963" t="n"/>
      <c r="R906" s="1228" t="n"/>
      <c r="S906" s="1229" t="n"/>
    </row>
    <row r="907" ht="15.75" customHeight="1" s="1349">
      <c r="A907" s="1222" t="n"/>
      <c r="B907" s="1223" t="n"/>
      <c r="C907" s="1223" t="n"/>
      <c r="D907" s="1224" t="n"/>
      <c r="E907" s="1225" t="n"/>
      <c r="F907" s="1224" t="n"/>
      <c r="G907" s="1224" t="n"/>
      <c r="H907" s="963" t="n"/>
      <c r="I907" s="963" t="n"/>
      <c r="J907" s="963" t="n"/>
      <c r="K907" s="1226" t="n"/>
      <c r="L907" s="1226" t="n"/>
      <c r="M907" s="1226" t="n"/>
      <c r="N907" s="1227" t="n"/>
      <c r="O907" s="963" t="n"/>
      <c r="P907" s="963" t="n"/>
      <c r="Q907" s="963" t="n"/>
      <c r="R907" s="1228" t="n"/>
      <c r="S907" s="1229" t="n"/>
    </row>
    <row r="908" ht="15.75" customHeight="1" s="1349">
      <c r="A908" s="1222" t="n"/>
      <c r="B908" s="1223" t="n"/>
      <c r="C908" s="1223" t="n"/>
      <c r="D908" s="1224" t="n"/>
      <c r="E908" s="1225" t="n"/>
      <c r="F908" s="1224" t="n"/>
      <c r="G908" s="1224" t="n"/>
      <c r="H908" s="963" t="n"/>
      <c r="I908" s="963" t="n"/>
      <c r="J908" s="963" t="n"/>
      <c r="K908" s="1226" t="n"/>
      <c r="L908" s="1226" t="n"/>
      <c r="M908" s="1226" t="n"/>
      <c r="N908" s="1227" t="n"/>
      <c r="O908" s="963" t="n"/>
      <c r="P908" s="963" t="n"/>
      <c r="Q908" s="963" t="n"/>
      <c r="R908" s="1228" t="n"/>
      <c r="S908" s="1229" t="n"/>
    </row>
    <row r="909" ht="15.75" customHeight="1" s="1349">
      <c r="A909" s="1222" t="n"/>
      <c r="B909" s="1223" t="n"/>
      <c r="C909" s="1223" t="n"/>
      <c r="D909" s="1224" t="n"/>
      <c r="E909" s="1225" t="n"/>
      <c r="F909" s="1224" t="n"/>
      <c r="G909" s="1224" t="n"/>
      <c r="H909" s="963" t="n"/>
      <c r="I909" s="963" t="n"/>
      <c r="J909" s="963" t="n"/>
      <c r="K909" s="1226" t="n"/>
      <c r="L909" s="1226" t="n"/>
      <c r="M909" s="1226" t="n"/>
      <c r="N909" s="1227" t="n"/>
      <c r="O909" s="963" t="n"/>
      <c r="P909" s="963" t="n"/>
      <c r="Q909" s="963" t="n"/>
      <c r="R909" s="1228" t="n"/>
      <c r="S909" s="1229" t="n"/>
    </row>
    <row r="910" ht="15.75" customHeight="1" s="1349">
      <c r="A910" s="1222" t="n"/>
      <c r="B910" s="1223" t="n"/>
      <c r="C910" s="1223" t="n"/>
      <c r="D910" s="1224" t="n"/>
      <c r="E910" s="1225" t="n"/>
      <c r="F910" s="1224" t="n"/>
      <c r="G910" s="1224" t="n"/>
      <c r="H910" s="963" t="n"/>
      <c r="I910" s="963" t="n"/>
      <c r="J910" s="963" t="n"/>
      <c r="K910" s="1226" t="n"/>
      <c r="L910" s="1226" t="n"/>
      <c r="M910" s="1226" t="n"/>
      <c r="N910" s="1227" t="n"/>
      <c r="O910" s="963" t="n"/>
      <c r="P910" s="963" t="n"/>
      <c r="Q910" s="963" t="n"/>
      <c r="R910" s="1228" t="n"/>
      <c r="S910" s="1229" t="n"/>
    </row>
    <row r="911" ht="15.75" customHeight="1" s="1349">
      <c r="A911" s="1222" t="n"/>
      <c r="B911" s="1223" t="n"/>
      <c r="C911" s="1223" t="n"/>
      <c r="D911" s="1224" t="n"/>
      <c r="E911" s="1225" t="n"/>
      <c r="F911" s="1224" t="n"/>
      <c r="G911" s="1224" t="n"/>
      <c r="H911" s="963" t="n"/>
      <c r="I911" s="963" t="n"/>
      <c r="J911" s="963" t="n"/>
      <c r="K911" s="1226" t="n"/>
      <c r="L911" s="1226" t="n"/>
      <c r="M911" s="1226" t="n"/>
      <c r="N911" s="1227" t="n"/>
      <c r="O911" s="963" t="n"/>
      <c r="P911" s="963" t="n"/>
      <c r="Q911" s="963" t="n"/>
      <c r="R911" s="1228" t="n"/>
      <c r="S911" s="1229" t="n"/>
    </row>
    <row r="912" ht="15.75" customHeight="1" s="1349">
      <c r="A912" s="1222" t="n"/>
      <c r="B912" s="1223" t="n"/>
      <c r="C912" s="1223" t="n"/>
      <c r="D912" s="1224" t="n"/>
      <c r="E912" s="1225" t="n"/>
      <c r="F912" s="1224" t="n"/>
      <c r="G912" s="1224" t="n"/>
      <c r="H912" s="963" t="n"/>
      <c r="I912" s="963" t="n"/>
      <c r="J912" s="963" t="n"/>
      <c r="K912" s="1226" t="n"/>
      <c r="L912" s="1226" t="n"/>
      <c r="M912" s="1226" t="n"/>
      <c r="N912" s="1227" t="n"/>
      <c r="O912" s="963" t="n"/>
      <c r="P912" s="963" t="n"/>
      <c r="Q912" s="963" t="n"/>
      <c r="R912" s="1228" t="n"/>
      <c r="S912" s="1229" t="n"/>
    </row>
    <row r="913" ht="15.75" customHeight="1" s="1349">
      <c r="A913" s="1222" t="n"/>
      <c r="B913" s="1223" t="n"/>
      <c r="C913" s="1223" t="n"/>
      <c r="D913" s="1224" t="n"/>
      <c r="E913" s="1225" t="n"/>
      <c r="F913" s="1224" t="n"/>
      <c r="G913" s="1224" t="n"/>
      <c r="H913" s="963" t="n"/>
      <c r="I913" s="963" t="n"/>
      <c r="J913" s="963" t="n"/>
      <c r="K913" s="1226" t="n"/>
      <c r="L913" s="1226" t="n"/>
      <c r="M913" s="1226" t="n"/>
      <c r="N913" s="1227" t="n"/>
      <c r="O913" s="963" t="n"/>
      <c r="P913" s="963" t="n"/>
      <c r="Q913" s="963" t="n"/>
      <c r="R913" s="1228" t="n"/>
      <c r="S913" s="1229" t="n"/>
    </row>
    <row r="914" ht="15.75" customHeight="1" s="1349">
      <c r="A914" s="1222" t="n"/>
      <c r="B914" s="1223" t="n"/>
      <c r="C914" s="1223" t="n"/>
      <c r="D914" s="1224" t="n"/>
      <c r="E914" s="1225" t="n"/>
      <c r="F914" s="1224" t="n"/>
      <c r="G914" s="1224" t="n"/>
      <c r="H914" s="963" t="n"/>
      <c r="I914" s="963" t="n"/>
      <c r="J914" s="963" t="n"/>
      <c r="K914" s="1226" t="n"/>
      <c r="L914" s="1226" t="n"/>
      <c r="M914" s="1226" t="n"/>
      <c r="N914" s="1227" t="n"/>
      <c r="O914" s="963" t="n"/>
      <c r="P914" s="963" t="n"/>
      <c r="Q914" s="963" t="n"/>
      <c r="R914" s="1228" t="n"/>
      <c r="S914" s="1229" t="n"/>
    </row>
    <row r="915" ht="15.75" customHeight="1" s="1349">
      <c r="A915" s="1222" t="n"/>
      <c r="B915" s="1223" t="n"/>
      <c r="C915" s="1223" t="n"/>
      <c r="D915" s="1224" t="n"/>
      <c r="E915" s="1225" t="n"/>
      <c r="F915" s="1224" t="n"/>
      <c r="G915" s="1224" t="n"/>
      <c r="H915" s="963" t="n"/>
      <c r="I915" s="963" t="n"/>
      <c r="J915" s="963" t="n"/>
      <c r="K915" s="1226" t="n"/>
      <c r="L915" s="1226" t="n"/>
      <c r="M915" s="1226" t="n"/>
      <c r="N915" s="1227" t="n"/>
      <c r="O915" s="963" t="n"/>
      <c r="P915" s="963" t="n"/>
      <c r="Q915" s="963" t="n"/>
      <c r="R915" s="1228" t="n"/>
      <c r="S915" s="1229" t="n"/>
    </row>
    <row r="916" ht="15.75" customHeight="1" s="1349">
      <c r="A916" s="1222" t="n"/>
      <c r="B916" s="1223" t="n"/>
      <c r="C916" s="1223" t="n"/>
      <c r="D916" s="1224" t="n"/>
      <c r="E916" s="1225" t="n"/>
      <c r="F916" s="1224" t="n"/>
      <c r="G916" s="1224" t="n"/>
      <c r="H916" s="963" t="n"/>
      <c r="I916" s="963" t="n"/>
      <c r="J916" s="963" t="n"/>
      <c r="K916" s="1226" t="n"/>
      <c r="L916" s="1226" t="n"/>
      <c r="M916" s="1226" t="n"/>
      <c r="N916" s="1227" t="n"/>
      <c r="O916" s="963" t="n"/>
      <c r="P916" s="963" t="n"/>
      <c r="Q916" s="963" t="n"/>
      <c r="R916" s="1228" t="n"/>
      <c r="S916" s="1229" t="n"/>
    </row>
    <row r="917" ht="15.75" customHeight="1" s="1349">
      <c r="A917" s="1222" t="n"/>
      <c r="B917" s="1223" t="n"/>
      <c r="C917" s="1223" t="n"/>
      <c r="D917" s="1224" t="n"/>
      <c r="E917" s="1225" t="n"/>
      <c r="F917" s="1224" t="n"/>
      <c r="G917" s="1224" t="n"/>
      <c r="H917" s="963" t="n"/>
      <c r="I917" s="963" t="n"/>
      <c r="J917" s="963" t="n"/>
      <c r="K917" s="1226" t="n"/>
      <c r="L917" s="1226" t="n"/>
      <c r="M917" s="1226" t="n"/>
      <c r="N917" s="1227" t="n"/>
      <c r="O917" s="963" t="n"/>
      <c r="P917" s="963" t="n"/>
      <c r="Q917" s="963" t="n"/>
      <c r="R917" s="1228" t="n"/>
      <c r="S917" s="1229" t="n"/>
    </row>
    <row r="918" ht="15.75" customHeight="1" s="1349">
      <c r="A918" s="1222" t="n"/>
      <c r="B918" s="1223" t="n"/>
      <c r="C918" s="1223" t="n"/>
      <c r="D918" s="1224" t="n"/>
      <c r="E918" s="1225" t="n"/>
      <c r="F918" s="1224" t="n"/>
      <c r="G918" s="1224" t="n"/>
      <c r="H918" s="963" t="n"/>
      <c r="I918" s="963" t="n"/>
      <c r="J918" s="963" t="n"/>
      <c r="K918" s="1226" t="n"/>
      <c r="L918" s="1226" t="n"/>
      <c r="M918" s="1226" t="n"/>
      <c r="N918" s="1227" t="n"/>
      <c r="O918" s="963" t="n"/>
      <c r="P918" s="963" t="n"/>
      <c r="Q918" s="963" t="n"/>
      <c r="R918" s="1228" t="n"/>
      <c r="S918" s="1229" t="n"/>
    </row>
    <row r="919" ht="15.75" customHeight="1" s="1349">
      <c r="A919" s="1222" t="n"/>
      <c r="B919" s="1223" t="n"/>
      <c r="C919" s="1223" t="n"/>
      <c r="D919" s="1224" t="n"/>
      <c r="E919" s="1225" t="n"/>
      <c r="F919" s="1224" t="n"/>
      <c r="G919" s="1224" t="n"/>
      <c r="H919" s="963" t="n"/>
      <c r="I919" s="963" t="n"/>
      <c r="J919" s="963" t="n"/>
      <c r="K919" s="1226" t="n"/>
      <c r="L919" s="1226" t="n"/>
      <c r="M919" s="1226" t="n"/>
      <c r="N919" s="1227" t="n"/>
      <c r="O919" s="963" t="n"/>
      <c r="P919" s="963" t="n"/>
      <c r="Q919" s="963" t="n"/>
      <c r="R919" s="1228" t="n"/>
      <c r="S919" s="1229" t="n"/>
    </row>
    <row r="920" ht="15.75" customHeight="1" s="1349">
      <c r="A920" s="1222" t="n"/>
      <c r="B920" s="1223" t="n"/>
      <c r="C920" s="1223" t="n"/>
      <c r="D920" s="1224" t="n"/>
      <c r="E920" s="1225" t="n"/>
      <c r="F920" s="1224" t="n"/>
      <c r="G920" s="1224" t="n"/>
      <c r="H920" s="963" t="n"/>
      <c r="I920" s="963" t="n"/>
      <c r="J920" s="963" t="n"/>
      <c r="K920" s="1226" t="n"/>
      <c r="L920" s="1226" t="n"/>
      <c r="M920" s="1226" t="n"/>
      <c r="N920" s="1227" t="n"/>
      <c r="O920" s="963" t="n"/>
      <c r="P920" s="963" t="n"/>
      <c r="Q920" s="963" t="n"/>
      <c r="R920" s="1228" t="n"/>
      <c r="S920" s="1229" t="n"/>
    </row>
    <row r="921" ht="15.75" customHeight="1" s="1349">
      <c r="A921" s="1222" t="n"/>
      <c r="B921" s="1223" t="n"/>
      <c r="C921" s="1223" t="n"/>
      <c r="D921" s="1224" t="n"/>
      <c r="E921" s="1225" t="n"/>
      <c r="F921" s="1224" t="n"/>
      <c r="G921" s="1224" t="n"/>
      <c r="H921" s="963" t="n"/>
      <c r="I921" s="963" t="n"/>
      <c r="J921" s="963" t="n"/>
      <c r="K921" s="1226" t="n"/>
      <c r="L921" s="1226" t="n"/>
      <c r="M921" s="1226" t="n"/>
      <c r="N921" s="1227" t="n"/>
      <c r="O921" s="963" t="n"/>
      <c r="P921" s="963" t="n"/>
      <c r="Q921" s="963" t="n"/>
      <c r="R921" s="1228" t="n"/>
      <c r="S921" s="1229" t="n"/>
    </row>
    <row r="922" ht="15.75" customHeight="1" s="1349">
      <c r="A922" s="1222" t="n"/>
      <c r="B922" s="1223" t="n"/>
      <c r="C922" s="1223" t="n"/>
      <c r="D922" s="1224" t="n"/>
      <c r="E922" s="1225" t="n"/>
      <c r="F922" s="1224" t="n"/>
      <c r="G922" s="1224" t="n"/>
      <c r="H922" s="963" t="n"/>
      <c r="I922" s="963" t="n"/>
      <c r="J922" s="963" t="n"/>
      <c r="K922" s="1226" t="n"/>
      <c r="L922" s="1226" t="n"/>
      <c r="M922" s="1226" t="n"/>
      <c r="N922" s="1227" t="n"/>
      <c r="O922" s="963" t="n"/>
      <c r="P922" s="963" t="n"/>
      <c r="Q922" s="963" t="n"/>
      <c r="R922" s="1228" t="n"/>
      <c r="S922" s="1229" t="n"/>
    </row>
    <row r="923" ht="15.75" customHeight="1" s="1349">
      <c r="A923" s="1222" t="n"/>
      <c r="B923" s="1223" t="n"/>
      <c r="C923" s="1223" t="n"/>
      <c r="D923" s="1224" t="n"/>
      <c r="E923" s="1225" t="n"/>
      <c r="F923" s="1224" t="n"/>
      <c r="G923" s="1224" t="n"/>
      <c r="H923" s="963" t="n"/>
      <c r="I923" s="963" t="n"/>
      <c r="J923" s="963" t="n"/>
      <c r="K923" s="1226" t="n"/>
      <c r="L923" s="1226" t="n"/>
      <c r="M923" s="1226" t="n"/>
      <c r="N923" s="1227" t="n"/>
      <c r="O923" s="963" t="n"/>
      <c r="P923" s="963" t="n"/>
      <c r="Q923" s="963" t="n"/>
      <c r="R923" s="1228" t="n"/>
      <c r="S923" s="1229" t="n"/>
    </row>
    <row r="924" ht="15.75" customHeight="1" s="1349">
      <c r="A924" s="1222" t="n"/>
      <c r="B924" s="1223" t="n"/>
      <c r="C924" s="1223" t="n"/>
      <c r="D924" s="1224" t="n"/>
      <c r="E924" s="1225" t="n"/>
      <c r="F924" s="1224" t="n"/>
      <c r="G924" s="1224" t="n"/>
      <c r="H924" s="963" t="n"/>
      <c r="I924" s="963" t="n"/>
      <c r="J924" s="963" t="n"/>
      <c r="K924" s="1226" t="n"/>
      <c r="L924" s="1226" t="n"/>
      <c r="M924" s="1226" t="n"/>
      <c r="N924" s="1227" t="n"/>
      <c r="O924" s="963" t="n"/>
      <c r="P924" s="963" t="n"/>
      <c r="Q924" s="963" t="n"/>
      <c r="R924" s="1228" t="n"/>
      <c r="S924" s="1229" t="n"/>
    </row>
    <row r="925" ht="15.75" customHeight="1" s="1349">
      <c r="A925" s="1222" t="n"/>
      <c r="B925" s="1223" t="n"/>
      <c r="C925" s="1223" t="n"/>
      <c r="D925" s="1224" t="n"/>
      <c r="E925" s="1225" t="n"/>
      <c r="F925" s="1224" t="n"/>
      <c r="G925" s="1224" t="n"/>
      <c r="H925" s="963" t="n"/>
      <c r="I925" s="963" t="n"/>
      <c r="J925" s="963" t="n"/>
      <c r="K925" s="1226" t="n"/>
      <c r="L925" s="1226" t="n"/>
      <c r="M925" s="1226" t="n"/>
      <c r="N925" s="1227" t="n"/>
      <c r="O925" s="963" t="n"/>
      <c r="P925" s="963" t="n"/>
      <c r="Q925" s="963" t="n"/>
      <c r="R925" s="1228" t="n"/>
      <c r="S925" s="1229" t="n"/>
    </row>
    <row r="926" ht="15.75" customHeight="1" s="1349">
      <c r="A926" s="1222" t="n"/>
      <c r="B926" s="1223" t="n"/>
      <c r="C926" s="1223" t="n"/>
      <c r="D926" s="1224" t="n"/>
      <c r="E926" s="1225" t="n"/>
      <c r="F926" s="1224" t="n"/>
      <c r="G926" s="1224" t="n"/>
      <c r="H926" s="963" t="n"/>
      <c r="I926" s="963" t="n"/>
      <c r="J926" s="963" t="n"/>
      <c r="K926" s="1226" t="n"/>
      <c r="L926" s="1226" t="n"/>
      <c r="M926" s="1226" t="n"/>
      <c r="N926" s="1227" t="n"/>
      <c r="O926" s="963" t="n"/>
      <c r="P926" s="963" t="n"/>
      <c r="Q926" s="963" t="n"/>
      <c r="R926" s="1228" t="n"/>
      <c r="S926" s="1229" t="n"/>
    </row>
    <row r="927" ht="15.75" customHeight="1" s="1349">
      <c r="A927" s="1222" t="n"/>
      <c r="B927" s="1223" t="n"/>
      <c r="C927" s="1223" t="n"/>
      <c r="D927" s="1224" t="n"/>
      <c r="E927" s="1225" t="n"/>
      <c r="F927" s="1224" t="n"/>
      <c r="G927" s="1224" t="n"/>
      <c r="H927" s="963" t="n"/>
      <c r="I927" s="963" t="n"/>
      <c r="J927" s="963" t="n"/>
      <c r="K927" s="1226" t="n"/>
      <c r="L927" s="1226" t="n"/>
      <c r="M927" s="1226" t="n"/>
      <c r="N927" s="1227" t="n"/>
      <c r="O927" s="963" t="n"/>
      <c r="P927" s="963" t="n"/>
      <c r="Q927" s="963" t="n"/>
      <c r="R927" s="1228" t="n"/>
      <c r="S927" s="1229" t="n"/>
    </row>
    <row r="928" ht="15.75" customHeight="1" s="1349">
      <c r="A928" s="1222" t="n"/>
      <c r="B928" s="1223" t="n"/>
      <c r="C928" s="1223" t="n"/>
      <c r="D928" s="1224" t="n"/>
      <c r="E928" s="1225" t="n"/>
      <c r="F928" s="1224" t="n"/>
      <c r="G928" s="1224" t="n"/>
      <c r="H928" s="963" t="n"/>
      <c r="I928" s="963" t="n"/>
      <c r="J928" s="963" t="n"/>
      <c r="K928" s="1226" t="n"/>
      <c r="L928" s="1226" t="n"/>
      <c r="M928" s="1226" t="n"/>
      <c r="N928" s="1227" t="n"/>
      <c r="O928" s="963" t="n"/>
      <c r="P928" s="963" t="n"/>
      <c r="Q928" s="963" t="n"/>
      <c r="R928" s="1228" t="n"/>
      <c r="S928" s="1229" t="n"/>
    </row>
    <row r="929" ht="15.75" customHeight="1" s="1349">
      <c r="A929" s="1222" t="n"/>
      <c r="B929" s="1223" t="n"/>
      <c r="C929" s="1223" t="n"/>
      <c r="D929" s="1224" t="n"/>
      <c r="E929" s="1225" t="n"/>
      <c r="F929" s="1224" t="n"/>
      <c r="G929" s="1224" t="n"/>
      <c r="H929" s="963" t="n"/>
      <c r="I929" s="963" t="n"/>
      <c r="J929" s="963" t="n"/>
      <c r="K929" s="1226" t="n"/>
      <c r="L929" s="1226" t="n"/>
      <c r="M929" s="1226" t="n"/>
      <c r="N929" s="1227" t="n"/>
      <c r="O929" s="963" t="n"/>
      <c r="P929" s="963" t="n"/>
      <c r="Q929" s="963" t="n"/>
      <c r="R929" s="1228" t="n"/>
      <c r="S929" s="1229" t="n"/>
    </row>
    <row r="930" ht="15.75" customHeight="1" s="1349">
      <c r="A930" s="1222" t="n"/>
      <c r="B930" s="1223" t="n"/>
      <c r="C930" s="1223" t="n"/>
      <c r="D930" s="1224" t="n"/>
      <c r="E930" s="1225" t="n"/>
      <c r="F930" s="1224" t="n"/>
      <c r="G930" s="1224" t="n"/>
      <c r="H930" s="963" t="n"/>
      <c r="I930" s="963" t="n"/>
      <c r="J930" s="963" t="n"/>
      <c r="K930" s="1226" t="n"/>
      <c r="L930" s="1226" t="n"/>
      <c r="M930" s="1226" t="n"/>
      <c r="N930" s="1227" t="n"/>
      <c r="O930" s="963" t="n"/>
      <c r="P930" s="963" t="n"/>
      <c r="Q930" s="963" t="n"/>
      <c r="R930" s="1228" t="n"/>
      <c r="S930" s="1229" t="n"/>
    </row>
    <row r="931" ht="15.75" customHeight="1" s="1349">
      <c r="A931" s="1222" t="n"/>
      <c r="B931" s="1223" t="n"/>
      <c r="C931" s="1223" t="n"/>
      <c r="D931" s="1224" t="n"/>
      <c r="E931" s="1225" t="n"/>
      <c r="F931" s="1224" t="n"/>
      <c r="G931" s="1224" t="n"/>
      <c r="H931" s="963" t="n"/>
      <c r="I931" s="963" t="n"/>
      <c r="J931" s="963" t="n"/>
      <c r="K931" s="1226" t="n"/>
      <c r="L931" s="1226" t="n"/>
      <c r="M931" s="1226" t="n"/>
      <c r="N931" s="1227" t="n"/>
      <c r="O931" s="963" t="n"/>
      <c r="P931" s="963" t="n"/>
      <c r="Q931" s="963" t="n"/>
      <c r="R931" s="1228" t="n"/>
      <c r="S931" s="1229" t="n"/>
    </row>
    <row r="932" ht="15.75" customHeight="1" s="1349">
      <c r="A932" s="1222" t="n"/>
      <c r="B932" s="1223" t="n"/>
      <c r="C932" s="1223" t="n"/>
      <c r="D932" s="1224" t="n"/>
      <c r="E932" s="1225" t="n"/>
      <c r="F932" s="1224" t="n"/>
      <c r="G932" s="1224" t="n"/>
      <c r="H932" s="963" t="n"/>
      <c r="I932" s="963" t="n"/>
      <c r="J932" s="963" t="n"/>
      <c r="K932" s="1226" t="n"/>
      <c r="L932" s="1226" t="n"/>
      <c r="M932" s="1226" t="n"/>
      <c r="N932" s="1227" t="n"/>
      <c r="O932" s="963" t="n"/>
      <c r="P932" s="963" t="n"/>
      <c r="Q932" s="963" t="n"/>
      <c r="R932" s="1228" t="n"/>
      <c r="S932" s="1229" t="n"/>
    </row>
    <row r="933" ht="15.75" customHeight="1" s="1349">
      <c r="A933" s="1222" t="n"/>
      <c r="B933" s="1223" t="n"/>
      <c r="C933" s="1223" t="n"/>
      <c r="D933" s="1224" t="n"/>
      <c r="E933" s="1225" t="n"/>
      <c r="F933" s="1224" t="n"/>
      <c r="G933" s="1224" t="n"/>
      <c r="H933" s="963" t="n"/>
      <c r="I933" s="963" t="n"/>
      <c r="J933" s="963" t="n"/>
      <c r="K933" s="1226" t="n"/>
      <c r="L933" s="1226" t="n"/>
      <c r="M933" s="1226" t="n"/>
      <c r="N933" s="1227" t="n"/>
      <c r="O933" s="963" t="n"/>
      <c r="P933" s="963" t="n"/>
      <c r="Q933" s="963" t="n"/>
      <c r="R933" s="1228" t="n"/>
      <c r="S933" s="1229" t="n"/>
    </row>
    <row r="934" ht="15.75" customHeight="1" s="1349">
      <c r="A934" s="1222" t="n"/>
      <c r="B934" s="1223" t="n"/>
      <c r="C934" s="1223" t="n"/>
      <c r="D934" s="1224" t="n"/>
      <c r="E934" s="1225" t="n"/>
      <c r="F934" s="1224" t="n"/>
      <c r="G934" s="1224" t="n"/>
      <c r="H934" s="963" t="n"/>
      <c r="I934" s="963" t="n"/>
      <c r="J934" s="963" t="n"/>
      <c r="K934" s="1226" t="n"/>
      <c r="L934" s="1226" t="n"/>
      <c r="M934" s="1226" t="n"/>
      <c r="N934" s="1227" t="n"/>
      <c r="O934" s="963" t="n"/>
      <c r="P934" s="963" t="n"/>
      <c r="Q934" s="963" t="n"/>
      <c r="R934" s="1228" t="n"/>
      <c r="S934" s="1229" t="n"/>
    </row>
    <row r="935" ht="15.75" customHeight="1" s="1349">
      <c r="A935" s="1222" t="n"/>
      <c r="B935" s="1223" t="n"/>
      <c r="C935" s="1223" t="n"/>
      <c r="D935" s="1224" t="n"/>
      <c r="E935" s="1225" t="n"/>
      <c r="F935" s="1224" t="n"/>
      <c r="G935" s="1224" t="n"/>
      <c r="H935" s="963" t="n"/>
      <c r="I935" s="963" t="n"/>
      <c r="J935" s="963" t="n"/>
      <c r="K935" s="1226" t="n"/>
      <c r="L935" s="1226" t="n"/>
      <c r="M935" s="1226" t="n"/>
      <c r="N935" s="1227" t="n"/>
      <c r="O935" s="963" t="n"/>
      <c r="P935" s="963" t="n"/>
      <c r="Q935" s="963" t="n"/>
      <c r="R935" s="1228" t="n"/>
      <c r="S935" s="1229" t="n"/>
    </row>
    <row r="936" ht="15.75" customHeight="1" s="1349">
      <c r="A936" s="1222" t="n"/>
      <c r="B936" s="1223" t="n"/>
      <c r="C936" s="1223" t="n"/>
      <c r="D936" s="1224" t="n"/>
      <c r="E936" s="1225" t="n"/>
      <c r="F936" s="1224" t="n"/>
      <c r="G936" s="1224" t="n"/>
      <c r="H936" s="963" t="n"/>
      <c r="I936" s="963" t="n"/>
      <c r="J936" s="963" t="n"/>
      <c r="K936" s="1226" t="n"/>
      <c r="L936" s="1226" t="n"/>
      <c r="M936" s="1226" t="n"/>
      <c r="N936" s="1227" t="n"/>
      <c r="O936" s="963" t="n"/>
      <c r="P936" s="963" t="n"/>
      <c r="Q936" s="963" t="n"/>
      <c r="R936" s="1228" t="n"/>
      <c r="S936" s="1229" t="n"/>
    </row>
    <row r="937" ht="15.75" customHeight="1" s="1349">
      <c r="A937" s="1222" t="n"/>
      <c r="B937" s="1223" t="n"/>
      <c r="C937" s="1223" t="n"/>
      <c r="D937" s="1224" t="n"/>
      <c r="E937" s="1225" t="n"/>
      <c r="F937" s="1224" t="n"/>
      <c r="G937" s="1224" t="n"/>
      <c r="H937" s="963" t="n"/>
      <c r="I937" s="963" t="n"/>
      <c r="J937" s="963" t="n"/>
      <c r="K937" s="1226" t="n"/>
      <c r="L937" s="1226" t="n"/>
      <c r="M937" s="1226" t="n"/>
      <c r="N937" s="1227" t="n"/>
      <c r="O937" s="963" t="n"/>
      <c r="P937" s="963" t="n"/>
      <c r="Q937" s="963" t="n"/>
      <c r="R937" s="1228" t="n"/>
      <c r="S937" s="1229" t="n"/>
    </row>
    <row r="938" ht="15.75" customHeight="1" s="1349">
      <c r="A938" s="1222" t="n"/>
      <c r="B938" s="1223" t="n"/>
      <c r="C938" s="1223" t="n"/>
      <c r="D938" s="1224" t="n"/>
      <c r="E938" s="1225" t="n"/>
      <c r="F938" s="1224" t="n"/>
      <c r="G938" s="1224" t="n"/>
      <c r="H938" s="963" t="n"/>
      <c r="I938" s="963" t="n"/>
      <c r="J938" s="963" t="n"/>
      <c r="K938" s="1226" t="n"/>
      <c r="L938" s="1226" t="n"/>
      <c r="M938" s="1226" t="n"/>
      <c r="N938" s="1227" t="n"/>
      <c r="O938" s="963" t="n"/>
      <c r="P938" s="963" t="n"/>
      <c r="Q938" s="963" t="n"/>
      <c r="R938" s="1228" t="n"/>
      <c r="S938" s="1229" t="n"/>
    </row>
    <row r="939" ht="15.75" customHeight="1" s="1349">
      <c r="A939" s="1222" t="n"/>
      <c r="B939" s="1223" t="n"/>
      <c r="C939" s="1223" t="n"/>
      <c r="D939" s="1224" t="n"/>
      <c r="E939" s="1225" t="n"/>
      <c r="F939" s="1224" t="n"/>
      <c r="G939" s="1224" t="n"/>
      <c r="H939" s="963" t="n"/>
      <c r="I939" s="963" t="n"/>
      <c r="J939" s="963" t="n"/>
      <c r="K939" s="1226" t="n"/>
      <c r="L939" s="1226" t="n"/>
      <c r="M939" s="1226" t="n"/>
      <c r="N939" s="1227" t="n"/>
      <c r="O939" s="963" t="n"/>
      <c r="P939" s="963" t="n"/>
      <c r="Q939" s="963" t="n"/>
      <c r="R939" s="1228" t="n"/>
      <c r="S939" s="1229" t="n"/>
    </row>
    <row r="940" ht="15.75" customHeight="1" s="1349">
      <c r="A940" s="1222" t="n"/>
      <c r="B940" s="1223" t="n"/>
      <c r="C940" s="1223" t="n"/>
      <c r="D940" s="1224" t="n"/>
      <c r="E940" s="1225" t="n"/>
      <c r="F940" s="1224" t="n"/>
      <c r="G940" s="1224" t="n"/>
      <c r="H940" s="963" t="n"/>
      <c r="I940" s="963" t="n"/>
      <c r="J940" s="963" t="n"/>
      <c r="K940" s="1226" t="n"/>
      <c r="L940" s="1226" t="n"/>
      <c r="M940" s="1226" t="n"/>
      <c r="N940" s="1227" t="n"/>
      <c r="O940" s="963" t="n"/>
      <c r="P940" s="963" t="n"/>
      <c r="Q940" s="963" t="n"/>
      <c r="R940" s="1228" t="n"/>
      <c r="S940" s="1229" t="n"/>
    </row>
    <row r="941" ht="15.75" customHeight="1" s="1349">
      <c r="A941" s="1222" t="n"/>
      <c r="B941" s="1223" t="n"/>
      <c r="C941" s="1223" t="n"/>
      <c r="D941" s="1224" t="n"/>
      <c r="E941" s="1225" t="n"/>
      <c r="F941" s="1224" t="n"/>
      <c r="G941" s="1224" t="n"/>
      <c r="H941" s="963" t="n"/>
      <c r="I941" s="963" t="n"/>
      <c r="J941" s="963" t="n"/>
      <c r="K941" s="1226" t="n"/>
      <c r="L941" s="1226" t="n"/>
      <c r="M941" s="1226" t="n"/>
      <c r="N941" s="1227" t="n"/>
      <c r="O941" s="963" t="n"/>
      <c r="P941" s="963" t="n"/>
      <c r="Q941" s="963" t="n"/>
      <c r="R941" s="1228" t="n"/>
      <c r="S941" s="1229" t="n"/>
    </row>
    <row r="942" ht="15.75" customHeight="1" s="1349">
      <c r="A942" s="1222" t="n"/>
      <c r="B942" s="1223" t="n"/>
      <c r="C942" s="1223" t="n"/>
      <c r="D942" s="1224" t="n"/>
      <c r="E942" s="1225" t="n"/>
      <c r="F942" s="1224" t="n"/>
      <c r="G942" s="1224" t="n"/>
      <c r="H942" s="963" t="n"/>
      <c r="I942" s="963" t="n"/>
      <c r="J942" s="963" t="n"/>
      <c r="K942" s="1226" t="n"/>
      <c r="L942" s="1226" t="n"/>
      <c r="M942" s="1226" t="n"/>
      <c r="N942" s="1227" t="n"/>
      <c r="O942" s="963" t="n"/>
      <c r="P942" s="963" t="n"/>
      <c r="Q942" s="963" t="n"/>
      <c r="R942" s="1228" t="n"/>
      <c r="S942" s="1229" t="n"/>
    </row>
    <row r="943" ht="15.75" customHeight="1" s="1349">
      <c r="A943" s="1222" t="n"/>
      <c r="B943" s="1223" t="n"/>
      <c r="C943" s="1223" t="n"/>
      <c r="D943" s="1224" t="n"/>
      <c r="E943" s="1225" t="n"/>
      <c r="F943" s="1224" t="n"/>
      <c r="G943" s="1224" t="n"/>
      <c r="H943" s="963" t="n"/>
      <c r="I943" s="963" t="n"/>
      <c r="J943" s="963" t="n"/>
      <c r="K943" s="1226" t="n"/>
      <c r="L943" s="1226" t="n"/>
      <c r="M943" s="1226" t="n"/>
      <c r="N943" s="1227" t="n"/>
      <c r="O943" s="963" t="n"/>
      <c r="P943" s="963" t="n"/>
      <c r="Q943" s="963" t="n"/>
      <c r="R943" s="1228" t="n"/>
      <c r="S943" s="1229" t="n"/>
    </row>
    <row r="944" ht="15.75" customHeight="1" s="1349">
      <c r="A944" s="1222" t="n"/>
      <c r="B944" s="1223" t="n"/>
      <c r="C944" s="1223" t="n"/>
      <c r="D944" s="1224" t="n"/>
      <c r="E944" s="1225" t="n"/>
      <c r="F944" s="1224" t="n"/>
      <c r="G944" s="1224" t="n"/>
      <c r="H944" s="963" t="n"/>
      <c r="I944" s="963" t="n"/>
      <c r="J944" s="963" t="n"/>
      <c r="K944" s="1226" t="n"/>
      <c r="L944" s="1226" t="n"/>
      <c r="M944" s="1226" t="n"/>
      <c r="N944" s="1227" t="n"/>
      <c r="O944" s="963" t="n"/>
      <c r="P944" s="963" t="n"/>
      <c r="Q944" s="963" t="n"/>
      <c r="R944" s="1228" t="n"/>
      <c r="S944" s="1229" t="n"/>
    </row>
    <row r="945" ht="15.75" customHeight="1" s="1349">
      <c r="A945" s="1222" t="n"/>
      <c r="B945" s="1223" t="n"/>
      <c r="C945" s="1223" t="n"/>
      <c r="D945" s="1224" t="n"/>
      <c r="E945" s="1225" t="n"/>
      <c r="F945" s="1224" t="n"/>
      <c r="G945" s="1224" t="n"/>
      <c r="H945" s="963" t="n"/>
      <c r="I945" s="963" t="n"/>
      <c r="J945" s="963" t="n"/>
      <c r="K945" s="1226" t="n"/>
      <c r="L945" s="1226" t="n"/>
      <c r="M945" s="1226" t="n"/>
      <c r="N945" s="1227" t="n"/>
      <c r="O945" s="963" t="n"/>
      <c r="P945" s="963" t="n"/>
      <c r="Q945" s="963" t="n"/>
      <c r="R945" s="1228" t="n"/>
      <c r="S945" s="1229" t="n"/>
    </row>
    <row r="946" ht="15.75" customHeight="1" s="1349">
      <c r="A946" s="1222" t="n"/>
      <c r="B946" s="1223" t="n"/>
      <c r="C946" s="1223" t="n"/>
      <c r="D946" s="1224" t="n"/>
      <c r="E946" s="1225" t="n"/>
      <c r="F946" s="1224" t="n"/>
      <c r="G946" s="1224" t="n"/>
      <c r="H946" s="963" t="n"/>
      <c r="I946" s="963" t="n"/>
      <c r="J946" s="963" t="n"/>
      <c r="K946" s="1226" t="n"/>
      <c r="L946" s="1226" t="n"/>
      <c r="M946" s="1226" t="n"/>
      <c r="N946" s="1227" t="n"/>
      <c r="O946" s="963" t="n"/>
      <c r="P946" s="963" t="n"/>
      <c r="Q946" s="963" t="n"/>
      <c r="R946" s="1228" t="n"/>
      <c r="S946" s="1229" t="n"/>
    </row>
    <row r="947" ht="15.75" customHeight="1" s="1349">
      <c r="A947" s="1222" t="n"/>
      <c r="B947" s="1223" t="n"/>
      <c r="C947" s="1223" t="n"/>
      <c r="D947" s="1224" t="n"/>
      <c r="E947" s="1225" t="n"/>
      <c r="F947" s="1224" t="n"/>
      <c r="G947" s="1224" t="n"/>
      <c r="H947" s="963" t="n"/>
      <c r="I947" s="963" t="n"/>
      <c r="J947" s="963" t="n"/>
      <c r="K947" s="1226" t="n"/>
      <c r="L947" s="1226" t="n"/>
      <c r="M947" s="1226" t="n"/>
      <c r="N947" s="1227" t="n"/>
      <c r="O947" s="963" t="n"/>
      <c r="P947" s="963" t="n"/>
      <c r="Q947" s="963" t="n"/>
      <c r="R947" s="1228" t="n"/>
      <c r="S947" s="1229" t="n"/>
    </row>
    <row r="948" ht="15.75" customHeight="1" s="1349">
      <c r="A948" s="1222" t="n"/>
      <c r="B948" s="1223" t="n"/>
      <c r="C948" s="1223" t="n"/>
      <c r="D948" s="1224" t="n"/>
      <c r="E948" s="1225" t="n"/>
      <c r="F948" s="1224" t="n"/>
      <c r="G948" s="1224" t="n"/>
      <c r="H948" s="963" t="n"/>
      <c r="I948" s="963" t="n"/>
      <c r="J948" s="963" t="n"/>
      <c r="K948" s="1226" t="n"/>
      <c r="L948" s="1226" t="n"/>
      <c r="M948" s="1226" t="n"/>
      <c r="N948" s="1227" t="n"/>
      <c r="O948" s="963" t="n"/>
      <c r="P948" s="963" t="n"/>
      <c r="Q948" s="963" t="n"/>
      <c r="R948" s="1228" t="n"/>
      <c r="S948" s="1229" t="n"/>
    </row>
    <row r="949" ht="15.75" customHeight="1" s="1349">
      <c r="A949" s="1222" t="n"/>
      <c r="B949" s="1223" t="n"/>
      <c r="C949" s="1223" t="n"/>
      <c r="D949" s="1224" t="n"/>
      <c r="E949" s="1225" t="n"/>
      <c r="F949" s="1224" t="n"/>
      <c r="G949" s="1224" t="n"/>
      <c r="H949" s="963" t="n"/>
      <c r="I949" s="963" t="n"/>
      <c r="J949" s="963" t="n"/>
      <c r="K949" s="1226" t="n"/>
      <c r="L949" s="1226" t="n"/>
      <c r="M949" s="1226" t="n"/>
      <c r="N949" s="1227" t="n"/>
      <c r="O949" s="963" t="n"/>
      <c r="P949" s="963" t="n"/>
      <c r="Q949" s="963" t="n"/>
      <c r="R949" s="1228" t="n"/>
      <c r="S949" s="1229" t="n"/>
    </row>
    <row r="950" ht="15.75" customHeight="1" s="1349">
      <c r="A950" s="1222" t="n"/>
      <c r="B950" s="1223" t="n"/>
      <c r="C950" s="1223" t="n"/>
      <c r="D950" s="1224" t="n"/>
      <c r="E950" s="1225" t="n"/>
      <c r="F950" s="1224" t="n"/>
      <c r="G950" s="1224" t="n"/>
      <c r="H950" s="963" t="n"/>
      <c r="I950" s="963" t="n"/>
      <c r="J950" s="963" t="n"/>
      <c r="K950" s="1226" t="n"/>
      <c r="L950" s="1226" t="n"/>
      <c r="M950" s="1226" t="n"/>
      <c r="N950" s="1227" t="n"/>
      <c r="O950" s="963" t="n"/>
      <c r="P950" s="963" t="n"/>
      <c r="Q950" s="963" t="n"/>
      <c r="R950" s="1228" t="n"/>
      <c r="S950" s="1229" t="n"/>
    </row>
    <row r="951" ht="15.75" customHeight="1" s="1349">
      <c r="A951" s="1222" t="n"/>
      <c r="B951" s="1223" t="n"/>
      <c r="C951" s="1223" t="n"/>
      <c r="D951" s="1224" t="n"/>
      <c r="E951" s="1225" t="n"/>
      <c r="F951" s="1224" t="n"/>
      <c r="G951" s="1224" t="n"/>
      <c r="H951" s="963" t="n"/>
      <c r="I951" s="963" t="n"/>
      <c r="J951" s="963" t="n"/>
      <c r="K951" s="1226" t="n"/>
      <c r="L951" s="1226" t="n"/>
      <c r="M951" s="1226" t="n"/>
      <c r="N951" s="1227" t="n"/>
      <c r="O951" s="963" t="n"/>
      <c r="P951" s="963" t="n"/>
      <c r="Q951" s="963" t="n"/>
      <c r="R951" s="1228" t="n"/>
      <c r="S951" s="1229" t="n"/>
    </row>
    <row r="952" ht="15.75" customHeight="1" s="1349">
      <c r="A952" s="1222" t="n"/>
      <c r="B952" s="1223" t="n"/>
      <c r="C952" s="1223" t="n"/>
      <c r="D952" s="1224" t="n"/>
      <c r="E952" s="1225" t="n"/>
      <c r="F952" s="1224" t="n"/>
      <c r="G952" s="1224" t="n"/>
      <c r="H952" s="963" t="n"/>
      <c r="I952" s="963" t="n"/>
      <c r="J952" s="963" t="n"/>
      <c r="K952" s="1226" t="n"/>
      <c r="L952" s="1226" t="n"/>
      <c r="M952" s="1226" t="n"/>
      <c r="N952" s="1227" t="n"/>
      <c r="O952" s="963" t="n"/>
      <c r="P952" s="963" t="n"/>
      <c r="Q952" s="963" t="n"/>
      <c r="R952" s="1228" t="n"/>
      <c r="S952" s="1229" t="n"/>
    </row>
    <row r="953" ht="15.75" customHeight="1" s="1349">
      <c r="A953" s="1222" t="n"/>
      <c r="B953" s="1223" t="n"/>
      <c r="C953" s="1223" t="n"/>
      <c r="D953" s="1224" t="n"/>
      <c r="E953" s="1225" t="n"/>
      <c r="F953" s="1224" t="n"/>
      <c r="G953" s="1224" t="n"/>
      <c r="H953" s="963" t="n"/>
      <c r="I953" s="963" t="n"/>
      <c r="J953" s="963" t="n"/>
      <c r="K953" s="1226" t="n"/>
      <c r="L953" s="1226" t="n"/>
      <c r="M953" s="1226" t="n"/>
      <c r="N953" s="1227" t="n"/>
      <c r="O953" s="963" t="n"/>
      <c r="P953" s="963" t="n"/>
      <c r="Q953" s="963" t="n"/>
      <c r="R953" s="1228" t="n"/>
      <c r="S953" s="1229" t="n"/>
    </row>
    <row r="954" ht="15.75" customHeight="1" s="1349">
      <c r="A954" s="1222" t="n"/>
      <c r="B954" s="1223" t="n"/>
      <c r="C954" s="1223" t="n"/>
      <c r="D954" s="1224" t="n"/>
      <c r="E954" s="1225" t="n"/>
      <c r="F954" s="1224" t="n"/>
      <c r="G954" s="1224" t="n"/>
      <c r="H954" s="963" t="n"/>
      <c r="I954" s="963" t="n"/>
      <c r="J954" s="963" t="n"/>
      <c r="K954" s="1226" t="n"/>
      <c r="L954" s="1226" t="n"/>
      <c r="M954" s="1226" t="n"/>
      <c r="N954" s="1227" t="n"/>
      <c r="O954" s="963" t="n"/>
      <c r="P954" s="963" t="n"/>
      <c r="Q954" s="963" t="n"/>
      <c r="R954" s="1228" t="n"/>
      <c r="S954" s="1229" t="n"/>
    </row>
    <row r="955" ht="15.75" customHeight="1" s="1349">
      <c r="A955" s="1222" t="n"/>
      <c r="B955" s="1223" t="n"/>
      <c r="C955" s="1223" t="n"/>
      <c r="D955" s="1224" t="n"/>
      <c r="E955" s="1225" t="n"/>
      <c r="F955" s="1224" t="n"/>
      <c r="G955" s="1224" t="n"/>
      <c r="H955" s="963" t="n"/>
      <c r="I955" s="963" t="n"/>
      <c r="J955" s="963" t="n"/>
      <c r="K955" s="1226" t="n"/>
      <c r="L955" s="1226" t="n"/>
      <c r="M955" s="1226" t="n"/>
      <c r="N955" s="1227" t="n"/>
      <c r="O955" s="963" t="n"/>
      <c r="P955" s="963" t="n"/>
      <c r="Q955" s="963" t="n"/>
      <c r="R955" s="1228" t="n"/>
      <c r="S955" s="1229" t="n"/>
    </row>
    <row r="956" ht="15.75" customHeight="1" s="1349">
      <c r="A956" s="1222" t="n"/>
      <c r="B956" s="1223" t="n"/>
      <c r="C956" s="1223" t="n"/>
      <c r="D956" s="1224" t="n"/>
      <c r="E956" s="1225" t="n"/>
      <c r="F956" s="1224" t="n"/>
      <c r="G956" s="1224" t="n"/>
      <c r="H956" s="963" t="n"/>
      <c r="I956" s="963" t="n"/>
      <c r="J956" s="963" t="n"/>
      <c r="K956" s="1226" t="n"/>
      <c r="L956" s="1226" t="n"/>
      <c r="M956" s="1226" t="n"/>
      <c r="N956" s="1227" t="n"/>
      <c r="O956" s="963" t="n"/>
      <c r="P956" s="963" t="n"/>
      <c r="Q956" s="963" t="n"/>
      <c r="R956" s="1228" t="n"/>
      <c r="S956" s="1229" t="n"/>
    </row>
    <row r="957" ht="15.75" customHeight="1" s="1349">
      <c r="A957" s="1222" t="n"/>
      <c r="B957" s="1223" t="n"/>
      <c r="C957" s="1223" t="n"/>
      <c r="D957" s="1224" t="n"/>
      <c r="E957" s="1225" t="n"/>
      <c r="F957" s="1224" t="n"/>
      <c r="G957" s="1224" t="n"/>
      <c r="H957" s="963" t="n"/>
      <c r="I957" s="963" t="n"/>
      <c r="J957" s="963" t="n"/>
      <c r="K957" s="1226" t="n"/>
      <c r="L957" s="1226" t="n"/>
      <c r="M957" s="1226" t="n"/>
      <c r="N957" s="1227" t="n"/>
      <c r="O957" s="963" t="n"/>
      <c r="P957" s="963" t="n"/>
      <c r="Q957" s="963" t="n"/>
      <c r="R957" s="1228" t="n"/>
      <c r="S957" s="1229" t="n"/>
    </row>
    <row r="958" ht="15.75" customHeight="1" s="1349">
      <c r="A958" s="1222" t="n"/>
      <c r="B958" s="1223" t="n"/>
      <c r="C958" s="1223" t="n"/>
      <c r="D958" s="1224" t="n"/>
      <c r="E958" s="1225" t="n"/>
      <c r="F958" s="1224" t="n"/>
      <c r="G958" s="1224" t="n"/>
      <c r="H958" s="963" t="n"/>
      <c r="I958" s="963" t="n"/>
      <c r="J958" s="963" t="n"/>
      <c r="K958" s="1226" t="n"/>
      <c r="L958" s="1226" t="n"/>
      <c r="M958" s="1226" t="n"/>
      <c r="N958" s="1227" t="n"/>
      <c r="O958" s="963" t="n"/>
      <c r="P958" s="963" t="n"/>
      <c r="Q958" s="963" t="n"/>
      <c r="R958" s="1228" t="n"/>
      <c r="S958" s="1229" t="n"/>
    </row>
    <row r="959" ht="15.75" customHeight="1" s="1349">
      <c r="A959" s="1222" t="n"/>
      <c r="B959" s="1223" t="n"/>
      <c r="C959" s="1223" t="n"/>
      <c r="D959" s="1224" t="n"/>
      <c r="E959" s="1225" t="n"/>
      <c r="F959" s="1224" t="n"/>
      <c r="G959" s="1224" t="n"/>
      <c r="H959" s="963" t="n"/>
      <c r="I959" s="963" t="n"/>
      <c r="J959" s="963" t="n"/>
      <c r="K959" s="1226" t="n"/>
      <c r="L959" s="1226" t="n"/>
      <c r="M959" s="1226" t="n"/>
      <c r="N959" s="1227" t="n"/>
      <c r="O959" s="963" t="n"/>
      <c r="P959" s="963" t="n"/>
      <c r="Q959" s="963" t="n"/>
      <c r="R959" s="1228" t="n"/>
      <c r="S959" s="1229" t="n"/>
    </row>
    <row r="960" ht="15.75" customHeight="1" s="1349">
      <c r="A960" s="1222" t="n"/>
      <c r="B960" s="1223" t="n"/>
      <c r="C960" s="1223" t="n"/>
      <c r="D960" s="1224" t="n"/>
      <c r="E960" s="1225" t="n"/>
      <c r="F960" s="1224" t="n"/>
      <c r="G960" s="1224" t="n"/>
      <c r="H960" s="963" t="n"/>
      <c r="I960" s="963" t="n"/>
      <c r="J960" s="963" t="n"/>
      <c r="K960" s="1226" t="n"/>
      <c r="L960" s="1226" t="n"/>
      <c r="M960" s="1226" t="n"/>
      <c r="N960" s="1227" t="n"/>
      <c r="O960" s="963" t="n"/>
      <c r="P960" s="963" t="n"/>
      <c r="Q960" s="963" t="n"/>
      <c r="R960" s="1228" t="n"/>
      <c r="S960" s="1229" t="n"/>
    </row>
    <row r="961" ht="15.75" customHeight="1" s="1349">
      <c r="A961" s="1222" t="n"/>
      <c r="B961" s="1223" t="n"/>
      <c r="C961" s="1223" t="n"/>
      <c r="D961" s="1224" t="n"/>
      <c r="E961" s="1225" t="n"/>
      <c r="F961" s="1224" t="n"/>
      <c r="G961" s="1224" t="n"/>
      <c r="H961" s="963" t="n"/>
      <c r="I961" s="963" t="n"/>
      <c r="J961" s="963" t="n"/>
      <c r="K961" s="1226" t="n"/>
      <c r="L961" s="1226" t="n"/>
      <c r="M961" s="1226" t="n"/>
      <c r="N961" s="1227" t="n"/>
      <c r="O961" s="963" t="n"/>
      <c r="P961" s="963" t="n"/>
      <c r="Q961" s="963" t="n"/>
      <c r="R961" s="1228" t="n"/>
      <c r="S961" s="1229" t="n"/>
    </row>
    <row r="962" ht="15.75" customHeight="1" s="1349">
      <c r="A962" s="1222" t="n"/>
      <c r="B962" s="1223" t="n"/>
      <c r="C962" s="1223" t="n"/>
      <c r="D962" s="1224" t="n"/>
      <c r="E962" s="1225" t="n"/>
      <c r="F962" s="1224" t="n"/>
      <c r="G962" s="1224" t="n"/>
      <c r="H962" s="963" t="n"/>
      <c r="I962" s="963" t="n"/>
      <c r="J962" s="963" t="n"/>
      <c r="K962" s="1226" t="n"/>
      <c r="L962" s="1226" t="n"/>
      <c r="M962" s="1226" t="n"/>
      <c r="N962" s="1227" t="n"/>
      <c r="O962" s="963" t="n"/>
      <c r="P962" s="963" t="n"/>
      <c r="Q962" s="963" t="n"/>
      <c r="R962" s="1228" t="n"/>
      <c r="S962" s="1229" t="n"/>
    </row>
    <row r="963" ht="15.75" customHeight="1" s="1349">
      <c r="A963" s="1222" t="n"/>
      <c r="B963" s="1223" t="n"/>
      <c r="C963" s="1223" t="n"/>
      <c r="D963" s="1224" t="n"/>
      <c r="E963" s="1225" t="n"/>
      <c r="F963" s="1224" t="n"/>
      <c r="G963" s="1224" t="n"/>
      <c r="H963" s="963" t="n"/>
      <c r="I963" s="963" t="n"/>
      <c r="J963" s="963" t="n"/>
      <c r="K963" s="1226" t="n"/>
      <c r="L963" s="1226" t="n"/>
      <c r="M963" s="1226" t="n"/>
      <c r="N963" s="1227" t="n"/>
      <c r="O963" s="963" t="n"/>
      <c r="P963" s="963" t="n"/>
      <c r="Q963" s="963" t="n"/>
      <c r="R963" s="1228" t="n"/>
      <c r="S963" s="1229" t="n"/>
    </row>
    <row r="964" ht="15.75" customHeight="1" s="1349">
      <c r="A964" s="1222" t="n"/>
      <c r="B964" s="1223" t="n"/>
      <c r="C964" s="1223" t="n"/>
      <c r="D964" s="1224" t="n"/>
      <c r="E964" s="1225" t="n"/>
      <c r="F964" s="1224" t="n"/>
      <c r="G964" s="1224" t="n"/>
      <c r="H964" s="963" t="n"/>
      <c r="I964" s="963" t="n"/>
      <c r="J964" s="963" t="n"/>
      <c r="K964" s="1226" t="n"/>
      <c r="L964" s="1226" t="n"/>
      <c r="M964" s="1226" t="n"/>
      <c r="N964" s="1227" t="n"/>
      <c r="O964" s="963" t="n"/>
      <c r="P964" s="963" t="n"/>
      <c r="Q964" s="963" t="n"/>
      <c r="R964" s="1228" t="n"/>
      <c r="S964" s="1229" t="n"/>
    </row>
    <row r="965" ht="15.75" customHeight="1" s="1349">
      <c r="A965" s="1222" t="n"/>
      <c r="B965" s="1223" t="n"/>
      <c r="C965" s="1223" t="n"/>
      <c r="D965" s="1224" t="n"/>
      <c r="E965" s="1225" t="n"/>
      <c r="F965" s="1224" t="n"/>
      <c r="G965" s="1224" t="n"/>
      <c r="H965" s="963" t="n"/>
      <c r="I965" s="963" t="n"/>
      <c r="J965" s="963" t="n"/>
      <c r="K965" s="1226" t="n"/>
      <c r="L965" s="1226" t="n"/>
      <c r="M965" s="1226" t="n"/>
      <c r="N965" s="1227" t="n"/>
      <c r="O965" s="963" t="n"/>
      <c r="P965" s="963" t="n"/>
      <c r="Q965" s="963" t="n"/>
      <c r="R965" s="1228" t="n"/>
      <c r="S965" s="1229" t="n"/>
    </row>
    <row r="966" ht="15.75" customHeight="1" s="1349">
      <c r="A966" s="1222" t="n"/>
      <c r="B966" s="1223" t="n"/>
      <c r="C966" s="1223" t="n"/>
      <c r="D966" s="1224" t="n"/>
      <c r="E966" s="1225" t="n"/>
      <c r="F966" s="1224" t="n"/>
      <c r="G966" s="1224" t="n"/>
      <c r="H966" s="963" t="n"/>
      <c r="I966" s="963" t="n"/>
      <c r="J966" s="963" t="n"/>
      <c r="K966" s="1226" t="n"/>
      <c r="L966" s="1226" t="n"/>
      <c r="M966" s="1226" t="n"/>
      <c r="N966" s="1227" t="n"/>
      <c r="O966" s="963" t="n"/>
      <c r="P966" s="963" t="n"/>
      <c r="Q966" s="963" t="n"/>
      <c r="R966" s="1228" t="n"/>
      <c r="S966" s="1229" t="n"/>
    </row>
    <row r="967" ht="15.75" customHeight="1" s="1349">
      <c r="A967" s="1222" t="n"/>
      <c r="B967" s="1223" t="n"/>
      <c r="C967" s="1223" t="n"/>
      <c r="D967" s="1224" t="n"/>
      <c r="E967" s="1225" t="n"/>
      <c r="F967" s="1224" t="n"/>
      <c r="G967" s="1224" t="n"/>
      <c r="H967" s="963" t="n"/>
      <c r="I967" s="963" t="n"/>
      <c r="J967" s="963" t="n"/>
      <c r="K967" s="1226" t="n"/>
      <c r="L967" s="1226" t="n"/>
      <c r="M967" s="1226" t="n"/>
      <c r="N967" s="1227" t="n"/>
      <c r="O967" s="963" t="n"/>
      <c r="P967" s="963" t="n"/>
      <c r="Q967" s="963" t="n"/>
      <c r="R967" s="1228" t="n"/>
      <c r="S967" s="1229" t="n"/>
    </row>
    <row r="968" ht="15.75" customHeight="1" s="1349">
      <c r="A968" s="1222" t="n"/>
      <c r="B968" s="1223" t="n"/>
      <c r="C968" s="1223" t="n"/>
      <c r="D968" s="1224" t="n"/>
      <c r="E968" s="1225" t="n"/>
      <c r="F968" s="1224" t="n"/>
      <c r="G968" s="1224" t="n"/>
      <c r="H968" s="963" t="n"/>
      <c r="I968" s="963" t="n"/>
      <c r="J968" s="963" t="n"/>
      <c r="K968" s="1226" t="n"/>
      <c r="L968" s="1226" t="n"/>
      <c r="M968" s="1226" t="n"/>
      <c r="N968" s="1227" t="n"/>
      <c r="O968" s="963" t="n"/>
      <c r="P968" s="963" t="n"/>
      <c r="Q968" s="963" t="n"/>
      <c r="R968" s="1228" t="n"/>
      <c r="S968" s="1229" t="n"/>
    </row>
    <row r="969" ht="15.75" customHeight="1" s="1349">
      <c r="A969" s="1222" t="n"/>
      <c r="B969" s="1223" t="n"/>
      <c r="C969" s="1223" t="n"/>
      <c r="D969" s="1224" t="n"/>
      <c r="E969" s="1225" t="n"/>
      <c r="F969" s="1224" t="n"/>
      <c r="G969" s="1224" t="n"/>
      <c r="H969" s="963" t="n"/>
      <c r="I969" s="963" t="n"/>
      <c r="J969" s="963" t="n"/>
      <c r="K969" s="1226" t="n"/>
      <c r="L969" s="1226" t="n"/>
      <c r="M969" s="1226" t="n"/>
      <c r="N969" s="1227" t="n"/>
      <c r="O969" s="963" t="n"/>
      <c r="P969" s="963" t="n"/>
      <c r="Q969" s="963" t="n"/>
      <c r="R969" s="1228" t="n"/>
      <c r="S969" s="1229" t="n"/>
    </row>
    <row r="970" ht="15.75" customHeight="1" s="1349">
      <c r="A970" s="1222" t="n"/>
      <c r="B970" s="1223" t="n"/>
      <c r="C970" s="1223" t="n"/>
      <c r="D970" s="1224" t="n"/>
      <c r="E970" s="1225" t="n"/>
      <c r="F970" s="1224" t="n"/>
      <c r="G970" s="1224" t="n"/>
      <c r="H970" s="963" t="n"/>
      <c r="I970" s="963" t="n"/>
      <c r="J970" s="963" t="n"/>
      <c r="K970" s="1226" t="n"/>
      <c r="L970" s="1226" t="n"/>
      <c r="M970" s="1226" t="n"/>
      <c r="N970" s="1227" t="n"/>
      <c r="O970" s="963" t="n"/>
      <c r="P970" s="963" t="n"/>
      <c r="Q970" s="963" t="n"/>
      <c r="R970" s="1228" t="n"/>
      <c r="S970" s="1229" t="n"/>
    </row>
    <row r="971" ht="15.75" customHeight="1" s="1349">
      <c r="A971" s="1222" t="n"/>
      <c r="B971" s="1223" t="n"/>
      <c r="C971" s="1223" t="n"/>
      <c r="D971" s="1224" t="n"/>
      <c r="E971" s="1225" t="n"/>
      <c r="F971" s="1224" t="n"/>
      <c r="G971" s="1224" t="n"/>
      <c r="H971" s="963" t="n"/>
      <c r="I971" s="963" t="n"/>
      <c r="J971" s="963" t="n"/>
      <c r="K971" s="1226" t="n"/>
      <c r="L971" s="1226" t="n"/>
      <c r="M971" s="1226" t="n"/>
      <c r="N971" s="1227" t="n"/>
      <c r="O971" s="963" t="n"/>
      <c r="P971" s="963" t="n"/>
      <c r="Q971" s="963" t="n"/>
      <c r="R971" s="1228" t="n"/>
      <c r="S971" s="1229" t="n"/>
    </row>
    <row r="972" ht="15.75" customHeight="1" s="1349">
      <c r="A972" s="1222" t="n"/>
      <c r="B972" s="1223" t="n"/>
      <c r="C972" s="1223" t="n"/>
      <c r="D972" s="1224" t="n"/>
      <c r="E972" s="1225" t="n"/>
      <c r="F972" s="1224" t="n"/>
      <c r="G972" s="1224" t="n"/>
      <c r="H972" s="963" t="n"/>
      <c r="I972" s="963" t="n"/>
      <c r="J972" s="963" t="n"/>
      <c r="K972" s="1226" t="n"/>
      <c r="L972" s="1226" t="n"/>
      <c r="M972" s="1226" t="n"/>
      <c r="N972" s="1227" t="n"/>
      <c r="O972" s="963" t="n"/>
      <c r="P972" s="963" t="n"/>
      <c r="Q972" s="963" t="n"/>
      <c r="R972" s="1228" t="n"/>
      <c r="S972" s="1229" t="n"/>
    </row>
    <row r="973" ht="15.75" customHeight="1" s="1349">
      <c r="A973" s="1222" t="n"/>
      <c r="B973" s="1223" t="n"/>
      <c r="C973" s="1223" t="n"/>
      <c r="D973" s="1224" t="n"/>
      <c r="E973" s="1225" t="n"/>
      <c r="F973" s="1224" t="n"/>
      <c r="G973" s="1224" t="n"/>
      <c r="H973" s="963" t="n"/>
      <c r="I973" s="963" t="n"/>
      <c r="J973" s="963" t="n"/>
      <c r="K973" s="1226" t="n"/>
      <c r="L973" s="1226" t="n"/>
      <c r="M973" s="1226" t="n"/>
      <c r="N973" s="1227" t="n"/>
      <c r="O973" s="963" t="n"/>
      <c r="P973" s="963" t="n"/>
      <c r="Q973" s="963" t="n"/>
      <c r="R973" s="1228" t="n"/>
      <c r="S973" s="1229" t="n"/>
    </row>
    <row r="974" ht="15.75" customHeight="1" s="1349">
      <c r="A974" s="1222" t="n"/>
      <c r="B974" s="1223" t="n"/>
      <c r="C974" s="1223" t="n"/>
      <c r="D974" s="1224" t="n"/>
      <c r="E974" s="1225" t="n"/>
      <c r="F974" s="1224" t="n"/>
      <c r="G974" s="1224" t="n"/>
      <c r="H974" s="963" t="n"/>
      <c r="I974" s="963" t="n"/>
      <c r="J974" s="963" t="n"/>
      <c r="K974" s="1226" t="n"/>
      <c r="L974" s="1226" t="n"/>
      <c r="M974" s="1226" t="n"/>
      <c r="N974" s="1227" t="n"/>
      <c r="O974" s="963" t="n"/>
      <c r="P974" s="963" t="n"/>
      <c r="Q974" s="963" t="n"/>
      <c r="R974" s="1228" t="n"/>
      <c r="S974" s="1229" t="n"/>
    </row>
    <row r="975" ht="15.75" customHeight="1" s="1349">
      <c r="A975" s="1222" t="n"/>
      <c r="B975" s="1223" t="n"/>
      <c r="C975" s="1223" t="n"/>
      <c r="D975" s="1224" t="n"/>
      <c r="E975" s="1225" t="n"/>
      <c r="F975" s="1224" t="n"/>
      <c r="G975" s="1224" t="n"/>
      <c r="H975" s="963" t="n"/>
      <c r="I975" s="963" t="n"/>
      <c r="J975" s="963" t="n"/>
      <c r="K975" s="1226" t="n"/>
      <c r="L975" s="1226" t="n"/>
      <c r="M975" s="1226" t="n"/>
      <c r="N975" s="1227" t="n"/>
      <c r="O975" s="963" t="n"/>
      <c r="P975" s="963" t="n"/>
      <c r="Q975" s="963" t="n"/>
      <c r="R975" s="1228" t="n"/>
      <c r="S975" s="1229" t="n"/>
    </row>
    <row r="976" ht="15.75" customHeight="1" s="1349">
      <c r="A976" s="1222" t="n"/>
      <c r="B976" s="1223" t="n"/>
      <c r="C976" s="1223" t="n"/>
      <c r="D976" s="1224" t="n"/>
      <c r="E976" s="1225" t="n"/>
      <c r="F976" s="1224" t="n"/>
      <c r="G976" s="1224" t="n"/>
      <c r="H976" s="963" t="n"/>
      <c r="I976" s="963" t="n"/>
      <c r="J976" s="963" t="n"/>
      <c r="K976" s="1226" t="n"/>
      <c r="L976" s="1226" t="n"/>
      <c r="M976" s="1226" t="n"/>
      <c r="N976" s="1227" t="n"/>
      <c r="O976" s="963" t="n"/>
      <c r="P976" s="963" t="n"/>
      <c r="Q976" s="963" t="n"/>
      <c r="R976" s="1228" t="n"/>
      <c r="S976" s="1229" t="n"/>
    </row>
    <row r="977" ht="15.75" customHeight="1" s="1349">
      <c r="A977" s="1222" t="n"/>
      <c r="B977" s="1223" t="n"/>
      <c r="C977" s="1223" t="n"/>
      <c r="D977" s="1224" t="n"/>
      <c r="E977" s="1225" t="n"/>
      <c r="F977" s="1224" t="n"/>
      <c r="G977" s="1224" t="n"/>
      <c r="H977" s="963" t="n"/>
      <c r="I977" s="963" t="n"/>
      <c r="J977" s="963" t="n"/>
      <c r="K977" s="1226" t="n"/>
      <c r="L977" s="1226" t="n"/>
      <c r="M977" s="1226" t="n"/>
      <c r="N977" s="1227" t="n"/>
      <c r="O977" s="963" t="n"/>
      <c r="P977" s="963" t="n"/>
      <c r="Q977" s="963" t="n"/>
      <c r="R977" s="1228" t="n"/>
      <c r="S977" s="1229" t="n"/>
    </row>
    <row r="978" ht="15.75" customHeight="1" s="1349">
      <c r="A978" s="1222" t="n"/>
      <c r="B978" s="1223" t="n"/>
      <c r="C978" s="1223" t="n"/>
      <c r="D978" s="1224" t="n"/>
      <c r="E978" s="1225" t="n"/>
      <c r="F978" s="1224" t="n"/>
      <c r="G978" s="1224" t="n"/>
      <c r="H978" s="963" t="n"/>
      <c r="I978" s="963" t="n"/>
      <c r="J978" s="963" t="n"/>
      <c r="K978" s="1226" t="n"/>
      <c r="L978" s="1226" t="n"/>
      <c r="M978" s="1226" t="n"/>
      <c r="N978" s="1227" t="n"/>
      <c r="O978" s="963" t="n"/>
      <c r="P978" s="963" t="n"/>
      <c r="Q978" s="963" t="n"/>
      <c r="R978" s="1228" t="n"/>
      <c r="S978" s="1229" t="n"/>
    </row>
    <row r="979" ht="15.75" customHeight="1" s="1349">
      <c r="A979" s="1222" t="n"/>
      <c r="B979" s="1223" t="n"/>
      <c r="C979" s="1223" t="n"/>
      <c r="D979" s="1224" t="n"/>
      <c r="E979" s="1225" t="n"/>
      <c r="F979" s="1224" t="n"/>
      <c r="G979" s="1224" t="n"/>
      <c r="H979" s="963" t="n"/>
      <c r="I979" s="963" t="n"/>
      <c r="J979" s="963" t="n"/>
      <c r="K979" s="1226" t="n"/>
      <c r="L979" s="1226" t="n"/>
      <c r="M979" s="1226" t="n"/>
      <c r="N979" s="1227" t="n"/>
      <c r="O979" s="963" t="n"/>
      <c r="P979" s="963" t="n"/>
      <c r="Q979" s="963" t="n"/>
      <c r="R979" s="1228" t="n"/>
      <c r="S979" s="1229" t="n"/>
    </row>
    <row r="980" ht="15.75" customHeight="1" s="1349">
      <c r="A980" s="1222" t="n"/>
      <c r="B980" s="1223" t="n"/>
      <c r="C980" s="1223" t="n"/>
      <c r="D980" s="1224" t="n"/>
      <c r="E980" s="1225" t="n"/>
      <c r="F980" s="1224" t="n"/>
      <c r="G980" s="1224" t="n"/>
      <c r="H980" s="963" t="n"/>
      <c r="I980" s="963" t="n"/>
      <c r="J980" s="963" t="n"/>
      <c r="K980" s="1226" t="n"/>
      <c r="L980" s="1226" t="n"/>
      <c r="M980" s="1226" t="n"/>
      <c r="N980" s="1227" t="n"/>
      <c r="O980" s="963" t="n"/>
      <c r="P980" s="963" t="n"/>
      <c r="Q980" s="963" t="n"/>
      <c r="R980" s="1228" t="n"/>
      <c r="S980" s="1229" t="n"/>
    </row>
    <row r="981" ht="15.75" customHeight="1" s="1349">
      <c r="A981" s="1222" t="n"/>
      <c r="B981" s="1223" t="n"/>
      <c r="C981" s="1230" t="n"/>
      <c r="D981" s="1231" t="n"/>
      <c r="E981" s="1232" t="n"/>
      <c r="F981" s="1231" t="n"/>
      <c r="G981" s="1231" t="n"/>
      <c r="H981" s="1233" t="n"/>
      <c r="I981" s="1233" t="n"/>
      <c r="J981" s="1233" t="n"/>
      <c r="K981" s="1234" t="n"/>
      <c r="L981" s="1234" t="n"/>
      <c r="M981" s="1234" t="n"/>
      <c r="N981" s="1235" t="n"/>
      <c r="O981" s="1233" t="n"/>
      <c r="P981" s="1233" t="n"/>
      <c r="Q981" s="1233" t="n"/>
      <c r="R981" s="1236" t="n"/>
      <c r="S981" s="1229" t="n"/>
    </row>
  </sheetData>
  <conditionalFormatting sqref="P37">
    <cfRule type="expression" priority="1" dxfId="9">
      <formula>$Q37="Estoque encalhado"</formula>
    </cfRule>
    <cfRule type="expression" priority="2" dxfId="8">
      <formula>$Q37="Sem Estoque"</formula>
    </cfRule>
  </conditionalFormatting>
  <conditionalFormatting sqref="O144:P144 O156:P156">
    <cfRule type="expression" priority="3" dxfId="8">
      <formula>$P144="Sem Estoque"</formula>
    </cfRule>
  </conditionalFormatting>
  <conditionalFormatting sqref="O125:P125 O141:P141 O144:P144 O156:P156 O167:P167 O173:P173">
    <cfRule type="expression" priority="4" dxfId="9">
      <formula>$P125="Estoque encalhado"</formula>
    </cfRule>
  </conditionalFormatting>
  <conditionalFormatting sqref="O125:P125 O141:P141 O167:P167 O173:P173">
    <cfRule type="expression" priority="5" dxfId="5">
      <formula>$P125="sem estoque"</formula>
    </cfRule>
  </conditionalFormatting>
  <conditionalFormatting sqref="A150:A152 A327:A328 B333:B334 O5:P9 O21:P21 O26:P27 O29:P30 O33:P34 O36:P37 O40:P41 O44:P44 O46:P46 O50:P51 O58:P59 O70:P70 O76:P76 O112:P112 O119:P119 O121:P121 O123:P123 O132:P139 O141:P141 O143:P143 O150:P152 O158:P161 O164:P164 O185:P191 O198:P199 O207:P207 O241:P242 O303:P303 O323:P338 O340:P346">
    <cfRule type="expression" priority="6" dxfId="5">
      <formula>$Q5="sem estoque"</formula>
    </cfRule>
  </conditionalFormatting>
  <conditionalFormatting sqref="O200:P200">
    <cfRule type="expression" priority="7" dxfId="5">
      <formula>$R200="sem estoque"</formula>
    </cfRule>
  </conditionalFormatting>
  <conditionalFormatting sqref="R1:R375 AF206 AG197:AG200">
    <cfRule type="cellIs" priority="8" operator="greaterThan" dxfId="7">
      <formula>"10%"</formula>
    </cfRule>
    <cfRule type="cellIs" priority="9" operator="lessThan" dxfId="12">
      <formula>9.99%</formula>
    </cfRule>
  </conditionalFormatting>
  <conditionalFormatting sqref="B185:C187">
    <cfRule type="colorScale" priority="10">
      <colorScale>
        <cfvo type="min"/>
        <cfvo type="max"/>
        <color rgb="FFFFFFFF"/>
        <color rgb="FF57BB8A"/>
      </colorScale>
    </cfRule>
  </conditionalFormatting>
  <dataValidations count="2">
    <dataValidation sqref="D2:D383 F2:I383 M2:M383 O2:R383" showDropDown="1" showInputMessage="0" showErrorMessage="0" allowBlank="1" type="custom">
      <formula1>AND(ISNUMBER(D2),(NOT(OR(NOT(ISERROR(DATEVALUE(D2))), AND(ISNUMBER(D2), LEFT(CELL("format", D2))="D")))))</formula1>
    </dataValidation>
    <dataValidation sqref="S2:S383" showDropDown="1" showInputMessage="0" showErrorMessage="0" allowBlank="1"/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8" r:id="rId4"/>
    <hyperlink xmlns:r="http://schemas.openxmlformats.org/officeDocument/2006/relationships" ref="B13" r:id="rId5"/>
    <hyperlink xmlns:r="http://schemas.openxmlformats.org/officeDocument/2006/relationships" ref="B20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  <hyperlink xmlns:r="http://schemas.openxmlformats.org/officeDocument/2006/relationships" ref="B26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0" r:id="rId15"/>
    <hyperlink xmlns:r="http://schemas.openxmlformats.org/officeDocument/2006/relationships" ref="B32" r:id="rId16"/>
    <hyperlink xmlns:r="http://schemas.openxmlformats.org/officeDocument/2006/relationships" ref="B33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40" r:id="rId21"/>
    <hyperlink xmlns:r="http://schemas.openxmlformats.org/officeDocument/2006/relationships" ref="B41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49" r:id="rId29"/>
    <hyperlink xmlns:r="http://schemas.openxmlformats.org/officeDocument/2006/relationships" ref="B50" r:id="rId30"/>
    <hyperlink xmlns:r="http://schemas.openxmlformats.org/officeDocument/2006/relationships" ref="B51" r:id="rId31"/>
    <hyperlink xmlns:r="http://schemas.openxmlformats.org/officeDocument/2006/relationships" ref="B52" r:id="rId32"/>
    <hyperlink xmlns:r="http://schemas.openxmlformats.org/officeDocument/2006/relationships" ref="B53" r:id="rId33"/>
    <hyperlink xmlns:r="http://schemas.openxmlformats.org/officeDocument/2006/relationships" ref="B54" r:id="rId34"/>
    <hyperlink xmlns:r="http://schemas.openxmlformats.org/officeDocument/2006/relationships" ref="B56" r:id="rId35"/>
    <hyperlink xmlns:r="http://schemas.openxmlformats.org/officeDocument/2006/relationships" ref="B57" r:id="rId36"/>
    <hyperlink xmlns:r="http://schemas.openxmlformats.org/officeDocument/2006/relationships" ref="B58" r:id="rId37"/>
    <hyperlink xmlns:r="http://schemas.openxmlformats.org/officeDocument/2006/relationships" ref="B59" r:id="rId38"/>
    <hyperlink xmlns:r="http://schemas.openxmlformats.org/officeDocument/2006/relationships" ref="B60" r:id="rId39"/>
    <hyperlink xmlns:r="http://schemas.openxmlformats.org/officeDocument/2006/relationships" ref="B61" r:id="rId40"/>
    <hyperlink xmlns:r="http://schemas.openxmlformats.org/officeDocument/2006/relationships" ref="B62" r:id="rId41"/>
    <hyperlink xmlns:r="http://schemas.openxmlformats.org/officeDocument/2006/relationships" ref="B63" r:id="rId42"/>
    <hyperlink xmlns:r="http://schemas.openxmlformats.org/officeDocument/2006/relationships" ref="B64" r:id="rId43"/>
    <hyperlink xmlns:r="http://schemas.openxmlformats.org/officeDocument/2006/relationships" ref="B65" r:id="rId44"/>
    <hyperlink xmlns:r="http://schemas.openxmlformats.org/officeDocument/2006/relationships" ref="B66" r:id="rId45"/>
    <hyperlink xmlns:r="http://schemas.openxmlformats.org/officeDocument/2006/relationships" ref="B67" r:id="rId46"/>
    <hyperlink xmlns:r="http://schemas.openxmlformats.org/officeDocument/2006/relationships" ref="B68" r:id="rId47"/>
    <hyperlink xmlns:r="http://schemas.openxmlformats.org/officeDocument/2006/relationships" ref="B69" r:id="rId48"/>
    <hyperlink xmlns:r="http://schemas.openxmlformats.org/officeDocument/2006/relationships" ref="B70" r:id="rId49"/>
    <hyperlink xmlns:r="http://schemas.openxmlformats.org/officeDocument/2006/relationships" ref="B71" r:id="rId50"/>
    <hyperlink xmlns:r="http://schemas.openxmlformats.org/officeDocument/2006/relationships" ref="B72" r:id="rId51"/>
    <hyperlink xmlns:r="http://schemas.openxmlformats.org/officeDocument/2006/relationships" ref="B73" r:id="rId52"/>
    <hyperlink xmlns:r="http://schemas.openxmlformats.org/officeDocument/2006/relationships" ref="B74" r:id="rId53"/>
    <hyperlink xmlns:r="http://schemas.openxmlformats.org/officeDocument/2006/relationships" ref="B75" r:id="rId54"/>
    <hyperlink xmlns:r="http://schemas.openxmlformats.org/officeDocument/2006/relationships" ref="B76" r:id="rId55"/>
    <hyperlink xmlns:r="http://schemas.openxmlformats.org/officeDocument/2006/relationships" ref="B77" r:id="rId56"/>
    <hyperlink xmlns:r="http://schemas.openxmlformats.org/officeDocument/2006/relationships" ref="B78" r:id="rId57"/>
    <hyperlink xmlns:r="http://schemas.openxmlformats.org/officeDocument/2006/relationships" ref="B79" r:id="rId58"/>
    <hyperlink xmlns:r="http://schemas.openxmlformats.org/officeDocument/2006/relationships" ref="B80" r:id="rId59"/>
    <hyperlink xmlns:r="http://schemas.openxmlformats.org/officeDocument/2006/relationships" ref="B81" r:id="rId60"/>
    <hyperlink xmlns:r="http://schemas.openxmlformats.org/officeDocument/2006/relationships" ref="B82" r:id="rId61"/>
    <hyperlink xmlns:r="http://schemas.openxmlformats.org/officeDocument/2006/relationships" ref="B83" r:id="rId62"/>
    <hyperlink xmlns:r="http://schemas.openxmlformats.org/officeDocument/2006/relationships" ref="B84" r:id="rId63"/>
    <hyperlink xmlns:r="http://schemas.openxmlformats.org/officeDocument/2006/relationships" ref="B85" r:id="rId64"/>
    <hyperlink xmlns:r="http://schemas.openxmlformats.org/officeDocument/2006/relationships" ref="B86" r:id="rId65"/>
    <hyperlink xmlns:r="http://schemas.openxmlformats.org/officeDocument/2006/relationships" ref="B87" r:id="rId66"/>
    <hyperlink xmlns:r="http://schemas.openxmlformats.org/officeDocument/2006/relationships" ref="B88" r:id="rId67"/>
    <hyperlink xmlns:r="http://schemas.openxmlformats.org/officeDocument/2006/relationships" ref="B89" r:id="rId68"/>
    <hyperlink xmlns:r="http://schemas.openxmlformats.org/officeDocument/2006/relationships" ref="B90" r:id="rId69"/>
    <hyperlink xmlns:r="http://schemas.openxmlformats.org/officeDocument/2006/relationships" ref="B91" r:id="rId70"/>
    <hyperlink xmlns:r="http://schemas.openxmlformats.org/officeDocument/2006/relationships" ref="B92" r:id="rId71"/>
    <hyperlink xmlns:r="http://schemas.openxmlformats.org/officeDocument/2006/relationships" ref="B94" r:id="rId72"/>
    <hyperlink xmlns:r="http://schemas.openxmlformats.org/officeDocument/2006/relationships" ref="B95" r:id="rId73"/>
    <hyperlink xmlns:r="http://schemas.openxmlformats.org/officeDocument/2006/relationships" ref="B96" r:id="rId74"/>
    <hyperlink xmlns:r="http://schemas.openxmlformats.org/officeDocument/2006/relationships" ref="B97" r:id="rId75"/>
    <hyperlink xmlns:r="http://schemas.openxmlformats.org/officeDocument/2006/relationships" ref="B98" r:id="rId76"/>
    <hyperlink xmlns:r="http://schemas.openxmlformats.org/officeDocument/2006/relationships" ref="B99" r:id="rId77"/>
    <hyperlink xmlns:r="http://schemas.openxmlformats.org/officeDocument/2006/relationships" ref="B100" r:id="rId78"/>
    <hyperlink xmlns:r="http://schemas.openxmlformats.org/officeDocument/2006/relationships" ref="B101" r:id="rId79"/>
    <hyperlink xmlns:r="http://schemas.openxmlformats.org/officeDocument/2006/relationships" ref="B102" r:id="rId80"/>
    <hyperlink xmlns:r="http://schemas.openxmlformats.org/officeDocument/2006/relationships" ref="B103" r:id="rId81"/>
    <hyperlink xmlns:r="http://schemas.openxmlformats.org/officeDocument/2006/relationships" ref="B104" r:id="rId82"/>
    <hyperlink xmlns:r="http://schemas.openxmlformats.org/officeDocument/2006/relationships" ref="B105" r:id="rId83"/>
    <hyperlink xmlns:r="http://schemas.openxmlformats.org/officeDocument/2006/relationships" ref="B106" r:id="rId84"/>
    <hyperlink xmlns:r="http://schemas.openxmlformats.org/officeDocument/2006/relationships" ref="B107" r:id="rId85"/>
    <hyperlink xmlns:r="http://schemas.openxmlformats.org/officeDocument/2006/relationships" ref="B108" r:id="rId86"/>
    <hyperlink xmlns:r="http://schemas.openxmlformats.org/officeDocument/2006/relationships" ref="B109" r:id="rId87"/>
    <hyperlink xmlns:r="http://schemas.openxmlformats.org/officeDocument/2006/relationships" ref="B110" r:id="rId88"/>
    <hyperlink xmlns:r="http://schemas.openxmlformats.org/officeDocument/2006/relationships" ref="B111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5" r:id="rId92"/>
    <hyperlink xmlns:r="http://schemas.openxmlformats.org/officeDocument/2006/relationships" ref="B116" r:id="rId93"/>
    <hyperlink xmlns:r="http://schemas.openxmlformats.org/officeDocument/2006/relationships" ref="B117" r:id="rId94"/>
    <hyperlink xmlns:r="http://schemas.openxmlformats.org/officeDocument/2006/relationships" ref="B118" r:id="rId95"/>
    <hyperlink xmlns:r="http://schemas.openxmlformats.org/officeDocument/2006/relationships" ref="B119" r:id="rId96"/>
    <hyperlink xmlns:r="http://schemas.openxmlformats.org/officeDocument/2006/relationships" ref="B120" r:id="rId97"/>
    <hyperlink xmlns:r="http://schemas.openxmlformats.org/officeDocument/2006/relationships" ref="B121" r:id="rId98"/>
    <hyperlink xmlns:r="http://schemas.openxmlformats.org/officeDocument/2006/relationships" ref="B122" r:id="rId99"/>
    <hyperlink xmlns:r="http://schemas.openxmlformats.org/officeDocument/2006/relationships" ref="B123" r:id="rId100"/>
    <hyperlink xmlns:r="http://schemas.openxmlformats.org/officeDocument/2006/relationships" ref="B124" r:id="rId101"/>
    <hyperlink xmlns:r="http://schemas.openxmlformats.org/officeDocument/2006/relationships" ref="B125" r:id="rId102"/>
    <hyperlink xmlns:r="http://schemas.openxmlformats.org/officeDocument/2006/relationships" ref="B126" r:id="rId103"/>
    <hyperlink xmlns:r="http://schemas.openxmlformats.org/officeDocument/2006/relationships" ref="B127" r:id="rId104"/>
    <hyperlink xmlns:r="http://schemas.openxmlformats.org/officeDocument/2006/relationships" ref="B128" r:id="rId105"/>
    <hyperlink xmlns:r="http://schemas.openxmlformats.org/officeDocument/2006/relationships" ref="B129" r:id="rId106"/>
    <hyperlink xmlns:r="http://schemas.openxmlformats.org/officeDocument/2006/relationships" ref="B130" r:id="rId107"/>
    <hyperlink xmlns:r="http://schemas.openxmlformats.org/officeDocument/2006/relationships" ref="B131" r:id="rId108"/>
    <hyperlink xmlns:r="http://schemas.openxmlformats.org/officeDocument/2006/relationships" ref="B133" r:id="rId109"/>
    <hyperlink xmlns:r="http://schemas.openxmlformats.org/officeDocument/2006/relationships" ref="B139" r:id="rId110"/>
    <hyperlink xmlns:r="http://schemas.openxmlformats.org/officeDocument/2006/relationships" ref="B140" r:id="rId111"/>
    <hyperlink xmlns:r="http://schemas.openxmlformats.org/officeDocument/2006/relationships" ref="B141" r:id="rId112"/>
    <hyperlink xmlns:r="http://schemas.openxmlformats.org/officeDocument/2006/relationships" ref="B143" r:id="rId113"/>
    <hyperlink xmlns:r="http://schemas.openxmlformats.org/officeDocument/2006/relationships" ref="B144" r:id="rId114"/>
    <hyperlink xmlns:r="http://schemas.openxmlformats.org/officeDocument/2006/relationships" ref="B145" r:id="rId115"/>
    <hyperlink xmlns:r="http://schemas.openxmlformats.org/officeDocument/2006/relationships" ref="B149" r:id="rId116"/>
    <hyperlink xmlns:r="http://schemas.openxmlformats.org/officeDocument/2006/relationships" ref="B150" r:id="rId117"/>
    <hyperlink xmlns:r="http://schemas.openxmlformats.org/officeDocument/2006/relationships" ref="B151" r:id="rId118"/>
    <hyperlink xmlns:r="http://schemas.openxmlformats.org/officeDocument/2006/relationships" ref="B152" r:id="rId119"/>
    <hyperlink xmlns:r="http://schemas.openxmlformats.org/officeDocument/2006/relationships" ref="B153" r:id="rId120"/>
    <hyperlink xmlns:r="http://schemas.openxmlformats.org/officeDocument/2006/relationships" ref="B155" r:id="rId121"/>
    <hyperlink xmlns:r="http://schemas.openxmlformats.org/officeDocument/2006/relationships" ref="B156" r:id="rId122"/>
    <hyperlink xmlns:r="http://schemas.openxmlformats.org/officeDocument/2006/relationships" ref="B157" r:id="rId123"/>
    <hyperlink xmlns:r="http://schemas.openxmlformats.org/officeDocument/2006/relationships" ref="B158" r:id="rId124"/>
    <hyperlink xmlns:r="http://schemas.openxmlformats.org/officeDocument/2006/relationships" ref="B159" r:id="rId125"/>
    <hyperlink xmlns:r="http://schemas.openxmlformats.org/officeDocument/2006/relationships" ref="B160" r:id="rId126"/>
    <hyperlink xmlns:r="http://schemas.openxmlformats.org/officeDocument/2006/relationships" ref="B161" r:id="rId127"/>
    <hyperlink xmlns:r="http://schemas.openxmlformats.org/officeDocument/2006/relationships" ref="B163" r:id="rId128"/>
    <hyperlink xmlns:r="http://schemas.openxmlformats.org/officeDocument/2006/relationships" ref="B164" r:id="rId129"/>
    <hyperlink xmlns:r="http://schemas.openxmlformats.org/officeDocument/2006/relationships" ref="B165" r:id="rId130"/>
    <hyperlink xmlns:r="http://schemas.openxmlformats.org/officeDocument/2006/relationships" ref="B167" r:id="rId131"/>
    <hyperlink xmlns:r="http://schemas.openxmlformats.org/officeDocument/2006/relationships" ref="B168" r:id="rId132"/>
    <hyperlink xmlns:r="http://schemas.openxmlformats.org/officeDocument/2006/relationships" ref="B172" r:id="rId133"/>
    <hyperlink xmlns:r="http://schemas.openxmlformats.org/officeDocument/2006/relationships" ref="B173" r:id="rId134"/>
    <hyperlink xmlns:r="http://schemas.openxmlformats.org/officeDocument/2006/relationships" ref="B174" r:id="rId135"/>
    <hyperlink xmlns:r="http://schemas.openxmlformats.org/officeDocument/2006/relationships" ref="B175" r:id="rId136"/>
    <hyperlink xmlns:r="http://schemas.openxmlformats.org/officeDocument/2006/relationships" ref="B176" r:id="rId137"/>
    <hyperlink xmlns:r="http://schemas.openxmlformats.org/officeDocument/2006/relationships" ref="B177" r:id="rId138"/>
    <hyperlink xmlns:r="http://schemas.openxmlformats.org/officeDocument/2006/relationships" ref="B178" r:id="rId139"/>
    <hyperlink xmlns:r="http://schemas.openxmlformats.org/officeDocument/2006/relationships" ref="B179" r:id="rId140"/>
    <hyperlink xmlns:r="http://schemas.openxmlformats.org/officeDocument/2006/relationships" ref="B180" r:id="rId141"/>
    <hyperlink xmlns:r="http://schemas.openxmlformats.org/officeDocument/2006/relationships" ref="B181" r:id="rId142"/>
    <hyperlink xmlns:r="http://schemas.openxmlformats.org/officeDocument/2006/relationships" ref="B183" r:id="rId143"/>
    <hyperlink xmlns:r="http://schemas.openxmlformats.org/officeDocument/2006/relationships" ref="B184" r:id="rId144"/>
    <hyperlink xmlns:r="http://schemas.openxmlformats.org/officeDocument/2006/relationships" ref="B185" r:id="rId145"/>
    <hyperlink xmlns:r="http://schemas.openxmlformats.org/officeDocument/2006/relationships" ref="B186" r:id="rId146"/>
    <hyperlink xmlns:r="http://schemas.openxmlformats.org/officeDocument/2006/relationships" ref="B187" r:id="rId147"/>
    <hyperlink xmlns:r="http://schemas.openxmlformats.org/officeDocument/2006/relationships" ref="B189" r:id="rId148"/>
    <hyperlink xmlns:r="http://schemas.openxmlformats.org/officeDocument/2006/relationships" ref="B191" r:id="rId149"/>
    <hyperlink xmlns:r="http://schemas.openxmlformats.org/officeDocument/2006/relationships" ref="B192" r:id="rId150"/>
    <hyperlink xmlns:r="http://schemas.openxmlformats.org/officeDocument/2006/relationships" ref="B193" r:id="rId151"/>
    <hyperlink xmlns:r="http://schemas.openxmlformats.org/officeDocument/2006/relationships" ref="B194" r:id="rId152"/>
    <hyperlink xmlns:r="http://schemas.openxmlformats.org/officeDocument/2006/relationships" ref="B195" r:id="rId153"/>
    <hyperlink xmlns:r="http://schemas.openxmlformats.org/officeDocument/2006/relationships" ref="B196" r:id="rId154"/>
    <hyperlink xmlns:r="http://schemas.openxmlformats.org/officeDocument/2006/relationships" ref="B197" r:id="rId155"/>
    <hyperlink xmlns:r="http://schemas.openxmlformats.org/officeDocument/2006/relationships" ref="B198" r:id="rId156"/>
    <hyperlink xmlns:r="http://schemas.openxmlformats.org/officeDocument/2006/relationships" ref="B199" r:id="rId157"/>
    <hyperlink xmlns:r="http://schemas.openxmlformats.org/officeDocument/2006/relationships" ref="B200" r:id="rId158"/>
    <hyperlink xmlns:r="http://schemas.openxmlformats.org/officeDocument/2006/relationships" ref="B201" r:id="rId159"/>
    <hyperlink xmlns:r="http://schemas.openxmlformats.org/officeDocument/2006/relationships" ref="B202" r:id="rId160"/>
    <hyperlink xmlns:r="http://schemas.openxmlformats.org/officeDocument/2006/relationships" ref="B203" r:id="rId161"/>
    <hyperlink xmlns:r="http://schemas.openxmlformats.org/officeDocument/2006/relationships" ref="B204" r:id="rId162"/>
    <hyperlink xmlns:r="http://schemas.openxmlformats.org/officeDocument/2006/relationships" ref="B205" r:id="rId163"/>
    <hyperlink xmlns:r="http://schemas.openxmlformats.org/officeDocument/2006/relationships" ref="B206" r:id="rId164"/>
    <hyperlink xmlns:r="http://schemas.openxmlformats.org/officeDocument/2006/relationships" ref="B207" r:id="rId165"/>
    <hyperlink xmlns:r="http://schemas.openxmlformats.org/officeDocument/2006/relationships" ref="B208" r:id="rId166"/>
    <hyperlink xmlns:r="http://schemas.openxmlformats.org/officeDocument/2006/relationships" ref="B209" r:id="rId167"/>
    <hyperlink xmlns:r="http://schemas.openxmlformats.org/officeDocument/2006/relationships" ref="B210" r:id="rId168"/>
    <hyperlink xmlns:r="http://schemas.openxmlformats.org/officeDocument/2006/relationships" ref="B211" r:id="rId169"/>
    <hyperlink xmlns:r="http://schemas.openxmlformats.org/officeDocument/2006/relationships" ref="B212" r:id="rId170"/>
    <hyperlink xmlns:r="http://schemas.openxmlformats.org/officeDocument/2006/relationships" ref="B213" r:id="rId171"/>
    <hyperlink xmlns:r="http://schemas.openxmlformats.org/officeDocument/2006/relationships" ref="B214" r:id="rId172"/>
    <hyperlink xmlns:r="http://schemas.openxmlformats.org/officeDocument/2006/relationships" ref="B215" r:id="rId173"/>
    <hyperlink xmlns:r="http://schemas.openxmlformats.org/officeDocument/2006/relationships" ref="B216" r:id="rId174"/>
    <hyperlink xmlns:r="http://schemas.openxmlformats.org/officeDocument/2006/relationships" ref="B217" r:id="rId175"/>
    <hyperlink xmlns:r="http://schemas.openxmlformats.org/officeDocument/2006/relationships" ref="B218" r:id="rId176"/>
    <hyperlink xmlns:r="http://schemas.openxmlformats.org/officeDocument/2006/relationships" ref="B219" r:id="rId177"/>
    <hyperlink xmlns:r="http://schemas.openxmlformats.org/officeDocument/2006/relationships" ref="B220" r:id="rId178"/>
    <hyperlink xmlns:r="http://schemas.openxmlformats.org/officeDocument/2006/relationships" ref="B228" r:id="rId179"/>
    <hyperlink xmlns:r="http://schemas.openxmlformats.org/officeDocument/2006/relationships" ref="B301" r:id="rId180"/>
    <hyperlink xmlns:r="http://schemas.openxmlformats.org/officeDocument/2006/relationships" ref="B324" r:id="rId181"/>
    <hyperlink xmlns:r="http://schemas.openxmlformats.org/officeDocument/2006/relationships" ref="B325" r:id="rId182"/>
    <hyperlink xmlns:r="http://schemas.openxmlformats.org/officeDocument/2006/relationships" ref="B326" r:id="rId183"/>
    <hyperlink xmlns:r="http://schemas.openxmlformats.org/officeDocument/2006/relationships" ref="B329" r:id="rId184"/>
    <hyperlink xmlns:r="http://schemas.openxmlformats.org/officeDocument/2006/relationships" ref="B334" r:id="rId185"/>
    <hyperlink xmlns:r="http://schemas.openxmlformats.org/officeDocument/2006/relationships" ref="B338" r:id="rId186"/>
  </hyperlinks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  <tableParts count="3">
    <tablePart xmlns:r="http://schemas.openxmlformats.org/officeDocument/2006/relationships" r:id="rId187"/>
    <tablePart xmlns:r="http://schemas.openxmlformats.org/officeDocument/2006/relationships" r:id="rId188"/>
    <tablePart xmlns:r="http://schemas.openxmlformats.org/officeDocument/2006/relationships" r:id="rId189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ColWidth="11.22" defaultRowHeight="15" customHeight="1"/>
  <cols>
    <col width="13.22" customWidth="1" style="1349" min="1" max="1"/>
    <col width="13.89" customWidth="1" style="1349" min="2" max="2"/>
    <col width="47.22" customWidth="1" style="1349" min="3" max="3"/>
    <col width="14" customWidth="1" style="1349" min="4" max="4"/>
    <col width="14.33" customWidth="1" style="1349" min="5" max="5"/>
    <col width="14.56" customWidth="1" style="1349" min="6" max="6"/>
    <col width="13.67" customWidth="1" style="1349" min="7" max="7"/>
    <col width="8.109999999999999" customWidth="1" style="1349" min="8" max="8"/>
    <col width="7.44" customWidth="1" style="1349" min="9" max="10"/>
    <col width="15.11" customWidth="1" style="1349" min="11" max="11"/>
    <col width="10.56" customWidth="1" style="1349" min="12" max="21"/>
  </cols>
  <sheetData>
    <row r="1" ht="36" customHeight="1" s="1349">
      <c r="A1" s="1237" t="n"/>
      <c r="H1" s="1237" t="n"/>
      <c r="I1" s="1237" t="n"/>
      <c r="J1" s="1238" t="n"/>
    </row>
    <row r="2" ht="15.75" customHeight="1" s="1349">
      <c r="A2" s="1240" t="inlineStr">
        <is>
          <t>id</t>
        </is>
      </c>
      <c r="B2" s="1240" t="inlineStr">
        <is>
          <t>SKU</t>
        </is>
      </c>
      <c r="C2" s="1240" t="inlineStr">
        <is>
          <t>Coluna 3</t>
        </is>
      </c>
      <c r="D2" s="1240" t="inlineStr">
        <is>
          <t>preço clássico</t>
        </is>
      </c>
      <c r="E2" s="1240" t="inlineStr">
        <is>
          <t>margem clássico</t>
        </is>
      </c>
      <c r="F2" s="1240" t="inlineStr">
        <is>
          <t>preço premium</t>
        </is>
      </c>
      <c r="G2" s="1240" t="inlineStr">
        <is>
          <t>margem premium</t>
        </is>
      </c>
      <c r="H2" s="1240" t="inlineStr">
        <is>
          <t>vendas</t>
        </is>
      </c>
      <c r="I2" s="1240" t="inlineStr">
        <is>
          <t>data de verificacão</t>
        </is>
      </c>
      <c r="J2" s="1240" t="inlineStr">
        <is>
          <t>Curva</t>
        </is>
      </c>
      <c r="K2" s="1240" t="inlineStr">
        <is>
          <t>Coluna 1</t>
        </is>
      </c>
    </row>
    <row r="3" ht="15.75" customHeight="1" s="1349">
      <c r="A3" s="755" t="inlineStr">
        <is>
          <t>5299456820</t>
        </is>
      </c>
      <c r="B3" s="581" t="n">
        <v>10034034167400</v>
      </c>
      <c r="C3" s="1241" t="inlineStr">
        <is>
          <t>Kit 50 Óculos Sky Proteção Segurança Fume Ou Incolor Ca39878</t>
        </is>
      </c>
      <c r="D3" s="1242" t="n">
        <v>169</v>
      </c>
      <c r="E3" s="1243" t="n">
        <v>0.0863</v>
      </c>
      <c r="F3" s="1244" t="n">
        <v>189</v>
      </c>
      <c r="G3" s="1245" t="n">
        <v>0.11</v>
      </c>
      <c r="H3" s="1246" t="n">
        <v>0</v>
      </c>
      <c r="I3" s="1247" t="n">
        <v>46172</v>
      </c>
      <c r="J3" s="1249" t="inlineStr">
        <is>
          <t>C</t>
        </is>
      </c>
      <c r="K3" s="1249" t="n"/>
      <c r="L3" s="579" t="n"/>
      <c r="M3" s="579" t="n"/>
      <c r="N3" s="579" t="n"/>
      <c r="O3" s="579" t="n"/>
      <c r="P3" s="579" t="n"/>
      <c r="Q3" s="579" t="n"/>
      <c r="R3" s="579" t="n"/>
      <c r="S3" s="579" t="n"/>
      <c r="T3" s="579" t="n"/>
      <c r="U3" s="579" t="n"/>
    </row>
    <row r="4" ht="15.75" customHeight="1" s="1349">
      <c r="A4" s="1292" t="inlineStr">
        <is>
          <t>4371209595</t>
        </is>
      </c>
      <c r="B4" s="884" t="n">
        <v>10034034168051</v>
      </c>
      <c r="C4" s="481" t="inlineStr">
        <is>
          <t>Silicone Acético Transparente Construção Selante Blister 3un</t>
        </is>
      </c>
      <c r="D4" s="1242" t="n">
        <v>25.5</v>
      </c>
      <c r="E4" s="1243" t="n">
        <v>0.052</v>
      </c>
      <c r="F4" s="1244" t="n">
        <v>33</v>
      </c>
      <c r="G4" s="1245" t="n">
        <v>0.14</v>
      </c>
      <c r="H4" s="1246" t="n">
        <v>0</v>
      </c>
      <c r="I4" s="1247" t="n">
        <v>46172</v>
      </c>
      <c r="J4" s="1249" t="inlineStr">
        <is>
          <t>C</t>
        </is>
      </c>
      <c r="K4" s="1249" t="n"/>
    </row>
    <row r="5" ht="15.75" customHeight="1" s="1349">
      <c r="A5" s="1292" t="inlineStr">
        <is>
          <t>6014680906</t>
        </is>
      </c>
      <c r="B5" s="884" t="n">
        <v>10034034168010</v>
      </c>
      <c r="C5" s="765" t="inlineStr">
        <is>
          <t>Sabonete Líquido Citric Limpeza Pesada Ação Profunda 120ml 4</t>
        </is>
      </c>
      <c r="D5" s="1262" t="n">
        <v>42</v>
      </c>
      <c r="E5" s="1251" t="n">
        <v>0.05</v>
      </c>
      <c r="F5" s="1252" t="n">
        <v>46.89</v>
      </c>
      <c r="G5" s="1253" t="n">
        <v>0.0722</v>
      </c>
      <c r="H5" s="1254" t="n">
        <v>0</v>
      </c>
      <c r="I5" s="1247" t="n">
        <v>46172</v>
      </c>
      <c r="J5" s="1249" t="inlineStr">
        <is>
          <t>C</t>
        </is>
      </c>
      <c r="K5" s="1249" t="n"/>
    </row>
    <row r="6" ht="15.75" customHeight="1" s="1349">
      <c r="A6" s="1292" t="inlineStr">
        <is>
          <t>6056500850</t>
        </is>
      </c>
      <c r="B6" s="884" t="n">
        <v>10034034168042</v>
      </c>
      <c r="C6" s="481" t="inlineStr">
        <is>
          <t>Silicone Selante Acético Branco Acabamento Limpo 256g 5un</t>
        </is>
      </c>
      <c r="D6" s="1262" t="n">
        <v>99</v>
      </c>
      <c r="E6" s="1251" t="n">
        <v>0.0659</v>
      </c>
      <c r="F6" s="1252" t="n">
        <v>128.99</v>
      </c>
      <c r="G6" s="1253" t="n">
        <v>0.13</v>
      </c>
      <c r="H6" s="1254" t="n">
        <v>0</v>
      </c>
      <c r="I6" s="1247" t="n">
        <v>46172</v>
      </c>
      <c r="J6" s="1249" t="inlineStr">
        <is>
          <t>C</t>
        </is>
      </c>
      <c r="K6" s="1249" t="n"/>
    </row>
    <row r="7" ht="15.75" customHeight="1" s="1349">
      <c r="A7" s="1292" t="inlineStr">
        <is>
          <t>5877428880</t>
        </is>
      </c>
      <c r="B7" s="884" t="n">
        <v>10034034167687</v>
      </c>
      <c r="C7" s="566" t="inlineStr">
        <is>
          <t>Kit Luva Látex Natural Silver Grip Nitrílica Reforçada 5un</t>
        </is>
      </c>
      <c r="D7" s="1262" t="n">
        <v>39.9</v>
      </c>
      <c r="E7" s="1251" t="n">
        <v>0.076</v>
      </c>
      <c r="F7" s="1252" t="n">
        <v>45.8</v>
      </c>
      <c r="G7" s="1253" t="n">
        <v>0.056</v>
      </c>
      <c r="H7" s="1254" t="n">
        <v>1</v>
      </c>
      <c r="I7" s="1247" t="n">
        <v>46172</v>
      </c>
      <c r="J7" s="1249" t="inlineStr">
        <is>
          <t>C</t>
        </is>
      </c>
      <c r="K7" s="1249" t="n"/>
    </row>
    <row r="8" ht="15.75" customHeight="1" s="1349">
      <c r="A8" s="1292" t="inlineStr">
        <is>
          <t>4594804697</t>
        </is>
      </c>
      <c r="B8" s="904" t="n">
        <v>10034034168374</v>
      </c>
      <c r="C8" s="904" t="inlineStr">
        <is>
          <t>KIT 5 CHUMBADOR PARABOLT CBA 1/4X2 AÇO FIXAÇÃO</t>
        </is>
      </c>
      <c r="D8" s="1262" t="n">
        <v>39.8</v>
      </c>
      <c r="E8" s="1251" t="n">
        <v>0.0345</v>
      </c>
      <c r="F8" s="1252" t="n">
        <v>39.8</v>
      </c>
      <c r="G8" s="1253" t="n">
        <v>-0.01</v>
      </c>
      <c r="H8" s="1254" t="n">
        <v>0</v>
      </c>
      <c r="I8" s="1247" t="n">
        <v>46172</v>
      </c>
      <c r="J8" s="1249" t="inlineStr">
        <is>
          <t>C</t>
        </is>
      </c>
      <c r="K8" s="1249" t="n"/>
    </row>
    <row r="9" ht="15.75" customHeight="1" s="1349">
      <c r="A9" s="1292" t="inlineStr">
        <is>
          <t>5971005000</t>
        </is>
      </c>
      <c r="B9" s="884" t="n">
        <v>10034034167887</v>
      </c>
      <c r="C9" s="481" t="inlineStr">
        <is>
          <t>Silicone Incolor Acético Construção Multi Uso Vedação 10un</t>
        </is>
      </c>
      <c r="D9" s="1262" t="n">
        <v>179</v>
      </c>
      <c r="E9" s="1251" t="n">
        <v>0.0735</v>
      </c>
      <c r="F9" s="1252" t="n">
        <v>213</v>
      </c>
      <c r="G9" s="1253" t="n">
        <v>0.1175</v>
      </c>
      <c r="H9" s="1254" t="n">
        <v>0</v>
      </c>
      <c r="I9" s="1247" t="n">
        <v>46172</v>
      </c>
      <c r="J9" s="1249" t="inlineStr">
        <is>
          <t>C</t>
        </is>
      </c>
      <c r="K9" s="1249" t="n"/>
    </row>
    <row r="10" ht="15.75" customHeight="1" s="1349">
      <c r="A10" s="1292" t="inlineStr">
        <is>
          <t>4612423125</t>
        </is>
      </c>
      <c r="B10" s="904" t="n">
        <v>10034034168409</v>
      </c>
      <c r="C10" s="481" t="inlineStr">
        <is>
          <t>Kit 10 Broca Videa 5mm 3/16 Concreto Parede Alvenaria Tijolo</t>
        </is>
      </c>
      <c r="D10" s="1262" t="n">
        <v>69.37</v>
      </c>
      <c r="E10" s="1251" t="n">
        <v>0.06710000000000001</v>
      </c>
      <c r="F10" s="1252" t="n">
        <v>69.37</v>
      </c>
      <c r="G10" s="1253" t="n">
        <v>0.0217</v>
      </c>
      <c r="H10" s="1254" t="n">
        <v>3</v>
      </c>
      <c r="I10" s="1255" t="n">
        <v>46172</v>
      </c>
      <c r="J10" s="1268" t="inlineStr">
        <is>
          <t>C</t>
        </is>
      </c>
      <c r="K10" s="1268" t="inlineStr">
        <is>
          <t>SEM ESTOQUE</t>
        </is>
      </c>
    </row>
    <row r="11" ht="15.75" customHeight="1" s="1349">
      <c r="A11" s="1265" t="inlineStr">
        <is>
          <t>3253402516785679</t>
        </is>
      </c>
      <c r="B11" s="1258" t="n"/>
      <c r="C11" s="712" t="inlineStr">
        <is>
          <t>Kit 5 Capacete De Segurança Camper Ca34414 Epi C/ Jugular</t>
        </is>
      </c>
      <c r="D11" s="1262" t="n">
        <v>98.98999999999999</v>
      </c>
      <c r="E11" s="1251" t="n">
        <v>0.1338</v>
      </c>
      <c r="F11" s="1252" t="n">
        <v>113.34</v>
      </c>
      <c r="G11" s="1253" t="n">
        <v>0.1053</v>
      </c>
      <c r="H11" s="1254" t="n">
        <v>0</v>
      </c>
      <c r="I11" s="1255" t="n">
        <v>46179</v>
      </c>
      <c r="J11" s="1268" t="inlineStr">
        <is>
          <t>B</t>
        </is>
      </c>
      <c r="K11" s="1268" t="n"/>
    </row>
    <row r="12" ht="15.75" customHeight="1" s="1349">
      <c r="A12" s="1265" t="inlineStr">
        <is>
          <t>5298614678</t>
        </is>
      </c>
      <c r="B12" s="1263" t="n">
        <v>10034034167390</v>
      </c>
      <c r="C12" s="712" t="inlineStr">
        <is>
          <t>Kit 4 Capacete De Segurança Camper Ca 34414 Epi C/ Jugular</t>
        </is>
      </c>
      <c r="D12" s="1262" t="n">
        <v>71.77</v>
      </c>
      <c r="E12" s="1251" t="n">
        <v>0.0989</v>
      </c>
      <c r="F12" s="1252" t="n">
        <v>71.77</v>
      </c>
      <c r="G12" s="1253" t="n">
        <v>0.0535</v>
      </c>
      <c r="H12" s="1254" t="n">
        <v>0</v>
      </c>
      <c r="I12" s="1255" t="n">
        <v>46179</v>
      </c>
      <c r="J12" s="1268" t="inlineStr">
        <is>
          <t>B</t>
        </is>
      </c>
      <c r="K12" s="1268" t="n"/>
    </row>
    <row r="13" ht="15.75" customHeight="1" s="1349">
      <c r="A13" s="1265" t="inlineStr">
        <is>
          <t>4250240503</t>
        </is>
      </c>
      <c r="B13" s="1263" t="n"/>
      <c r="C13" s="712" t="inlineStr">
        <is>
          <t>Bota Puresafe Ecoboots Pu Longo Solado Antiperfuro Composite</t>
        </is>
      </c>
      <c r="D13" s="1262" t="n">
        <v>236.45</v>
      </c>
      <c r="E13" s="1251" t="n">
        <v>0.1019</v>
      </c>
      <c r="F13" s="1252" t="n">
        <v>251.23</v>
      </c>
      <c r="G13" s="1253" t="n">
        <v>0.0911</v>
      </c>
      <c r="H13" s="1254" t="n">
        <v>1</v>
      </c>
      <c r="I13" s="1255" t="n">
        <v>46179</v>
      </c>
      <c r="J13" s="1268" t="inlineStr">
        <is>
          <t>B</t>
        </is>
      </c>
      <c r="K13" s="1268" t="n"/>
    </row>
    <row r="14" ht="15.75" customHeight="1" s="1349">
      <c r="A14" s="669" t="inlineStr">
        <is>
          <t>8513202948154194</t>
        </is>
      </c>
      <c r="B14" s="1263" t="n"/>
      <c r="C14" s="112" t="inlineStr">
        <is>
          <t>Bota Pvc Stivalleto Impermeável Forrado Preto Cano Curto</t>
        </is>
      </c>
      <c r="D14" s="1262" t="n">
        <v>47.53</v>
      </c>
      <c r="E14" s="1251" t="n">
        <v>0.133</v>
      </c>
      <c r="F14" s="1252" t="n">
        <v>47.53</v>
      </c>
      <c r="G14" s="1253" t="n">
        <v>0.0876</v>
      </c>
      <c r="H14" s="1254" t="n">
        <v>2</v>
      </c>
      <c r="I14" s="1255" t="n">
        <v>46179</v>
      </c>
      <c r="J14" s="1268" t="inlineStr">
        <is>
          <t>B</t>
        </is>
      </c>
      <c r="K14" s="1268" t="n"/>
    </row>
    <row r="15" ht="15.75" customHeight="1" s="1349">
      <c r="A15" s="1265" t="inlineStr">
        <is>
          <t>4293690737</t>
        </is>
      </c>
      <c r="B15" s="1263" t="n">
        <v>10034034168263</v>
      </c>
      <c r="C15" s="1264" t="inlineStr">
        <is>
          <t>Kit 50 Parafuso Sextavado Concreto 75mm X M10 Organometálico</t>
        </is>
      </c>
      <c r="D15" s="1262" t="n">
        <v>235</v>
      </c>
      <c r="E15" s="1251" t="n">
        <v>0.0833</v>
      </c>
      <c r="F15" s="1252" t="n">
        <v>265.57</v>
      </c>
      <c r="G15" s="1253" t="n">
        <v>0.106</v>
      </c>
      <c r="H15" s="1254" t="n">
        <v>0</v>
      </c>
      <c r="I15" s="1255" t="n">
        <v>46181</v>
      </c>
      <c r="J15" s="1268" t="inlineStr">
        <is>
          <t>C</t>
        </is>
      </c>
      <c r="K15" s="1268" t="inlineStr">
        <is>
          <t>SEM ESTOQUE</t>
        </is>
      </c>
    </row>
    <row r="16" ht="15.75" customHeight="1" s="1349">
      <c r="A16" s="1265" t="inlineStr">
        <is>
          <t>5930022940</t>
        </is>
      </c>
      <c r="B16" s="1263" t="n"/>
      <c r="C16" s="1267" t="inlineStr">
        <is>
          <t>Pino Liso Ação Direta 1/4x30x20 Roscado Concreto 300 Peças</t>
        </is>
      </c>
      <c r="D16" s="1262" t="n">
        <v>139.9</v>
      </c>
      <c r="E16" s="1251" t="n">
        <v>0.0775</v>
      </c>
      <c r="F16" s="1252" t="n">
        <v>142.12</v>
      </c>
      <c r="G16" s="1253" t="n">
        <v>0.0514</v>
      </c>
      <c r="H16" s="1254" t="n">
        <v>3</v>
      </c>
      <c r="I16" s="1255" t="n">
        <v>46181</v>
      </c>
      <c r="J16" s="1268" t="inlineStr">
        <is>
          <t>B</t>
        </is>
      </c>
      <c r="K16" s="1268" t="n"/>
    </row>
    <row r="17" ht="15.75" customHeight="1" s="1349">
      <c r="A17" s="292" t="inlineStr">
        <is>
          <t>4583749223</t>
        </is>
      </c>
      <c r="B17" s="1263" t="n"/>
      <c r="C17" s="515" t="inlineStr">
        <is>
          <t>Perneira Bidim 3 Talas CA 39624 Fechamento Velcro</t>
        </is>
      </c>
      <c r="D17" s="1262" t="n">
        <v>37.83</v>
      </c>
      <c r="E17" s="1251" t="n">
        <v>0.0969</v>
      </c>
      <c r="F17" s="1252" t="n">
        <v>41.2</v>
      </c>
      <c r="G17" s="1253" t="n">
        <v>0.0407</v>
      </c>
      <c r="H17" s="1254" t="n">
        <v>0</v>
      </c>
      <c r="I17" s="1255" t="n">
        <v>46181</v>
      </c>
      <c r="J17" s="1268" t="inlineStr">
        <is>
          <t>B</t>
        </is>
      </c>
      <c r="K17" s="1268" t="n"/>
    </row>
    <row r="18" ht="15.75" customHeight="1" s="1349">
      <c r="A18" s="1263" t="n">
        <v>10034034168324</v>
      </c>
      <c r="B18" s="1263" t="n"/>
      <c r="C18" s="112" t="inlineStr">
        <is>
          <t>Kit Capacete Camper Avant + Carneira + Jugular Epi Segurança</t>
        </is>
      </c>
      <c r="D18" s="1262" t="n">
        <v>25.31</v>
      </c>
      <c r="E18" s="1251" t="n">
        <v>0.078</v>
      </c>
      <c r="F18" s="1252" t="n">
        <v>25.31</v>
      </c>
      <c r="G18" s="1253" t="n">
        <v>0.0326</v>
      </c>
      <c r="H18" s="1254" t="n">
        <v>0</v>
      </c>
      <c r="I18" s="1255" t="n">
        <v>46186</v>
      </c>
      <c r="J18" s="1268" t="inlineStr">
        <is>
          <t>C</t>
        </is>
      </c>
      <c r="K18" s="1268" t="n"/>
    </row>
    <row r="19" ht="15.75" customHeight="1" s="1349">
      <c r="A19" s="1265" t="n"/>
      <c r="B19" s="1263" t="n"/>
      <c r="C19" s="1267" t="n"/>
      <c r="D19" s="1262" t="n"/>
      <c r="E19" s="1251" t="n"/>
      <c r="F19" s="1252" t="n"/>
      <c r="G19" s="1253" t="n"/>
      <c r="H19" s="1254" t="n"/>
      <c r="I19" s="1255" t="n"/>
      <c r="J19" s="1268" t="n"/>
      <c r="K19" s="1268" t="n"/>
    </row>
    <row r="20" ht="15.75" customHeight="1" s="1349">
      <c r="A20" s="1265" t="n"/>
      <c r="B20" s="1263" t="n"/>
      <c r="C20" s="1267" t="n"/>
      <c r="D20" s="1262" t="n"/>
      <c r="E20" s="1251" t="n"/>
      <c r="F20" s="1252" t="n"/>
      <c r="G20" s="1253" t="n"/>
      <c r="H20" s="1254" t="n"/>
      <c r="I20" s="1255" t="n"/>
      <c r="J20" s="1268" t="n"/>
      <c r="K20" s="1268" t="n"/>
    </row>
    <row r="21" ht="15.75" customHeight="1" s="1349">
      <c r="A21" s="1269" t="n"/>
      <c r="B21" s="1269" t="n"/>
      <c r="C21" s="1270" t="n"/>
      <c r="D21" s="1270" t="n"/>
      <c r="E21" s="1271" t="n"/>
      <c r="F21" s="1269" t="n"/>
      <c r="G21" s="1269" t="n"/>
      <c r="H21" s="1272" t="n"/>
      <c r="I21" s="1272" t="n"/>
      <c r="J21" s="1238" t="n"/>
    </row>
    <row r="22" ht="15.75" customHeight="1" s="1349">
      <c r="A22" s="1269" t="n"/>
      <c r="B22" s="1269" t="n"/>
      <c r="C22" s="1270" t="n"/>
      <c r="D22" s="1270" t="n"/>
      <c r="E22" s="1271" t="n"/>
      <c r="F22" s="1269" t="n"/>
      <c r="G22" s="1269" t="n"/>
      <c r="H22" s="1272" t="n"/>
      <c r="I22" s="1272" t="n"/>
      <c r="J22" s="1238" t="n"/>
    </row>
    <row r="23" ht="15.75" customHeight="1" s="1349">
      <c r="A23" s="1269" t="n"/>
      <c r="B23" s="1269" t="n"/>
      <c r="C23" s="1270" t="n"/>
      <c r="D23" s="1270" t="n"/>
      <c r="E23" s="1271" t="n"/>
      <c r="F23" s="1269" t="n"/>
      <c r="G23" s="1269" t="n"/>
      <c r="H23" s="1272" t="n"/>
      <c r="I23" s="1272" t="n"/>
      <c r="J23" s="1238" t="n"/>
    </row>
    <row r="24" ht="15.75" customHeight="1" s="1349">
      <c r="A24" s="1269" t="n"/>
      <c r="B24" s="1269" t="n"/>
      <c r="C24" s="1270" t="n"/>
      <c r="D24" s="1270" t="n"/>
      <c r="E24" s="1271" t="n"/>
      <c r="F24" s="1269" t="n"/>
      <c r="G24" s="1269" t="n"/>
      <c r="H24" s="1272" t="n"/>
      <c r="I24" s="1272" t="n"/>
      <c r="J24" s="1238" t="n"/>
    </row>
    <row r="25" ht="15.75" customHeight="1" s="1349">
      <c r="A25" s="1269" t="n"/>
      <c r="B25" s="1269" t="n"/>
      <c r="C25" s="1270" t="n"/>
      <c r="D25" s="1270" t="n"/>
      <c r="E25" s="1271" t="n"/>
      <c r="F25" s="1269" t="n"/>
      <c r="G25" s="1269" t="n"/>
      <c r="H25" s="1272" t="n"/>
      <c r="I25" s="1272" t="n"/>
      <c r="J25" s="1238" t="n"/>
    </row>
    <row r="26" ht="15.75" customHeight="1" s="1349">
      <c r="A26" s="1269" t="n"/>
      <c r="B26" s="1269" t="n"/>
      <c r="C26" s="1270" t="n"/>
      <c r="D26" s="1270" t="n"/>
      <c r="E26" s="1271" t="n"/>
      <c r="F26" s="1269" t="n"/>
      <c r="G26" s="1269" t="n"/>
      <c r="H26" s="1272" t="n"/>
      <c r="I26" s="1272" t="n"/>
      <c r="J26" s="1238" t="n"/>
    </row>
    <row r="27" ht="15.75" customHeight="1" s="1349">
      <c r="A27" s="1269" t="n"/>
      <c r="B27" s="1269" t="n"/>
      <c r="C27" s="1270" t="n"/>
      <c r="D27" s="1270" t="n"/>
      <c r="E27" s="1271" t="n"/>
      <c r="F27" s="1269" t="n"/>
      <c r="G27" s="1269" t="n"/>
      <c r="H27" s="1272" t="n"/>
      <c r="I27" s="1272" t="n"/>
      <c r="J27" s="1238" t="n"/>
    </row>
    <row r="28" ht="15.75" customHeight="1" s="1349">
      <c r="A28" s="1269" t="n"/>
      <c r="B28" s="1269" t="n"/>
      <c r="C28" s="1270" t="n"/>
      <c r="D28" s="1270" t="n"/>
      <c r="E28" s="1271" t="n"/>
      <c r="F28" s="1269" t="n"/>
      <c r="G28" s="1269" t="n"/>
      <c r="H28" s="1272" t="n"/>
      <c r="I28" s="1272" t="n"/>
      <c r="J28" s="1238" t="n"/>
    </row>
    <row r="29" ht="15.75" customHeight="1" s="1349">
      <c r="A29" s="1269" t="n"/>
      <c r="B29" s="1269" t="n"/>
      <c r="C29" s="1270" t="n"/>
      <c r="D29" s="1270" t="n"/>
      <c r="E29" s="1271" t="n"/>
      <c r="F29" s="1269" t="n"/>
      <c r="G29" s="1269" t="n"/>
      <c r="H29" s="1272" t="n"/>
      <c r="I29" s="1272" t="n"/>
      <c r="J29" s="1238" t="n"/>
    </row>
    <row r="30" ht="15.75" customHeight="1" s="1349">
      <c r="A30" s="1269" t="n"/>
      <c r="B30" s="1269" t="n"/>
      <c r="C30" s="1270" t="n"/>
      <c r="D30" s="1270" t="n"/>
      <c r="E30" s="1271" t="n"/>
      <c r="F30" s="1269" t="n"/>
      <c r="G30" s="1269" t="n"/>
      <c r="H30" s="1272" t="n"/>
      <c r="I30" s="1272" t="n"/>
      <c r="J30" s="1238" t="n"/>
    </row>
    <row r="31" ht="15.75" customHeight="1" s="1349">
      <c r="A31" s="1269" t="n"/>
      <c r="B31" s="1269" t="n"/>
      <c r="C31" s="1270" t="n"/>
      <c r="D31" s="1270" t="n"/>
      <c r="E31" s="1271" t="n"/>
      <c r="F31" s="1269" t="n"/>
      <c r="G31" s="1269" t="n"/>
      <c r="H31" s="1272" t="n"/>
      <c r="I31" s="1272" t="n"/>
      <c r="J31" s="1238" t="n"/>
    </row>
    <row r="32" ht="15.75" customHeight="1" s="1349">
      <c r="A32" s="1269" t="n"/>
      <c r="B32" s="1269" t="n"/>
      <c r="C32" s="1270" t="n"/>
      <c r="D32" s="1270" t="n"/>
      <c r="E32" s="1271" t="n"/>
      <c r="F32" s="1269" t="n"/>
      <c r="G32" s="1269" t="n"/>
      <c r="H32" s="1272" t="n"/>
      <c r="I32" s="1272" t="n"/>
      <c r="J32" s="1238" t="n"/>
    </row>
    <row r="33" ht="15.75" customHeight="1" s="1349">
      <c r="A33" s="1269" t="n"/>
      <c r="B33" s="1269" t="n"/>
      <c r="C33" s="1270" t="n"/>
      <c r="D33" s="1270" t="n"/>
      <c r="E33" s="1271" t="n"/>
      <c r="F33" s="1269" t="n"/>
      <c r="G33" s="1269" t="n"/>
      <c r="H33" s="1272" t="n"/>
      <c r="I33" s="1272" t="n"/>
      <c r="J33" s="1238" t="n"/>
    </row>
    <row r="34" ht="15.75" customHeight="1" s="1349">
      <c r="A34" s="1269" t="n"/>
      <c r="B34" s="1269" t="n"/>
      <c r="C34" s="1270" t="n"/>
      <c r="D34" s="1270" t="n"/>
      <c r="E34" s="1271" t="n"/>
      <c r="F34" s="1269" t="n"/>
      <c r="G34" s="1269" t="n"/>
      <c r="H34" s="1272" t="n"/>
      <c r="I34" s="1272" t="n"/>
      <c r="J34" s="1238" t="n"/>
    </row>
    <row r="35" ht="15.75" customHeight="1" s="1349">
      <c r="A35" s="1269" t="n"/>
      <c r="B35" s="1269" t="n"/>
      <c r="C35" s="1270" t="n"/>
      <c r="D35" s="1270" t="n"/>
      <c r="E35" s="1271" t="n"/>
      <c r="F35" s="1269" t="n"/>
      <c r="G35" s="1269" t="n"/>
      <c r="H35" s="1272" t="n"/>
      <c r="I35" s="1272" t="n"/>
      <c r="J35" s="1238" t="n"/>
    </row>
    <row r="36" ht="15.75" customHeight="1" s="1349">
      <c r="A36" s="1269" t="n"/>
      <c r="B36" s="1269" t="n"/>
      <c r="C36" s="1270" t="n"/>
      <c r="D36" s="1270" t="n"/>
      <c r="E36" s="1271" t="n"/>
      <c r="F36" s="1269" t="n"/>
      <c r="G36" s="1269" t="n"/>
      <c r="H36" s="1272" t="n"/>
      <c r="I36" s="1272" t="n"/>
      <c r="J36" s="1238" t="n"/>
    </row>
    <row r="37" ht="15.75" customHeight="1" s="1349">
      <c r="A37" s="1269" t="n"/>
      <c r="B37" s="1269" t="n"/>
      <c r="C37" s="1270" t="n"/>
      <c r="D37" s="1270" t="n"/>
      <c r="E37" s="1271" t="n"/>
      <c r="F37" s="1269" t="n"/>
      <c r="G37" s="1269" t="n"/>
      <c r="H37" s="1272" t="n"/>
      <c r="I37" s="1272" t="n"/>
      <c r="J37" s="1238" t="n"/>
    </row>
    <row r="38" ht="15.75" customHeight="1" s="1349">
      <c r="A38" s="1269" t="n"/>
      <c r="B38" s="1269" t="n"/>
      <c r="C38" s="1270" t="n"/>
      <c r="D38" s="1270" t="n"/>
      <c r="E38" s="1271" t="n"/>
      <c r="F38" s="1269" t="n"/>
      <c r="G38" s="1269" t="n"/>
      <c r="H38" s="1272" t="n"/>
      <c r="I38" s="1272" t="n"/>
      <c r="J38" s="1238" t="n"/>
    </row>
    <row r="39" ht="15.75" customHeight="1" s="1349">
      <c r="A39" s="1269" t="n"/>
      <c r="B39" s="1269" t="n"/>
      <c r="C39" s="1270" t="n"/>
      <c r="D39" s="1270" t="n"/>
      <c r="E39" s="1271" t="n"/>
      <c r="F39" s="1269" t="n"/>
      <c r="G39" s="1269" t="n"/>
      <c r="H39" s="1272" t="n"/>
      <c r="I39" s="1272" t="n"/>
      <c r="J39" s="1238" t="n"/>
    </row>
    <row r="40" ht="15.75" customHeight="1" s="1349">
      <c r="A40" s="1269" t="n"/>
      <c r="B40" s="1269" t="n"/>
      <c r="C40" s="1270" t="n"/>
      <c r="D40" s="1270" t="n"/>
      <c r="E40" s="1271" t="n"/>
      <c r="F40" s="1269" t="n"/>
      <c r="G40" s="1269" t="n"/>
      <c r="H40" s="1272" t="n"/>
      <c r="I40" s="1272" t="n"/>
      <c r="J40" s="1238" t="n"/>
    </row>
    <row r="41" ht="15.75" customHeight="1" s="1349">
      <c r="A41" s="1269" t="n"/>
      <c r="B41" s="1269" t="n"/>
      <c r="C41" s="1270" t="n"/>
      <c r="D41" s="1270" t="n"/>
      <c r="E41" s="1271" t="n"/>
      <c r="F41" s="1269" t="n"/>
      <c r="G41" s="1269" t="n"/>
      <c r="H41" s="1272" t="n"/>
      <c r="I41" s="1272" t="n"/>
      <c r="J41" s="1238" t="n"/>
    </row>
    <row r="42" ht="15.75" customHeight="1" s="1349">
      <c r="A42" s="1269" t="n"/>
      <c r="B42" s="1269" t="n"/>
      <c r="C42" s="1270" t="n"/>
      <c r="D42" s="1270" t="n"/>
      <c r="E42" s="1271" t="n"/>
      <c r="F42" s="1269" t="n"/>
      <c r="G42" s="1269" t="n"/>
      <c r="H42" s="1272" t="n"/>
      <c r="I42" s="1272" t="n"/>
      <c r="J42" s="1238" t="n"/>
    </row>
    <row r="43" ht="15.75" customHeight="1" s="1349">
      <c r="A43" s="1269" t="n"/>
      <c r="B43" s="1269" t="n"/>
      <c r="C43" s="1270" t="n"/>
      <c r="D43" s="1270" t="n"/>
      <c r="E43" s="1271" t="n"/>
      <c r="F43" s="1269" t="n"/>
      <c r="G43" s="1269" t="n"/>
      <c r="H43" s="1272" t="n"/>
      <c r="I43" s="1272" t="n"/>
      <c r="J43" s="1238" t="n"/>
    </row>
    <row r="44" ht="15.75" customHeight="1" s="1349">
      <c r="A44" s="1269" t="n"/>
      <c r="B44" s="1269" t="n"/>
      <c r="C44" s="1270" t="n"/>
      <c r="D44" s="1270" t="n"/>
      <c r="E44" s="1271" t="n"/>
      <c r="F44" s="1269" t="n"/>
      <c r="G44" s="1269" t="n"/>
      <c r="H44" s="1272" t="n"/>
      <c r="I44" s="1272" t="n"/>
      <c r="J44" s="1238" t="n"/>
    </row>
    <row r="45" ht="15.75" customHeight="1" s="1349">
      <c r="A45" s="1269" t="n"/>
      <c r="B45" s="1269" t="n"/>
      <c r="C45" s="1270" t="n"/>
      <c r="D45" s="1270" t="n"/>
      <c r="E45" s="1271" t="n"/>
      <c r="F45" s="1269" t="n"/>
      <c r="G45" s="1269" t="n"/>
      <c r="H45" s="1272" t="n"/>
      <c r="I45" s="1272" t="n"/>
      <c r="J45" s="1238" t="n"/>
    </row>
    <row r="46" ht="15.75" customHeight="1" s="1349">
      <c r="A46" s="1269" t="n"/>
      <c r="B46" s="1269" t="n"/>
      <c r="C46" s="1270" t="n"/>
      <c r="D46" s="1270" t="n"/>
      <c r="E46" s="1271" t="n"/>
      <c r="F46" s="1269" t="n"/>
      <c r="G46" s="1269" t="n"/>
      <c r="H46" s="1272" t="n"/>
      <c r="I46" s="1272" t="n"/>
      <c r="J46" s="1238" t="n"/>
    </row>
    <row r="47" ht="15.75" customHeight="1" s="1349">
      <c r="A47" s="1269" t="n"/>
      <c r="B47" s="1269" t="n"/>
      <c r="C47" s="1270" t="n"/>
      <c r="D47" s="1270" t="n"/>
      <c r="E47" s="1271" t="n"/>
      <c r="F47" s="1269" t="n"/>
      <c r="G47" s="1269" t="n"/>
      <c r="H47" s="1272" t="n"/>
      <c r="I47" s="1272" t="n"/>
      <c r="J47" s="1238" t="n"/>
    </row>
    <row r="48" ht="15.75" customHeight="1" s="1349">
      <c r="A48" s="1269" t="n"/>
      <c r="B48" s="1269" t="n"/>
      <c r="C48" s="1270" t="n"/>
      <c r="D48" s="1270" t="n"/>
      <c r="E48" s="1271" t="n"/>
      <c r="F48" s="1269" t="n"/>
      <c r="G48" s="1269" t="n"/>
      <c r="H48" s="1272" t="n"/>
      <c r="I48" s="1272" t="n"/>
      <c r="J48" s="1238" t="n"/>
    </row>
    <row r="49" ht="15.75" customHeight="1" s="1349">
      <c r="A49" s="1269" t="n"/>
      <c r="B49" s="1269" t="n"/>
      <c r="C49" s="1270" t="n"/>
      <c r="D49" s="1270" t="n"/>
      <c r="E49" s="1271" t="n"/>
      <c r="F49" s="1269" t="n"/>
      <c r="G49" s="1269" t="n"/>
      <c r="H49" s="1272" t="n"/>
      <c r="I49" s="1272" t="n"/>
      <c r="J49" s="1238" t="n"/>
    </row>
    <row r="50" ht="15.75" customHeight="1" s="1349">
      <c r="A50" s="1269" t="n"/>
      <c r="B50" s="1269" t="n"/>
      <c r="C50" s="1270" t="n"/>
      <c r="D50" s="1270" t="n"/>
      <c r="E50" s="1271" t="n"/>
      <c r="F50" s="1269" t="n"/>
      <c r="G50" s="1269" t="n"/>
      <c r="H50" s="1272" t="n"/>
      <c r="I50" s="1272" t="n"/>
      <c r="J50" s="1238" t="n"/>
    </row>
    <row r="51" ht="15.75" customHeight="1" s="1349">
      <c r="A51" s="1269" t="n"/>
      <c r="B51" s="1269" t="n"/>
      <c r="C51" s="1270" t="n"/>
      <c r="D51" s="1270" t="n"/>
      <c r="E51" s="1271" t="n"/>
      <c r="F51" s="1269" t="n"/>
      <c r="G51" s="1269" t="n"/>
      <c r="H51" s="1272" t="n"/>
      <c r="I51" s="1272" t="n"/>
      <c r="J51" s="1238" t="n"/>
    </row>
    <row r="52" ht="15.75" customHeight="1" s="1349">
      <c r="A52" s="1269" t="n"/>
      <c r="B52" s="1269" t="n"/>
      <c r="C52" s="1270" t="n"/>
      <c r="D52" s="1270" t="n"/>
      <c r="E52" s="1271" t="n"/>
      <c r="F52" s="1269" t="n"/>
      <c r="G52" s="1269" t="n"/>
      <c r="H52" s="1272" t="n"/>
      <c r="I52" s="1272" t="n"/>
      <c r="J52" s="1238" t="n"/>
    </row>
    <row r="53" ht="15.75" customHeight="1" s="1349">
      <c r="A53" s="1269" t="n"/>
      <c r="B53" s="1269" t="n"/>
      <c r="C53" s="1270" t="n"/>
      <c r="D53" s="1270" t="n"/>
      <c r="E53" s="1271" t="n"/>
      <c r="F53" s="1269" t="n"/>
      <c r="G53" s="1269" t="n"/>
      <c r="H53" s="1272" t="n"/>
      <c r="I53" s="1272" t="n"/>
      <c r="J53" s="1238" t="n"/>
    </row>
    <row r="54" ht="15.75" customHeight="1" s="1349">
      <c r="A54" s="1269" t="n"/>
      <c r="B54" s="1269" t="n"/>
      <c r="C54" s="1270" t="n"/>
      <c r="D54" s="1270" t="n"/>
      <c r="E54" s="1271" t="n"/>
      <c r="F54" s="1269" t="n"/>
      <c r="G54" s="1269" t="n"/>
      <c r="H54" s="1272" t="n"/>
      <c r="I54" s="1272" t="n"/>
      <c r="J54" s="1238" t="n"/>
    </row>
    <row r="55" ht="15.75" customHeight="1" s="1349">
      <c r="A55" s="1269" t="n"/>
      <c r="B55" s="1269" t="n"/>
      <c r="C55" s="1270" t="n"/>
      <c r="D55" s="1270" t="n"/>
      <c r="E55" s="1271" t="n"/>
      <c r="F55" s="1269" t="n"/>
      <c r="G55" s="1269" t="n"/>
      <c r="H55" s="1272" t="n"/>
      <c r="I55" s="1272" t="n"/>
      <c r="J55" s="1238" t="n"/>
    </row>
    <row r="56" ht="15.75" customHeight="1" s="1349">
      <c r="A56" s="1269" t="n"/>
      <c r="B56" s="1269" t="n"/>
      <c r="C56" s="1270" t="n"/>
      <c r="D56" s="1270" t="n"/>
      <c r="E56" s="1271" t="n"/>
      <c r="F56" s="1269" t="n"/>
      <c r="G56" s="1269" t="n"/>
      <c r="H56" s="1272" t="n"/>
      <c r="I56" s="1272" t="n"/>
      <c r="J56" s="1238" t="n"/>
    </row>
    <row r="57" ht="15.75" customHeight="1" s="1349">
      <c r="A57" s="1269" t="n"/>
      <c r="B57" s="1269" t="n"/>
      <c r="C57" s="1270" t="n"/>
      <c r="D57" s="1270" t="n"/>
      <c r="E57" s="1271" t="n"/>
      <c r="F57" s="1269" t="n"/>
      <c r="G57" s="1269" t="n"/>
      <c r="H57" s="1272" t="n"/>
      <c r="I57" s="1272" t="n"/>
      <c r="J57" s="1238" t="n"/>
    </row>
    <row r="58" ht="15.75" customHeight="1" s="1349">
      <c r="A58" s="1269" t="n"/>
      <c r="B58" s="1269" t="n"/>
      <c r="C58" s="1270" t="n"/>
      <c r="D58" s="1270" t="n"/>
      <c r="E58" s="1271" t="n"/>
      <c r="F58" s="1269" t="n"/>
      <c r="G58" s="1269" t="n"/>
      <c r="H58" s="1272" t="n"/>
      <c r="I58" s="1272" t="n"/>
      <c r="J58" s="1238" t="n"/>
    </row>
    <row r="59" ht="15.75" customHeight="1" s="1349">
      <c r="A59" s="1269" t="n"/>
      <c r="B59" s="1269" t="n"/>
      <c r="C59" s="1270" t="n"/>
      <c r="D59" s="1270" t="n"/>
      <c r="E59" s="1271" t="n"/>
      <c r="F59" s="1269" t="n"/>
      <c r="G59" s="1269" t="n"/>
      <c r="H59" s="1272" t="n"/>
      <c r="I59" s="1272" t="n"/>
      <c r="J59" s="1238" t="n"/>
    </row>
    <row r="60" ht="15.75" customHeight="1" s="1349">
      <c r="A60" s="1269" t="n"/>
      <c r="B60" s="1269" t="n"/>
      <c r="C60" s="1270" t="n"/>
      <c r="D60" s="1270" t="n"/>
      <c r="E60" s="1271" t="n"/>
      <c r="F60" s="1269" t="n"/>
      <c r="G60" s="1269" t="n"/>
      <c r="H60" s="1272" t="n"/>
      <c r="I60" s="1272" t="n"/>
      <c r="J60" s="1238" t="n"/>
    </row>
    <row r="61" ht="15.75" customHeight="1" s="1349">
      <c r="A61" s="1269" t="n"/>
      <c r="B61" s="1269" t="n"/>
      <c r="C61" s="1270" t="n"/>
      <c r="D61" s="1270" t="n"/>
      <c r="E61" s="1271" t="n"/>
      <c r="F61" s="1269" t="n"/>
      <c r="G61" s="1269" t="n"/>
      <c r="H61" s="1272" t="n"/>
      <c r="I61" s="1272" t="n"/>
      <c r="J61" s="1238" t="n"/>
    </row>
    <row r="62" ht="15.75" customHeight="1" s="1349">
      <c r="A62" s="1269" t="n"/>
      <c r="B62" s="1269" t="n"/>
      <c r="C62" s="1270" t="n"/>
      <c r="D62" s="1270" t="n"/>
      <c r="E62" s="1271" t="n"/>
      <c r="F62" s="1269" t="n"/>
      <c r="G62" s="1269" t="n"/>
      <c r="H62" s="1272" t="n"/>
      <c r="I62" s="1272" t="n"/>
      <c r="J62" s="1238" t="n"/>
    </row>
    <row r="63" ht="15.75" customHeight="1" s="1349">
      <c r="A63" s="1269" t="n"/>
      <c r="B63" s="1269" t="n"/>
      <c r="C63" s="1270" t="n"/>
      <c r="D63" s="1270" t="n"/>
      <c r="E63" s="1271" t="n"/>
      <c r="F63" s="1269" t="n"/>
      <c r="G63" s="1269" t="n"/>
      <c r="H63" s="1272" t="n"/>
      <c r="I63" s="1272" t="n"/>
      <c r="J63" s="1238" t="n"/>
    </row>
    <row r="64" ht="15.75" customHeight="1" s="1349">
      <c r="A64" s="1269" t="n"/>
      <c r="B64" s="1269" t="n"/>
      <c r="C64" s="1270" t="n"/>
      <c r="D64" s="1270" t="n"/>
      <c r="E64" s="1271" t="n"/>
      <c r="F64" s="1269" t="n"/>
      <c r="G64" s="1269" t="n"/>
      <c r="H64" s="1272" t="n"/>
      <c r="I64" s="1272" t="n"/>
      <c r="J64" s="1238" t="n"/>
    </row>
    <row r="65" ht="15.75" customHeight="1" s="1349">
      <c r="A65" s="1269" t="n"/>
      <c r="B65" s="1269" t="n"/>
      <c r="C65" s="1270" t="n"/>
      <c r="D65" s="1270" t="n"/>
      <c r="E65" s="1271" t="n"/>
      <c r="F65" s="1269" t="n"/>
      <c r="G65" s="1269" t="n"/>
      <c r="H65" s="1272" t="n"/>
      <c r="I65" s="1272" t="n"/>
      <c r="J65" s="1238" t="n"/>
    </row>
    <row r="66" ht="15.75" customHeight="1" s="1349">
      <c r="A66" s="1269" t="n"/>
      <c r="B66" s="1269" t="n"/>
      <c r="C66" s="1270" t="n"/>
      <c r="D66" s="1270" t="n"/>
      <c r="E66" s="1271" t="n"/>
      <c r="F66" s="1269" t="n"/>
      <c r="G66" s="1269" t="n"/>
      <c r="H66" s="1272" t="n"/>
      <c r="I66" s="1272" t="n"/>
      <c r="J66" s="1238" t="n"/>
    </row>
    <row r="67" ht="15.75" customHeight="1" s="1349">
      <c r="A67" s="1269" t="n"/>
      <c r="B67" s="1269" t="n"/>
      <c r="C67" s="1270" t="n"/>
      <c r="D67" s="1270" t="n"/>
      <c r="E67" s="1271" t="n"/>
      <c r="F67" s="1269" t="n"/>
      <c r="G67" s="1269" t="n"/>
      <c r="H67" s="1272" t="n"/>
      <c r="I67" s="1272" t="n"/>
      <c r="J67" s="1238" t="n"/>
    </row>
    <row r="68" ht="15.75" customHeight="1" s="1349">
      <c r="A68" s="1269" t="n"/>
      <c r="B68" s="1269" t="n"/>
      <c r="C68" s="1270" t="n"/>
      <c r="D68" s="1270" t="n"/>
      <c r="E68" s="1271" t="n"/>
      <c r="F68" s="1269" t="n"/>
      <c r="G68" s="1269" t="n"/>
      <c r="H68" s="1272" t="n"/>
      <c r="I68" s="1272" t="n"/>
      <c r="J68" s="1238" t="n"/>
    </row>
    <row r="69" ht="15.75" customHeight="1" s="1349">
      <c r="A69" s="1269" t="n"/>
      <c r="B69" s="1269" t="n"/>
      <c r="C69" s="1270" t="n"/>
      <c r="D69" s="1270" t="n"/>
      <c r="E69" s="1271" t="n"/>
      <c r="F69" s="1269" t="n"/>
      <c r="G69" s="1269" t="n"/>
      <c r="H69" s="1272" t="n"/>
      <c r="I69" s="1272" t="n"/>
      <c r="J69" s="1238" t="n"/>
    </row>
    <row r="70" ht="15.75" customHeight="1" s="1349">
      <c r="A70" s="1269" t="n"/>
      <c r="B70" s="1269" t="n"/>
      <c r="C70" s="1270" t="n"/>
      <c r="D70" s="1270" t="n"/>
      <c r="E70" s="1271" t="n"/>
      <c r="F70" s="1269" t="n"/>
      <c r="G70" s="1269" t="n"/>
      <c r="H70" s="1272" t="n"/>
      <c r="I70" s="1272" t="n"/>
      <c r="J70" s="1238" t="n"/>
    </row>
    <row r="71" ht="15.75" customHeight="1" s="1349">
      <c r="A71" s="1269" t="n"/>
      <c r="B71" s="1269" t="n"/>
      <c r="C71" s="1270" t="n"/>
      <c r="D71" s="1270" t="n"/>
      <c r="E71" s="1271" t="n"/>
      <c r="F71" s="1269" t="n"/>
      <c r="G71" s="1269" t="n"/>
      <c r="H71" s="1272" t="n"/>
      <c r="I71" s="1272" t="n"/>
      <c r="J71" s="1238" t="n"/>
    </row>
    <row r="72" ht="15.75" customHeight="1" s="1349">
      <c r="A72" s="1269" t="n"/>
      <c r="B72" s="1269" t="n"/>
      <c r="C72" s="1270" t="n"/>
      <c r="D72" s="1270" t="n"/>
      <c r="E72" s="1271" t="n"/>
      <c r="F72" s="1269" t="n"/>
      <c r="G72" s="1269" t="n"/>
      <c r="H72" s="1272" t="n"/>
      <c r="I72" s="1272" t="n"/>
      <c r="J72" s="1238" t="n"/>
    </row>
    <row r="73" ht="15.75" customHeight="1" s="1349">
      <c r="A73" s="1269" t="n"/>
      <c r="B73" s="1269" t="n"/>
      <c r="C73" s="1270" t="n"/>
      <c r="D73" s="1270" t="n"/>
      <c r="E73" s="1271" t="n"/>
      <c r="F73" s="1269" t="n"/>
      <c r="G73" s="1269" t="n"/>
      <c r="H73" s="1272" t="n"/>
      <c r="I73" s="1272" t="n"/>
      <c r="J73" s="1238" t="n"/>
    </row>
    <row r="74" ht="15.75" customHeight="1" s="1349">
      <c r="A74" s="1269" t="n"/>
      <c r="B74" s="1269" t="n"/>
      <c r="C74" s="1270" t="n"/>
      <c r="D74" s="1270" t="n"/>
      <c r="E74" s="1271" t="n"/>
      <c r="F74" s="1269" t="n"/>
      <c r="G74" s="1269" t="n"/>
      <c r="H74" s="1272" t="n"/>
      <c r="I74" s="1272" t="n"/>
      <c r="J74" s="1238" t="n"/>
    </row>
    <row r="75" ht="15.75" customHeight="1" s="1349">
      <c r="A75" s="1269" t="n"/>
      <c r="B75" s="1269" t="n"/>
      <c r="C75" s="1270" t="n"/>
      <c r="D75" s="1270" t="n"/>
      <c r="E75" s="1271" t="n"/>
      <c r="F75" s="1269" t="n"/>
      <c r="G75" s="1269" t="n"/>
      <c r="H75" s="1272" t="n"/>
      <c r="I75" s="1272" t="n"/>
      <c r="J75" s="1238" t="n"/>
    </row>
    <row r="76" ht="15.75" customHeight="1" s="1349">
      <c r="A76" s="1269" t="n"/>
      <c r="B76" s="1269" t="n"/>
      <c r="C76" s="1270" t="n"/>
      <c r="D76" s="1270" t="n"/>
      <c r="E76" s="1271" t="n"/>
      <c r="F76" s="1269" t="n"/>
      <c r="G76" s="1269" t="n"/>
      <c r="H76" s="1272" t="n"/>
      <c r="I76" s="1272" t="n"/>
      <c r="J76" s="1238" t="n"/>
    </row>
    <row r="77" ht="15.75" customHeight="1" s="1349">
      <c r="A77" s="1269" t="n"/>
      <c r="B77" s="1269" t="n"/>
      <c r="C77" s="1270" t="n"/>
      <c r="D77" s="1270" t="n"/>
      <c r="E77" s="1271" t="n"/>
      <c r="F77" s="1269" t="n"/>
      <c r="G77" s="1269" t="n"/>
      <c r="H77" s="1272" t="n"/>
      <c r="I77" s="1272" t="n"/>
      <c r="J77" s="1238" t="n"/>
    </row>
    <row r="78" ht="15.75" customHeight="1" s="1349">
      <c r="A78" s="1269" t="n"/>
      <c r="B78" s="1269" t="n"/>
      <c r="C78" s="1270" t="n"/>
      <c r="D78" s="1270" t="n"/>
      <c r="E78" s="1271" t="n"/>
      <c r="F78" s="1269" t="n"/>
      <c r="G78" s="1269" t="n"/>
      <c r="H78" s="1272" t="n"/>
      <c r="I78" s="1272" t="n"/>
      <c r="J78" s="1238" t="n"/>
    </row>
    <row r="79" ht="15.75" customHeight="1" s="1349">
      <c r="A79" s="1269" t="n"/>
      <c r="B79" s="1269" t="n"/>
      <c r="C79" s="1270" t="n"/>
      <c r="D79" s="1270" t="n"/>
      <c r="E79" s="1271" t="n"/>
      <c r="F79" s="1269" t="n"/>
      <c r="G79" s="1269" t="n"/>
      <c r="H79" s="1272" t="n"/>
      <c r="I79" s="1272" t="n"/>
      <c r="J79" s="1238" t="n"/>
    </row>
    <row r="80" ht="15.75" customHeight="1" s="1349">
      <c r="A80" s="1269" t="n"/>
      <c r="B80" s="1269" t="n"/>
      <c r="C80" s="1270" t="n"/>
      <c r="D80" s="1270" t="n"/>
      <c r="E80" s="1271" t="n"/>
      <c r="F80" s="1269" t="n"/>
      <c r="G80" s="1269" t="n"/>
      <c r="H80" s="1272" t="n"/>
      <c r="I80" s="1272" t="n"/>
      <c r="J80" s="1238" t="n"/>
    </row>
    <row r="81" ht="15.75" customHeight="1" s="1349">
      <c r="A81" s="1269" t="n"/>
      <c r="B81" s="1269" t="n"/>
      <c r="C81" s="1270" t="n"/>
      <c r="D81" s="1270" t="n"/>
      <c r="E81" s="1271" t="n"/>
      <c r="F81" s="1269" t="n"/>
      <c r="G81" s="1269" t="n"/>
      <c r="H81" s="1272" t="n"/>
      <c r="I81" s="1272" t="n"/>
      <c r="J81" s="1238" t="n"/>
    </row>
    <row r="82" ht="15.75" customHeight="1" s="1349">
      <c r="A82" s="1269" t="n"/>
      <c r="B82" s="1269" t="n"/>
      <c r="C82" s="1270" t="n"/>
      <c r="D82" s="1270" t="n"/>
      <c r="E82" s="1271" t="n"/>
      <c r="F82" s="1269" t="n"/>
      <c r="G82" s="1269" t="n"/>
      <c r="H82" s="1272" t="n"/>
      <c r="I82" s="1272" t="n"/>
      <c r="J82" s="1238" t="n"/>
    </row>
    <row r="83" ht="15.75" customHeight="1" s="1349">
      <c r="A83" s="1269" t="n"/>
      <c r="B83" s="1269" t="n"/>
      <c r="C83" s="1270" t="n"/>
      <c r="D83" s="1270" t="n"/>
      <c r="E83" s="1271" t="n"/>
      <c r="F83" s="1269" t="n"/>
      <c r="G83" s="1269" t="n"/>
      <c r="H83" s="1272" t="n"/>
      <c r="I83" s="1272" t="n"/>
      <c r="J83" s="1238" t="n"/>
    </row>
    <row r="84" ht="15.75" customHeight="1" s="1349">
      <c r="A84" s="1269" t="n"/>
      <c r="B84" s="1269" t="n"/>
      <c r="C84" s="1270" t="n"/>
      <c r="D84" s="1270" t="n"/>
      <c r="E84" s="1271" t="n"/>
      <c r="F84" s="1269" t="n"/>
      <c r="G84" s="1269" t="n"/>
      <c r="H84" s="1272" t="n"/>
      <c r="I84" s="1272" t="n"/>
      <c r="J84" s="1238" t="n"/>
    </row>
    <row r="85" ht="15.75" customHeight="1" s="1349">
      <c r="A85" s="1269" t="n"/>
      <c r="B85" s="1269" t="n"/>
      <c r="C85" s="1270" t="n"/>
      <c r="D85" s="1270" t="n"/>
      <c r="E85" s="1271" t="n"/>
      <c r="F85" s="1269" t="n"/>
      <c r="G85" s="1269" t="n"/>
      <c r="H85" s="1272" t="n"/>
      <c r="I85" s="1272" t="n"/>
      <c r="J85" s="1238" t="n"/>
    </row>
    <row r="86" ht="15.75" customHeight="1" s="1349">
      <c r="A86" s="1269" t="n"/>
      <c r="B86" s="1269" t="n"/>
      <c r="C86" s="1270" t="n"/>
      <c r="D86" s="1270" t="n"/>
      <c r="E86" s="1271" t="n"/>
      <c r="F86" s="1269" t="n"/>
      <c r="G86" s="1269" t="n"/>
      <c r="H86" s="1272" t="n"/>
      <c r="I86" s="1272" t="n"/>
      <c r="J86" s="1238" t="n"/>
    </row>
    <row r="87" ht="15.75" customHeight="1" s="1349">
      <c r="A87" s="1269" t="n"/>
      <c r="B87" s="1269" t="n"/>
      <c r="C87" s="1270" t="n"/>
      <c r="D87" s="1270" t="n"/>
      <c r="E87" s="1271" t="n"/>
      <c r="F87" s="1269" t="n"/>
      <c r="G87" s="1269" t="n"/>
      <c r="H87" s="1272" t="n"/>
      <c r="I87" s="1272" t="n"/>
      <c r="J87" s="1238" t="n"/>
    </row>
    <row r="88" ht="15.75" customHeight="1" s="1349">
      <c r="A88" s="1269" t="n"/>
      <c r="B88" s="1269" t="n"/>
      <c r="C88" s="1270" t="n"/>
      <c r="D88" s="1270" t="n"/>
      <c r="E88" s="1271" t="n"/>
      <c r="F88" s="1269" t="n"/>
      <c r="G88" s="1269" t="n"/>
      <c r="H88" s="1272" t="n"/>
      <c r="I88" s="1272" t="n"/>
      <c r="J88" s="1238" t="n"/>
    </row>
    <row r="89" ht="15.75" customHeight="1" s="1349">
      <c r="A89" s="1269" t="n"/>
      <c r="B89" s="1269" t="n"/>
      <c r="C89" s="1270" t="n"/>
      <c r="D89" s="1270" t="n"/>
      <c r="E89" s="1271" t="n"/>
      <c r="F89" s="1269" t="n"/>
      <c r="G89" s="1269" t="n"/>
      <c r="H89" s="1272" t="n"/>
      <c r="I89" s="1272" t="n"/>
      <c r="J89" s="1238" t="n"/>
    </row>
    <row r="90" ht="15.75" customHeight="1" s="1349">
      <c r="A90" s="1269" t="n"/>
      <c r="B90" s="1269" t="n"/>
      <c r="C90" s="1270" t="n"/>
      <c r="D90" s="1270" t="n"/>
      <c r="E90" s="1271" t="n"/>
      <c r="F90" s="1269" t="n"/>
      <c r="G90" s="1269" t="n"/>
      <c r="H90" s="1272" t="n"/>
      <c r="I90" s="1272" t="n"/>
      <c r="J90" s="1238" t="n"/>
    </row>
    <row r="91" ht="15.75" customHeight="1" s="1349">
      <c r="A91" s="1269" t="n"/>
      <c r="B91" s="1269" t="n"/>
      <c r="C91" s="1270" t="n"/>
      <c r="D91" s="1270" t="n"/>
      <c r="E91" s="1271" t="n"/>
      <c r="F91" s="1269" t="n"/>
      <c r="G91" s="1269" t="n"/>
      <c r="H91" s="1272" t="n"/>
      <c r="I91" s="1272" t="n"/>
      <c r="J91" s="1238" t="n"/>
    </row>
    <row r="92" ht="15.75" customHeight="1" s="1349">
      <c r="A92" s="1269" t="n"/>
      <c r="B92" s="1269" t="n"/>
      <c r="C92" s="1270" t="n"/>
      <c r="D92" s="1270" t="n"/>
      <c r="E92" s="1271" t="n"/>
      <c r="F92" s="1269" t="n"/>
      <c r="G92" s="1269" t="n"/>
      <c r="H92" s="1272" t="n"/>
      <c r="I92" s="1272" t="n"/>
      <c r="J92" s="1238" t="n"/>
    </row>
    <row r="93" ht="15.75" customHeight="1" s="1349">
      <c r="A93" s="1269" t="n"/>
      <c r="B93" s="1269" t="n"/>
      <c r="C93" s="1270" t="n"/>
      <c r="D93" s="1270" t="n"/>
      <c r="E93" s="1271" t="n"/>
      <c r="F93" s="1269" t="n"/>
      <c r="G93" s="1269" t="n"/>
      <c r="H93" s="1272" t="n"/>
      <c r="I93" s="1272" t="n"/>
      <c r="J93" s="1238" t="n"/>
    </row>
    <row r="94" ht="15.75" customHeight="1" s="1349">
      <c r="A94" s="1269" t="n"/>
      <c r="B94" s="1269" t="n"/>
      <c r="C94" s="1270" t="n"/>
      <c r="D94" s="1270" t="n"/>
      <c r="E94" s="1271" t="n"/>
      <c r="F94" s="1269" t="n"/>
      <c r="G94" s="1269" t="n"/>
      <c r="H94" s="1272" t="n"/>
      <c r="I94" s="1272" t="n"/>
      <c r="J94" s="1238" t="n"/>
    </row>
    <row r="95" ht="15.75" customHeight="1" s="1349">
      <c r="A95" s="1269" t="n"/>
      <c r="B95" s="1269" t="n"/>
      <c r="C95" s="1270" t="n"/>
      <c r="D95" s="1270" t="n"/>
      <c r="E95" s="1271" t="n"/>
      <c r="F95" s="1269" t="n"/>
      <c r="G95" s="1269" t="n"/>
      <c r="H95" s="1272" t="n"/>
      <c r="I95" s="1272" t="n"/>
      <c r="J95" s="1238" t="n"/>
    </row>
    <row r="96" ht="15.75" customHeight="1" s="1349">
      <c r="A96" s="1269" t="n"/>
      <c r="B96" s="1269" t="n"/>
      <c r="C96" s="1270" t="n"/>
      <c r="D96" s="1270" t="n"/>
      <c r="E96" s="1271" t="n"/>
      <c r="F96" s="1269" t="n"/>
      <c r="G96" s="1269" t="n"/>
      <c r="H96" s="1272" t="n"/>
      <c r="I96" s="1272" t="n"/>
      <c r="J96" s="1238" t="n"/>
    </row>
    <row r="97" ht="15.75" customHeight="1" s="1349">
      <c r="A97" s="1269" t="n"/>
      <c r="B97" s="1269" t="n"/>
      <c r="C97" s="1270" t="n"/>
      <c r="D97" s="1270" t="n"/>
      <c r="E97" s="1271" t="n"/>
      <c r="F97" s="1269" t="n"/>
      <c r="G97" s="1269" t="n"/>
      <c r="H97" s="1272" t="n"/>
      <c r="I97" s="1272" t="n"/>
      <c r="J97" s="1238" t="n"/>
    </row>
    <row r="98" ht="15.75" customHeight="1" s="1349">
      <c r="A98" s="1269" t="n"/>
      <c r="B98" s="1269" t="n"/>
      <c r="C98" s="1270" t="n"/>
      <c r="D98" s="1270" t="n"/>
      <c r="E98" s="1271" t="n"/>
      <c r="F98" s="1269" t="n"/>
      <c r="G98" s="1269" t="n"/>
      <c r="H98" s="1272" t="n"/>
      <c r="I98" s="1272" t="n"/>
      <c r="J98" s="1238" t="n"/>
    </row>
    <row r="99" ht="15.75" customHeight="1" s="1349">
      <c r="A99" s="1269" t="n"/>
      <c r="B99" s="1269" t="n"/>
      <c r="C99" s="1270" t="n"/>
      <c r="D99" s="1270" t="n"/>
      <c r="E99" s="1271" t="n"/>
      <c r="F99" s="1269" t="n"/>
      <c r="G99" s="1269" t="n"/>
      <c r="H99" s="1272" t="n"/>
      <c r="I99" s="1272" t="n"/>
      <c r="J99" s="1238" t="n"/>
    </row>
    <row r="100" ht="15.75" customHeight="1" s="1349">
      <c r="A100" s="1269" t="n"/>
      <c r="B100" s="1269" t="n"/>
      <c r="C100" s="1270" t="n"/>
      <c r="D100" s="1270" t="n"/>
      <c r="E100" s="1271" t="n"/>
      <c r="F100" s="1269" t="n"/>
      <c r="G100" s="1269" t="n"/>
      <c r="H100" s="1272" t="n"/>
      <c r="I100" s="1272" t="n"/>
      <c r="J100" s="1238" t="n"/>
    </row>
    <row r="101" ht="15.75" customHeight="1" s="1349">
      <c r="A101" s="1269" t="n"/>
      <c r="B101" s="1269" t="n"/>
      <c r="C101" s="1270" t="n"/>
      <c r="D101" s="1270" t="n"/>
      <c r="E101" s="1271" t="n"/>
      <c r="F101" s="1269" t="n"/>
      <c r="G101" s="1269" t="n"/>
      <c r="H101" s="1272" t="n"/>
      <c r="I101" s="1272" t="n"/>
      <c r="J101" s="1238" t="n"/>
    </row>
    <row r="102" ht="15.75" customHeight="1" s="1349">
      <c r="A102" s="1269" t="n"/>
      <c r="B102" s="1269" t="n"/>
      <c r="C102" s="1270" t="n"/>
      <c r="D102" s="1270" t="n"/>
      <c r="E102" s="1271" t="n"/>
      <c r="F102" s="1269" t="n"/>
      <c r="G102" s="1269" t="n"/>
      <c r="H102" s="1272" t="n"/>
      <c r="I102" s="1272" t="n"/>
      <c r="J102" s="1238" t="n"/>
    </row>
    <row r="103" ht="15.75" customHeight="1" s="1349">
      <c r="A103" s="1269" t="n"/>
      <c r="B103" s="1269" t="n"/>
      <c r="C103" s="1270" t="n"/>
      <c r="D103" s="1270" t="n"/>
      <c r="E103" s="1271" t="n"/>
      <c r="F103" s="1269" t="n"/>
      <c r="G103" s="1269" t="n"/>
      <c r="H103" s="1272" t="n"/>
      <c r="I103" s="1272" t="n"/>
      <c r="J103" s="1238" t="n"/>
    </row>
    <row r="104" ht="15.75" customHeight="1" s="1349">
      <c r="A104" s="1269" t="n"/>
      <c r="B104" s="1269" t="n"/>
      <c r="C104" s="1270" t="n"/>
      <c r="D104" s="1270" t="n"/>
      <c r="E104" s="1271" t="n"/>
      <c r="F104" s="1269" t="n"/>
      <c r="G104" s="1269" t="n"/>
      <c r="H104" s="1272" t="n"/>
      <c r="I104" s="1272" t="n"/>
      <c r="J104" s="1238" t="n"/>
    </row>
    <row r="105" ht="15.75" customHeight="1" s="1349">
      <c r="A105" s="1269" t="n"/>
      <c r="B105" s="1269" t="n"/>
      <c r="C105" s="1270" t="n"/>
      <c r="D105" s="1270" t="n"/>
      <c r="E105" s="1271" t="n"/>
      <c r="F105" s="1269" t="n"/>
      <c r="G105" s="1269" t="n"/>
      <c r="H105" s="1272" t="n"/>
      <c r="I105" s="1272" t="n"/>
      <c r="J105" s="1238" t="n"/>
    </row>
    <row r="106" ht="15.75" customHeight="1" s="1349">
      <c r="A106" s="1269" t="n"/>
      <c r="B106" s="1269" t="n"/>
      <c r="C106" s="1270" t="n"/>
      <c r="D106" s="1270" t="n"/>
      <c r="E106" s="1271" t="n"/>
      <c r="F106" s="1269" t="n"/>
      <c r="G106" s="1269" t="n"/>
      <c r="H106" s="1272" t="n"/>
      <c r="I106" s="1272" t="n"/>
      <c r="J106" s="1238" t="n"/>
    </row>
    <row r="107" ht="15.75" customHeight="1" s="1349">
      <c r="A107" s="1269" t="n"/>
      <c r="B107" s="1269" t="n"/>
      <c r="C107" s="1270" t="n"/>
      <c r="D107" s="1270" t="n"/>
      <c r="E107" s="1271" t="n"/>
      <c r="F107" s="1269" t="n"/>
      <c r="G107" s="1269" t="n"/>
      <c r="H107" s="1272" t="n"/>
      <c r="I107" s="1272" t="n"/>
      <c r="J107" s="1238" t="n"/>
    </row>
    <row r="108" ht="15.75" customHeight="1" s="1349">
      <c r="A108" s="1269" t="n"/>
      <c r="B108" s="1269" t="n"/>
      <c r="C108" s="1270" t="n"/>
      <c r="D108" s="1270" t="n"/>
      <c r="E108" s="1271" t="n"/>
      <c r="F108" s="1269" t="n"/>
      <c r="G108" s="1269" t="n"/>
      <c r="H108" s="1272" t="n"/>
      <c r="I108" s="1272" t="n"/>
      <c r="J108" s="1238" t="n"/>
    </row>
    <row r="109" ht="15.75" customHeight="1" s="1349">
      <c r="A109" s="1269" t="n"/>
      <c r="B109" s="1269" t="n"/>
      <c r="C109" s="1270" t="n"/>
      <c r="D109" s="1270" t="n"/>
      <c r="E109" s="1271" t="n"/>
      <c r="F109" s="1269" t="n"/>
      <c r="G109" s="1269" t="n"/>
      <c r="H109" s="1272" t="n"/>
      <c r="I109" s="1272" t="n"/>
      <c r="J109" s="1238" t="n"/>
    </row>
    <row r="110" ht="15.75" customHeight="1" s="1349">
      <c r="A110" s="1269" t="n"/>
      <c r="B110" s="1269" t="n"/>
      <c r="C110" s="1270" t="n"/>
      <c r="D110" s="1270" t="n"/>
      <c r="E110" s="1271" t="n"/>
      <c r="F110" s="1269" t="n"/>
      <c r="G110" s="1269" t="n"/>
      <c r="H110" s="1272" t="n"/>
      <c r="I110" s="1272" t="n"/>
      <c r="J110" s="1238" t="n"/>
    </row>
    <row r="111" ht="15.75" customHeight="1" s="1349">
      <c r="A111" s="1269" t="n"/>
      <c r="B111" s="1269" t="n"/>
      <c r="C111" s="1270" t="n"/>
      <c r="D111" s="1270" t="n"/>
      <c r="E111" s="1271" t="n"/>
      <c r="F111" s="1269" t="n"/>
      <c r="G111" s="1269" t="n"/>
      <c r="H111" s="1272" t="n"/>
      <c r="I111" s="1272" t="n"/>
      <c r="J111" s="1238" t="n"/>
    </row>
    <row r="112" ht="15.75" customHeight="1" s="1349">
      <c r="A112" s="1269" t="n"/>
      <c r="B112" s="1269" t="n"/>
      <c r="C112" s="1270" t="n"/>
      <c r="D112" s="1270" t="n"/>
      <c r="E112" s="1271" t="n"/>
      <c r="F112" s="1269" t="n"/>
      <c r="G112" s="1269" t="n"/>
      <c r="H112" s="1272" t="n"/>
      <c r="I112" s="1272" t="n"/>
      <c r="J112" s="1238" t="n"/>
    </row>
    <row r="113" ht="15.75" customHeight="1" s="1349">
      <c r="A113" s="1269" t="n"/>
      <c r="B113" s="1269" t="n"/>
      <c r="C113" s="1270" t="n"/>
      <c r="D113" s="1270" t="n"/>
      <c r="E113" s="1271" t="n"/>
      <c r="F113" s="1269" t="n"/>
      <c r="G113" s="1269" t="n"/>
      <c r="H113" s="1272" t="n"/>
      <c r="I113" s="1272" t="n"/>
      <c r="J113" s="1238" t="n"/>
    </row>
    <row r="114" ht="15.75" customHeight="1" s="1349">
      <c r="A114" s="1269" t="n"/>
      <c r="B114" s="1269" t="n"/>
      <c r="C114" s="1270" t="n"/>
      <c r="D114" s="1270" t="n"/>
      <c r="E114" s="1271" t="n"/>
      <c r="F114" s="1269" t="n"/>
      <c r="G114" s="1269" t="n"/>
      <c r="H114" s="1272" t="n"/>
      <c r="I114" s="1272" t="n"/>
      <c r="J114" s="1238" t="n"/>
    </row>
    <row r="115" ht="15.75" customHeight="1" s="1349">
      <c r="A115" s="1269" t="n"/>
      <c r="B115" s="1269" t="n"/>
      <c r="C115" s="1270" t="n"/>
      <c r="D115" s="1270" t="n"/>
      <c r="E115" s="1271" t="n"/>
      <c r="F115" s="1269" t="n"/>
      <c r="G115" s="1269" t="n"/>
      <c r="H115" s="1272" t="n"/>
      <c r="I115" s="1272" t="n"/>
      <c r="J115" s="1238" t="n"/>
    </row>
    <row r="116" ht="15.75" customHeight="1" s="1349">
      <c r="A116" s="1269" t="n"/>
      <c r="B116" s="1269" t="n"/>
      <c r="C116" s="1270" t="n"/>
      <c r="D116" s="1270" t="n"/>
      <c r="E116" s="1271" t="n"/>
      <c r="F116" s="1269" t="n"/>
      <c r="G116" s="1269" t="n"/>
      <c r="H116" s="1272" t="n"/>
      <c r="I116" s="1272" t="n"/>
      <c r="J116" s="1238" t="n"/>
    </row>
    <row r="117" ht="15.75" customHeight="1" s="1349">
      <c r="A117" s="1269" t="n"/>
      <c r="B117" s="1269" t="n"/>
      <c r="C117" s="1270" t="n"/>
      <c r="D117" s="1270" t="n"/>
      <c r="E117" s="1271" t="n"/>
      <c r="F117" s="1269" t="n"/>
      <c r="G117" s="1269" t="n"/>
      <c r="H117" s="1272" t="n"/>
      <c r="I117" s="1272" t="n"/>
      <c r="J117" s="1238" t="n"/>
    </row>
    <row r="118" ht="15.75" customHeight="1" s="1349">
      <c r="A118" s="1269" t="n"/>
      <c r="B118" s="1269" t="n"/>
      <c r="C118" s="1270" t="n"/>
      <c r="D118" s="1270" t="n"/>
      <c r="E118" s="1271" t="n"/>
      <c r="F118" s="1269" t="n"/>
      <c r="G118" s="1269" t="n"/>
      <c r="H118" s="1272" t="n"/>
      <c r="I118" s="1272" t="n"/>
      <c r="J118" s="1238" t="n"/>
    </row>
    <row r="119" ht="15.75" customHeight="1" s="1349">
      <c r="A119" s="1269" t="n"/>
      <c r="B119" s="1269" t="n"/>
      <c r="C119" s="1270" t="n"/>
      <c r="D119" s="1270" t="n"/>
      <c r="E119" s="1271" t="n"/>
      <c r="F119" s="1269" t="n"/>
      <c r="G119" s="1269" t="n"/>
      <c r="H119" s="1272" t="n"/>
      <c r="I119" s="1272" t="n"/>
      <c r="J119" s="1238" t="n"/>
    </row>
    <row r="120" ht="15.75" customHeight="1" s="1349">
      <c r="A120" s="1269" t="n"/>
      <c r="B120" s="1269" t="n"/>
      <c r="C120" s="1270" t="n"/>
      <c r="D120" s="1270" t="n"/>
      <c r="E120" s="1271" t="n"/>
      <c r="F120" s="1269" t="n"/>
      <c r="G120" s="1269" t="n"/>
      <c r="H120" s="1272" t="n"/>
      <c r="I120" s="1272" t="n"/>
      <c r="J120" s="1238" t="n"/>
    </row>
    <row r="121" ht="15.75" customHeight="1" s="1349">
      <c r="A121" s="1269" t="n"/>
      <c r="B121" s="1269" t="n"/>
      <c r="C121" s="1270" t="n"/>
      <c r="D121" s="1270" t="n"/>
      <c r="E121" s="1271" t="n"/>
      <c r="F121" s="1269" t="n"/>
      <c r="G121" s="1269" t="n"/>
      <c r="H121" s="1272" t="n"/>
      <c r="I121" s="1272" t="n"/>
      <c r="J121" s="1238" t="n"/>
    </row>
    <row r="122" ht="15.75" customHeight="1" s="1349">
      <c r="A122" s="1269" t="n"/>
      <c r="B122" s="1269" t="n"/>
      <c r="C122" s="1270" t="n"/>
      <c r="D122" s="1270" t="n"/>
      <c r="E122" s="1271" t="n"/>
      <c r="F122" s="1269" t="n"/>
      <c r="G122" s="1269" t="n"/>
      <c r="H122" s="1272" t="n"/>
      <c r="I122" s="1272" t="n"/>
      <c r="J122" s="1238" t="n"/>
    </row>
    <row r="123" ht="15.75" customHeight="1" s="1349">
      <c r="A123" s="1269" t="n"/>
      <c r="B123" s="1269" t="n"/>
      <c r="C123" s="1270" t="n"/>
      <c r="D123" s="1270" t="n"/>
      <c r="E123" s="1271" t="n"/>
      <c r="F123" s="1269" t="n"/>
      <c r="G123" s="1269" t="n"/>
      <c r="H123" s="1272" t="n"/>
      <c r="I123" s="1272" t="n"/>
      <c r="J123" s="1238" t="n"/>
    </row>
    <row r="124" ht="15.75" customHeight="1" s="1349">
      <c r="A124" s="1269" t="n"/>
      <c r="B124" s="1269" t="n"/>
      <c r="C124" s="1270" t="n"/>
      <c r="D124" s="1270" t="n"/>
      <c r="E124" s="1271" t="n"/>
      <c r="F124" s="1269" t="n"/>
      <c r="G124" s="1269" t="n"/>
      <c r="H124" s="1272" t="n"/>
      <c r="I124" s="1272" t="n"/>
      <c r="J124" s="1238" t="n"/>
    </row>
    <row r="125" ht="15.75" customHeight="1" s="1349">
      <c r="A125" s="1269" t="n"/>
      <c r="B125" s="1269" t="n"/>
      <c r="C125" s="1270" t="n"/>
      <c r="D125" s="1270" t="n"/>
      <c r="E125" s="1271" t="n"/>
      <c r="F125" s="1269" t="n"/>
      <c r="G125" s="1269" t="n"/>
      <c r="H125" s="1272" t="n"/>
      <c r="I125" s="1272" t="n"/>
      <c r="J125" s="1238" t="n"/>
    </row>
    <row r="126" ht="15.75" customHeight="1" s="1349">
      <c r="A126" s="1269" t="n"/>
      <c r="B126" s="1269" t="n"/>
      <c r="C126" s="1270" t="n"/>
      <c r="D126" s="1270" t="n"/>
      <c r="E126" s="1271" t="n"/>
      <c r="F126" s="1269" t="n"/>
      <c r="G126" s="1269" t="n"/>
      <c r="H126" s="1272" t="n"/>
      <c r="I126" s="1272" t="n"/>
      <c r="J126" s="1238" t="n"/>
    </row>
    <row r="127" ht="15.75" customHeight="1" s="1349">
      <c r="A127" s="1269" t="n"/>
      <c r="B127" s="1269" t="n"/>
      <c r="C127" s="1270" t="n"/>
      <c r="D127" s="1270" t="n"/>
      <c r="E127" s="1271" t="n"/>
      <c r="F127" s="1269" t="n"/>
      <c r="G127" s="1269" t="n"/>
      <c r="H127" s="1272" t="n"/>
      <c r="I127" s="1272" t="n"/>
      <c r="J127" s="1238" t="n"/>
    </row>
    <row r="128" ht="15.75" customHeight="1" s="1349">
      <c r="A128" s="1269" t="n"/>
      <c r="B128" s="1269" t="n"/>
      <c r="C128" s="1270" t="n"/>
      <c r="D128" s="1270" t="n"/>
      <c r="E128" s="1271" t="n"/>
      <c r="F128" s="1269" t="n"/>
      <c r="G128" s="1269" t="n"/>
      <c r="H128" s="1272" t="n"/>
      <c r="I128" s="1272" t="n"/>
      <c r="J128" s="1238" t="n"/>
    </row>
    <row r="129" ht="15.75" customHeight="1" s="1349">
      <c r="A129" s="1269" t="n"/>
      <c r="B129" s="1269" t="n"/>
      <c r="C129" s="1270" t="n"/>
      <c r="D129" s="1270" t="n"/>
      <c r="E129" s="1271" t="n"/>
      <c r="F129" s="1269" t="n"/>
      <c r="G129" s="1269" t="n"/>
      <c r="H129" s="1272" t="n"/>
      <c r="I129" s="1272" t="n"/>
      <c r="J129" s="1238" t="n"/>
    </row>
    <row r="130" ht="15.75" customHeight="1" s="1349">
      <c r="A130" s="1269" t="n"/>
      <c r="B130" s="1269" t="n"/>
      <c r="C130" s="1270" t="n"/>
      <c r="D130" s="1270" t="n"/>
      <c r="E130" s="1271" t="n"/>
      <c r="F130" s="1269" t="n"/>
      <c r="G130" s="1269" t="n"/>
      <c r="H130" s="1272" t="n"/>
      <c r="I130" s="1272" t="n"/>
      <c r="J130" s="1238" t="n"/>
    </row>
    <row r="131" ht="15.75" customHeight="1" s="1349">
      <c r="A131" s="1269" t="n"/>
      <c r="B131" s="1269" t="n"/>
      <c r="C131" s="1270" t="n"/>
      <c r="D131" s="1270" t="n"/>
      <c r="E131" s="1271" t="n"/>
      <c r="F131" s="1269" t="n"/>
      <c r="G131" s="1269" t="n"/>
      <c r="H131" s="1272" t="n"/>
      <c r="I131" s="1272" t="n"/>
      <c r="J131" s="1238" t="n"/>
    </row>
    <row r="132" ht="15.75" customHeight="1" s="1349">
      <c r="A132" s="1269" t="n"/>
      <c r="B132" s="1269" t="n"/>
      <c r="C132" s="1270" t="n"/>
      <c r="D132" s="1270" t="n"/>
      <c r="E132" s="1271" t="n"/>
      <c r="F132" s="1269" t="n"/>
      <c r="G132" s="1269" t="n"/>
      <c r="H132" s="1272" t="n"/>
      <c r="I132" s="1272" t="n"/>
      <c r="J132" s="1238" t="n"/>
    </row>
    <row r="133" ht="15.75" customHeight="1" s="1349">
      <c r="A133" s="1269" t="n"/>
      <c r="B133" s="1269" t="n"/>
      <c r="C133" s="1270" t="n"/>
      <c r="D133" s="1270" t="n"/>
      <c r="E133" s="1271" t="n"/>
      <c r="F133" s="1269" t="n"/>
      <c r="G133" s="1269" t="n"/>
      <c r="H133" s="1272" t="n"/>
      <c r="I133" s="1272" t="n"/>
      <c r="J133" s="1238" t="n"/>
    </row>
    <row r="134" ht="15.75" customHeight="1" s="1349">
      <c r="A134" s="1269" t="n"/>
      <c r="B134" s="1269" t="n"/>
      <c r="C134" s="1270" t="n"/>
      <c r="D134" s="1270" t="n"/>
      <c r="E134" s="1271" t="n"/>
      <c r="F134" s="1269" t="n"/>
      <c r="G134" s="1269" t="n"/>
      <c r="H134" s="1272" t="n"/>
      <c r="I134" s="1272" t="n"/>
      <c r="J134" s="1238" t="n"/>
    </row>
    <row r="135" ht="15.75" customHeight="1" s="1349">
      <c r="A135" s="1269" t="n"/>
      <c r="B135" s="1269" t="n"/>
      <c r="C135" s="1270" t="n"/>
      <c r="D135" s="1270" t="n"/>
      <c r="E135" s="1271" t="n"/>
      <c r="F135" s="1269" t="n"/>
      <c r="G135" s="1269" t="n"/>
      <c r="H135" s="1272" t="n"/>
      <c r="I135" s="1272" t="n"/>
      <c r="J135" s="1238" t="n"/>
    </row>
    <row r="136" ht="15.75" customHeight="1" s="1349">
      <c r="A136" s="1269" t="n"/>
      <c r="B136" s="1269" t="n"/>
      <c r="C136" s="1270" t="n"/>
      <c r="D136" s="1270" t="n"/>
      <c r="E136" s="1271" t="n"/>
      <c r="F136" s="1269" t="n"/>
      <c r="G136" s="1269" t="n"/>
      <c r="H136" s="1272" t="n"/>
      <c r="I136" s="1272" t="n"/>
      <c r="J136" s="1238" t="n"/>
    </row>
    <row r="137" ht="15.75" customHeight="1" s="1349">
      <c r="A137" s="1269" t="n"/>
      <c r="B137" s="1269" t="n"/>
      <c r="C137" s="1270" t="n"/>
      <c r="D137" s="1270" t="n"/>
      <c r="E137" s="1271" t="n"/>
      <c r="F137" s="1269" t="n"/>
      <c r="G137" s="1269" t="n"/>
      <c r="H137" s="1272" t="n"/>
      <c r="I137" s="1272" t="n"/>
      <c r="J137" s="1238" t="n"/>
    </row>
    <row r="138" ht="15.75" customHeight="1" s="1349">
      <c r="A138" s="1269" t="n"/>
      <c r="B138" s="1269" t="n"/>
      <c r="C138" s="1270" t="n"/>
      <c r="D138" s="1270" t="n"/>
      <c r="E138" s="1271" t="n"/>
      <c r="F138" s="1269" t="n"/>
      <c r="G138" s="1269" t="n"/>
      <c r="H138" s="1272" t="n"/>
      <c r="I138" s="1272" t="n"/>
      <c r="J138" s="1238" t="n"/>
    </row>
    <row r="139" ht="15.75" customHeight="1" s="1349">
      <c r="A139" s="1269" t="n"/>
      <c r="B139" s="1269" t="n"/>
      <c r="C139" s="1270" t="n"/>
      <c r="D139" s="1270" t="n"/>
      <c r="E139" s="1271" t="n"/>
      <c r="F139" s="1269" t="n"/>
      <c r="G139" s="1269" t="n"/>
      <c r="H139" s="1272" t="n"/>
      <c r="I139" s="1272" t="n"/>
      <c r="J139" s="1238" t="n"/>
    </row>
    <row r="140" ht="15.75" customHeight="1" s="1349">
      <c r="A140" s="1269" t="n"/>
      <c r="B140" s="1269" t="n"/>
      <c r="C140" s="1270" t="n"/>
      <c r="D140" s="1270" t="n"/>
      <c r="E140" s="1271" t="n"/>
      <c r="F140" s="1269" t="n"/>
      <c r="G140" s="1269" t="n"/>
      <c r="H140" s="1272" t="n"/>
      <c r="I140" s="1272" t="n"/>
      <c r="J140" s="1238" t="n"/>
    </row>
    <row r="141" ht="15.75" customHeight="1" s="1349">
      <c r="A141" s="1269" t="n"/>
      <c r="B141" s="1269" t="n"/>
      <c r="C141" s="1270" t="n"/>
      <c r="D141" s="1270" t="n"/>
      <c r="E141" s="1271" t="n"/>
      <c r="F141" s="1269" t="n"/>
      <c r="G141" s="1269" t="n"/>
      <c r="H141" s="1272" t="n"/>
      <c r="I141" s="1272" t="n"/>
      <c r="J141" s="1238" t="n"/>
    </row>
    <row r="142" ht="15.75" customHeight="1" s="1349">
      <c r="A142" s="1269" t="n"/>
      <c r="B142" s="1269" t="n"/>
      <c r="C142" s="1270" t="n"/>
      <c r="D142" s="1270" t="n"/>
      <c r="E142" s="1271" t="n"/>
      <c r="F142" s="1269" t="n"/>
      <c r="G142" s="1269" t="n"/>
      <c r="H142" s="1272" t="n"/>
      <c r="I142" s="1272" t="n"/>
      <c r="J142" s="1238" t="n"/>
    </row>
    <row r="143" ht="15.75" customHeight="1" s="1349">
      <c r="A143" s="1269" t="n"/>
      <c r="B143" s="1269" t="n"/>
      <c r="C143" s="1270" t="n"/>
      <c r="D143" s="1270" t="n"/>
      <c r="E143" s="1271" t="n"/>
      <c r="F143" s="1269" t="n"/>
      <c r="G143" s="1269" t="n"/>
      <c r="H143" s="1272" t="n"/>
      <c r="I143" s="1272" t="n"/>
      <c r="J143" s="1238" t="n"/>
    </row>
    <row r="144" ht="15.75" customHeight="1" s="1349">
      <c r="A144" s="1269" t="n"/>
      <c r="B144" s="1269" t="n"/>
      <c r="C144" s="1270" t="n"/>
      <c r="D144" s="1270" t="n"/>
      <c r="E144" s="1271" t="n"/>
      <c r="F144" s="1269" t="n"/>
      <c r="G144" s="1269" t="n"/>
      <c r="H144" s="1272" t="n"/>
      <c r="I144" s="1272" t="n"/>
      <c r="J144" s="1238" t="n"/>
    </row>
    <row r="145" ht="15.75" customHeight="1" s="1349">
      <c r="A145" s="1269" t="n"/>
      <c r="B145" s="1269" t="n"/>
      <c r="C145" s="1270" t="n"/>
      <c r="D145" s="1270" t="n"/>
      <c r="E145" s="1271" t="n"/>
      <c r="F145" s="1269" t="n"/>
      <c r="G145" s="1269" t="n"/>
      <c r="H145" s="1272" t="n"/>
      <c r="I145" s="1272" t="n"/>
      <c r="J145" s="1238" t="n"/>
    </row>
    <row r="146" ht="15.75" customHeight="1" s="1349">
      <c r="A146" s="1269" t="n"/>
      <c r="B146" s="1269" t="n"/>
      <c r="C146" s="1270" t="n"/>
      <c r="D146" s="1270" t="n"/>
      <c r="E146" s="1271" t="n"/>
      <c r="F146" s="1269" t="n"/>
      <c r="G146" s="1269" t="n"/>
      <c r="H146" s="1272" t="n"/>
      <c r="I146" s="1272" t="n"/>
      <c r="J146" s="1238" t="n"/>
    </row>
    <row r="147" ht="15.75" customHeight="1" s="1349">
      <c r="A147" s="1269" t="n"/>
      <c r="B147" s="1269" t="n"/>
      <c r="C147" s="1270" t="n"/>
      <c r="D147" s="1270" t="n"/>
      <c r="E147" s="1271" t="n"/>
      <c r="F147" s="1269" t="n"/>
      <c r="G147" s="1269" t="n"/>
      <c r="H147" s="1272" t="n"/>
      <c r="I147" s="1272" t="n"/>
      <c r="J147" s="1238" t="n"/>
    </row>
    <row r="148" ht="15.75" customHeight="1" s="1349">
      <c r="A148" s="1269" t="n"/>
      <c r="B148" s="1269" t="n"/>
      <c r="C148" s="1270" t="n"/>
      <c r="D148" s="1270" t="n"/>
      <c r="E148" s="1271" t="n"/>
      <c r="F148" s="1269" t="n"/>
      <c r="G148" s="1269" t="n"/>
      <c r="H148" s="1272" t="n"/>
      <c r="I148" s="1272" t="n"/>
      <c r="J148" s="1238" t="n"/>
    </row>
    <row r="149" ht="15.75" customHeight="1" s="1349">
      <c r="A149" s="1269" t="n"/>
      <c r="B149" s="1269" t="n"/>
      <c r="C149" s="1270" t="n"/>
      <c r="D149" s="1270" t="n"/>
      <c r="E149" s="1271" t="n"/>
      <c r="F149" s="1269" t="n"/>
      <c r="G149" s="1269" t="n"/>
      <c r="H149" s="1272" t="n"/>
      <c r="I149" s="1272" t="n"/>
      <c r="J149" s="1238" t="n"/>
    </row>
    <row r="150" ht="15.75" customHeight="1" s="1349">
      <c r="A150" s="1269" t="n"/>
      <c r="B150" s="1269" t="n"/>
      <c r="C150" s="1270" t="n"/>
      <c r="D150" s="1270" t="n"/>
      <c r="E150" s="1271" t="n"/>
      <c r="F150" s="1269" t="n"/>
      <c r="G150" s="1269" t="n"/>
      <c r="H150" s="1272" t="n"/>
      <c r="I150" s="1272" t="n"/>
      <c r="J150" s="1238" t="n"/>
    </row>
    <row r="151" ht="15.75" customHeight="1" s="1349">
      <c r="A151" s="1269" t="n"/>
      <c r="B151" s="1269" t="n"/>
      <c r="C151" s="1270" t="n"/>
      <c r="D151" s="1270" t="n"/>
      <c r="E151" s="1271" t="n"/>
      <c r="F151" s="1269" t="n"/>
      <c r="G151" s="1269" t="n"/>
      <c r="H151" s="1272" t="n"/>
      <c r="I151" s="1272" t="n"/>
      <c r="J151" s="1238" t="n"/>
    </row>
    <row r="152" ht="15.75" customHeight="1" s="1349">
      <c r="A152" s="1269" t="n"/>
      <c r="B152" s="1269" t="n"/>
      <c r="C152" s="1270" t="n"/>
      <c r="D152" s="1270" t="n"/>
      <c r="E152" s="1271" t="n"/>
      <c r="F152" s="1269" t="n"/>
      <c r="G152" s="1269" t="n"/>
      <c r="H152" s="1272" t="n"/>
      <c r="I152" s="1272" t="n"/>
      <c r="J152" s="1238" t="n"/>
    </row>
    <row r="153" ht="15.75" customHeight="1" s="1349">
      <c r="A153" s="1269" t="n"/>
      <c r="B153" s="1269" t="n"/>
      <c r="C153" s="1270" t="n"/>
      <c r="D153" s="1270" t="n"/>
      <c r="E153" s="1271" t="n"/>
      <c r="F153" s="1269" t="n"/>
      <c r="G153" s="1269" t="n"/>
      <c r="H153" s="1272" t="n"/>
      <c r="I153" s="1272" t="n"/>
      <c r="J153" s="1238" t="n"/>
    </row>
    <row r="154" ht="15.75" customHeight="1" s="1349">
      <c r="A154" s="1269" t="n"/>
      <c r="B154" s="1269" t="n"/>
      <c r="C154" s="1270" t="n"/>
      <c r="D154" s="1270" t="n"/>
      <c r="E154" s="1271" t="n"/>
      <c r="F154" s="1269" t="n"/>
      <c r="G154" s="1269" t="n"/>
      <c r="H154" s="1272" t="n"/>
      <c r="I154" s="1272" t="n"/>
      <c r="J154" s="1238" t="n"/>
    </row>
    <row r="155" ht="15.75" customHeight="1" s="1349">
      <c r="A155" s="1269" t="n"/>
      <c r="B155" s="1269" t="n"/>
      <c r="C155" s="1270" t="n"/>
      <c r="D155" s="1270" t="n"/>
      <c r="E155" s="1271" t="n"/>
      <c r="F155" s="1269" t="n"/>
      <c r="G155" s="1269" t="n"/>
      <c r="H155" s="1272" t="n"/>
      <c r="I155" s="1272" t="n"/>
      <c r="J155" s="1238" t="n"/>
    </row>
    <row r="156" ht="15.75" customHeight="1" s="1349">
      <c r="A156" s="1269" t="n"/>
      <c r="B156" s="1269" t="n"/>
      <c r="C156" s="1270" t="n"/>
      <c r="D156" s="1270" t="n"/>
      <c r="E156" s="1271" t="n"/>
      <c r="F156" s="1269" t="n"/>
      <c r="G156" s="1269" t="n"/>
      <c r="H156" s="1272" t="n"/>
      <c r="I156" s="1272" t="n"/>
      <c r="J156" s="1238" t="n"/>
    </row>
    <row r="157" ht="15.75" customHeight="1" s="1349">
      <c r="A157" s="1269" t="n"/>
      <c r="B157" s="1269" t="n"/>
      <c r="C157" s="1270" t="n"/>
      <c r="D157" s="1270" t="n"/>
      <c r="E157" s="1271" t="n"/>
      <c r="F157" s="1269" t="n"/>
      <c r="G157" s="1269" t="n"/>
      <c r="H157" s="1272" t="n"/>
      <c r="I157" s="1272" t="n"/>
      <c r="J157" s="1238" t="n"/>
    </row>
    <row r="158" ht="15.75" customHeight="1" s="1349">
      <c r="A158" s="1269" t="n"/>
      <c r="B158" s="1269" t="n"/>
      <c r="C158" s="1270" t="n"/>
      <c r="D158" s="1270" t="n"/>
      <c r="E158" s="1271" t="n"/>
      <c r="F158" s="1269" t="n"/>
      <c r="G158" s="1269" t="n"/>
      <c r="H158" s="1272" t="n"/>
      <c r="I158" s="1272" t="n"/>
      <c r="J158" s="1238" t="n"/>
    </row>
    <row r="159" ht="15.75" customHeight="1" s="1349">
      <c r="A159" s="1269" t="n"/>
      <c r="B159" s="1269" t="n"/>
      <c r="C159" s="1270" t="n"/>
      <c r="D159" s="1270" t="n"/>
      <c r="E159" s="1271" t="n"/>
      <c r="F159" s="1269" t="n"/>
      <c r="G159" s="1269" t="n"/>
      <c r="H159" s="1272" t="n"/>
      <c r="I159" s="1272" t="n"/>
      <c r="J159" s="1238" t="n"/>
    </row>
    <row r="160" ht="15.75" customHeight="1" s="1349">
      <c r="A160" s="1269" t="n"/>
      <c r="B160" s="1269" t="n"/>
      <c r="C160" s="1270" t="n"/>
      <c r="D160" s="1270" t="n"/>
      <c r="E160" s="1271" t="n"/>
      <c r="F160" s="1269" t="n"/>
      <c r="G160" s="1269" t="n"/>
      <c r="H160" s="1272" t="n"/>
      <c r="I160" s="1272" t="n"/>
      <c r="J160" s="1238" t="n"/>
    </row>
    <row r="161" ht="15.75" customHeight="1" s="1349">
      <c r="A161" s="1269" t="n"/>
      <c r="B161" s="1269" t="n"/>
      <c r="C161" s="1270" t="n"/>
      <c r="D161" s="1270" t="n"/>
      <c r="E161" s="1271" t="n"/>
      <c r="F161" s="1269" t="n"/>
      <c r="G161" s="1269" t="n"/>
      <c r="H161" s="1272" t="n"/>
      <c r="I161" s="1272" t="n"/>
      <c r="J161" s="1238" t="n"/>
    </row>
    <row r="162" ht="15.75" customHeight="1" s="1349">
      <c r="A162" s="1269" t="n"/>
      <c r="B162" s="1269" t="n"/>
      <c r="C162" s="1270" t="n"/>
      <c r="D162" s="1270" t="n"/>
      <c r="E162" s="1271" t="n"/>
      <c r="F162" s="1269" t="n"/>
      <c r="G162" s="1269" t="n"/>
      <c r="H162" s="1272" t="n"/>
      <c r="I162" s="1272" t="n"/>
      <c r="J162" s="1238" t="n"/>
    </row>
    <row r="163" ht="15.75" customHeight="1" s="1349">
      <c r="A163" s="1269" t="n"/>
      <c r="B163" s="1269" t="n"/>
      <c r="C163" s="1270" t="n"/>
      <c r="D163" s="1270" t="n"/>
      <c r="E163" s="1271" t="n"/>
      <c r="F163" s="1269" t="n"/>
      <c r="G163" s="1269" t="n"/>
      <c r="H163" s="1272" t="n"/>
      <c r="I163" s="1272" t="n"/>
      <c r="J163" s="1238" t="n"/>
    </row>
    <row r="164" ht="15.75" customHeight="1" s="1349">
      <c r="A164" s="1269" t="n"/>
      <c r="B164" s="1269" t="n"/>
      <c r="C164" s="1270" t="n"/>
      <c r="D164" s="1270" t="n"/>
      <c r="E164" s="1271" t="n"/>
      <c r="F164" s="1269" t="n"/>
      <c r="G164" s="1269" t="n"/>
      <c r="H164" s="1272" t="n"/>
      <c r="I164" s="1272" t="n"/>
      <c r="J164" s="1238" t="n"/>
    </row>
    <row r="165" ht="15.75" customHeight="1" s="1349">
      <c r="A165" s="1269" t="n"/>
      <c r="B165" s="1269" t="n"/>
      <c r="C165" s="1270" t="n"/>
      <c r="D165" s="1270" t="n"/>
      <c r="E165" s="1271" t="n"/>
      <c r="F165" s="1269" t="n"/>
      <c r="G165" s="1269" t="n"/>
      <c r="H165" s="1272" t="n"/>
      <c r="I165" s="1272" t="n"/>
      <c r="J165" s="1238" t="n"/>
    </row>
    <row r="166" ht="15.75" customHeight="1" s="1349">
      <c r="A166" s="1269" t="n"/>
      <c r="B166" s="1269" t="n"/>
      <c r="C166" s="1270" t="n"/>
      <c r="D166" s="1270" t="n"/>
      <c r="E166" s="1271" t="n"/>
      <c r="F166" s="1269" t="n"/>
      <c r="G166" s="1269" t="n"/>
      <c r="H166" s="1272" t="n"/>
      <c r="I166" s="1272" t="n"/>
      <c r="J166" s="1238" t="n"/>
    </row>
    <row r="167" ht="15.75" customHeight="1" s="1349">
      <c r="A167" s="1269" t="n"/>
      <c r="B167" s="1269" t="n"/>
      <c r="C167" s="1270" t="n"/>
      <c r="D167" s="1270" t="n"/>
      <c r="E167" s="1271" t="n"/>
      <c r="F167" s="1269" t="n"/>
      <c r="G167" s="1269" t="n"/>
      <c r="H167" s="1272" t="n"/>
      <c r="I167" s="1272" t="n"/>
      <c r="J167" s="1238" t="n"/>
    </row>
    <row r="168" ht="15.75" customHeight="1" s="1349">
      <c r="A168" s="1269" t="n"/>
      <c r="B168" s="1269" t="n"/>
      <c r="C168" s="1270" t="n"/>
      <c r="D168" s="1270" t="n"/>
      <c r="E168" s="1271" t="n"/>
      <c r="F168" s="1269" t="n"/>
      <c r="G168" s="1269" t="n"/>
      <c r="H168" s="1272" t="n"/>
      <c r="I168" s="1272" t="n"/>
      <c r="J168" s="1238" t="n"/>
    </row>
    <row r="169" ht="15.75" customHeight="1" s="1349">
      <c r="A169" s="1269" t="n"/>
      <c r="B169" s="1269" t="n"/>
      <c r="C169" s="1270" t="n"/>
      <c r="D169" s="1270" t="n"/>
      <c r="E169" s="1271" t="n"/>
      <c r="F169" s="1269" t="n"/>
      <c r="G169" s="1269" t="n"/>
      <c r="H169" s="1272" t="n"/>
      <c r="I169" s="1272" t="n"/>
      <c r="J169" s="1238" t="n"/>
    </row>
    <row r="170" ht="15.75" customHeight="1" s="1349">
      <c r="A170" s="1269" t="n"/>
      <c r="B170" s="1269" t="n"/>
      <c r="C170" s="1270" t="n"/>
      <c r="D170" s="1270" t="n"/>
      <c r="E170" s="1271" t="n"/>
      <c r="F170" s="1269" t="n"/>
      <c r="G170" s="1269" t="n"/>
      <c r="H170" s="1272" t="n"/>
      <c r="I170" s="1272" t="n"/>
      <c r="J170" s="1238" t="n"/>
    </row>
    <row r="171" ht="15.75" customHeight="1" s="1349">
      <c r="A171" s="1269" t="n"/>
      <c r="B171" s="1269" t="n"/>
      <c r="C171" s="1270" t="n"/>
      <c r="D171" s="1270" t="n"/>
      <c r="E171" s="1271" t="n"/>
      <c r="F171" s="1269" t="n"/>
      <c r="G171" s="1269" t="n"/>
      <c r="H171" s="1272" t="n"/>
      <c r="I171" s="1272" t="n"/>
      <c r="J171" s="1238" t="n"/>
    </row>
    <row r="172" ht="15.75" customHeight="1" s="1349">
      <c r="A172" s="1269" t="n"/>
      <c r="B172" s="1269" t="n"/>
      <c r="C172" s="1270" t="n"/>
      <c r="D172" s="1270" t="n"/>
      <c r="E172" s="1271" t="n"/>
      <c r="F172" s="1269" t="n"/>
      <c r="G172" s="1269" t="n"/>
      <c r="H172" s="1272" t="n"/>
      <c r="I172" s="1272" t="n"/>
      <c r="J172" s="1238" t="n"/>
    </row>
    <row r="173" ht="15.75" customHeight="1" s="1349">
      <c r="A173" s="1269" t="n"/>
      <c r="B173" s="1269" t="n"/>
      <c r="C173" s="1270" t="n"/>
      <c r="D173" s="1270" t="n"/>
      <c r="E173" s="1271" t="n"/>
      <c r="F173" s="1269" t="n"/>
      <c r="G173" s="1269" t="n"/>
      <c r="H173" s="1272" t="n"/>
      <c r="I173" s="1272" t="n"/>
      <c r="J173" s="1238" t="n"/>
    </row>
    <row r="174" ht="15.75" customHeight="1" s="1349">
      <c r="A174" s="1269" t="n"/>
      <c r="B174" s="1269" t="n"/>
      <c r="C174" s="1270" t="n"/>
      <c r="D174" s="1270" t="n"/>
      <c r="E174" s="1271" t="n"/>
      <c r="F174" s="1269" t="n"/>
      <c r="G174" s="1269" t="n"/>
      <c r="H174" s="1272" t="n"/>
      <c r="I174" s="1272" t="n"/>
      <c r="J174" s="1238" t="n"/>
    </row>
    <row r="175" ht="15.75" customHeight="1" s="1349">
      <c r="A175" s="1269" t="n"/>
      <c r="B175" s="1269" t="n"/>
      <c r="C175" s="1270" t="n"/>
      <c r="D175" s="1270" t="n"/>
      <c r="E175" s="1271" t="n"/>
      <c r="F175" s="1269" t="n"/>
      <c r="G175" s="1269" t="n"/>
      <c r="H175" s="1272" t="n"/>
      <c r="I175" s="1272" t="n"/>
      <c r="J175" s="1238" t="n"/>
    </row>
    <row r="176" ht="15.75" customHeight="1" s="1349">
      <c r="A176" s="1269" t="n"/>
      <c r="B176" s="1269" t="n"/>
      <c r="C176" s="1270" t="n"/>
      <c r="D176" s="1270" t="n"/>
      <c r="E176" s="1271" t="n"/>
      <c r="F176" s="1269" t="n"/>
      <c r="G176" s="1269" t="n"/>
      <c r="H176" s="1272" t="n"/>
      <c r="I176" s="1272" t="n"/>
      <c r="J176" s="1238" t="n"/>
    </row>
    <row r="177" ht="15.75" customHeight="1" s="1349">
      <c r="A177" s="1269" t="n"/>
      <c r="B177" s="1269" t="n"/>
      <c r="C177" s="1270" t="n"/>
      <c r="D177" s="1270" t="n"/>
      <c r="E177" s="1271" t="n"/>
      <c r="F177" s="1269" t="n"/>
      <c r="G177" s="1269" t="n"/>
      <c r="H177" s="1272" t="n"/>
      <c r="I177" s="1272" t="n"/>
      <c r="J177" s="1238" t="n"/>
    </row>
    <row r="178" ht="15.75" customHeight="1" s="1349">
      <c r="A178" s="1269" t="n"/>
      <c r="B178" s="1269" t="n"/>
      <c r="C178" s="1270" t="n"/>
      <c r="D178" s="1270" t="n"/>
      <c r="E178" s="1271" t="n"/>
      <c r="F178" s="1269" t="n"/>
      <c r="G178" s="1269" t="n"/>
      <c r="H178" s="1272" t="n"/>
      <c r="I178" s="1272" t="n"/>
      <c r="J178" s="1238" t="n"/>
    </row>
    <row r="179" ht="15.75" customHeight="1" s="1349">
      <c r="A179" s="1269" t="n"/>
      <c r="B179" s="1269" t="n"/>
      <c r="C179" s="1270" t="n"/>
      <c r="D179" s="1270" t="n"/>
      <c r="E179" s="1271" t="n"/>
      <c r="F179" s="1269" t="n"/>
      <c r="G179" s="1269" t="n"/>
      <c r="H179" s="1272" t="n"/>
      <c r="I179" s="1272" t="n"/>
      <c r="J179" s="1238" t="n"/>
    </row>
    <row r="180" ht="15.75" customHeight="1" s="1349">
      <c r="A180" s="1269" t="n"/>
      <c r="B180" s="1269" t="n"/>
      <c r="C180" s="1270" t="n"/>
      <c r="D180" s="1270" t="n"/>
      <c r="E180" s="1271" t="n"/>
      <c r="F180" s="1269" t="n"/>
      <c r="G180" s="1269" t="n"/>
      <c r="H180" s="1272" t="n"/>
      <c r="I180" s="1272" t="n"/>
      <c r="J180" s="1238" t="n"/>
    </row>
    <row r="181" ht="15.75" customHeight="1" s="1349">
      <c r="A181" s="1269" t="n"/>
      <c r="B181" s="1269" t="n"/>
      <c r="C181" s="1270" t="n"/>
      <c r="D181" s="1270" t="n"/>
      <c r="E181" s="1271" t="n"/>
      <c r="F181" s="1269" t="n"/>
      <c r="G181" s="1269" t="n"/>
      <c r="H181" s="1272" t="n"/>
      <c r="I181" s="1272" t="n"/>
      <c r="J181" s="1238" t="n"/>
    </row>
    <row r="182" ht="15.75" customHeight="1" s="1349">
      <c r="A182" s="1269" t="n"/>
      <c r="B182" s="1269" t="n"/>
      <c r="C182" s="1270" t="n"/>
      <c r="D182" s="1270" t="n"/>
      <c r="E182" s="1271" t="n"/>
      <c r="F182" s="1269" t="n"/>
      <c r="G182" s="1269" t="n"/>
      <c r="H182" s="1272" t="n"/>
      <c r="I182" s="1272" t="n"/>
      <c r="J182" s="1238" t="n"/>
    </row>
    <row r="183" ht="15.75" customHeight="1" s="1349">
      <c r="A183" s="1269" t="n"/>
      <c r="B183" s="1269" t="n"/>
      <c r="C183" s="1270" t="n"/>
      <c r="D183" s="1270" t="n"/>
      <c r="E183" s="1271" t="n"/>
      <c r="F183" s="1269" t="n"/>
      <c r="G183" s="1269" t="n"/>
      <c r="H183" s="1272" t="n"/>
      <c r="I183" s="1272" t="n"/>
      <c r="J183" s="1238" t="n"/>
    </row>
    <row r="184" ht="15.75" customHeight="1" s="1349">
      <c r="A184" s="1269" t="n"/>
      <c r="B184" s="1269" t="n"/>
      <c r="C184" s="1270" t="n"/>
      <c r="D184" s="1270" t="n"/>
      <c r="E184" s="1271" t="n"/>
      <c r="F184" s="1269" t="n"/>
      <c r="G184" s="1269" t="n"/>
      <c r="H184" s="1272" t="n"/>
      <c r="I184" s="1272" t="n"/>
      <c r="J184" s="1238" t="n"/>
    </row>
    <row r="185" ht="15.75" customHeight="1" s="1349">
      <c r="A185" s="1269" t="n"/>
      <c r="B185" s="1269" t="n"/>
      <c r="C185" s="1270" t="n"/>
      <c r="D185" s="1270" t="n"/>
      <c r="E185" s="1271" t="n"/>
      <c r="F185" s="1269" t="n"/>
      <c r="G185" s="1269" t="n"/>
      <c r="H185" s="1272" t="n"/>
      <c r="I185" s="1272" t="n"/>
      <c r="J185" s="1238" t="n"/>
    </row>
    <row r="186" ht="15.75" customHeight="1" s="1349">
      <c r="A186" s="1269" t="n"/>
      <c r="B186" s="1269" t="n"/>
      <c r="C186" s="1270" t="n"/>
      <c r="D186" s="1270" t="n"/>
      <c r="E186" s="1271" t="n"/>
      <c r="F186" s="1269" t="n"/>
      <c r="G186" s="1269" t="n"/>
      <c r="H186" s="1272" t="n"/>
      <c r="I186" s="1272" t="n"/>
      <c r="J186" s="1238" t="n"/>
    </row>
    <row r="187" ht="15.75" customHeight="1" s="1349">
      <c r="A187" s="1269" t="n"/>
      <c r="B187" s="1269" t="n"/>
      <c r="C187" s="1270" t="n"/>
      <c r="D187" s="1270" t="n"/>
      <c r="E187" s="1271" t="n"/>
      <c r="F187" s="1269" t="n"/>
      <c r="G187" s="1269" t="n"/>
      <c r="H187" s="1272" t="n"/>
      <c r="I187" s="1272" t="n"/>
      <c r="J187" s="1238" t="n"/>
    </row>
    <row r="188" ht="15.75" customHeight="1" s="1349">
      <c r="A188" s="1269" t="n"/>
      <c r="B188" s="1269" t="n"/>
      <c r="C188" s="1270" t="n"/>
      <c r="D188" s="1270" t="n"/>
      <c r="E188" s="1271" t="n"/>
      <c r="F188" s="1269" t="n"/>
      <c r="G188" s="1269" t="n"/>
      <c r="H188" s="1272" t="n"/>
      <c r="I188" s="1272" t="n"/>
      <c r="J188" s="1238" t="n"/>
    </row>
    <row r="189" ht="15.75" customHeight="1" s="1349">
      <c r="A189" s="1269" t="n"/>
      <c r="B189" s="1269" t="n"/>
      <c r="C189" s="1270" t="n"/>
      <c r="D189" s="1270" t="n"/>
      <c r="E189" s="1271" t="n"/>
      <c r="F189" s="1269" t="n"/>
      <c r="G189" s="1269" t="n"/>
      <c r="H189" s="1272" t="n"/>
      <c r="I189" s="1272" t="n"/>
      <c r="J189" s="1238" t="n"/>
    </row>
    <row r="190" ht="15.75" customHeight="1" s="1349">
      <c r="A190" s="1269" t="n"/>
      <c r="B190" s="1269" t="n"/>
      <c r="C190" s="1270" t="n"/>
      <c r="D190" s="1270" t="n"/>
      <c r="E190" s="1271" t="n"/>
      <c r="F190" s="1269" t="n"/>
      <c r="G190" s="1269" t="n"/>
      <c r="H190" s="1272" t="n"/>
      <c r="I190" s="1272" t="n"/>
      <c r="J190" s="1238" t="n"/>
    </row>
    <row r="191" ht="15.75" customHeight="1" s="1349">
      <c r="A191" s="1269" t="n"/>
      <c r="B191" s="1269" t="n"/>
      <c r="C191" s="1270" t="n"/>
      <c r="D191" s="1270" t="n"/>
      <c r="E191" s="1271" t="n"/>
      <c r="F191" s="1269" t="n"/>
      <c r="G191" s="1269" t="n"/>
      <c r="H191" s="1272" t="n"/>
      <c r="I191" s="1272" t="n"/>
      <c r="J191" s="1238" t="n"/>
    </row>
    <row r="192" ht="15.75" customHeight="1" s="1349">
      <c r="A192" s="1269" t="n"/>
      <c r="B192" s="1269" t="n"/>
      <c r="C192" s="1270" t="n"/>
      <c r="D192" s="1270" t="n"/>
      <c r="E192" s="1271" t="n"/>
      <c r="F192" s="1269" t="n"/>
      <c r="G192" s="1269" t="n"/>
      <c r="H192" s="1272" t="n"/>
      <c r="I192" s="1272" t="n"/>
      <c r="J192" s="1238" t="n"/>
    </row>
    <row r="193" ht="15.75" customHeight="1" s="1349">
      <c r="A193" s="1269" t="n"/>
      <c r="B193" s="1269" t="n"/>
      <c r="C193" s="1270" t="n"/>
      <c r="D193" s="1270" t="n"/>
      <c r="E193" s="1271" t="n"/>
      <c r="F193" s="1269" t="n"/>
      <c r="G193" s="1269" t="n"/>
      <c r="H193" s="1272" t="n"/>
      <c r="I193" s="1272" t="n"/>
      <c r="J193" s="1238" t="n"/>
    </row>
    <row r="194" ht="15.75" customHeight="1" s="1349">
      <c r="A194" s="1269" t="n"/>
      <c r="B194" s="1269" t="n"/>
      <c r="C194" s="1270" t="n"/>
      <c r="D194" s="1270" t="n"/>
      <c r="E194" s="1271" t="n"/>
      <c r="F194" s="1269" t="n"/>
      <c r="G194" s="1269" t="n"/>
      <c r="H194" s="1272" t="n"/>
      <c r="I194" s="1272" t="n"/>
      <c r="J194" s="1238" t="n"/>
    </row>
    <row r="195" ht="15.75" customHeight="1" s="1349">
      <c r="A195" s="1269" t="n"/>
      <c r="B195" s="1269" t="n"/>
      <c r="C195" s="1270" t="n"/>
      <c r="D195" s="1270" t="n"/>
      <c r="E195" s="1271" t="n"/>
      <c r="F195" s="1269" t="n"/>
      <c r="G195" s="1269" t="n"/>
      <c r="H195" s="1272" t="n"/>
      <c r="I195" s="1272" t="n"/>
      <c r="J195" s="1238" t="n"/>
    </row>
    <row r="196" ht="15.75" customHeight="1" s="1349">
      <c r="A196" s="1269" t="n"/>
      <c r="B196" s="1269" t="n"/>
      <c r="C196" s="1270" t="n"/>
      <c r="D196" s="1270" t="n"/>
      <c r="E196" s="1271" t="n"/>
      <c r="F196" s="1269" t="n"/>
      <c r="G196" s="1269" t="n"/>
      <c r="H196" s="1272" t="n"/>
      <c r="I196" s="1272" t="n"/>
      <c r="J196" s="1238" t="n"/>
    </row>
    <row r="197" ht="15.75" customHeight="1" s="1349">
      <c r="A197" s="1269" t="n"/>
      <c r="B197" s="1269" t="n"/>
      <c r="C197" s="1270" t="n"/>
      <c r="D197" s="1270" t="n"/>
      <c r="E197" s="1271" t="n"/>
      <c r="F197" s="1269" t="n"/>
      <c r="G197" s="1269" t="n"/>
      <c r="H197" s="1272" t="n"/>
      <c r="I197" s="1272" t="n"/>
      <c r="J197" s="1238" t="n"/>
    </row>
    <row r="198" ht="15.75" customHeight="1" s="1349">
      <c r="A198" s="1269" t="n"/>
      <c r="B198" s="1269" t="n"/>
      <c r="C198" s="1270" t="n"/>
      <c r="D198" s="1270" t="n"/>
      <c r="E198" s="1271" t="n"/>
      <c r="F198" s="1269" t="n"/>
      <c r="G198" s="1269" t="n"/>
      <c r="H198" s="1272" t="n"/>
      <c r="I198" s="1272" t="n"/>
      <c r="J198" s="1238" t="n"/>
    </row>
    <row r="199" ht="15.75" customHeight="1" s="1349">
      <c r="A199" s="1269" t="n"/>
      <c r="B199" s="1269" t="n"/>
      <c r="C199" s="1270" t="n"/>
      <c r="D199" s="1270" t="n"/>
      <c r="E199" s="1271" t="n"/>
      <c r="F199" s="1269" t="n"/>
      <c r="G199" s="1269" t="n"/>
      <c r="H199" s="1272" t="n"/>
      <c r="I199" s="1272" t="n"/>
      <c r="J199" s="1238" t="n"/>
    </row>
    <row r="200" ht="15.75" customHeight="1" s="1349">
      <c r="A200" s="1269" t="n"/>
      <c r="B200" s="1269" t="n"/>
      <c r="C200" s="1270" t="n"/>
      <c r="D200" s="1270" t="n"/>
      <c r="E200" s="1271" t="n"/>
      <c r="F200" s="1269" t="n"/>
      <c r="G200" s="1269" t="n"/>
      <c r="H200" s="1272" t="n"/>
      <c r="I200" s="1272" t="n"/>
      <c r="J200" s="1238" t="n"/>
    </row>
    <row r="201" ht="15.75" customHeight="1" s="1349">
      <c r="A201" s="1269" t="n"/>
      <c r="B201" s="1269" t="n"/>
      <c r="C201" s="1270" t="n"/>
      <c r="D201" s="1270" t="n"/>
      <c r="E201" s="1271" t="n"/>
      <c r="F201" s="1269" t="n"/>
      <c r="G201" s="1269" t="n"/>
      <c r="H201" s="1272" t="n"/>
      <c r="I201" s="1272" t="n"/>
      <c r="J201" s="1238" t="n"/>
    </row>
    <row r="202" ht="15.75" customHeight="1" s="1349">
      <c r="A202" s="1269" t="n"/>
      <c r="B202" s="1269" t="n"/>
      <c r="C202" s="1270" t="n"/>
      <c r="D202" s="1270" t="n"/>
      <c r="E202" s="1271" t="n"/>
      <c r="F202" s="1269" t="n"/>
      <c r="G202" s="1269" t="n"/>
      <c r="H202" s="1272" t="n"/>
      <c r="I202" s="1272" t="n"/>
      <c r="J202" s="1238" t="n"/>
    </row>
    <row r="203" ht="15.75" customHeight="1" s="1349">
      <c r="A203" s="1269" t="n"/>
      <c r="B203" s="1269" t="n"/>
      <c r="C203" s="1270" t="n"/>
      <c r="D203" s="1270" t="n"/>
      <c r="E203" s="1271" t="n"/>
      <c r="F203" s="1269" t="n"/>
      <c r="G203" s="1269" t="n"/>
      <c r="H203" s="1272" t="n"/>
      <c r="I203" s="1272" t="n"/>
      <c r="J203" s="1238" t="n"/>
    </row>
    <row r="204" ht="15.75" customHeight="1" s="1349">
      <c r="A204" s="1269" t="n"/>
      <c r="B204" s="1269" t="n"/>
      <c r="C204" s="1270" t="n"/>
      <c r="D204" s="1270" t="n"/>
      <c r="E204" s="1271" t="n"/>
      <c r="F204" s="1269" t="n"/>
      <c r="G204" s="1269" t="n"/>
      <c r="H204" s="1272" t="n"/>
      <c r="I204" s="1272" t="n"/>
      <c r="J204" s="1238" t="n"/>
    </row>
    <row r="205" ht="15.75" customHeight="1" s="1349">
      <c r="A205" s="1269" t="n"/>
      <c r="B205" s="1269" t="n"/>
      <c r="C205" s="1270" t="n"/>
      <c r="D205" s="1270" t="n"/>
      <c r="E205" s="1271" t="n"/>
      <c r="F205" s="1269" t="n"/>
      <c r="G205" s="1269" t="n"/>
      <c r="H205" s="1272" t="n"/>
      <c r="I205" s="1272" t="n"/>
      <c r="J205" s="1238" t="n"/>
    </row>
    <row r="206" ht="15.75" customHeight="1" s="1349">
      <c r="A206" s="1269" t="n"/>
      <c r="B206" s="1269" t="n"/>
      <c r="C206" s="1270" t="n"/>
      <c r="D206" s="1270" t="n"/>
      <c r="E206" s="1271" t="n"/>
      <c r="F206" s="1269" t="n"/>
      <c r="G206" s="1269" t="n"/>
      <c r="H206" s="1272" t="n"/>
      <c r="I206" s="1272" t="n"/>
      <c r="J206" s="1238" t="n"/>
    </row>
    <row r="207" ht="15.75" customHeight="1" s="1349">
      <c r="A207" s="1269" t="n"/>
      <c r="B207" s="1269" t="n"/>
      <c r="C207" s="1270" t="n"/>
      <c r="D207" s="1270" t="n"/>
      <c r="E207" s="1271" t="n"/>
      <c r="F207" s="1269" t="n"/>
      <c r="G207" s="1269" t="n"/>
      <c r="H207" s="1272" t="n"/>
      <c r="I207" s="1272" t="n"/>
      <c r="J207" s="1238" t="n"/>
    </row>
    <row r="208" ht="15.75" customHeight="1" s="1349">
      <c r="A208" s="1269" t="n"/>
      <c r="B208" s="1269" t="n"/>
      <c r="C208" s="1270" t="n"/>
      <c r="D208" s="1270" t="n"/>
      <c r="E208" s="1271" t="n"/>
      <c r="F208" s="1269" t="n"/>
      <c r="G208" s="1269" t="n"/>
      <c r="H208" s="1272" t="n"/>
      <c r="I208" s="1272" t="n"/>
      <c r="J208" s="1238" t="n"/>
    </row>
    <row r="209" ht="15.75" customHeight="1" s="1349">
      <c r="A209" s="1269" t="n"/>
      <c r="B209" s="1269" t="n"/>
      <c r="C209" s="1270" t="n"/>
      <c r="D209" s="1270" t="n"/>
      <c r="E209" s="1271" t="n"/>
      <c r="F209" s="1269" t="n"/>
      <c r="G209" s="1269" t="n"/>
      <c r="H209" s="1272" t="n"/>
      <c r="I209" s="1272" t="n"/>
      <c r="J209" s="1238" t="n"/>
    </row>
    <row r="210" ht="15.75" customHeight="1" s="1349">
      <c r="A210" s="1269" t="n"/>
      <c r="B210" s="1269" t="n"/>
      <c r="C210" s="1270" t="n"/>
      <c r="D210" s="1270" t="n"/>
      <c r="E210" s="1271" t="n"/>
      <c r="F210" s="1269" t="n"/>
      <c r="G210" s="1269" t="n"/>
      <c r="H210" s="1272" t="n"/>
      <c r="I210" s="1272" t="n"/>
      <c r="J210" s="1238" t="n"/>
    </row>
    <row r="211" ht="15.75" customHeight="1" s="1349">
      <c r="A211" s="1269" t="n"/>
      <c r="B211" s="1269" t="n"/>
      <c r="C211" s="1270" t="n"/>
      <c r="D211" s="1270" t="n"/>
      <c r="E211" s="1271" t="n"/>
      <c r="F211" s="1269" t="n"/>
      <c r="G211" s="1269" t="n"/>
      <c r="H211" s="1272" t="n"/>
      <c r="I211" s="1272" t="n"/>
      <c r="J211" s="1238" t="n"/>
    </row>
    <row r="212" ht="15.75" customHeight="1" s="1349">
      <c r="A212" s="1269" t="n"/>
      <c r="B212" s="1269" t="n"/>
      <c r="C212" s="1270" t="n"/>
      <c r="D212" s="1270" t="n"/>
      <c r="E212" s="1271" t="n"/>
      <c r="F212" s="1269" t="n"/>
      <c r="G212" s="1269" t="n"/>
      <c r="H212" s="1272" t="n"/>
      <c r="I212" s="1272" t="n"/>
      <c r="J212" s="1238" t="n"/>
    </row>
    <row r="213" ht="15.75" customHeight="1" s="1349">
      <c r="A213" s="1269" t="n"/>
      <c r="B213" s="1269" t="n"/>
      <c r="C213" s="1270" t="n"/>
      <c r="D213" s="1270" t="n"/>
      <c r="E213" s="1271" t="n"/>
      <c r="F213" s="1269" t="n"/>
      <c r="G213" s="1269" t="n"/>
      <c r="H213" s="1272" t="n"/>
      <c r="I213" s="1272" t="n"/>
      <c r="J213" s="1238" t="n"/>
    </row>
    <row r="214" ht="15.75" customHeight="1" s="1349">
      <c r="A214" s="1269" t="n"/>
      <c r="B214" s="1269" t="n"/>
      <c r="C214" s="1270" t="n"/>
      <c r="D214" s="1270" t="n"/>
      <c r="E214" s="1271" t="n"/>
      <c r="F214" s="1269" t="n"/>
      <c r="G214" s="1269" t="n"/>
      <c r="H214" s="1272" t="n"/>
      <c r="I214" s="1272" t="n"/>
      <c r="J214" s="1238" t="n"/>
    </row>
    <row r="215" ht="15.75" customHeight="1" s="1349">
      <c r="A215" s="1269" t="n"/>
      <c r="B215" s="1269" t="n"/>
      <c r="C215" s="1270" t="n"/>
      <c r="D215" s="1270" t="n"/>
      <c r="E215" s="1271" t="n"/>
      <c r="F215" s="1269" t="n"/>
      <c r="G215" s="1269" t="n"/>
      <c r="H215" s="1272" t="n"/>
      <c r="I215" s="1272" t="n"/>
      <c r="J215" s="1238" t="n"/>
    </row>
    <row r="216" ht="15.75" customHeight="1" s="1349">
      <c r="A216" s="1269" t="n"/>
      <c r="B216" s="1269" t="n"/>
      <c r="C216" s="1270" t="n"/>
      <c r="D216" s="1270" t="n"/>
      <c r="E216" s="1271" t="n"/>
      <c r="F216" s="1269" t="n"/>
      <c r="G216" s="1269" t="n"/>
      <c r="H216" s="1272" t="n"/>
      <c r="I216" s="1272" t="n"/>
      <c r="J216" s="1238" t="n"/>
    </row>
    <row r="217" ht="15.75" customHeight="1" s="1349">
      <c r="A217" s="1269" t="n"/>
      <c r="B217" s="1269" t="n"/>
      <c r="C217" s="1270" t="n"/>
      <c r="D217" s="1270" t="n"/>
      <c r="E217" s="1271" t="n"/>
      <c r="F217" s="1269" t="n"/>
      <c r="G217" s="1269" t="n"/>
      <c r="H217" s="1272" t="n"/>
      <c r="I217" s="1272" t="n"/>
      <c r="J217" s="1238" t="n"/>
    </row>
    <row r="218" ht="15.75" customHeight="1" s="1349">
      <c r="A218" s="1269" t="n"/>
      <c r="B218" s="1269" t="n"/>
      <c r="C218" s="1270" t="n"/>
      <c r="D218" s="1270" t="n"/>
      <c r="E218" s="1271" t="n"/>
      <c r="F218" s="1269" t="n"/>
      <c r="G218" s="1269" t="n"/>
      <c r="H218" s="1272" t="n"/>
      <c r="I218" s="1272" t="n"/>
      <c r="J218" s="1238" t="n"/>
    </row>
    <row r="219" ht="15.75" customHeight="1" s="1349">
      <c r="A219" s="1269" t="n"/>
      <c r="B219" s="1269" t="n"/>
      <c r="C219" s="1270" t="n"/>
      <c r="D219" s="1270" t="n"/>
      <c r="E219" s="1271" t="n"/>
      <c r="F219" s="1269" t="n"/>
      <c r="G219" s="1269" t="n"/>
      <c r="H219" s="1272" t="n"/>
      <c r="I219" s="1272" t="n"/>
      <c r="J219" s="1238" t="n"/>
    </row>
    <row r="220" ht="15.75" customHeight="1" s="1349">
      <c r="A220" s="1269" t="n"/>
      <c r="B220" s="1269" t="n"/>
      <c r="C220" s="1270" t="n"/>
      <c r="D220" s="1270" t="n"/>
      <c r="E220" s="1271" t="n"/>
      <c r="F220" s="1269" t="n"/>
      <c r="G220" s="1269" t="n"/>
      <c r="H220" s="1272" t="n"/>
      <c r="I220" s="1272" t="n"/>
      <c r="J220" s="1238" t="n"/>
    </row>
    <row r="221" ht="15.75" customHeight="1" s="1349">
      <c r="A221" s="1269" t="n"/>
      <c r="B221" s="1269" t="n"/>
      <c r="C221" s="1270" t="n"/>
      <c r="D221" s="1270" t="n"/>
      <c r="E221" s="1271" t="n"/>
      <c r="F221" s="1269" t="n"/>
      <c r="G221" s="1269" t="n"/>
      <c r="H221" s="1272" t="n"/>
      <c r="I221" s="1272" t="n"/>
      <c r="J221" s="1238" t="n"/>
    </row>
    <row r="222" ht="15.75" customHeight="1" s="1349">
      <c r="A222" s="1269" t="n"/>
      <c r="B222" s="1269" t="n"/>
      <c r="C222" s="1270" t="n"/>
      <c r="D222" s="1270" t="n"/>
      <c r="E222" s="1271" t="n"/>
      <c r="F222" s="1269" t="n"/>
      <c r="G222" s="1269" t="n"/>
      <c r="H222" s="1272" t="n"/>
      <c r="I222" s="1272" t="n"/>
      <c r="J222" s="1238" t="n"/>
    </row>
    <row r="223" ht="15.75" customHeight="1" s="1349">
      <c r="A223" s="1269" t="n"/>
      <c r="B223" s="1269" t="n"/>
      <c r="C223" s="1270" t="n"/>
      <c r="D223" s="1270" t="n"/>
      <c r="E223" s="1271" t="n"/>
      <c r="F223" s="1269" t="n"/>
      <c r="G223" s="1269" t="n"/>
      <c r="H223" s="1272" t="n"/>
      <c r="I223" s="1272" t="n"/>
      <c r="J223" s="1238" t="n"/>
    </row>
    <row r="224" ht="15.75" customHeight="1" s="1349">
      <c r="A224" s="1269" t="n"/>
      <c r="B224" s="1269" t="n"/>
      <c r="C224" s="1270" t="n"/>
      <c r="D224" s="1270" t="n"/>
      <c r="E224" s="1271" t="n"/>
      <c r="F224" s="1269" t="n"/>
      <c r="G224" s="1269" t="n"/>
      <c r="H224" s="1272" t="n"/>
      <c r="I224" s="1272" t="n"/>
      <c r="J224" s="1238" t="n"/>
    </row>
    <row r="225" ht="15.75" customHeight="1" s="1349">
      <c r="A225" s="1269" t="n"/>
      <c r="B225" s="1269" t="n"/>
      <c r="C225" s="1270" t="n"/>
      <c r="D225" s="1270" t="n"/>
      <c r="E225" s="1271" t="n"/>
      <c r="F225" s="1269" t="n"/>
      <c r="G225" s="1269" t="n"/>
      <c r="H225" s="1272" t="n"/>
      <c r="I225" s="1272" t="n"/>
      <c r="J225" s="1238" t="n"/>
    </row>
    <row r="226" ht="15.75" customHeight="1" s="1349">
      <c r="A226" s="1269" t="n"/>
      <c r="B226" s="1269" t="n"/>
      <c r="C226" s="1270" t="n"/>
      <c r="D226" s="1270" t="n"/>
      <c r="E226" s="1271" t="n"/>
      <c r="F226" s="1269" t="n"/>
      <c r="G226" s="1269" t="n"/>
      <c r="H226" s="1272" t="n"/>
      <c r="I226" s="1272" t="n"/>
      <c r="J226" s="1238" t="n"/>
    </row>
    <row r="227" ht="15.75" customHeight="1" s="1349">
      <c r="A227" s="1269" t="n"/>
      <c r="B227" s="1269" t="n"/>
      <c r="C227" s="1270" t="n"/>
      <c r="D227" s="1270" t="n"/>
      <c r="E227" s="1271" t="n"/>
      <c r="F227" s="1269" t="n"/>
      <c r="G227" s="1269" t="n"/>
      <c r="H227" s="1272" t="n"/>
      <c r="I227" s="1272" t="n"/>
      <c r="J227" s="1238" t="n"/>
    </row>
    <row r="228" ht="15.75" customHeight="1" s="1349">
      <c r="A228" s="1269" t="n"/>
      <c r="B228" s="1269" t="n"/>
      <c r="C228" s="1270" t="n"/>
      <c r="D228" s="1270" t="n"/>
      <c r="E228" s="1271" t="n"/>
      <c r="F228" s="1269" t="n"/>
      <c r="G228" s="1269" t="n"/>
      <c r="H228" s="1272" t="n"/>
      <c r="I228" s="1272" t="n"/>
      <c r="J228" s="1238" t="n"/>
    </row>
    <row r="229" ht="15.75" customHeight="1" s="1349">
      <c r="A229" s="1269" t="n"/>
      <c r="B229" s="1269" t="n"/>
      <c r="C229" s="1270" t="n"/>
      <c r="D229" s="1270" t="n"/>
      <c r="E229" s="1271" t="n"/>
      <c r="F229" s="1269" t="n"/>
      <c r="G229" s="1269" t="n"/>
      <c r="H229" s="1272" t="n"/>
      <c r="I229" s="1272" t="n"/>
      <c r="J229" s="1238" t="n"/>
    </row>
    <row r="230" ht="15.75" customHeight="1" s="1349">
      <c r="A230" s="1269" t="n"/>
      <c r="B230" s="1269" t="n"/>
      <c r="C230" s="1270" t="n"/>
      <c r="D230" s="1270" t="n"/>
      <c r="E230" s="1271" t="n"/>
      <c r="F230" s="1269" t="n"/>
      <c r="G230" s="1269" t="n"/>
      <c r="H230" s="1272" t="n"/>
      <c r="I230" s="1272" t="n"/>
      <c r="J230" s="1238" t="n"/>
    </row>
    <row r="231" ht="15.75" customHeight="1" s="1349">
      <c r="A231" s="1269" t="n"/>
      <c r="B231" s="1269" t="n"/>
      <c r="C231" s="1270" t="n"/>
      <c r="D231" s="1270" t="n"/>
      <c r="E231" s="1271" t="n"/>
      <c r="F231" s="1269" t="n"/>
      <c r="G231" s="1269" t="n"/>
      <c r="H231" s="1272" t="n"/>
      <c r="I231" s="1272" t="n"/>
      <c r="J231" s="1238" t="n"/>
    </row>
    <row r="232" ht="15.75" customHeight="1" s="1349">
      <c r="A232" s="1269" t="n"/>
      <c r="B232" s="1269" t="n"/>
      <c r="C232" s="1270" t="n"/>
      <c r="D232" s="1270" t="n"/>
      <c r="E232" s="1271" t="n"/>
      <c r="F232" s="1269" t="n"/>
      <c r="G232" s="1269" t="n"/>
      <c r="H232" s="1272" t="n"/>
      <c r="I232" s="1272" t="n"/>
      <c r="J232" s="1238" t="n"/>
    </row>
    <row r="233" ht="15.75" customHeight="1" s="1349">
      <c r="A233" s="1269" t="n"/>
      <c r="B233" s="1269" t="n"/>
      <c r="C233" s="1270" t="n"/>
      <c r="D233" s="1270" t="n"/>
      <c r="E233" s="1271" t="n"/>
      <c r="F233" s="1269" t="n"/>
      <c r="G233" s="1269" t="n"/>
      <c r="H233" s="1272" t="n"/>
      <c r="I233" s="1272" t="n"/>
      <c r="J233" s="1238" t="n"/>
    </row>
    <row r="234" ht="15.75" customHeight="1" s="1349">
      <c r="A234" s="1269" t="n"/>
      <c r="B234" s="1269" t="n"/>
      <c r="C234" s="1270" t="n"/>
      <c r="D234" s="1270" t="n"/>
      <c r="E234" s="1271" t="n"/>
      <c r="F234" s="1269" t="n"/>
      <c r="G234" s="1269" t="n"/>
      <c r="H234" s="1272" t="n"/>
      <c r="I234" s="1272" t="n"/>
      <c r="J234" s="1238" t="n"/>
    </row>
    <row r="235" ht="15.75" customHeight="1" s="1349">
      <c r="A235" s="1269" t="n"/>
      <c r="B235" s="1269" t="n"/>
      <c r="C235" s="1270" t="n"/>
      <c r="D235" s="1270" t="n"/>
      <c r="E235" s="1271" t="n"/>
      <c r="F235" s="1269" t="n"/>
      <c r="G235" s="1269" t="n"/>
      <c r="H235" s="1272" t="n"/>
      <c r="I235" s="1272" t="n"/>
      <c r="J235" s="1238" t="n"/>
    </row>
    <row r="236" ht="15.75" customHeight="1" s="1349">
      <c r="A236" s="1269" t="n"/>
      <c r="B236" s="1269" t="n"/>
      <c r="C236" s="1270" t="n"/>
      <c r="D236" s="1270" t="n"/>
      <c r="E236" s="1271" t="n"/>
      <c r="F236" s="1269" t="n"/>
      <c r="G236" s="1269" t="n"/>
      <c r="H236" s="1272" t="n"/>
      <c r="I236" s="1272" t="n"/>
      <c r="J236" s="1238" t="n"/>
    </row>
    <row r="237" ht="15.75" customHeight="1" s="1349">
      <c r="A237" s="1269" t="n"/>
      <c r="B237" s="1269" t="n"/>
      <c r="C237" s="1270" t="n"/>
      <c r="D237" s="1270" t="n"/>
      <c r="E237" s="1271" t="n"/>
      <c r="F237" s="1269" t="n"/>
      <c r="G237" s="1269" t="n"/>
      <c r="H237" s="1272" t="n"/>
      <c r="I237" s="1272" t="n"/>
      <c r="J237" s="1238" t="n"/>
    </row>
    <row r="238" ht="15.75" customHeight="1" s="1349">
      <c r="A238" s="1269" t="n"/>
      <c r="B238" s="1269" t="n"/>
      <c r="C238" s="1270" t="n"/>
      <c r="D238" s="1270" t="n"/>
      <c r="E238" s="1271" t="n"/>
      <c r="F238" s="1269" t="n"/>
      <c r="G238" s="1269" t="n"/>
      <c r="H238" s="1272" t="n"/>
      <c r="I238" s="1272" t="n"/>
      <c r="J238" s="1238" t="n"/>
    </row>
    <row r="239" ht="15.75" customHeight="1" s="1349">
      <c r="A239" s="1269" t="n"/>
      <c r="B239" s="1269" t="n"/>
      <c r="C239" s="1270" t="n"/>
      <c r="D239" s="1270" t="n"/>
      <c r="E239" s="1271" t="n"/>
      <c r="F239" s="1269" t="n"/>
      <c r="G239" s="1269" t="n"/>
      <c r="H239" s="1272" t="n"/>
      <c r="I239" s="1272" t="n"/>
      <c r="J239" s="1238" t="n"/>
    </row>
    <row r="240" ht="15.75" customHeight="1" s="1349">
      <c r="A240" s="1269" t="n"/>
      <c r="B240" s="1269" t="n"/>
      <c r="C240" s="1270" t="n"/>
      <c r="D240" s="1270" t="n"/>
      <c r="E240" s="1271" t="n"/>
      <c r="F240" s="1269" t="n"/>
      <c r="G240" s="1269" t="n"/>
      <c r="H240" s="1272" t="n"/>
      <c r="I240" s="1272" t="n"/>
      <c r="J240" s="1238" t="n"/>
    </row>
    <row r="241" ht="15.75" customHeight="1" s="1349">
      <c r="A241" s="1269" t="n"/>
      <c r="B241" s="1269" t="n"/>
      <c r="C241" s="1270" t="n"/>
      <c r="D241" s="1270" t="n"/>
      <c r="E241" s="1271" t="n"/>
      <c r="F241" s="1269" t="n"/>
      <c r="G241" s="1269" t="n"/>
      <c r="H241" s="1272" t="n"/>
      <c r="I241" s="1272" t="n"/>
      <c r="J241" s="1238" t="n"/>
    </row>
    <row r="242" ht="15.75" customHeight="1" s="1349">
      <c r="A242" s="1269" t="n"/>
      <c r="B242" s="1269" t="n"/>
      <c r="C242" s="1270" t="n"/>
      <c r="D242" s="1270" t="n"/>
      <c r="E242" s="1271" t="n"/>
      <c r="F242" s="1269" t="n"/>
      <c r="G242" s="1269" t="n"/>
      <c r="H242" s="1272" t="n"/>
      <c r="I242" s="1272" t="n"/>
      <c r="J242" s="1238" t="n"/>
    </row>
    <row r="243" ht="15.75" customHeight="1" s="1349">
      <c r="A243" s="1269" t="n"/>
      <c r="B243" s="1269" t="n"/>
      <c r="C243" s="1270" t="n"/>
      <c r="D243" s="1270" t="n"/>
      <c r="E243" s="1271" t="n"/>
      <c r="F243" s="1269" t="n"/>
      <c r="G243" s="1269" t="n"/>
      <c r="H243" s="1272" t="n"/>
      <c r="I243" s="1272" t="n"/>
      <c r="J243" s="1238" t="n"/>
    </row>
    <row r="244" ht="15.75" customHeight="1" s="1349">
      <c r="A244" s="1269" t="n"/>
      <c r="B244" s="1269" t="n"/>
      <c r="C244" s="1270" t="n"/>
      <c r="D244" s="1270" t="n"/>
      <c r="E244" s="1271" t="n"/>
      <c r="F244" s="1269" t="n"/>
      <c r="G244" s="1269" t="n"/>
      <c r="H244" s="1272" t="n"/>
      <c r="I244" s="1272" t="n"/>
      <c r="J244" s="1238" t="n"/>
    </row>
    <row r="245" ht="15.75" customHeight="1" s="1349">
      <c r="A245" s="1269" t="n"/>
      <c r="B245" s="1269" t="n"/>
      <c r="C245" s="1270" t="n"/>
      <c r="D245" s="1270" t="n"/>
      <c r="E245" s="1271" t="n"/>
      <c r="F245" s="1269" t="n"/>
      <c r="G245" s="1269" t="n"/>
      <c r="H245" s="1272" t="n"/>
      <c r="I245" s="1272" t="n"/>
      <c r="J245" s="1238" t="n"/>
    </row>
    <row r="246" ht="15.75" customHeight="1" s="1349">
      <c r="A246" s="1269" t="n"/>
      <c r="B246" s="1269" t="n"/>
      <c r="C246" s="1270" t="n"/>
      <c r="D246" s="1270" t="n"/>
      <c r="E246" s="1271" t="n"/>
      <c r="F246" s="1269" t="n"/>
      <c r="G246" s="1269" t="n"/>
      <c r="H246" s="1272" t="n"/>
      <c r="I246" s="1272" t="n"/>
      <c r="J246" s="1238" t="n"/>
    </row>
    <row r="247" ht="15.75" customHeight="1" s="1349">
      <c r="A247" s="1269" t="n"/>
      <c r="B247" s="1269" t="n"/>
      <c r="C247" s="1270" t="n"/>
      <c r="D247" s="1270" t="n"/>
      <c r="E247" s="1271" t="n"/>
      <c r="F247" s="1269" t="n"/>
      <c r="G247" s="1269" t="n"/>
      <c r="H247" s="1272" t="n"/>
      <c r="I247" s="1272" t="n"/>
      <c r="J247" s="1238" t="n"/>
    </row>
    <row r="248" ht="15.75" customHeight="1" s="1349">
      <c r="A248" s="1269" t="n"/>
      <c r="B248" s="1269" t="n"/>
      <c r="C248" s="1270" t="n"/>
      <c r="D248" s="1270" t="n"/>
      <c r="E248" s="1271" t="n"/>
      <c r="F248" s="1269" t="n"/>
      <c r="G248" s="1269" t="n"/>
      <c r="H248" s="1272" t="n"/>
      <c r="I248" s="1272" t="n"/>
      <c r="J248" s="1238" t="n"/>
    </row>
    <row r="249" ht="15.75" customHeight="1" s="1349">
      <c r="A249" s="1269" t="n"/>
      <c r="B249" s="1269" t="n"/>
      <c r="C249" s="1270" t="n"/>
      <c r="D249" s="1270" t="n"/>
      <c r="E249" s="1271" t="n"/>
      <c r="F249" s="1269" t="n"/>
      <c r="G249" s="1269" t="n"/>
      <c r="H249" s="1272" t="n"/>
      <c r="I249" s="1272" t="n"/>
      <c r="J249" s="1238" t="n"/>
    </row>
    <row r="250" ht="15.75" customHeight="1" s="1349">
      <c r="A250" s="1269" t="n"/>
      <c r="B250" s="1269" t="n"/>
      <c r="C250" s="1270" t="n"/>
      <c r="D250" s="1270" t="n"/>
      <c r="E250" s="1271" t="n"/>
      <c r="F250" s="1269" t="n"/>
      <c r="G250" s="1269" t="n"/>
      <c r="H250" s="1272" t="n"/>
      <c r="I250" s="1272" t="n"/>
      <c r="J250" s="1238" t="n"/>
    </row>
    <row r="251" ht="15.75" customHeight="1" s="1349">
      <c r="A251" s="1269" t="n"/>
      <c r="B251" s="1269" t="n"/>
      <c r="C251" s="1270" t="n"/>
      <c r="D251" s="1270" t="n"/>
      <c r="E251" s="1271" t="n"/>
      <c r="F251" s="1269" t="n"/>
      <c r="G251" s="1269" t="n"/>
      <c r="H251" s="1272" t="n"/>
      <c r="I251" s="1272" t="n"/>
      <c r="J251" s="1238" t="n"/>
    </row>
    <row r="252" ht="15.75" customHeight="1" s="1349">
      <c r="A252" s="1269" t="n"/>
      <c r="B252" s="1269" t="n"/>
      <c r="C252" s="1270" t="n"/>
      <c r="D252" s="1270" t="n"/>
      <c r="E252" s="1271" t="n"/>
      <c r="F252" s="1269" t="n"/>
      <c r="G252" s="1269" t="n"/>
      <c r="H252" s="1272" t="n"/>
      <c r="I252" s="1272" t="n"/>
      <c r="J252" s="1238" t="n"/>
    </row>
    <row r="253" ht="15.75" customHeight="1" s="1349">
      <c r="A253" s="1269" t="n"/>
      <c r="B253" s="1269" t="n"/>
      <c r="C253" s="1270" t="n"/>
      <c r="D253" s="1270" t="n"/>
      <c r="E253" s="1271" t="n"/>
      <c r="F253" s="1269" t="n"/>
      <c r="G253" s="1269" t="n"/>
      <c r="H253" s="1272" t="n"/>
      <c r="I253" s="1272" t="n"/>
      <c r="J253" s="1238" t="n"/>
    </row>
    <row r="254" ht="15.75" customHeight="1" s="1349">
      <c r="A254" s="1269" t="n"/>
      <c r="B254" s="1269" t="n"/>
      <c r="C254" s="1270" t="n"/>
      <c r="D254" s="1270" t="n"/>
      <c r="E254" s="1271" t="n"/>
      <c r="F254" s="1269" t="n"/>
      <c r="G254" s="1269" t="n"/>
      <c r="H254" s="1272" t="n"/>
      <c r="I254" s="1272" t="n"/>
      <c r="J254" s="1238" t="n"/>
    </row>
    <row r="255" ht="15.75" customHeight="1" s="1349">
      <c r="A255" s="1269" t="n"/>
      <c r="B255" s="1269" t="n"/>
      <c r="C255" s="1270" t="n"/>
      <c r="D255" s="1270" t="n"/>
      <c r="E255" s="1271" t="n"/>
      <c r="F255" s="1269" t="n"/>
      <c r="G255" s="1269" t="n"/>
      <c r="H255" s="1272" t="n"/>
      <c r="I255" s="1272" t="n"/>
      <c r="J255" s="1238" t="n"/>
    </row>
    <row r="256" ht="15.75" customHeight="1" s="1349">
      <c r="A256" s="1269" t="n"/>
      <c r="B256" s="1269" t="n"/>
      <c r="C256" s="1270" t="n"/>
      <c r="D256" s="1270" t="n"/>
      <c r="E256" s="1271" t="n"/>
      <c r="F256" s="1269" t="n"/>
      <c r="G256" s="1269" t="n"/>
      <c r="H256" s="1272" t="n"/>
      <c r="I256" s="1272" t="n"/>
      <c r="J256" s="1238" t="n"/>
    </row>
    <row r="257" ht="15.75" customHeight="1" s="1349">
      <c r="A257" s="1269" t="n"/>
      <c r="B257" s="1269" t="n"/>
      <c r="C257" s="1270" t="n"/>
      <c r="D257" s="1270" t="n"/>
      <c r="E257" s="1271" t="n"/>
      <c r="F257" s="1269" t="n"/>
      <c r="G257" s="1269" t="n"/>
      <c r="H257" s="1272" t="n"/>
      <c r="I257" s="1272" t="n"/>
      <c r="J257" s="1238" t="n"/>
    </row>
    <row r="258" ht="15.75" customHeight="1" s="1349">
      <c r="A258" s="1269" t="n"/>
      <c r="B258" s="1269" t="n"/>
      <c r="C258" s="1270" t="n"/>
      <c r="D258" s="1270" t="n"/>
      <c r="E258" s="1271" t="n"/>
      <c r="F258" s="1269" t="n"/>
      <c r="G258" s="1269" t="n"/>
      <c r="H258" s="1272" t="n"/>
      <c r="I258" s="1272" t="n"/>
      <c r="J258" s="1238" t="n"/>
    </row>
    <row r="259" ht="15.75" customHeight="1" s="1349">
      <c r="C259" s="1273" t="n"/>
      <c r="D259" s="1273" t="n"/>
      <c r="E259" s="1273" t="n"/>
      <c r="F259" s="1273" t="n"/>
      <c r="G259" s="1273" t="n"/>
      <c r="H259" s="1273" t="n"/>
      <c r="I259" s="1273" t="n"/>
      <c r="J259" s="1238" t="n"/>
    </row>
    <row r="260" ht="15.75" customHeight="1" s="1349">
      <c r="C260" s="1273" t="n"/>
      <c r="D260" s="1273" t="n"/>
      <c r="E260" s="1273" t="n"/>
      <c r="F260" s="1273" t="n"/>
      <c r="G260" s="1273" t="n"/>
      <c r="H260" s="1273" t="n"/>
      <c r="I260" s="1273" t="n"/>
      <c r="J260" s="1238" t="n"/>
    </row>
    <row r="261" ht="15.75" customHeight="1" s="1349">
      <c r="C261" s="1273" t="n"/>
      <c r="D261" s="1273" t="n"/>
      <c r="E261" s="1273" t="n"/>
      <c r="F261" s="1273" t="n"/>
      <c r="G261" s="1273" t="n"/>
      <c r="H261" s="1273" t="n"/>
      <c r="I261" s="1273" t="n"/>
      <c r="J261" s="1238" t="n"/>
    </row>
    <row r="262" ht="15.75" customHeight="1" s="1349">
      <c r="C262" s="1273" t="n"/>
      <c r="D262" s="1273" t="n"/>
      <c r="E262" s="1273" t="n"/>
      <c r="F262" s="1273" t="n"/>
      <c r="G262" s="1273" t="n"/>
      <c r="H262" s="1273" t="n"/>
      <c r="I262" s="1273" t="n"/>
      <c r="J262" s="1238" t="n"/>
    </row>
    <row r="263" ht="15.75" customHeight="1" s="1349">
      <c r="C263" s="1273" t="n"/>
      <c r="D263" s="1273" t="n"/>
      <c r="E263" s="1273" t="n"/>
      <c r="F263" s="1273" t="n"/>
      <c r="G263" s="1273" t="n"/>
      <c r="H263" s="1273" t="n"/>
      <c r="I263" s="1273" t="n"/>
      <c r="J263" s="1238" t="n"/>
    </row>
    <row r="264" ht="15.75" customHeight="1" s="1349">
      <c r="C264" s="1273" t="n"/>
      <c r="D264" s="1273" t="n"/>
      <c r="E264" s="1273" t="n"/>
      <c r="F264" s="1273" t="n"/>
      <c r="G264" s="1273" t="n"/>
      <c r="H264" s="1273" t="n"/>
      <c r="I264" s="1273" t="n"/>
      <c r="J264" s="1238" t="n"/>
    </row>
    <row r="265" ht="15.75" customHeight="1" s="1349">
      <c r="C265" s="1273" t="n"/>
      <c r="D265" s="1273" t="n"/>
      <c r="E265" s="1273" t="n"/>
      <c r="F265" s="1273" t="n"/>
      <c r="G265" s="1273" t="n"/>
      <c r="H265" s="1273" t="n"/>
      <c r="I265" s="1273" t="n"/>
      <c r="J265" s="1238" t="n"/>
    </row>
    <row r="266" ht="15.75" customHeight="1" s="1349">
      <c r="C266" s="1273" t="n"/>
      <c r="D266" s="1273" t="n"/>
      <c r="E266" s="1273" t="n"/>
      <c r="F266" s="1273" t="n"/>
      <c r="G266" s="1273" t="n"/>
      <c r="H266" s="1273" t="n"/>
      <c r="I266" s="1273" t="n"/>
      <c r="J266" s="1238" t="n"/>
    </row>
    <row r="267" ht="15.75" customHeight="1" s="1349">
      <c r="C267" s="1273" t="n"/>
      <c r="D267" s="1273" t="n"/>
      <c r="E267" s="1273" t="n"/>
      <c r="F267" s="1273" t="n"/>
      <c r="G267" s="1273" t="n"/>
      <c r="H267" s="1273" t="n"/>
      <c r="I267" s="1273" t="n"/>
      <c r="J267" s="1238" t="n"/>
    </row>
    <row r="268" ht="15.75" customHeight="1" s="1349">
      <c r="C268" s="1273" t="n"/>
      <c r="D268" s="1273" t="n"/>
      <c r="E268" s="1273" t="n"/>
      <c r="F268" s="1273" t="n"/>
      <c r="G268" s="1273" t="n"/>
      <c r="H268" s="1273" t="n"/>
      <c r="I268" s="1273" t="n"/>
      <c r="J268" s="1238" t="n"/>
    </row>
    <row r="269" ht="15.75" customHeight="1" s="1349">
      <c r="C269" s="1273" t="n"/>
      <c r="D269" s="1273" t="n"/>
      <c r="E269" s="1273" t="n"/>
      <c r="F269" s="1273" t="n"/>
      <c r="G269" s="1273" t="n"/>
      <c r="H269" s="1273" t="n"/>
      <c r="I269" s="1273" t="n"/>
      <c r="J269" s="1238" t="n"/>
    </row>
    <row r="270" ht="15.75" customHeight="1" s="1349">
      <c r="C270" s="1273" t="n"/>
      <c r="D270" s="1273" t="n"/>
      <c r="E270" s="1273" t="n"/>
      <c r="F270" s="1273" t="n"/>
      <c r="G270" s="1273" t="n"/>
      <c r="H270" s="1273" t="n"/>
      <c r="I270" s="1273" t="n"/>
      <c r="J270" s="1238" t="n"/>
    </row>
    <row r="271" ht="15.75" customHeight="1" s="1349">
      <c r="C271" s="1273" t="n"/>
      <c r="D271" s="1273" t="n"/>
      <c r="E271" s="1273" t="n"/>
      <c r="F271" s="1273" t="n"/>
      <c r="G271" s="1273" t="n"/>
      <c r="H271" s="1273" t="n"/>
      <c r="I271" s="1273" t="n"/>
      <c r="J271" s="1238" t="n"/>
    </row>
    <row r="272" ht="15.75" customHeight="1" s="1349">
      <c r="C272" s="1273" t="n"/>
      <c r="D272" s="1273" t="n"/>
      <c r="E272" s="1273" t="n"/>
      <c r="F272" s="1273" t="n"/>
      <c r="G272" s="1273" t="n"/>
      <c r="H272" s="1273" t="n"/>
      <c r="I272" s="1273" t="n"/>
      <c r="J272" s="1238" t="n"/>
    </row>
    <row r="273" ht="15.75" customHeight="1" s="1349">
      <c r="C273" s="1273" t="n"/>
      <c r="D273" s="1273" t="n"/>
      <c r="E273" s="1273" t="n"/>
      <c r="F273" s="1273" t="n"/>
      <c r="G273" s="1273" t="n"/>
      <c r="H273" s="1273" t="n"/>
      <c r="I273" s="1273" t="n"/>
      <c r="J273" s="1238" t="n"/>
    </row>
    <row r="274" ht="15.75" customHeight="1" s="1349">
      <c r="C274" s="1273" t="n"/>
      <c r="D274" s="1273" t="n"/>
      <c r="E274" s="1273" t="n"/>
      <c r="F274" s="1273" t="n"/>
      <c r="G274" s="1273" t="n"/>
      <c r="H274" s="1273" t="n"/>
      <c r="I274" s="1273" t="n"/>
      <c r="J274" s="1238" t="n"/>
    </row>
    <row r="275" ht="15.75" customHeight="1" s="1349">
      <c r="C275" s="1273" t="n"/>
      <c r="D275" s="1273" t="n"/>
      <c r="E275" s="1273" t="n"/>
      <c r="F275" s="1273" t="n"/>
      <c r="G275" s="1273" t="n"/>
      <c r="H275" s="1273" t="n"/>
      <c r="I275" s="1273" t="n"/>
      <c r="J275" s="1238" t="n"/>
    </row>
    <row r="276" ht="15.75" customHeight="1" s="1349">
      <c r="C276" s="1273" t="n"/>
      <c r="D276" s="1273" t="n"/>
      <c r="E276" s="1273" t="n"/>
      <c r="F276" s="1273" t="n"/>
      <c r="G276" s="1273" t="n"/>
      <c r="H276" s="1273" t="n"/>
      <c r="I276" s="1273" t="n"/>
      <c r="J276" s="1238" t="n"/>
    </row>
    <row r="277" ht="15.75" customHeight="1" s="1349">
      <c r="C277" s="1273" t="n"/>
      <c r="D277" s="1273" t="n"/>
      <c r="E277" s="1273" t="n"/>
      <c r="F277" s="1273" t="n"/>
      <c r="G277" s="1273" t="n"/>
      <c r="H277" s="1273" t="n"/>
      <c r="I277" s="1273" t="n"/>
      <c r="J277" s="1238" t="n"/>
    </row>
    <row r="278" ht="15.75" customHeight="1" s="1349">
      <c r="C278" s="1273" t="n"/>
      <c r="D278" s="1273" t="n"/>
      <c r="E278" s="1273" t="n"/>
      <c r="F278" s="1273" t="n"/>
      <c r="G278" s="1273" t="n"/>
      <c r="H278" s="1273" t="n"/>
      <c r="I278" s="1273" t="n"/>
      <c r="J278" s="1238" t="n"/>
    </row>
    <row r="279" ht="15.75" customHeight="1" s="1349">
      <c r="C279" s="1273" t="n"/>
      <c r="D279" s="1273" t="n"/>
      <c r="E279" s="1273" t="n"/>
      <c r="F279" s="1273" t="n"/>
      <c r="G279" s="1273" t="n"/>
      <c r="H279" s="1273" t="n"/>
      <c r="I279" s="1273" t="n"/>
      <c r="J279" s="1238" t="n"/>
    </row>
    <row r="280" ht="15.75" customHeight="1" s="1349">
      <c r="C280" s="1273" t="n"/>
      <c r="D280" s="1273" t="n"/>
      <c r="E280" s="1273" t="n"/>
      <c r="F280" s="1273" t="n"/>
      <c r="G280" s="1273" t="n"/>
      <c r="H280" s="1273" t="n"/>
      <c r="I280" s="1273" t="n"/>
      <c r="J280" s="1238" t="n"/>
    </row>
    <row r="281" ht="15.75" customHeight="1" s="1349">
      <c r="C281" s="1273" t="n"/>
      <c r="D281" s="1273" t="n"/>
      <c r="E281" s="1273" t="n"/>
      <c r="F281" s="1273" t="n"/>
      <c r="G281" s="1273" t="n"/>
      <c r="H281" s="1273" t="n"/>
      <c r="I281" s="1273" t="n"/>
      <c r="J281" s="1238" t="n"/>
    </row>
    <row r="282" ht="15.75" customHeight="1" s="1349">
      <c r="C282" s="1273" t="n"/>
      <c r="D282" s="1273" t="n"/>
      <c r="E282" s="1273" t="n"/>
      <c r="F282" s="1273" t="n"/>
      <c r="G282" s="1273" t="n"/>
      <c r="H282" s="1273" t="n"/>
      <c r="I282" s="1273" t="n"/>
      <c r="J282" s="1238" t="n"/>
    </row>
    <row r="283" ht="15.75" customHeight="1" s="1349">
      <c r="C283" s="1273" t="n"/>
      <c r="D283" s="1273" t="n"/>
      <c r="E283" s="1273" t="n"/>
      <c r="F283" s="1273" t="n"/>
      <c r="G283" s="1273" t="n"/>
      <c r="H283" s="1273" t="n"/>
      <c r="I283" s="1273" t="n"/>
      <c r="J283" s="1238" t="n"/>
    </row>
    <row r="284" ht="15.75" customHeight="1" s="1349">
      <c r="C284" s="1273" t="n"/>
      <c r="D284" s="1273" t="n"/>
      <c r="E284" s="1273" t="n"/>
      <c r="F284" s="1273" t="n"/>
      <c r="G284" s="1273" t="n"/>
      <c r="H284" s="1273" t="n"/>
      <c r="I284" s="1273" t="n"/>
      <c r="J284" s="1238" t="n"/>
    </row>
    <row r="285" ht="15.75" customHeight="1" s="1349">
      <c r="C285" s="1273" t="n"/>
      <c r="D285" s="1273" t="n"/>
      <c r="E285" s="1273" t="n"/>
      <c r="F285" s="1273" t="n"/>
      <c r="G285" s="1273" t="n"/>
      <c r="H285" s="1273" t="n"/>
      <c r="I285" s="1273" t="n"/>
      <c r="J285" s="1238" t="n"/>
    </row>
    <row r="286" ht="15.75" customHeight="1" s="1349">
      <c r="C286" s="1273" t="n"/>
      <c r="D286" s="1273" t="n"/>
      <c r="E286" s="1273" t="n"/>
      <c r="F286" s="1273" t="n"/>
      <c r="G286" s="1273" t="n"/>
      <c r="H286" s="1273" t="n"/>
      <c r="I286" s="1273" t="n"/>
      <c r="J286" s="1238" t="n"/>
    </row>
    <row r="287" ht="15.75" customHeight="1" s="1349">
      <c r="C287" s="1273" t="n"/>
      <c r="D287" s="1273" t="n"/>
      <c r="E287" s="1273" t="n"/>
      <c r="F287" s="1273" t="n"/>
      <c r="G287" s="1273" t="n"/>
      <c r="H287" s="1273" t="n"/>
      <c r="I287" s="1273" t="n"/>
      <c r="J287" s="1238" t="n"/>
    </row>
    <row r="288" ht="15.75" customHeight="1" s="1349">
      <c r="C288" s="1273" t="n"/>
      <c r="D288" s="1273" t="n"/>
      <c r="E288" s="1273" t="n"/>
      <c r="F288" s="1273" t="n"/>
      <c r="G288" s="1273" t="n"/>
      <c r="H288" s="1273" t="n"/>
      <c r="I288" s="1273" t="n"/>
      <c r="J288" s="1238" t="n"/>
    </row>
    <row r="289" ht="15.75" customHeight="1" s="1349">
      <c r="C289" s="1273" t="n"/>
      <c r="D289" s="1273" t="n"/>
      <c r="E289" s="1273" t="n"/>
      <c r="F289" s="1273" t="n"/>
      <c r="G289" s="1273" t="n"/>
      <c r="H289" s="1273" t="n"/>
      <c r="I289" s="1273" t="n"/>
      <c r="J289" s="1238" t="n"/>
    </row>
    <row r="290" ht="15.75" customHeight="1" s="1349">
      <c r="C290" s="1273" t="n"/>
      <c r="D290" s="1273" t="n"/>
      <c r="E290" s="1273" t="n"/>
      <c r="F290" s="1273" t="n"/>
      <c r="G290" s="1273" t="n"/>
      <c r="H290" s="1273" t="n"/>
      <c r="I290" s="1273" t="n"/>
      <c r="J290" s="1238" t="n"/>
    </row>
    <row r="291" ht="15.75" customHeight="1" s="1349">
      <c r="C291" s="1273" t="n"/>
      <c r="D291" s="1273" t="n"/>
      <c r="E291" s="1273" t="n"/>
      <c r="F291" s="1273" t="n"/>
      <c r="G291" s="1273" t="n"/>
      <c r="H291" s="1273" t="n"/>
      <c r="I291" s="1273" t="n"/>
      <c r="J291" s="1238" t="n"/>
    </row>
    <row r="292" ht="15.75" customHeight="1" s="1349">
      <c r="C292" s="1273" t="n"/>
      <c r="D292" s="1273" t="n"/>
      <c r="E292" s="1273" t="n"/>
      <c r="F292" s="1273" t="n"/>
      <c r="G292" s="1273" t="n"/>
      <c r="H292" s="1273" t="n"/>
      <c r="I292" s="1273" t="n"/>
      <c r="J292" s="1238" t="n"/>
    </row>
    <row r="293" ht="15.75" customHeight="1" s="1349">
      <c r="C293" s="1273" t="n"/>
      <c r="D293" s="1273" t="n"/>
      <c r="E293" s="1273" t="n"/>
      <c r="F293" s="1273" t="n"/>
      <c r="G293" s="1273" t="n"/>
      <c r="H293" s="1273" t="n"/>
      <c r="I293" s="1273" t="n"/>
      <c r="J293" s="1238" t="n"/>
    </row>
    <row r="294" ht="15.75" customHeight="1" s="1349">
      <c r="C294" s="1273" t="n"/>
      <c r="D294" s="1273" t="n"/>
      <c r="E294" s="1273" t="n"/>
      <c r="F294" s="1273" t="n"/>
      <c r="G294" s="1273" t="n"/>
      <c r="H294" s="1273" t="n"/>
      <c r="I294" s="1273" t="n"/>
      <c r="J294" s="1238" t="n"/>
    </row>
    <row r="295" ht="15.75" customHeight="1" s="1349">
      <c r="C295" s="1273" t="n"/>
      <c r="D295" s="1273" t="n"/>
      <c r="E295" s="1273" t="n"/>
      <c r="F295" s="1273" t="n"/>
      <c r="G295" s="1273" t="n"/>
      <c r="H295" s="1273" t="n"/>
      <c r="I295" s="1273" t="n"/>
      <c r="J295" s="1238" t="n"/>
    </row>
    <row r="296" ht="15.75" customHeight="1" s="1349">
      <c r="C296" s="1273" t="n"/>
      <c r="D296" s="1273" t="n"/>
      <c r="E296" s="1273" t="n"/>
      <c r="F296" s="1273" t="n"/>
      <c r="G296" s="1273" t="n"/>
      <c r="H296" s="1273" t="n"/>
      <c r="I296" s="1273" t="n"/>
      <c r="J296" s="1238" t="n"/>
    </row>
    <row r="297" ht="15.75" customHeight="1" s="1349">
      <c r="C297" s="1273" t="n"/>
      <c r="D297" s="1273" t="n"/>
      <c r="E297" s="1273" t="n"/>
      <c r="F297" s="1273" t="n"/>
      <c r="G297" s="1273" t="n"/>
      <c r="H297" s="1273" t="n"/>
      <c r="I297" s="1273" t="n"/>
      <c r="J297" s="1238" t="n"/>
    </row>
    <row r="298" ht="15.75" customHeight="1" s="1349">
      <c r="C298" s="1273" t="n"/>
      <c r="D298" s="1273" t="n"/>
      <c r="E298" s="1273" t="n"/>
      <c r="F298" s="1273" t="n"/>
      <c r="G298" s="1273" t="n"/>
      <c r="H298" s="1273" t="n"/>
      <c r="I298" s="1273" t="n"/>
      <c r="J298" s="1238" t="n"/>
    </row>
    <row r="299" ht="15.75" customHeight="1" s="1349">
      <c r="C299" s="1273" t="n"/>
      <c r="D299" s="1273" t="n"/>
      <c r="E299" s="1273" t="n"/>
      <c r="F299" s="1273" t="n"/>
      <c r="G299" s="1273" t="n"/>
      <c r="H299" s="1273" t="n"/>
      <c r="I299" s="1273" t="n"/>
      <c r="J299" s="1238" t="n"/>
    </row>
    <row r="300" ht="15.75" customHeight="1" s="1349">
      <c r="C300" s="1273" t="n"/>
      <c r="D300" s="1273" t="n"/>
      <c r="E300" s="1273" t="n"/>
      <c r="F300" s="1273" t="n"/>
      <c r="G300" s="1273" t="n"/>
      <c r="H300" s="1273" t="n"/>
      <c r="I300" s="1273" t="n"/>
      <c r="J300" s="1238" t="n"/>
    </row>
    <row r="301" ht="15.75" customHeight="1" s="1349">
      <c r="C301" s="1273" t="n"/>
      <c r="D301" s="1273" t="n"/>
      <c r="E301" s="1273" t="n"/>
      <c r="F301" s="1273" t="n"/>
      <c r="G301" s="1273" t="n"/>
      <c r="H301" s="1273" t="n"/>
      <c r="I301" s="1273" t="n"/>
      <c r="J301" s="1238" t="n"/>
    </row>
    <row r="302" ht="15.75" customHeight="1" s="1349">
      <c r="C302" s="1273" t="n"/>
      <c r="D302" s="1273" t="n"/>
      <c r="E302" s="1273" t="n"/>
      <c r="F302" s="1273" t="n"/>
      <c r="G302" s="1273" t="n"/>
      <c r="H302" s="1273" t="n"/>
      <c r="I302" s="1273" t="n"/>
      <c r="J302" s="1238" t="n"/>
    </row>
    <row r="303" ht="15.75" customHeight="1" s="1349">
      <c r="C303" s="1273" t="n"/>
      <c r="D303" s="1273" t="n"/>
      <c r="E303" s="1273" t="n"/>
      <c r="F303" s="1273" t="n"/>
      <c r="G303" s="1273" t="n"/>
      <c r="H303" s="1273" t="n"/>
      <c r="I303" s="1273" t="n"/>
      <c r="J303" s="1238" t="n"/>
    </row>
    <row r="304" ht="15.75" customHeight="1" s="1349">
      <c r="C304" s="1273" t="n"/>
      <c r="D304" s="1273" t="n"/>
      <c r="E304" s="1273" t="n"/>
      <c r="F304" s="1273" t="n"/>
      <c r="G304" s="1273" t="n"/>
      <c r="H304" s="1273" t="n"/>
      <c r="I304" s="1273" t="n"/>
      <c r="J304" s="1238" t="n"/>
    </row>
    <row r="305" ht="15.75" customHeight="1" s="1349">
      <c r="C305" s="1273" t="n"/>
      <c r="D305" s="1273" t="n"/>
      <c r="E305" s="1273" t="n"/>
      <c r="F305" s="1273" t="n"/>
      <c r="G305" s="1273" t="n"/>
      <c r="H305" s="1273" t="n"/>
      <c r="I305" s="1273" t="n"/>
      <c r="J305" s="1238" t="n"/>
    </row>
    <row r="306" ht="15.75" customHeight="1" s="1349">
      <c r="C306" s="1273" t="n"/>
      <c r="D306" s="1273" t="n"/>
      <c r="E306" s="1273" t="n"/>
      <c r="F306" s="1273" t="n"/>
      <c r="G306" s="1273" t="n"/>
      <c r="H306" s="1273" t="n"/>
      <c r="I306" s="1273" t="n"/>
      <c r="J306" s="1238" t="n"/>
    </row>
    <row r="307" ht="15.75" customHeight="1" s="1349">
      <c r="C307" s="1273" t="n"/>
      <c r="D307" s="1273" t="n"/>
      <c r="E307" s="1273" t="n"/>
      <c r="F307" s="1273" t="n"/>
      <c r="G307" s="1273" t="n"/>
      <c r="H307" s="1273" t="n"/>
      <c r="I307" s="1273" t="n"/>
      <c r="J307" s="1238" t="n"/>
    </row>
    <row r="308" ht="15.75" customHeight="1" s="1349">
      <c r="C308" s="1273" t="n"/>
      <c r="D308" s="1273" t="n"/>
      <c r="E308" s="1273" t="n"/>
      <c r="F308" s="1273" t="n"/>
      <c r="G308" s="1273" t="n"/>
      <c r="H308" s="1273" t="n"/>
      <c r="I308" s="1273" t="n"/>
      <c r="J308" s="1238" t="n"/>
    </row>
    <row r="309" ht="15.75" customHeight="1" s="1349">
      <c r="C309" s="1273" t="n"/>
      <c r="D309" s="1273" t="n"/>
      <c r="E309" s="1273" t="n"/>
      <c r="F309" s="1273" t="n"/>
      <c r="G309" s="1273" t="n"/>
      <c r="H309" s="1273" t="n"/>
      <c r="I309" s="1273" t="n"/>
      <c r="J309" s="1238" t="n"/>
    </row>
    <row r="310" ht="15.75" customHeight="1" s="1349">
      <c r="C310" s="1273" t="n"/>
      <c r="D310" s="1273" t="n"/>
      <c r="E310" s="1273" t="n"/>
      <c r="F310" s="1273" t="n"/>
      <c r="G310" s="1273" t="n"/>
      <c r="H310" s="1273" t="n"/>
      <c r="I310" s="1273" t="n"/>
      <c r="J310" s="1238" t="n"/>
    </row>
    <row r="311" ht="15.75" customHeight="1" s="1349">
      <c r="C311" s="1273" t="n"/>
      <c r="D311" s="1273" t="n"/>
      <c r="E311" s="1273" t="n"/>
      <c r="F311" s="1273" t="n"/>
      <c r="G311" s="1273" t="n"/>
      <c r="H311" s="1273" t="n"/>
      <c r="I311" s="1273" t="n"/>
      <c r="J311" s="1238" t="n"/>
    </row>
    <row r="312" ht="15.75" customHeight="1" s="1349">
      <c r="C312" s="1273" t="n"/>
      <c r="D312" s="1273" t="n"/>
      <c r="E312" s="1273" t="n"/>
      <c r="F312" s="1273" t="n"/>
      <c r="G312" s="1273" t="n"/>
      <c r="H312" s="1273" t="n"/>
      <c r="I312" s="1273" t="n"/>
      <c r="J312" s="1238" t="n"/>
    </row>
    <row r="313" ht="15.75" customHeight="1" s="1349">
      <c r="C313" s="1273" t="n"/>
      <c r="D313" s="1273" t="n"/>
      <c r="E313" s="1273" t="n"/>
      <c r="F313" s="1273" t="n"/>
      <c r="G313" s="1273" t="n"/>
      <c r="H313" s="1273" t="n"/>
      <c r="I313" s="1273" t="n"/>
      <c r="J313" s="1238" t="n"/>
    </row>
    <row r="314" ht="15.75" customHeight="1" s="1349">
      <c r="C314" s="1273" t="n"/>
      <c r="D314" s="1273" t="n"/>
      <c r="E314" s="1273" t="n"/>
      <c r="F314" s="1273" t="n"/>
      <c r="G314" s="1273" t="n"/>
      <c r="H314" s="1273" t="n"/>
      <c r="I314" s="1273" t="n"/>
      <c r="J314" s="1238" t="n"/>
    </row>
    <row r="315" ht="15.75" customHeight="1" s="1349">
      <c r="C315" s="1273" t="n"/>
      <c r="D315" s="1273" t="n"/>
      <c r="E315" s="1273" t="n"/>
      <c r="F315" s="1273" t="n"/>
      <c r="G315" s="1273" t="n"/>
      <c r="H315" s="1273" t="n"/>
      <c r="I315" s="1273" t="n"/>
      <c r="J315" s="1238" t="n"/>
    </row>
    <row r="316" ht="15.75" customHeight="1" s="1349">
      <c r="C316" s="1273" t="n"/>
      <c r="D316" s="1273" t="n"/>
      <c r="E316" s="1273" t="n"/>
      <c r="F316" s="1273" t="n"/>
      <c r="G316" s="1273" t="n"/>
      <c r="H316" s="1273" t="n"/>
      <c r="I316" s="1273" t="n"/>
      <c r="J316" s="1238" t="n"/>
    </row>
    <row r="317" ht="15.75" customHeight="1" s="1349">
      <c r="C317" s="1273" t="n"/>
      <c r="D317" s="1273" t="n"/>
      <c r="E317" s="1273" t="n"/>
      <c r="F317" s="1273" t="n"/>
      <c r="G317" s="1273" t="n"/>
      <c r="H317" s="1273" t="n"/>
      <c r="I317" s="1273" t="n"/>
      <c r="J317" s="1238" t="n"/>
    </row>
    <row r="318" ht="15.75" customHeight="1" s="1349">
      <c r="C318" s="1273" t="n"/>
      <c r="D318" s="1273" t="n"/>
      <c r="E318" s="1273" t="n"/>
      <c r="F318" s="1273" t="n"/>
      <c r="G318" s="1273" t="n"/>
      <c r="H318" s="1273" t="n"/>
      <c r="I318" s="1273" t="n"/>
      <c r="J318" s="1238" t="n"/>
    </row>
    <row r="319" ht="15.75" customHeight="1" s="1349">
      <c r="C319" s="1273" t="n"/>
      <c r="D319" s="1273" t="n"/>
      <c r="E319" s="1273" t="n"/>
      <c r="F319" s="1273" t="n"/>
      <c r="G319" s="1273" t="n"/>
      <c r="H319" s="1273" t="n"/>
      <c r="I319" s="1273" t="n"/>
      <c r="J319" s="1238" t="n"/>
    </row>
    <row r="320" ht="15.75" customHeight="1" s="1349">
      <c r="C320" s="1273" t="n"/>
      <c r="D320" s="1273" t="n"/>
      <c r="E320" s="1273" t="n"/>
      <c r="F320" s="1273" t="n"/>
      <c r="G320" s="1273" t="n"/>
      <c r="H320" s="1273" t="n"/>
      <c r="I320" s="1273" t="n"/>
      <c r="J320" s="1238" t="n"/>
    </row>
    <row r="321" ht="15.75" customHeight="1" s="1349">
      <c r="C321" s="1273" t="n"/>
      <c r="D321" s="1273" t="n"/>
      <c r="E321" s="1273" t="n"/>
      <c r="F321" s="1273" t="n"/>
      <c r="G321" s="1273" t="n"/>
      <c r="H321" s="1273" t="n"/>
      <c r="I321" s="1273" t="n"/>
      <c r="J321" s="1238" t="n"/>
    </row>
    <row r="322" ht="15.75" customHeight="1" s="1349">
      <c r="C322" s="1273" t="n"/>
      <c r="D322" s="1273" t="n"/>
      <c r="E322" s="1273" t="n"/>
      <c r="F322" s="1273" t="n"/>
      <c r="G322" s="1273" t="n"/>
      <c r="H322" s="1273" t="n"/>
      <c r="I322" s="1273" t="n"/>
      <c r="J322" s="1238" t="n"/>
    </row>
    <row r="323" ht="15.75" customHeight="1" s="1349">
      <c r="C323" s="1273" t="n"/>
      <c r="D323" s="1273" t="n"/>
      <c r="E323" s="1273" t="n"/>
      <c r="F323" s="1273" t="n"/>
      <c r="G323" s="1273" t="n"/>
      <c r="H323" s="1273" t="n"/>
      <c r="I323" s="1273" t="n"/>
      <c r="J323" s="1238" t="n"/>
    </row>
    <row r="324" ht="15.75" customHeight="1" s="1349">
      <c r="C324" s="1273" t="n"/>
      <c r="D324" s="1273" t="n"/>
      <c r="E324" s="1273" t="n"/>
      <c r="F324" s="1273" t="n"/>
      <c r="G324" s="1273" t="n"/>
      <c r="H324" s="1273" t="n"/>
      <c r="I324" s="1273" t="n"/>
      <c r="J324" s="1238" t="n"/>
    </row>
    <row r="325" ht="15.75" customHeight="1" s="1349">
      <c r="C325" s="1273" t="n"/>
      <c r="D325" s="1273" t="n"/>
      <c r="E325" s="1273" t="n"/>
      <c r="F325" s="1273" t="n"/>
      <c r="G325" s="1273" t="n"/>
      <c r="H325" s="1273" t="n"/>
      <c r="I325" s="1273" t="n"/>
      <c r="J325" s="1238" t="n"/>
    </row>
    <row r="326" ht="15.75" customHeight="1" s="1349">
      <c r="C326" s="1273" t="n"/>
      <c r="D326" s="1273" t="n"/>
      <c r="E326" s="1273" t="n"/>
      <c r="F326" s="1273" t="n"/>
      <c r="G326" s="1273" t="n"/>
      <c r="H326" s="1273" t="n"/>
      <c r="I326" s="1273" t="n"/>
      <c r="J326" s="1238" t="n"/>
    </row>
    <row r="327" ht="15.75" customHeight="1" s="1349">
      <c r="C327" s="1273" t="n"/>
      <c r="D327" s="1273" t="n"/>
      <c r="E327" s="1273" t="n"/>
      <c r="F327" s="1273" t="n"/>
      <c r="G327" s="1273" t="n"/>
      <c r="H327" s="1273" t="n"/>
      <c r="I327" s="1273" t="n"/>
      <c r="J327" s="1238" t="n"/>
    </row>
    <row r="328" ht="15.75" customHeight="1" s="1349">
      <c r="C328" s="1273" t="n"/>
      <c r="D328" s="1273" t="n"/>
      <c r="E328" s="1273" t="n"/>
      <c r="F328" s="1273" t="n"/>
      <c r="G328" s="1273" t="n"/>
      <c r="H328" s="1273" t="n"/>
      <c r="I328" s="1273" t="n"/>
      <c r="J328" s="1238" t="n"/>
    </row>
    <row r="329" ht="15.75" customHeight="1" s="1349">
      <c r="C329" s="1273" t="n"/>
      <c r="D329" s="1273" t="n"/>
      <c r="E329" s="1273" t="n"/>
      <c r="F329" s="1273" t="n"/>
      <c r="G329" s="1273" t="n"/>
      <c r="H329" s="1273" t="n"/>
      <c r="I329" s="1273" t="n"/>
      <c r="J329" s="1238" t="n"/>
    </row>
    <row r="330" ht="15.75" customHeight="1" s="1349">
      <c r="C330" s="1273" t="n"/>
      <c r="D330" s="1273" t="n"/>
      <c r="E330" s="1273" t="n"/>
      <c r="F330" s="1273" t="n"/>
      <c r="G330" s="1273" t="n"/>
      <c r="H330" s="1273" t="n"/>
      <c r="I330" s="1273" t="n"/>
      <c r="J330" s="1238" t="n"/>
    </row>
    <row r="331" ht="15.75" customHeight="1" s="1349">
      <c r="C331" s="1273" t="n"/>
      <c r="D331" s="1273" t="n"/>
      <c r="E331" s="1273" t="n"/>
      <c r="F331" s="1273" t="n"/>
      <c r="G331" s="1273" t="n"/>
      <c r="H331" s="1273" t="n"/>
      <c r="I331" s="1273" t="n"/>
      <c r="J331" s="1238" t="n"/>
    </row>
    <row r="332" ht="15.75" customHeight="1" s="1349">
      <c r="C332" s="1273" t="n"/>
      <c r="D332" s="1273" t="n"/>
      <c r="E332" s="1273" t="n"/>
      <c r="F332" s="1273" t="n"/>
      <c r="G332" s="1273" t="n"/>
      <c r="H332" s="1273" t="n"/>
      <c r="I332" s="1273" t="n"/>
      <c r="J332" s="1238" t="n"/>
    </row>
    <row r="333" ht="15.75" customHeight="1" s="1349">
      <c r="C333" s="1273" t="n"/>
      <c r="D333" s="1273" t="n"/>
      <c r="E333" s="1273" t="n"/>
      <c r="F333" s="1273" t="n"/>
      <c r="G333" s="1273" t="n"/>
      <c r="H333" s="1273" t="n"/>
      <c r="I333" s="1273" t="n"/>
      <c r="J333" s="1238" t="n"/>
    </row>
    <row r="334" ht="15.75" customHeight="1" s="1349">
      <c r="C334" s="1273" t="n"/>
      <c r="D334" s="1273" t="n"/>
      <c r="E334" s="1273" t="n"/>
      <c r="F334" s="1273" t="n"/>
      <c r="G334" s="1273" t="n"/>
      <c r="H334" s="1273" t="n"/>
      <c r="I334" s="1273" t="n"/>
      <c r="J334" s="1238" t="n"/>
    </row>
    <row r="335" ht="15.75" customHeight="1" s="1349">
      <c r="C335" s="1273" t="n"/>
      <c r="D335" s="1273" t="n"/>
      <c r="E335" s="1273" t="n"/>
      <c r="F335" s="1273" t="n"/>
      <c r="G335" s="1273" t="n"/>
      <c r="H335" s="1273" t="n"/>
      <c r="I335" s="1273" t="n"/>
      <c r="J335" s="1238" t="n"/>
    </row>
    <row r="336" ht="15.75" customHeight="1" s="1349">
      <c r="C336" s="1273" t="n"/>
      <c r="D336" s="1273" t="n"/>
      <c r="E336" s="1273" t="n"/>
      <c r="F336" s="1273" t="n"/>
      <c r="G336" s="1273" t="n"/>
      <c r="H336" s="1273" t="n"/>
      <c r="I336" s="1273" t="n"/>
      <c r="J336" s="1238" t="n"/>
    </row>
    <row r="337" ht="15.75" customHeight="1" s="1349">
      <c r="C337" s="1273" t="n"/>
      <c r="D337" s="1273" t="n"/>
      <c r="E337" s="1273" t="n"/>
      <c r="F337" s="1273" t="n"/>
      <c r="G337" s="1273" t="n"/>
      <c r="H337" s="1273" t="n"/>
      <c r="I337" s="1273" t="n"/>
      <c r="J337" s="1238" t="n"/>
    </row>
    <row r="338" ht="15.75" customHeight="1" s="1349">
      <c r="C338" s="1273" t="n"/>
      <c r="D338" s="1273" t="n"/>
      <c r="E338" s="1273" t="n"/>
      <c r="F338" s="1273" t="n"/>
      <c r="G338" s="1273" t="n"/>
      <c r="H338" s="1273" t="n"/>
      <c r="I338" s="1273" t="n"/>
      <c r="J338" s="1238" t="n"/>
    </row>
    <row r="339" ht="15.75" customHeight="1" s="1349">
      <c r="C339" s="1273" t="n"/>
      <c r="D339" s="1273" t="n"/>
      <c r="E339" s="1273" t="n"/>
      <c r="F339" s="1273" t="n"/>
      <c r="G339" s="1273" t="n"/>
      <c r="H339" s="1273" t="n"/>
      <c r="I339" s="1273" t="n"/>
      <c r="J339" s="1238" t="n"/>
    </row>
    <row r="340" ht="15.75" customHeight="1" s="1349">
      <c r="C340" s="1273" t="n"/>
      <c r="D340" s="1273" t="n"/>
      <c r="E340" s="1273" t="n"/>
      <c r="F340" s="1273" t="n"/>
      <c r="G340" s="1273" t="n"/>
      <c r="H340" s="1273" t="n"/>
      <c r="I340" s="1273" t="n"/>
      <c r="J340" s="1238" t="n"/>
    </row>
    <row r="341" ht="15.75" customHeight="1" s="1349">
      <c r="C341" s="1273" t="n"/>
      <c r="D341" s="1273" t="n"/>
      <c r="E341" s="1273" t="n"/>
      <c r="F341" s="1273" t="n"/>
      <c r="G341" s="1273" t="n"/>
      <c r="H341" s="1273" t="n"/>
      <c r="I341" s="1273" t="n"/>
      <c r="J341" s="1238" t="n"/>
    </row>
    <row r="342" ht="15.75" customHeight="1" s="1349">
      <c r="C342" s="1273" t="n"/>
      <c r="D342" s="1273" t="n"/>
      <c r="E342" s="1273" t="n"/>
      <c r="F342" s="1273" t="n"/>
      <c r="G342" s="1273" t="n"/>
      <c r="H342" s="1273" t="n"/>
      <c r="I342" s="1273" t="n"/>
      <c r="J342" s="1238" t="n"/>
    </row>
    <row r="343" ht="15.75" customHeight="1" s="1349">
      <c r="C343" s="1273" t="n"/>
      <c r="D343" s="1273" t="n"/>
      <c r="E343" s="1273" t="n"/>
      <c r="F343" s="1273" t="n"/>
      <c r="G343" s="1273" t="n"/>
      <c r="H343" s="1273" t="n"/>
      <c r="I343" s="1273" t="n"/>
      <c r="J343" s="1238" t="n"/>
    </row>
    <row r="344" ht="15.75" customHeight="1" s="1349">
      <c r="C344" s="1273" t="n"/>
      <c r="D344" s="1273" t="n"/>
      <c r="E344" s="1273" t="n"/>
      <c r="F344" s="1273" t="n"/>
      <c r="G344" s="1273" t="n"/>
      <c r="H344" s="1273" t="n"/>
      <c r="I344" s="1273" t="n"/>
      <c r="J344" s="1238" t="n"/>
    </row>
    <row r="345" ht="15.75" customHeight="1" s="1349">
      <c r="C345" s="1273" t="n"/>
      <c r="D345" s="1273" t="n"/>
      <c r="E345" s="1273" t="n"/>
      <c r="F345" s="1273" t="n"/>
      <c r="G345" s="1273" t="n"/>
      <c r="H345" s="1273" t="n"/>
      <c r="I345" s="1273" t="n"/>
      <c r="J345" s="1238" t="n"/>
    </row>
    <row r="346" ht="15.75" customHeight="1" s="1349">
      <c r="C346" s="1273" t="n"/>
      <c r="D346" s="1273" t="n"/>
      <c r="E346" s="1273" t="n"/>
      <c r="F346" s="1273" t="n"/>
      <c r="G346" s="1273" t="n"/>
      <c r="H346" s="1273" t="n"/>
      <c r="I346" s="1273" t="n"/>
      <c r="J346" s="1238" t="n"/>
    </row>
    <row r="347" ht="15.75" customHeight="1" s="1349">
      <c r="C347" s="1273" t="n"/>
      <c r="D347" s="1273" t="n"/>
      <c r="E347" s="1273" t="n"/>
      <c r="F347" s="1273" t="n"/>
      <c r="G347" s="1273" t="n"/>
      <c r="H347" s="1273" t="n"/>
      <c r="I347" s="1273" t="n"/>
      <c r="J347" s="1238" t="n"/>
    </row>
    <row r="348" ht="15.75" customHeight="1" s="1349">
      <c r="C348" s="1273" t="n"/>
      <c r="D348" s="1273" t="n"/>
      <c r="E348" s="1273" t="n"/>
      <c r="F348" s="1273" t="n"/>
      <c r="G348" s="1273" t="n"/>
      <c r="H348" s="1273" t="n"/>
      <c r="I348" s="1273" t="n"/>
      <c r="J348" s="1238" t="n"/>
    </row>
    <row r="349" ht="15.75" customHeight="1" s="1349">
      <c r="C349" s="1273" t="n"/>
      <c r="D349" s="1273" t="n"/>
      <c r="E349" s="1273" t="n"/>
      <c r="F349" s="1273" t="n"/>
      <c r="G349" s="1273" t="n"/>
      <c r="H349" s="1273" t="n"/>
      <c r="I349" s="1273" t="n"/>
      <c r="J349" s="1238" t="n"/>
    </row>
    <row r="350" ht="15.75" customHeight="1" s="1349">
      <c r="C350" s="1273" t="n"/>
      <c r="D350" s="1273" t="n"/>
      <c r="E350" s="1273" t="n"/>
      <c r="F350" s="1273" t="n"/>
      <c r="G350" s="1273" t="n"/>
      <c r="H350" s="1273" t="n"/>
      <c r="I350" s="1273" t="n"/>
      <c r="J350" s="1238" t="n"/>
    </row>
    <row r="351" ht="15.75" customHeight="1" s="1349">
      <c r="C351" s="1273" t="n"/>
      <c r="D351" s="1273" t="n"/>
      <c r="E351" s="1273" t="n"/>
      <c r="F351" s="1273" t="n"/>
      <c r="G351" s="1273" t="n"/>
      <c r="H351" s="1273" t="n"/>
      <c r="I351" s="1273" t="n"/>
      <c r="J351" s="1238" t="n"/>
    </row>
    <row r="352" ht="15.75" customHeight="1" s="1349">
      <c r="C352" s="1273" t="n"/>
      <c r="D352" s="1273" t="n"/>
      <c r="E352" s="1273" t="n"/>
      <c r="F352" s="1273" t="n"/>
      <c r="G352" s="1273" t="n"/>
      <c r="H352" s="1273" t="n"/>
      <c r="I352" s="1273" t="n"/>
      <c r="J352" s="1238" t="n"/>
    </row>
    <row r="353" ht="15.75" customHeight="1" s="1349">
      <c r="C353" s="1273" t="n"/>
      <c r="D353" s="1273" t="n"/>
      <c r="E353" s="1273" t="n"/>
      <c r="F353" s="1273" t="n"/>
      <c r="G353" s="1273" t="n"/>
      <c r="H353" s="1273" t="n"/>
      <c r="I353" s="1273" t="n"/>
      <c r="J353" s="1238" t="n"/>
    </row>
    <row r="354" ht="15.75" customHeight="1" s="1349">
      <c r="C354" s="1273" t="n"/>
      <c r="D354" s="1273" t="n"/>
      <c r="E354" s="1273" t="n"/>
      <c r="F354" s="1273" t="n"/>
      <c r="G354" s="1273" t="n"/>
      <c r="H354" s="1273" t="n"/>
      <c r="I354" s="1273" t="n"/>
      <c r="J354" s="1238" t="n"/>
    </row>
    <row r="355" ht="15.75" customHeight="1" s="1349">
      <c r="C355" s="1273" t="n"/>
      <c r="D355" s="1273" t="n"/>
      <c r="E355" s="1273" t="n"/>
      <c r="F355" s="1273" t="n"/>
      <c r="G355" s="1273" t="n"/>
      <c r="H355" s="1273" t="n"/>
      <c r="I355" s="1273" t="n"/>
      <c r="J355" s="1238" t="n"/>
    </row>
    <row r="356" ht="15.75" customHeight="1" s="1349">
      <c r="C356" s="1273" t="n"/>
      <c r="D356" s="1273" t="n"/>
      <c r="E356" s="1273" t="n"/>
      <c r="F356" s="1273" t="n"/>
      <c r="G356" s="1273" t="n"/>
      <c r="H356" s="1273" t="n"/>
      <c r="I356" s="1273" t="n"/>
      <c r="J356" s="1238" t="n"/>
    </row>
    <row r="357" ht="15.75" customHeight="1" s="1349">
      <c r="C357" s="1273" t="n"/>
      <c r="D357" s="1273" t="n"/>
      <c r="E357" s="1273" t="n"/>
      <c r="F357" s="1273" t="n"/>
      <c r="G357" s="1273" t="n"/>
      <c r="H357" s="1273" t="n"/>
      <c r="I357" s="1273" t="n"/>
      <c r="J357" s="1238" t="n"/>
    </row>
    <row r="358" ht="15.75" customHeight="1" s="1349">
      <c r="C358" s="1273" t="n"/>
      <c r="D358" s="1273" t="n"/>
      <c r="E358" s="1273" t="n"/>
      <c r="F358" s="1273" t="n"/>
      <c r="G358" s="1273" t="n"/>
      <c r="H358" s="1273" t="n"/>
      <c r="I358" s="1273" t="n"/>
      <c r="J358" s="1238" t="n"/>
    </row>
    <row r="359" ht="15.75" customHeight="1" s="1349">
      <c r="C359" s="1273" t="n"/>
      <c r="D359" s="1273" t="n"/>
      <c r="E359" s="1273" t="n"/>
      <c r="F359" s="1273" t="n"/>
      <c r="G359" s="1273" t="n"/>
      <c r="H359" s="1273" t="n"/>
      <c r="I359" s="1273" t="n"/>
      <c r="J359" s="1238" t="n"/>
    </row>
    <row r="360" ht="15.75" customHeight="1" s="1349">
      <c r="C360" s="1273" t="n"/>
      <c r="D360" s="1273" t="n"/>
      <c r="E360" s="1273" t="n"/>
      <c r="F360" s="1273" t="n"/>
      <c r="G360" s="1273" t="n"/>
      <c r="H360" s="1273" t="n"/>
      <c r="I360" s="1273" t="n"/>
      <c r="J360" s="1238" t="n"/>
    </row>
    <row r="361" ht="15.75" customHeight="1" s="1349">
      <c r="C361" s="1273" t="n"/>
      <c r="D361" s="1273" t="n"/>
      <c r="E361" s="1273" t="n"/>
      <c r="F361" s="1273" t="n"/>
      <c r="G361" s="1273" t="n"/>
      <c r="H361" s="1273" t="n"/>
      <c r="I361" s="1273" t="n"/>
      <c r="J361" s="1238" t="n"/>
    </row>
    <row r="362" ht="15.75" customHeight="1" s="1349">
      <c r="C362" s="1273" t="n"/>
      <c r="D362" s="1273" t="n"/>
      <c r="E362" s="1273" t="n"/>
      <c r="F362" s="1273" t="n"/>
      <c r="G362" s="1273" t="n"/>
      <c r="H362" s="1273" t="n"/>
      <c r="I362" s="1273" t="n"/>
      <c r="J362" s="1238" t="n"/>
    </row>
    <row r="363" ht="15.75" customHeight="1" s="1349">
      <c r="C363" s="1273" t="n"/>
      <c r="D363" s="1273" t="n"/>
      <c r="E363" s="1273" t="n"/>
      <c r="F363" s="1273" t="n"/>
      <c r="G363" s="1273" t="n"/>
      <c r="H363" s="1273" t="n"/>
      <c r="I363" s="1273" t="n"/>
      <c r="J363" s="1238" t="n"/>
    </row>
    <row r="364" ht="15.75" customHeight="1" s="1349">
      <c r="C364" s="1273" t="n"/>
      <c r="D364" s="1273" t="n"/>
      <c r="E364" s="1273" t="n"/>
      <c r="F364" s="1273" t="n"/>
      <c r="G364" s="1273" t="n"/>
      <c r="H364" s="1273" t="n"/>
      <c r="I364" s="1273" t="n"/>
      <c r="J364" s="1238" t="n"/>
    </row>
    <row r="365" ht="15.75" customHeight="1" s="1349">
      <c r="C365" s="1273" t="n"/>
      <c r="D365" s="1273" t="n"/>
      <c r="E365" s="1273" t="n"/>
      <c r="F365" s="1273" t="n"/>
      <c r="G365" s="1273" t="n"/>
      <c r="H365" s="1273" t="n"/>
      <c r="I365" s="1273" t="n"/>
      <c r="J365" s="1238" t="n"/>
    </row>
    <row r="366" ht="15.75" customHeight="1" s="1349">
      <c r="C366" s="1273" t="n"/>
      <c r="D366" s="1273" t="n"/>
      <c r="E366" s="1273" t="n"/>
      <c r="F366" s="1273" t="n"/>
      <c r="G366" s="1273" t="n"/>
      <c r="H366" s="1273" t="n"/>
      <c r="I366" s="1273" t="n"/>
      <c r="J366" s="1238" t="n"/>
    </row>
    <row r="367" ht="15.75" customHeight="1" s="1349">
      <c r="C367" s="1273" t="n"/>
      <c r="D367" s="1273" t="n"/>
      <c r="E367" s="1273" t="n"/>
      <c r="F367" s="1273" t="n"/>
      <c r="G367" s="1273" t="n"/>
      <c r="H367" s="1273" t="n"/>
      <c r="I367" s="1273" t="n"/>
      <c r="J367" s="1238" t="n"/>
    </row>
    <row r="368" ht="15.75" customHeight="1" s="1349">
      <c r="C368" s="1273" t="n"/>
      <c r="D368" s="1273" t="n"/>
      <c r="E368" s="1273" t="n"/>
      <c r="F368" s="1273" t="n"/>
      <c r="G368" s="1273" t="n"/>
      <c r="H368" s="1273" t="n"/>
      <c r="I368" s="1273" t="n"/>
      <c r="J368" s="1238" t="n"/>
    </row>
    <row r="369" ht="15.75" customHeight="1" s="1349">
      <c r="C369" s="1273" t="n"/>
      <c r="D369" s="1273" t="n"/>
      <c r="E369" s="1273" t="n"/>
      <c r="F369" s="1273" t="n"/>
      <c r="G369" s="1273" t="n"/>
      <c r="H369" s="1273" t="n"/>
      <c r="I369" s="1273" t="n"/>
      <c r="J369" s="1238" t="n"/>
    </row>
    <row r="370" ht="15.75" customHeight="1" s="1349">
      <c r="C370" s="1273" t="n"/>
      <c r="D370" s="1273" t="n"/>
      <c r="E370" s="1273" t="n"/>
      <c r="F370" s="1273" t="n"/>
      <c r="G370" s="1273" t="n"/>
      <c r="H370" s="1273" t="n"/>
      <c r="I370" s="1273" t="n"/>
      <c r="J370" s="1238" t="n"/>
    </row>
    <row r="371" ht="15.75" customHeight="1" s="1349">
      <c r="C371" s="1273" t="n"/>
      <c r="D371" s="1273" t="n"/>
      <c r="E371" s="1273" t="n"/>
      <c r="F371" s="1273" t="n"/>
      <c r="G371" s="1273" t="n"/>
      <c r="H371" s="1273" t="n"/>
      <c r="I371" s="1273" t="n"/>
      <c r="J371" s="1238" t="n"/>
    </row>
    <row r="372" ht="15.75" customHeight="1" s="1349">
      <c r="C372" s="1273" t="n"/>
      <c r="D372" s="1273" t="n"/>
      <c r="E372" s="1273" t="n"/>
      <c r="F372" s="1273" t="n"/>
      <c r="G372" s="1273" t="n"/>
      <c r="H372" s="1273" t="n"/>
      <c r="I372" s="1273" t="n"/>
      <c r="J372" s="1238" t="n"/>
    </row>
    <row r="373" ht="15.75" customHeight="1" s="1349">
      <c r="C373" s="1273" t="n"/>
      <c r="D373" s="1273" t="n"/>
      <c r="E373" s="1273" t="n"/>
      <c r="F373" s="1273" t="n"/>
      <c r="G373" s="1273" t="n"/>
      <c r="H373" s="1273" t="n"/>
      <c r="I373" s="1273" t="n"/>
      <c r="J373" s="1238" t="n"/>
    </row>
    <row r="374" ht="15.75" customHeight="1" s="1349">
      <c r="C374" s="1273" t="n"/>
      <c r="D374" s="1273" t="n"/>
      <c r="E374" s="1273" t="n"/>
      <c r="F374" s="1273" t="n"/>
      <c r="G374" s="1273" t="n"/>
      <c r="H374" s="1273" t="n"/>
      <c r="I374" s="1273" t="n"/>
      <c r="J374" s="1238" t="n"/>
    </row>
    <row r="375" ht="15.75" customHeight="1" s="1349">
      <c r="C375" s="1273" t="n"/>
      <c r="D375" s="1273" t="n"/>
      <c r="E375" s="1273" t="n"/>
      <c r="F375" s="1273" t="n"/>
      <c r="G375" s="1273" t="n"/>
      <c r="H375" s="1273" t="n"/>
      <c r="I375" s="1273" t="n"/>
      <c r="J375" s="1238" t="n"/>
    </row>
    <row r="376" ht="15.75" customHeight="1" s="1349">
      <c r="C376" s="1273" t="n"/>
      <c r="D376" s="1273" t="n"/>
      <c r="E376" s="1273" t="n"/>
      <c r="F376" s="1273" t="n"/>
      <c r="G376" s="1273" t="n"/>
      <c r="H376" s="1273" t="n"/>
      <c r="I376" s="1273" t="n"/>
      <c r="J376" s="1238" t="n"/>
    </row>
    <row r="377" ht="15.75" customHeight="1" s="1349">
      <c r="C377" s="1273" t="n"/>
      <c r="D377" s="1273" t="n"/>
      <c r="E377" s="1273" t="n"/>
      <c r="F377" s="1273" t="n"/>
      <c r="G377" s="1273" t="n"/>
      <c r="H377" s="1273" t="n"/>
      <c r="I377" s="1273" t="n"/>
      <c r="J377" s="1238" t="n"/>
    </row>
    <row r="378" ht="15.75" customHeight="1" s="1349">
      <c r="C378" s="1273" t="n"/>
      <c r="D378" s="1273" t="n"/>
      <c r="E378" s="1273" t="n"/>
      <c r="F378" s="1273" t="n"/>
      <c r="G378" s="1273" t="n"/>
      <c r="H378" s="1273" t="n"/>
      <c r="I378" s="1273" t="n"/>
      <c r="J378" s="1238" t="n"/>
    </row>
    <row r="379" ht="15.75" customHeight="1" s="1349">
      <c r="C379" s="1273" t="n"/>
      <c r="D379" s="1273" t="n"/>
      <c r="E379" s="1273" t="n"/>
      <c r="F379" s="1273" t="n"/>
      <c r="G379" s="1273" t="n"/>
      <c r="H379" s="1273" t="n"/>
      <c r="I379" s="1273" t="n"/>
      <c r="J379" s="1238" t="n"/>
    </row>
    <row r="380" ht="15.75" customHeight="1" s="1349">
      <c r="C380" s="1273" t="n"/>
      <c r="D380" s="1273" t="n"/>
      <c r="E380" s="1273" t="n"/>
      <c r="F380" s="1273" t="n"/>
      <c r="G380" s="1273" t="n"/>
      <c r="H380" s="1273" t="n"/>
      <c r="I380" s="1273" t="n"/>
      <c r="J380" s="1238" t="n"/>
    </row>
    <row r="381" ht="15.75" customHeight="1" s="1349">
      <c r="C381" s="1273" t="n"/>
      <c r="D381" s="1273" t="n"/>
      <c r="E381" s="1273" t="n"/>
      <c r="F381" s="1273" t="n"/>
      <c r="G381" s="1273" t="n"/>
      <c r="H381" s="1273" t="n"/>
      <c r="I381" s="1273" t="n"/>
      <c r="J381" s="1238" t="n"/>
    </row>
    <row r="382" ht="15.75" customHeight="1" s="1349">
      <c r="C382" s="1273" t="n"/>
      <c r="D382" s="1273" t="n"/>
      <c r="E382" s="1273" t="n"/>
      <c r="F382" s="1273" t="n"/>
      <c r="G382" s="1273" t="n"/>
      <c r="H382" s="1273" t="n"/>
      <c r="I382" s="1273" t="n"/>
      <c r="J382" s="1238" t="n"/>
    </row>
    <row r="383" ht="15.75" customHeight="1" s="1349">
      <c r="C383" s="1273" t="n"/>
      <c r="D383" s="1273" t="n"/>
      <c r="E383" s="1273" t="n"/>
      <c r="F383" s="1273" t="n"/>
      <c r="G383" s="1273" t="n"/>
      <c r="H383" s="1273" t="n"/>
      <c r="I383" s="1273" t="n"/>
      <c r="J383" s="1238" t="n"/>
    </row>
    <row r="384" ht="15.75" customHeight="1" s="1349">
      <c r="C384" s="1273" t="n"/>
      <c r="D384" s="1273" t="n"/>
      <c r="E384" s="1273" t="n"/>
      <c r="F384" s="1273" t="n"/>
      <c r="G384" s="1273" t="n"/>
      <c r="H384" s="1273" t="n"/>
      <c r="I384" s="1273" t="n"/>
      <c r="J384" s="1238" t="n"/>
    </row>
    <row r="385" ht="15.75" customHeight="1" s="1349">
      <c r="C385" s="1273" t="n"/>
      <c r="D385" s="1273" t="n"/>
      <c r="E385" s="1273" t="n"/>
      <c r="F385" s="1273" t="n"/>
      <c r="G385" s="1273" t="n"/>
      <c r="H385" s="1273" t="n"/>
      <c r="I385" s="1273" t="n"/>
      <c r="J385" s="1238" t="n"/>
    </row>
    <row r="386" ht="15.75" customHeight="1" s="1349">
      <c r="C386" s="1273" t="n"/>
      <c r="D386" s="1273" t="n"/>
      <c r="E386" s="1273" t="n"/>
      <c r="F386" s="1273" t="n"/>
      <c r="G386" s="1273" t="n"/>
      <c r="H386" s="1273" t="n"/>
      <c r="I386" s="1273" t="n"/>
      <c r="J386" s="1238" t="n"/>
    </row>
    <row r="387" ht="15.75" customHeight="1" s="1349">
      <c r="C387" s="1273" t="n"/>
      <c r="D387" s="1273" t="n"/>
      <c r="E387" s="1273" t="n"/>
      <c r="F387" s="1273" t="n"/>
      <c r="G387" s="1273" t="n"/>
      <c r="H387" s="1273" t="n"/>
      <c r="I387" s="1273" t="n"/>
      <c r="J387" s="1238" t="n"/>
    </row>
    <row r="388" ht="15.75" customHeight="1" s="1349">
      <c r="C388" s="1273" t="n"/>
      <c r="D388" s="1273" t="n"/>
      <c r="E388" s="1273" t="n"/>
      <c r="F388" s="1273" t="n"/>
      <c r="G388" s="1273" t="n"/>
      <c r="H388" s="1273" t="n"/>
      <c r="I388" s="1273" t="n"/>
      <c r="J388" s="1238" t="n"/>
    </row>
    <row r="389" ht="15.75" customHeight="1" s="1349">
      <c r="C389" s="1273" t="n"/>
      <c r="D389" s="1273" t="n"/>
      <c r="E389" s="1273" t="n"/>
      <c r="F389" s="1273" t="n"/>
      <c r="G389" s="1273" t="n"/>
      <c r="H389" s="1273" t="n"/>
      <c r="I389" s="1273" t="n"/>
      <c r="J389" s="1238" t="n"/>
    </row>
    <row r="390" ht="15.75" customHeight="1" s="1349">
      <c r="C390" s="1273" t="n"/>
      <c r="D390" s="1273" t="n"/>
      <c r="E390" s="1273" t="n"/>
      <c r="F390" s="1273" t="n"/>
      <c r="G390" s="1273" t="n"/>
      <c r="H390" s="1273" t="n"/>
      <c r="I390" s="1273" t="n"/>
      <c r="J390" s="1238" t="n"/>
    </row>
    <row r="391" ht="15.75" customHeight="1" s="1349">
      <c r="C391" s="1273" t="n"/>
      <c r="D391" s="1273" t="n"/>
      <c r="E391" s="1273" t="n"/>
      <c r="F391" s="1273" t="n"/>
      <c r="G391" s="1273" t="n"/>
      <c r="H391" s="1273" t="n"/>
      <c r="I391" s="1273" t="n"/>
      <c r="J391" s="1238" t="n"/>
    </row>
    <row r="392" ht="15.75" customHeight="1" s="1349">
      <c r="C392" s="1273" t="n"/>
      <c r="D392" s="1273" t="n"/>
      <c r="E392" s="1273" t="n"/>
      <c r="F392" s="1273" t="n"/>
      <c r="G392" s="1273" t="n"/>
      <c r="H392" s="1273" t="n"/>
      <c r="I392" s="1273" t="n"/>
      <c r="J392" s="1238" t="n"/>
    </row>
    <row r="393" ht="15.75" customHeight="1" s="1349">
      <c r="C393" s="1273" t="n"/>
      <c r="D393" s="1273" t="n"/>
      <c r="E393" s="1273" t="n"/>
      <c r="F393" s="1273" t="n"/>
      <c r="G393" s="1273" t="n"/>
      <c r="H393" s="1273" t="n"/>
      <c r="I393" s="1273" t="n"/>
      <c r="J393" s="1238" t="n"/>
    </row>
    <row r="394" ht="15.75" customHeight="1" s="1349">
      <c r="C394" s="1273" t="n"/>
      <c r="D394" s="1273" t="n"/>
      <c r="E394" s="1273" t="n"/>
      <c r="F394" s="1273" t="n"/>
      <c r="G394" s="1273" t="n"/>
      <c r="H394" s="1273" t="n"/>
      <c r="I394" s="1273" t="n"/>
      <c r="J394" s="1238" t="n"/>
    </row>
    <row r="395" ht="15.75" customHeight="1" s="1349">
      <c r="C395" s="1273" t="n"/>
      <c r="D395" s="1273" t="n"/>
      <c r="E395" s="1273" t="n"/>
      <c r="F395" s="1273" t="n"/>
      <c r="G395" s="1273" t="n"/>
      <c r="H395" s="1273" t="n"/>
      <c r="I395" s="1273" t="n"/>
      <c r="J395" s="1238" t="n"/>
    </row>
    <row r="396" ht="15.75" customHeight="1" s="1349">
      <c r="C396" s="1273" t="n"/>
      <c r="D396" s="1273" t="n"/>
      <c r="E396" s="1273" t="n"/>
      <c r="F396" s="1273" t="n"/>
      <c r="G396" s="1273" t="n"/>
      <c r="H396" s="1273" t="n"/>
      <c r="I396" s="1273" t="n"/>
      <c r="J396" s="1238" t="n"/>
    </row>
    <row r="397" ht="15.75" customHeight="1" s="1349">
      <c r="C397" s="1273" t="n"/>
      <c r="D397" s="1273" t="n"/>
      <c r="E397" s="1273" t="n"/>
      <c r="F397" s="1273" t="n"/>
      <c r="G397" s="1273" t="n"/>
      <c r="H397" s="1273" t="n"/>
      <c r="I397" s="1273" t="n"/>
      <c r="J397" s="1238" t="n"/>
    </row>
    <row r="398" ht="15.75" customHeight="1" s="1349">
      <c r="C398" s="1273" t="n"/>
      <c r="D398" s="1273" t="n"/>
      <c r="E398" s="1273" t="n"/>
      <c r="F398" s="1273" t="n"/>
      <c r="G398" s="1273" t="n"/>
      <c r="H398" s="1273" t="n"/>
      <c r="I398" s="1273" t="n"/>
      <c r="J398" s="1238" t="n"/>
    </row>
    <row r="399" ht="15.75" customHeight="1" s="1349">
      <c r="C399" s="1273" t="n"/>
      <c r="D399" s="1273" t="n"/>
      <c r="E399" s="1273" t="n"/>
      <c r="F399" s="1273" t="n"/>
      <c r="G399" s="1273" t="n"/>
      <c r="H399" s="1273" t="n"/>
      <c r="I399" s="1273" t="n"/>
      <c r="J399" s="1238" t="n"/>
    </row>
    <row r="400" ht="15.75" customHeight="1" s="1349">
      <c r="C400" s="1273" t="n"/>
      <c r="D400" s="1273" t="n"/>
      <c r="E400" s="1273" t="n"/>
      <c r="F400" s="1273" t="n"/>
      <c r="G400" s="1273" t="n"/>
      <c r="H400" s="1273" t="n"/>
      <c r="I400" s="1273" t="n"/>
      <c r="J400" s="1238" t="n"/>
    </row>
    <row r="401" ht="15.75" customHeight="1" s="1349">
      <c r="C401" s="1273" t="n"/>
      <c r="D401" s="1273" t="n"/>
      <c r="E401" s="1273" t="n"/>
      <c r="F401" s="1273" t="n"/>
      <c r="G401" s="1273" t="n"/>
      <c r="H401" s="1273" t="n"/>
      <c r="I401" s="1273" t="n"/>
      <c r="J401" s="1238" t="n"/>
    </row>
    <row r="402" ht="15.75" customHeight="1" s="1349">
      <c r="C402" s="1273" t="n"/>
      <c r="D402" s="1273" t="n"/>
      <c r="E402" s="1273" t="n"/>
      <c r="F402" s="1273" t="n"/>
      <c r="G402" s="1273" t="n"/>
      <c r="H402" s="1273" t="n"/>
      <c r="I402" s="1273" t="n"/>
      <c r="J402" s="1238" t="n"/>
    </row>
    <row r="403" ht="15.75" customHeight="1" s="1349">
      <c r="C403" s="1273" t="n"/>
      <c r="D403" s="1273" t="n"/>
      <c r="E403" s="1273" t="n"/>
      <c r="F403" s="1273" t="n"/>
      <c r="G403" s="1273" t="n"/>
      <c r="H403" s="1273" t="n"/>
      <c r="I403" s="1273" t="n"/>
      <c r="J403" s="1238" t="n"/>
    </row>
    <row r="404" ht="15.75" customHeight="1" s="1349">
      <c r="C404" s="1273" t="n"/>
      <c r="D404" s="1273" t="n"/>
      <c r="E404" s="1273" t="n"/>
      <c r="F404" s="1273" t="n"/>
      <c r="G404" s="1273" t="n"/>
      <c r="H404" s="1273" t="n"/>
      <c r="I404" s="1273" t="n"/>
      <c r="J404" s="1238" t="n"/>
    </row>
    <row r="405" ht="15.75" customHeight="1" s="1349">
      <c r="C405" s="1273" t="n"/>
      <c r="D405" s="1273" t="n"/>
      <c r="E405" s="1273" t="n"/>
      <c r="F405" s="1273" t="n"/>
      <c r="G405" s="1273" t="n"/>
      <c r="H405" s="1273" t="n"/>
      <c r="I405" s="1273" t="n"/>
      <c r="J405" s="1238" t="n"/>
    </row>
    <row r="406" ht="15.75" customHeight="1" s="1349">
      <c r="C406" s="1273" t="n"/>
      <c r="D406" s="1273" t="n"/>
      <c r="E406" s="1273" t="n"/>
      <c r="F406" s="1273" t="n"/>
      <c r="G406" s="1273" t="n"/>
      <c r="H406" s="1273" t="n"/>
      <c r="I406" s="1273" t="n"/>
      <c r="J406" s="1238" t="n"/>
    </row>
    <row r="407" ht="15.75" customHeight="1" s="1349">
      <c r="C407" s="1273" t="n"/>
      <c r="D407" s="1273" t="n"/>
      <c r="E407" s="1273" t="n"/>
      <c r="F407" s="1273" t="n"/>
      <c r="G407" s="1273" t="n"/>
      <c r="H407" s="1273" t="n"/>
      <c r="I407" s="1273" t="n"/>
      <c r="J407" s="1238" t="n"/>
    </row>
    <row r="408" ht="15.75" customHeight="1" s="1349">
      <c r="C408" s="1273" t="n"/>
      <c r="D408" s="1273" t="n"/>
      <c r="E408" s="1273" t="n"/>
      <c r="F408" s="1273" t="n"/>
      <c r="G408" s="1273" t="n"/>
      <c r="H408" s="1273" t="n"/>
      <c r="I408" s="1273" t="n"/>
      <c r="J408" s="1238" t="n"/>
    </row>
    <row r="409" ht="15.75" customHeight="1" s="1349">
      <c r="C409" s="1273" t="n"/>
      <c r="D409" s="1273" t="n"/>
      <c r="E409" s="1273" t="n"/>
      <c r="F409" s="1273" t="n"/>
      <c r="G409" s="1273" t="n"/>
      <c r="H409" s="1273" t="n"/>
      <c r="I409" s="1273" t="n"/>
      <c r="J409" s="1238" t="n"/>
    </row>
    <row r="410" ht="15.75" customHeight="1" s="1349">
      <c r="C410" s="1273" t="n"/>
      <c r="D410" s="1273" t="n"/>
      <c r="E410" s="1273" t="n"/>
      <c r="F410" s="1273" t="n"/>
      <c r="G410" s="1273" t="n"/>
      <c r="H410" s="1273" t="n"/>
      <c r="I410" s="1273" t="n"/>
      <c r="J410" s="1238" t="n"/>
    </row>
    <row r="411" ht="15.75" customHeight="1" s="1349">
      <c r="C411" s="1273" t="n"/>
      <c r="D411" s="1273" t="n"/>
      <c r="E411" s="1273" t="n"/>
      <c r="F411" s="1273" t="n"/>
      <c r="G411" s="1273" t="n"/>
      <c r="H411" s="1273" t="n"/>
      <c r="I411" s="1273" t="n"/>
      <c r="J411" s="1238" t="n"/>
    </row>
    <row r="412" ht="15.75" customHeight="1" s="1349">
      <c r="C412" s="1273" t="n"/>
      <c r="D412" s="1273" t="n"/>
      <c r="E412" s="1273" t="n"/>
      <c r="F412" s="1273" t="n"/>
      <c r="G412" s="1273" t="n"/>
      <c r="H412" s="1273" t="n"/>
      <c r="I412" s="1273" t="n"/>
      <c r="J412" s="1238" t="n"/>
    </row>
    <row r="413" ht="15.75" customHeight="1" s="1349">
      <c r="C413" s="1273" t="n"/>
      <c r="D413" s="1273" t="n"/>
      <c r="E413" s="1273" t="n"/>
      <c r="F413" s="1273" t="n"/>
      <c r="G413" s="1273" t="n"/>
      <c r="H413" s="1273" t="n"/>
      <c r="I413" s="1273" t="n"/>
      <c r="J413" s="1238" t="n"/>
    </row>
    <row r="414" ht="15.75" customHeight="1" s="1349">
      <c r="C414" s="1273" t="n"/>
      <c r="D414" s="1273" t="n"/>
      <c r="E414" s="1273" t="n"/>
      <c r="F414" s="1273" t="n"/>
      <c r="G414" s="1273" t="n"/>
      <c r="H414" s="1273" t="n"/>
      <c r="I414" s="1273" t="n"/>
      <c r="J414" s="1238" t="n"/>
    </row>
    <row r="415" ht="15.75" customHeight="1" s="1349">
      <c r="C415" s="1273" t="n"/>
      <c r="D415" s="1273" t="n"/>
      <c r="E415" s="1273" t="n"/>
      <c r="F415" s="1273" t="n"/>
      <c r="G415" s="1273" t="n"/>
      <c r="H415" s="1273" t="n"/>
      <c r="I415" s="1273" t="n"/>
      <c r="J415" s="1238" t="n"/>
    </row>
    <row r="416" ht="15.75" customHeight="1" s="1349">
      <c r="C416" s="1273" t="n"/>
      <c r="D416" s="1273" t="n"/>
      <c r="E416" s="1273" t="n"/>
      <c r="F416" s="1273" t="n"/>
      <c r="G416" s="1273" t="n"/>
      <c r="H416" s="1273" t="n"/>
      <c r="I416" s="1273" t="n"/>
      <c r="J416" s="1238" t="n"/>
    </row>
    <row r="417" ht="15.75" customHeight="1" s="1349">
      <c r="C417" s="1273" t="n"/>
      <c r="D417" s="1273" t="n"/>
      <c r="E417" s="1273" t="n"/>
      <c r="F417" s="1273" t="n"/>
      <c r="G417" s="1273" t="n"/>
      <c r="H417" s="1273" t="n"/>
      <c r="I417" s="1273" t="n"/>
      <c r="J417" s="1238" t="n"/>
    </row>
    <row r="418" ht="15.75" customHeight="1" s="1349">
      <c r="C418" s="1273" t="n"/>
      <c r="D418" s="1273" t="n"/>
      <c r="E418" s="1273" t="n"/>
      <c r="F418" s="1273" t="n"/>
      <c r="G418" s="1273" t="n"/>
      <c r="H418" s="1273" t="n"/>
      <c r="I418" s="1273" t="n"/>
      <c r="J418" s="1238" t="n"/>
    </row>
    <row r="419" ht="15.75" customHeight="1" s="1349">
      <c r="C419" s="1273" t="n"/>
      <c r="D419" s="1273" t="n"/>
      <c r="E419" s="1273" t="n"/>
      <c r="F419" s="1273" t="n"/>
      <c r="G419" s="1273" t="n"/>
      <c r="H419" s="1273" t="n"/>
      <c r="I419" s="1273" t="n"/>
      <c r="J419" s="1238" t="n"/>
    </row>
    <row r="420" ht="15.75" customHeight="1" s="1349">
      <c r="C420" s="1273" t="n"/>
      <c r="D420" s="1273" t="n"/>
      <c r="E420" s="1273" t="n"/>
      <c r="F420" s="1273" t="n"/>
      <c r="G420" s="1273" t="n"/>
      <c r="H420" s="1273" t="n"/>
      <c r="I420" s="1273" t="n"/>
      <c r="J420" s="1238" t="n"/>
    </row>
    <row r="421" ht="15.75" customHeight="1" s="1349">
      <c r="C421" s="1273" t="n"/>
      <c r="D421" s="1273" t="n"/>
      <c r="E421" s="1273" t="n"/>
      <c r="F421" s="1273" t="n"/>
      <c r="G421" s="1273" t="n"/>
      <c r="H421" s="1273" t="n"/>
      <c r="I421" s="1273" t="n"/>
      <c r="J421" s="1238" t="n"/>
    </row>
    <row r="422" ht="15.75" customHeight="1" s="1349">
      <c r="C422" s="1273" t="n"/>
      <c r="D422" s="1273" t="n"/>
      <c r="E422" s="1273" t="n"/>
      <c r="F422" s="1273" t="n"/>
      <c r="G422" s="1273" t="n"/>
      <c r="H422" s="1273" t="n"/>
      <c r="I422" s="1273" t="n"/>
      <c r="J422" s="1238" t="n"/>
    </row>
    <row r="423" ht="15.75" customHeight="1" s="1349">
      <c r="C423" s="1273" t="n"/>
      <c r="D423" s="1273" t="n"/>
      <c r="E423" s="1273" t="n"/>
      <c r="F423" s="1273" t="n"/>
      <c r="G423" s="1273" t="n"/>
      <c r="H423" s="1273" t="n"/>
      <c r="I423" s="1273" t="n"/>
      <c r="J423" s="1238" t="n"/>
    </row>
    <row r="424" ht="15.75" customHeight="1" s="1349">
      <c r="C424" s="1273" t="n"/>
      <c r="D424" s="1273" t="n"/>
      <c r="E424" s="1273" t="n"/>
      <c r="F424" s="1273" t="n"/>
      <c r="G424" s="1273" t="n"/>
      <c r="H424" s="1273" t="n"/>
      <c r="I424" s="1273" t="n"/>
      <c r="J424" s="1238" t="n"/>
    </row>
    <row r="425" ht="15.75" customHeight="1" s="1349">
      <c r="C425" s="1273" t="n"/>
      <c r="D425" s="1273" t="n"/>
      <c r="E425" s="1273" t="n"/>
      <c r="F425" s="1273" t="n"/>
      <c r="G425" s="1273" t="n"/>
      <c r="H425" s="1273" t="n"/>
      <c r="I425" s="1273" t="n"/>
      <c r="J425" s="1238" t="n"/>
    </row>
    <row r="426" ht="15.75" customHeight="1" s="1349">
      <c r="C426" s="1273" t="n"/>
      <c r="D426" s="1273" t="n"/>
      <c r="E426" s="1273" t="n"/>
      <c r="F426" s="1273" t="n"/>
      <c r="G426" s="1273" t="n"/>
      <c r="H426" s="1273" t="n"/>
      <c r="I426" s="1273" t="n"/>
      <c r="J426" s="1238" t="n"/>
    </row>
    <row r="427" ht="15.75" customHeight="1" s="1349">
      <c r="C427" s="1273" t="n"/>
      <c r="D427" s="1273" t="n"/>
      <c r="E427" s="1273" t="n"/>
      <c r="F427" s="1273" t="n"/>
      <c r="G427" s="1273" t="n"/>
      <c r="H427" s="1273" t="n"/>
      <c r="I427" s="1273" t="n"/>
      <c r="J427" s="1238" t="n"/>
    </row>
    <row r="428" ht="15.75" customHeight="1" s="1349">
      <c r="C428" s="1273" t="n"/>
      <c r="D428" s="1273" t="n"/>
      <c r="E428" s="1273" t="n"/>
      <c r="F428" s="1273" t="n"/>
      <c r="G428" s="1273" t="n"/>
      <c r="H428" s="1273" t="n"/>
      <c r="I428" s="1273" t="n"/>
      <c r="J428" s="1238" t="n"/>
    </row>
    <row r="429" ht="15.75" customHeight="1" s="1349">
      <c r="C429" s="1273" t="n"/>
      <c r="D429" s="1273" t="n"/>
      <c r="E429" s="1273" t="n"/>
      <c r="F429" s="1273" t="n"/>
      <c r="G429" s="1273" t="n"/>
      <c r="H429" s="1273" t="n"/>
      <c r="I429" s="1273" t="n"/>
      <c r="J429" s="1238" t="n"/>
    </row>
    <row r="430" ht="15.75" customHeight="1" s="1349">
      <c r="C430" s="1273" t="n"/>
      <c r="D430" s="1273" t="n"/>
      <c r="E430" s="1273" t="n"/>
      <c r="F430" s="1273" t="n"/>
      <c r="G430" s="1273" t="n"/>
      <c r="H430" s="1273" t="n"/>
      <c r="I430" s="1273" t="n"/>
      <c r="J430" s="1238" t="n"/>
    </row>
    <row r="431" ht="15.75" customHeight="1" s="1349">
      <c r="C431" s="1273" t="n"/>
      <c r="D431" s="1273" t="n"/>
      <c r="E431" s="1273" t="n"/>
      <c r="F431" s="1273" t="n"/>
      <c r="G431" s="1273" t="n"/>
      <c r="H431" s="1273" t="n"/>
      <c r="I431" s="1273" t="n"/>
      <c r="J431" s="1238" t="n"/>
    </row>
    <row r="432" ht="15.75" customHeight="1" s="1349">
      <c r="C432" s="1273" t="n"/>
      <c r="D432" s="1273" t="n"/>
      <c r="E432" s="1273" t="n"/>
      <c r="F432" s="1273" t="n"/>
      <c r="G432" s="1273" t="n"/>
      <c r="H432" s="1273" t="n"/>
      <c r="I432" s="1273" t="n"/>
      <c r="J432" s="1238" t="n"/>
    </row>
    <row r="433" ht="15.75" customHeight="1" s="1349">
      <c r="C433" s="1273" t="n"/>
      <c r="D433" s="1273" t="n"/>
      <c r="E433" s="1273" t="n"/>
      <c r="F433" s="1273" t="n"/>
      <c r="G433" s="1273" t="n"/>
      <c r="H433" s="1273" t="n"/>
      <c r="I433" s="1273" t="n"/>
      <c r="J433" s="1238" t="n"/>
    </row>
    <row r="434" ht="15.75" customHeight="1" s="1349">
      <c r="C434" s="1273" t="n"/>
      <c r="D434" s="1273" t="n"/>
      <c r="E434" s="1273" t="n"/>
      <c r="F434" s="1273" t="n"/>
      <c r="G434" s="1273" t="n"/>
      <c r="H434" s="1273" t="n"/>
      <c r="I434" s="1273" t="n"/>
      <c r="J434" s="1238" t="n"/>
    </row>
    <row r="435" ht="15.75" customHeight="1" s="1349">
      <c r="C435" s="1273" t="n"/>
      <c r="D435" s="1273" t="n"/>
      <c r="E435" s="1273" t="n"/>
      <c r="F435" s="1273" t="n"/>
      <c r="G435" s="1273" t="n"/>
      <c r="H435" s="1273" t="n"/>
      <c r="I435" s="1273" t="n"/>
      <c r="J435" s="1238" t="n"/>
    </row>
    <row r="436" ht="15.75" customHeight="1" s="1349">
      <c r="C436" s="1273" t="n"/>
      <c r="D436" s="1273" t="n"/>
      <c r="E436" s="1273" t="n"/>
      <c r="F436" s="1273" t="n"/>
      <c r="G436" s="1273" t="n"/>
      <c r="H436" s="1273" t="n"/>
      <c r="I436" s="1273" t="n"/>
      <c r="J436" s="1238" t="n"/>
    </row>
    <row r="437" ht="15.75" customHeight="1" s="1349">
      <c r="C437" s="1273" t="n"/>
      <c r="D437" s="1273" t="n"/>
      <c r="E437" s="1273" t="n"/>
      <c r="F437" s="1273" t="n"/>
      <c r="G437" s="1273" t="n"/>
      <c r="H437" s="1273" t="n"/>
      <c r="I437" s="1273" t="n"/>
      <c r="J437" s="1238" t="n"/>
    </row>
    <row r="438" ht="15.75" customHeight="1" s="1349">
      <c r="C438" s="1273" t="n"/>
      <c r="D438" s="1273" t="n"/>
      <c r="E438" s="1273" t="n"/>
      <c r="F438" s="1273" t="n"/>
      <c r="G438" s="1273" t="n"/>
      <c r="H438" s="1273" t="n"/>
      <c r="I438" s="1273" t="n"/>
      <c r="J438" s="1238" t="n"/>
    </row>
    <row r="439" ht="15.75" customHeight="1" s="1349">
      <c r="C439" s="1273" t="n"/>
      <c r="D439" s="1273" t="n"/>
      <c r="E439" s="1273" t="n"/>
      <c r="F439" s="1273" t="n"/>
      <c r="G439" s="1273" t="n"/>
      <c r="H439" s="1273" t="n"/>
      <c r="I439" s="1273" t="n"/>
      <c r="J439" s="1238" t="n"/>
    </row>
    <row r="440" ht="15.75" customHeight="1" s="1349">
      <c r="C440" s="1273" t="n"/>
      <c r="D440" s="1273" t="n"/>
      <c r="E440" s="1273" t="n"/>
      <c r="F440" s="1273" t="n"/>
      <c r="G440" s="1273" t="n"/>
      <c r="H440" s="1273" t="n"/>
      <c r="I440" s="1273" t="n"/>
      <c r="J440" s="1238" t="n"/>
    </row>
    <row r="441" ht="15.75" customHeight="1" s="1349">
      <c r="C441" s="1273" t="n"/>
      <c r="D441" s="1273" t="n"/>
      <c r="E441" s="1273" t="n"/>
      <c r="F441" s="1273" t="n"/>
      <c r="G441" s="1273" t="n"/>
      <c r="H441" s="1273" t="n"/>
      <c r="I441" s="1273" t="n"/>
      <c r="J441" s="1238" t="n"/>
    </row>
    <row r="442" ht="15.75" customHeight="1" s="1349">
      <c r="C442" s="1273" t="n"/>
      <c r="D442" s="1273" t="n"/>
      <c r="E442" s="1273" t="n"/>
      <c r="F442" s="1273" t="n"/>
      <c r="G442" s="1273" t="n"/>
      <c r="H442" s="1273" t="n"/>
      <c r="I442" s="1273" t="n"/>
      <c r="J442" s="1238" t="n"/>
    </row>
    <row r="443" ht="15.75" customHeight="1" s="1349">
      <c r="C443" s="1273" t="n"/>
      <c r="D443" s="1273" t="n"/>
      <c r="E443" s="1273" t="n"/>
      <c r="F443" s="1273" t="n"/>
      <c r="G443" s="1273" t="n"/>
      <c r="H443" s="1273" t="n"/>
      <c r="I443" s="1273" t="n"/>
      <c r="J443" s="1238" t="n"/>
    </row>
    <row r="444" ht="15.75" customHeight="1" s="1349">
      <c r="C444" s="1273" t="n"/>
      <c r="D444" s="1273" t="n"/>
      <c r="E444" s="1273" t="n"/>
      <c r="F444" s="1273" t="n"/>
      <c r="G444" s="1273" t="n"/>
      <c r="H444" s="1273" t="n"/>
      <c r="I444" s="1273" t="n"/>
      <c r="J444" s="1238" t="n"/>
    </row>
    <row r="445" ht="15.75" customHeight="1" s="1349">
      <c r="C445" s="1273" t="n"/>
      <c r="D445" s="1273" t="n"/>
      <c r="E445" s="1273" t="n"/>
      <c r="F445" s="1273" t="n"/>
      <c r="G445" s="1273" t="n"/>
      <c r="H445" s="1273" t="n"/>
      <c r="I445" s="1273" t="n"/>
      <c r="J445" s="1238" t="n"/>
    </row>
    <row r="446" ht="15.75" customHeight="1" s="1349">
      <c r="C446" s="1273" t="n"/>
      <c r="D446" s="1273" t="n"/>
      <c r="E446" s="1273" t="n"/>
      <c r="F446" s="1273" t="n"/>
      <c r="G446" s="1273" t="n"/>
      <c r="H446" s="1273" t="n"/>
      <c r="I446" s="1273" t="n"/>
      <c r="J446" s="1238" t="n"/>
    </row>
    <row r="447" ht="15.75" customHeight="1" s="1349">
      <c r="C447" s="1273" t="n"/>
      <c r="D447" s="1273" t="n"/>
      <c r="E447" s="1273" t="n"/>
      <c r="F447" s="1273" t="n"/>
      <c r="G447" s="1273" t="n"/>
      <c r="H447" s="1273" t="n"/>
      <c r="I447" s="1273" t="n"/>
      <c r="J447" s="1238" t="n"/>
    </row>
    <row r="448" ht="15.75" customHeight="1" s="1349">
      <c r="C448" s="1273" t="n"/>
      <c r="D448" s="1273" t="n"/>
      <c r="E448" s="1273" t="n"/>
      <c r="F448" s="1273" t="n"/>
      <c r="G448" s="1273" t="n"/>
      <c r="H448" s="1273" t="n"/>
      <c r="I448" s="1273" t="n"/>
      <c r="J448" s="1238" t="n"/>
    </row>
    <row r="449" ht="15.75" customHeight="1" s="1349">
      <c r="C449" s="1273" t="n"/>
      <c r="D449" s="1273" t="n"/>
      <c r="E449" s="1273" t="n"/>
      <c r="F449" s="1273" t="n"/>
      <c r="G449" s="1273" t="n"/>
      <c r="H449" s="1273" t="n"/>
      <c r="I449" s="1273" t="n"/>
      <c r="J449" s="1238" t="n"/>
    </row>
    <row r="450" ht="15.75" customHeight="1" s="1349">
      <c r="C450" s="1273" t="n"/>
      <c r="D450" s="1273" t="n"/>
      <c r="E450" s="1273" t="n"/>
      <c r="F450" s="1273" t="n"/>
      <c r="G450" s="1273" t="n"/>
      <c r="H450" s="1273" t="n"/>
      <c r="I450" s="1273" t="n"/>
      <c r="J450" s="1238" t="n"/>
    </row>
    <row r="451" ht="15.75" customHeight="1" s="1349">
      <c r="C451" s="1273" t="n"/>
      <c r="D451" s="1273" t="n"/>
      <c r="E451" s="1273" t="n"/>
      <c r="F451" s="1273" t="n"/>
      <c r="G451" s="1273" t="n"/>
      <c r="H451" s="1273" t="n"/>
      <c r="I451" s="1273" t="n"/>
      <c r="J451" s="1238" t="n"/>
    </row>
    <row r="452" ht="15.75" customHeight="1" s="1349">
      <c r="C452" s="1273" t="n"/>
      <c r="D452" s="1273" t="n"/>
      <c r="E452" s="1273" t="n"/>
      <c r="F452" s="1273" t="n"/>
      <c r="G452" s="1273" t="n"/>
      <c r="H452" s="1273" t="n"/>
      <c r="I452" s="1273" t="n"/>
      <c r="J452" s="1238" t="n"/>
    </row>
    <row r="453" ht="15.75" customHeight="1" s="1349">
      <c r="C453" s="1273" t="n"/>
      <c r="D453" s="1273" t="n"/>
      <c r="E453" s="1273" t="n"/>
      <c r="F453" s="1273" t="n"/>
      <c r="G453" s="1273" t="n"/>
      <c r="H453" s="1273" t="n"/>
      <c r="I453" s="1273" t="n"/>
      <c r="J453" s="1238" t="n"/>
    </row>
    <row r="454" ht="15.75" customHeight="1" s="1349">
      <c r="C454" s="1273" t="n"/>
      <c r="D454" s="1273" t="n"/>
      <c r="E454" s="1273" t="n"/>
      <c r="F454" s="1273" t="n"/>
      <c r="G454" s="1273" t="n"/>
      <c r="H454" s="1273" t="n"/>
      <c r="I454" s="1273" t="n"/>
      <c r="J454" s="1238" t="n"/>
    </row>
    <row r="455" ht="15.75" customHeight="1" s="1349">
      <c r="C455" s="1273" t="n"/>
      <c r="D455" s="1273" t="n"/>
      <c r="E455" s="1273" t="n"/>
      <c r="F455" s="1273" t="n"/>
      <c r="G455" s="1273" t="n"/>
      <c r="H455" s="1273" t="n"/>
      <c r="I455" s="1273" t="n"/>
      <c r="J455" s="1238" t="n"/>
    </row>
    <row r="456" ht="15.75" customHeight="1" s="1349">
      <c r="C456" s="1273" t="n"/>
      <c r="D456" s="1273" t="n"/>
      <c r="E456" s="1273" t="n"/>
      <c r="F456" s="1273" t="n"/>
      <c r="G456" s="1273" t="n"/>
      <c r="H456" s="1273" t="n"/>
      <c r="I456" s="1273" t="n"/>
      <c r="J456" s="1238" t="n"/>
    </row>
    <row r="457" ht="15.75" customHeight="1" s="1349">
      <c r="C457" s="1273" t="n"/>
      <c r="D457" s="1273" t="n"/>
      <c r="E457" s="1273" t="n"/>
      <c r="F457" s="1273" t="n"/>
      <c r="G457" s="1273" t="n"/>
      <c r="H457" s="1273" t="n"/>
      <c r="I457" s="1273" t="n"/>
      <c r="J457" s="1238" t="n"/>
    </row>
    <row r="458" ht="15.75" customHeight="1" s="1349">
      <c r="C458" s="1273" t="n"/>
      <c r="D458" s="1273" t="n"/>
      <c r="E458" s="1273" t="n"/>
      <c r="F458" s="1273" t="n"/>
      <c r="G458" s="1273" t="n"/>
      <c r="H458" s="1273" t="n"/>
      <c r="I458" s="1273" t="n"/>
      <c r="J458" s="1238" t="n"/>
    </row>
    <row r="459" ht="15.75" customHeight="1" s="1349">
      <c r="C459" s="1273" t="n"/>
      <c r="D459" s="1273" t="n"/>
      <c r="E459" s="1273" t="n"/>
      <c r="F459" s="1273" t="n"/>
      <c r="G459" s="1273" t="n"/>
      <c r="H459" s="1273" t="n"/>
      <c r="I459" s="1273" t="n"/>
      <c r="J459" s="1238" t="n"/>
    </row>
    <row r="460" ht="15.75" customHeight="1" s="1349">
      <c r="C460" s="1273" t="n"/>
      <c r="D460" s="1273" t="n"/>
      <c r="E460" s="1273" t="n"/>
      <c r="F460" s="1273" t="n"/>
      <c r="G460" s="1273" t="n"/>
      <c r="H460" s="1273" t="n"/>
      <c r="I460" s="1273" t="n"/>
      <c r="J460" s="1238" t="n"/>
    </row>
    <row r="461" ht="15.75" customHeight="1" s="1349">
      <c r="C461" s="1273" t="n"/>
      <c r="D461" s="1273" t="n"/>
      <c r="E461" s="1273" t="n"/>
      <c r="F461" s="1273" t="n"/>
      <c r="G461" s="1273" t="n"/>
      <c r="H461" s="1273" t="n"/>
      <c r="I461" s="1273" t="n"/>
      <c r="J461" s="1238" t="n"/>
    </row>
    <row r="462" ht="15.75" customHeight="1" s="1349">
      <c r="C462" s="1273" t="n"/>
      <c r="D462" s="1273" t="n"/>
      <c r="E462" s="1273" t="n"/>
      <c r="F462" s="1273" t="n"/>
      <c r="G462" s="1273" t="n"/>
      <c r="H462" s="1273" t="n"/>
      <c r="I462" s="1273" t="n"/>
      <c r="J462" s="1238" t="n"/>
    </row>
    <row r="463" ht="15.75" customHeight="1" s="1349">
      <c r="C463" s="1273" t="n"/>
      <c r="D463" s="1273" t="n"/>
      <c r="E463" s="1273" t="n"/>
      <c r="F463" s="1273" t="n"/>
      <c r="G463" s="1273" t="n"/>
      <c r="H463" s="1273" t="n"/>
      <c r="I463" s="1273" t="n"/>
      <c r="J463" s="1238" t="n"/>
    </row>
    <row r="464" ht="15.75" customHeight="1" s="1349">
      <c r="C464" s="1273" t="n"/>
      <c r="D464" s="1273" t="n"/>
      <c r="E464" s="1273" t="n"/>
      <c r="F464" s="1273" t="n"/>
      <c r="G464" s="1273" t="n"/>
      <c r="H464" s="1273" t="n"/>
      <c r="I464" s="1273" t="n"/>
      <c r="J464" s="1238" t="n"/>
    </row>
    <row r="465" ht="15.75" customHeight="1" s="1349">
      <c r="C465" s="1273" t="n"/>
      <c r="D465" s="1273" t="n"/>
      <c r="E465" s="1273" t="n"/>
      <c r="F465" s="1273" t="n"/>
      <c r="G465" s="1273" t="n"/>
      <c r="H465" s="1273" t="n"/>
      <c r="I465" s="1273" t="n"/>
      <c r="J465" s="1238" t="n"/>
    </row>
    <row r="466" ht="15.75" customHeight="1" s="1349">
      <c r="C466" s="1273" t="n"/>
      <c r="D466" s="1273" t="n"/>
      <c r="E466" s="1273" t="n"/>
      <c r="F466" s="1273" t="n"/>
      <c r="G466" s="1273" t="n"/>
      <c r="H466" s="1273" t="n"/>
      <c r="I466" s="1273" t="n"/>
      <c r="J466" s="1238" t="n"/>
    </row>
    <row r="467" ht="15.75" customHeight="1" s="1349">
      <c r="C467" s="1273" t="n"/>
      <c r="D467" s="1273" t="n"/>
      <c r="E467" s="1273" t="n"/>
      <c r="F467" s="1273" t="n"/>
      <c r="G467" s="1273" t="n"/>
      <c r="H467" s="1273" t="n"/>
      <c r="I467" s="1273" t="n"/>
      <c r="J467" s="1238" t="n"/>
    </row>
    <row r="468" ht="15.75" customHeight="1" s="1349">
      <c r="C468" s="1273" t="n"/>
      <c r="D468" s="1273" t="n"/>
      <c r="E468" s="1273" t="n"/>
      <c r="F468" s="1273" t="n"/>
      <c r="G468" s="1273" t="n"/>
      <c r="H468" s="1273" t="n"/>
      <c r="I468" s="1273" t="n"/>
      <c r="J468" s="1238" t="n"/>
    </row>
    <row r="469" ht="15.75" customHeight="1" s="1349">
      <c r="C469" s="1273" t="n"/>
      <c r="D469" s="1273" t="n"/>
      <c r="E469" s="1273" t="n"/>
      <c r="F469" s="1273" t="n"/>
      <c r="G469" s="1273" t="n"/>
      <c r="H469" s="1273" t="n"/>
      <c r="I469" s="1273" t="n"/>
      <c r="J469" s="1238" t="n"/>
    </row>
    <row r="470" ht="15.75" customHeight="1" s="1349">
      <c r="C470" s="1273" t="n"/>
      <c r="D470" s="1273" t="n"/>
      <c r="E470" s="1273" t="n"/>
      <c r="F470" s="1273" t="n"/>
      <c r="G470" s="1273" t="n"/>
      <c r="H470" s="1273" t="n"/>
      <c r="I470" s="1273" t="n"/>
      <c r="J470" s="1238" t="n"/>
    </row>
    <row r="471" ht="15.75" customHeight="1" s="1349">
      <c r="C471" s="1273" t="n"/>
      <c r="D471" s="1273" t="n"/>
      <c r="E471" s="1273" t="n"/>
      <c r="F471" s="1273" t="n"/>
      <c r="G471" s="1273" t="n"/>
      <c r="H471" s="1273" t="n"/>
      <c r="I471" s="1273" t="n"/>
      <c r="J471" s="1238" t="n"/>
    </row>
    <row r="472" ht="15.75" customHeight="1" s="1349">
      <c r="C472" s="1273" t="n"/>
      <c r="D472" s="1273" t="n"/>
      <c r="E472" s="1273" t="n"/>
      <c r="F472" s="1273" t="n"/>
      <c r="G472" s="1273" t="n"/>
      <c r="H472" s="1273" t="n"/>
      <c r="I472" s="1273" t="n"/>
      <c r="J472" s="1238" t="n"/>
    </row>
    <row r="473" ht="15.75" customHeight="1" s="1349">
      <c r="C473" s="1273" t="n"/>
      <c r="D473" s="1273" t="n"/>
      <c r="E473" s="1273" t="n"/>
      <c r="F473" s="1273" t="n"/>
      <c r="G473" s="1273" t="n"/>
      <c r="H473" s="1273" t="n"/>
      <c r="I473" s="1273" t="n"/>
      <c r="J473" s="1238" t="n"/>
    </row>
    <row r="474" ht="15.75" customHeight="1" s="1349">
      <c r="C474" s="1273" t="n"/>
      <c r="D474" s="1273" t="n"/>
      <c r="E474" s="1273" t="n"/>
      <c r="F474" s="1273" t="n"/>
      <c r="G474" s="1273" t="n"/>
      <c r="H474" s="1273" t="n"/>
      <c r="I474" s="1273" t="n"/>
      <c r="J474" s="1238" t="n"/>
    </row>
    <row r="475" ht="15.75" customHeight="1" s="1349">
      <c r="C475" s="1273" t="n"/>
      <c r="D475" s="1273" t="n"/>
      <c r="E475" s="1273" t="n"/>
      <c r="F475" s="1273" t="n"/>
      <c r="G475" s="1273" t="n"/>
      <c r="H475" s="1273" t="n"/>
      <c r="I475" s="1273" t="n"/>
      <c r="J475" s="1238" t="n"/>
    </row>
    <row r="476" ht="15.75" customHeight="1" s="1349">
      <c r="C476" s="1273" t="n"/>
      <c r="D476" s="1273" t="n"/>
      <c r="E476" s="1273" t="n"/>
      <c r="F476" s="1273" t="n"/>
      <c r="G476" s="1273" t="n"/>
      <c r="H476" s="1273" t="n"/>
      <c r="I476" s="1273" t="n"/>
      <c r="J476" s="1238" t="n"/>
    </row>
    <row r="477" ht="15.75" customHeight="1" s="1349">
      <c r="C477" s="1273" t="n"/>
      <c r="D477" s="1273" t="n"/>
      <c r="E477" s="1273" t="n"/>
      <c r="F477" s="1273" t="n"/>
      <c r="G477" s="1273" t="n"/>
      <c r="H477" s="1273" t="n"/>
      <c r="I477" s="1273" t="n"/>
      <c r="J477" s="1238" t="n"/>
    </row>
    <row r="478" ht="15.75" customHeight="1" s="1349">
      <c r="C478" s="1273" t="n"/>
      <c r="D478" s="1273" t="n"/>
      <c r="E478" s="1273" t="n"/>
      <c r="F478" s="1273" t="n"/>
      <c r="G478" s="1273" t="n"/>
      <c r="H478" s="1273" t="n"/>
      <c r="I478" s="1273" t="n"/>
      <c r="J478" s="1238" t="n"/>
    </row>
    <row r="479" ht="15.75" customHeight="1" s="1349">
      <c r="C479" s="1273" t="n"/>
      <c r="D479" s="1273" t="n"/>
      <c r="E479" s="1273" t="n"/>
      <c r="F479" s="1273" t="n"/>
      <c r="G479" s="1273" t="n"/>
      <c r="H479" s="1273" t="n"/>
      <c r="I479" s="1273" t="n"/>
      <c r="J479" s="1238" t="n"/>
    </row>
    <row r="480" ht="15.75" customHeight="1" s="1349">
      <c r="C480" s="1273" t="n"/>
      <c r="D480" s="1273" t="n"/>
      <c r="E480" s="1273" t="n"/>
      <c r="F480" s="1273" t="n"/>
      <c r="G480" s="1273" t="n"/>
      <c r="H480" s="1273" t="n"/>
      <c r="I480" s="1273" t="n"/>
      <c r="J480" s="1238" t="n"/>
    </row>
    <row r="481" ht="15.75" customHeight="1" s="1349">
      <c r="C481" s="1273" t="n"/>
      <c r="D481" s="1273" t="n"/>
      <c r="E481" s="1273" t="n"/>
      <c r="F481" s="1273" t="n"/>
      <c r="G481" s="1273" t="n"/>
      <c r="H481" s="1273" t="n"/>
      <c r="I481" s="1273" t="n"/>
      <c r="J481" s="1238" t="n"/>
    </row>
    <row r="482" ht="15.75" customHeight="1" s="1349">
      <c r="C482" s="1273" t="n"/>
      <c r="D482" s="1273" t="n"/>
      <c r="E482" s="1273" t="n"/>
      <c r="F482" s="1273" t="n"/>
      <c r="G482" s="1273" t="n"/>
      <c r="H482" s="1273" t="n"/>
      <c r="I482" s="1273" t="n"/>
      <c r="J482" s="1238" t="n"/>
    </row>
    <row r="483" ht="15.75" customHeight="1" s="1349">
      <c r="C483" s="1273" t="n"/>
      <c r="D483" s="1273" t="n"/>
      <c r="E483" s="1273" t="n"/>
      <c r="F483" s="1273" t="n"/>
      <c r="G483" s="1273" t="n"/>
      <c r="H483" s="1273" t="n"/>
      <c r="I483" s="1273" t="n"/>
      <c r="J483" s="1238" t="n"/>
    </row>
    <row r="484" ht="15.75" customHeight="1" s="1349">
      <c r="C484" s="1273" t="n"/>
      <c r="D484" s="1273" t="n"/>
      <c r="E484" s="1273" t="n"/>
      <c r="F484" s="1273" t="n"/>
      <c r="G484" s="1273" t="n"/>
      <c r="H484" s="1273" t="n"/>
      <c r="I484" s="1273" t="n"/>
      <c r="J484" s="1238" t="n"/>
    </row>
    <row r="485" ht="15.75" customHeight="1" s="1349">
      <c r="C485" s="1273" t="n"/>
      <c r="D485" s="1273" t="n"/>
      <c r="E485" s="1273" t="n"/>
      <c r="F485" s="1273" t="n"/>
      <c r="G485" s="1273" t="n"/>
      <c r="H485" s="1273" t="n"/>
      <c r="I485" s="1273" t="n"/>
      <c r="J485" s="1238" t="n"/>
    </row>
    <row r="486" ht="15.75" customHeight="1" s="1349">
      <c r="C486" s="1273" t="n"/>
      <c r="D486" s="1273" t="n"/>
      <c r="E486" s="1273" t="n"/>
      <c r="F486" s="1273" t="n"/>
      <c r="G486" s="1273" t="n"/>
      <c r="H486" s="1273" t="n"/>
      <c r="I486" s="1273" t="n"/>
      <c r="J486" s="1238" t="n"/>
    </row>
    <row r="487" ht="15.75" customHeight="1" s="1349">
      <c r="C487" s="1273" t="n"/>
      <c r="D487" s="1273" t="n"/>
      <c r="E487" s="1273" t="n"/>
      <c r="F487" s="1273" t="n"/>
      <c r="G487" s="1273" t="n"/>
      <c r="H487" s="1273" t="n"/>
      <c r="I487" s="1273" t="n"/>
      <c r="J487" s="1238" t="n"/>
    </row>
    <row r="488" ht="15.75" customHeight="1" s="1349">
      <c r="C488" s="1273" t="n"/>
      <c r="D488" s="1273" t="n"/>
      <c r="E488" s="1273" t="n"/>
      <c r="F488" s="1273" t="n"/>
      <c r="G488" s="1273" t="n"/>
      <c r="H488" s="1273" t="n"/>
      <c r="I488" s="1273" t="n"/>
      <c r="J488" s="1238" t="n"/>
    </row>
    <row r="489" ht="15.75" customHeight="1" s="1349">
      <c r="C489" s="1273" t="n"/>
      <c r="D489" s="1273" t="n"/>
      <c r="E489" s="1273" t="n"/>
      <c r="F489" s="1273" t="n"/>
      <c r="G489" s="1273" t="n"/>
      <c r="H489" s="1273" t="n"/>
      <c r="I489" s="1273" t="n"/>
      <c r="J489" s="1238" t="n"/>
    </row>
    <row r="490" ht="15.75" customHeight="1" s="1349">
      <c r="C490" s="1273" t="n"/>
      <c r="D490" s="1273" t="n"/>
      <c r="E490" s="1273" t="n"/>
      <c r="F490" s="1273" t="n"/>
      <c r="G490" s="1273" t="n"/>
      <c r="H490" s="1273" t="n"/>
      <c r="I490" s="1273" t="n"/>
      <c r="J490" s="1238" t="n"/>
    </row>
    <row r="491" ht="15.75" customHeight="1" s="1349">
      <c r="C491" s="1273" t="n"/>
      <c r="D491" s="1273" t="n"/>
      <c r="E491" s="1273" t="n"/>
      <c r="F491" s="1273" t="n"/>
      <c r="G491" s="1273" t="n"/>
      <c r="H491" s="1273" t="n"/>
      <c r="I491" s="1273" t="n"/>
      <c r="J491" s="1238" t="n"/>
    </row>
    <row r="492" ht="15.75" customHeight="1" s="1349">
      <c r="C492" s="1273" t="n"/>
      <c r="D492" s="1273" t="n"/>
      <c r="E492" s="1273" t="n"/>
      <c r="F492" s="1273" t="n"/>
      <c r="G492" s="1273" t="n"/>
      <c r="H492" s="1273" t="n"/>
      <c r="I492" s="1273" t="n"/>
      <c r="J492" s="1238" t="n"/>
    </row>
    <row r="493" ht="15.75" customHeight="1" s="1349">
      <c r="C493" s="1273" t="n"/>
      <c r="D493" s="1273" t="n"/>
      <c r="E493" s="1273" t="n"/>
      <c r="F493" s="1273" t="n"/>
      <c r="G493" s="1273" t="n"/>
      <c r="H493" s="1273" t="n"/>
      <c r="I493" s="1273" t="n"/>
      <c r="J493" s="1238" t="n"/>
    </row>
    <row r="494" ht="15.75" customHeight="1" s="1349">
      <c r="C494" s="1273" t="n"/>
      <c r="D494" s="1273" t="n"/>
      <c r="E494" s="1273" t="n"/>
      <c r="F494" s="1273" t="n"/>
      <c r="G494" s="1273" t="n"/>
      <c r="H494" s="1273" t="n"/>
      <c r="I494" s="1273" t="n"/>
      <c r="J494" s="1238" t="n"/>
    </row>
    <row r="495" ht="15.75" customHeight="1" s="1349">
      <c r="C495" s="1273" t="n"/>
      <c r="D495" s="1273" t="n"/>
      <c r="E495" s="1273" t="n"/>
      <c r="F495" s="1273" t="n"/>
      <c r="G495" s="1273" t="n"/>
      <c r="H495" s="1273" t="n"/>
      <c r="I495" s="1273" t="n"/>
      <c r="J495" s="1238" t="n"/>
    </row>
    <row r="496" ht="15.75" customHeight="1" s="1349">
      <c r="C496" s="1273" t="n"/>
      <c r="D496" s="1273" t="n"/>
      <c r="E496" s="1273" t="n"/>
      <c r="F496" s="1273" t="n"/>
      <c r="G496" s="1273" t="n"/>
      <c r="H496" s="1273" t="n"/>
      <c r="I496" s="1273" t="n"/>
      <c r="J496" s="1238" t="n"/>
    </row>
    <row r="497" ht="15.75" customHeight="1" s="1349">
      <c r="C497" s="1273" t="n"/>
      <c r="D497" s="1273" t="n"/>
      <c r="E497" s="1273" t="n"/>
      <c r="F497" s="1273" t="n"/>
      <c r="G497" s="1273" t="n"/>
      <c r="H497" s="1273" t="n"/>
      <c r="I497" s="1273" t="n"/>
      <c r="J497" s="1238" t="n"/>
    </row>
    <row r="498" ht="15.75" customHeight="1" s="1349">
      <c r="C498" s="1273" t="n"/>
      <c r="D498" s="1273" t="n"/>
      <c r="E498" s="1273" t="n"/>
      <c r="F498" s="1273" t="n"/>
      <c r="G498" s="1273" t="n"/>
      <c r="H498" s="1273" t="n"/>
      <c r="I498" s="1273" t="n"/>
      <c r="J498" s="1238" t="n"/>
    </row>
    <row r="499" ht="15.75" customHeight="1" s="1349">
      <c r="C499" s="1273" t="n"/>
      <c r="D499" s="1273" t="n"/>
      <c r="E499" s="1273" t="n"/>
      <c r="F499" s="1273" t="n"/>
      <c r="G499" s="1273" t="n"/>
      <c r="H499" s="1273" t="n"/>
      <c r="I499" s="1273" t="n"/>
      <c r="J499" s="1238" t="n"/>
    </row>
    <row r="500" ht="15.75" customHeight="1" s="1349">
      <c r="C500" s="1273" t="n"/>
      <c r="D500" s="1273" t="n"/>
      <c r="E500" s="1273" t="n"/>
      <c r="F500" s="1273" t="n"/>
      <c r="G500" s="1273" t="n"/>
      <c r="H500" s="1273" t="n"/>
      <c r="I500" s="1273" t="n"/>
      <c r="J500" s="1238" t="n"/>
    </row>
    <row r="501" ht="15.75" customHeight="1" s="1349">
      <c r="C501" s="1273" t="n"/>
      <c r="D501" s="1273" t="n"/>
      <c r="E501" s="1273" t="n"/>
      <c r="F501" s="1273" t="n"/>
      <c r="G501" s="1273" t="n"/>
      <c r="H501" s="1273" t="n"/>
      <c r="I501" s="1273" t="n"/>
      <c r="J501" s="1238" t="n"/>
    </row>
    <row r="502" ht="15.75" customHeight="1" s="1349">
      <c r="C502" s="1273" t="n"/>
      <c r="D502" s="1273" t="n"/>
      <c r="E502" s="1273" t="n"/>
      <c r="F502" s="1273" t="n"/>
      <c r="G502" s="1273" t="n"/>
      <c r="H502" s="1273" t="n"/>
      <c r="I502" s="1273" t="n"/>
      <c r="J502" s="1238" t="n"/>
    </row>
    <row r="503" ht="15.75" customHeight="1" s="1349">
      <c r="C503" s="1273" t="n"/>
      <c r="D503" s="1273" t="n"/>
      <c r="E503" s="1273" t="n"/>
      <c r="F503" s="1273" t="n"/>
      <c r="G503" s="1273" t="n"/>
      <c r="H503" s="1273" t="n"/>
      <c r="I503" s="1273" t="n"/>
      <c r="J503" s="1238" t="n"/>
    </row>
    <row r="504" ht="15.75" customHeight="1" s="1349">
      <c r="C504" s="1273" t="n"/>
      <c r="D504" s="1273" t="n"/>
      <c r="E504" s="1273" t="n"/>
      <c r="F504" s="1273" t="n"/>
      <c r="G504" s="1273" t="n"/>
      <c r="H504" s="1273" t="n"/>
      <c r="I504" s="1273" t="n"/>
      <c r="J504" s="1238" t="n"/>
    </row>
    <row r="505" ht="15.75" customHeight="1" s="1349">
      <c r="C505" s="1273" t="n"/>
      <c r="D505" s="1273" t="n"/>
      <c r="E505" s="1273" t="n"/>
      <c r="F505" s="1273" t="n"/>
      <c r="G505" s="1273" t="n"/>
      <c r="H505" s="1273" t="n"/>
      <c r="I505" s="1273" t="n"/>
      <c r="J505" s="1238" t="n"/>
    </row>
    <row r="506" ht="15.75" customHeight="1" s="1349">
      <c r="C506" s="1273" t="n"/>
      <c r="D506" s="1273" t="n"/>
      <c r="E506" s="1273" t="n"/>
      <c r="F506" s="1273" t="n"/>
      <c r="G506" s="1273" t="n"/>
      <c r="H506" s="1273" t="n"/>
      <c r="I506" s="1273" t="n"/>
      <c r="J506" s="1238" t="n"/>
    </row>
    <row r="507" ht="15.75" customHeight="1" s="1349">
      <c r="C507" s="1273" t="n"/>
      <c r="D507" s="1273" t="n"/>
      <c r="E507" s="1273" t="n"/>
      <c r="F507" s="1273" t="n"/>
      <c r="G507" s="1273" t="n"/>
      <c r="H507" s="1273" t="n"/>
      <c r="I507" s="1273" t="n"/>
      <c r="J507" s="1238" t="n"/>
    </row>
    <row r="508" ht="15.75" customHeight="1" s="1349">
      <c r="C508" s="1273" t="n"/>
      <c r="D508" s="1273" t="n"/>
      <c r="E508" s="1273" t="n"/>
      <c r="F508" s="1273" t="n"/>
      <c r="G508" s="1273" t="n"/>
      <c r="H508" s="1273" t="n"/>
      <c r="I508" s="1273" t="n"/>
      <c r="J508" s="1238" t="n"/>
    </row>
    <row r="509" ht="15.75" customHeight="1" s="1349">
      <c r="C509" s="1273" t="n"/>
      <c r="D509" s="1273" t="n"/>
      <c r="E509" s="1273" t="n"/>
      <c r="F509" s="1273" t="n"/>
      <c r="G509" s="1273" t="n"/>
      <c r="H509" s="1273" t="n"/>
      <c r="I509" s="1273" t="n"/>
      <c r="J509" s="1238" t="n"/>
    </row>
    <row r="510" ht="15.75" customHeight="1" s="1349">
      <c r="C510" s="1273" t="n"/>
      <c r="D510" s="1273" t="n"/>
      <c r="E510" s="1273" t="n"/>
      <c r="F510" s="1273" t="n"/>
      <c r="G510" s="1273" t="n"/>
      <c r="H510" s="1273" t="n"/>
      <c r="I510" s="1273" t="n"/>
      <c r="J510" s="1238" t="n"/>
    </row>
    <row r="511" ht="15.75" customHeight="1" s="1349">
      <c r="C511" s="1273" t="n"/>
      <c r="D511" s="1273" t="n"/>
      <c r="E511" s="1273" t="n"/>
      <c r="F511" s="1273" t="n"/>
      <c r="G511" s="1273" t="n"/>
      <c r="H511" s="1273" t="n"/>
      <c r="I511" s="1273" t="n"/>
      <c r="J511" s="1238" t="n"/>
    </row>
    <row r="512" ht="15.75" customHeight="1" s="1349">
      <c r="C512" s="1273" t="n"/>
      <c r="D512" s="1273" t="n"/>
      <c r="E512" s="1273" t="n"/>
      <c r="F512" s="1273" t="n"/>
      <c r="G512" s="1273" t="n"/>
      <c r="H512" s="1273" t="n"/>
      <c r="I512" s="1273" t="n"/>
      <c r="J512" s="1238" t="n"/>
    </row>
    <row r="513" ht="15.75" customHeight="1" s="1349">
      <c r="C513" s="1273" t="n"/>
      <c r="D513" s="1273" t="n"/>
      <c r="E513" s="1273" t="n"/>
      <c r="F513" s="1273" t="n"/>
      <c r="G513" s="1273" t="n"/>
      <c r="H513" s="1273" t="n"/>
      <c r="I513" s="1273" t="n"/>
      <c r="J513" s="1238" t="n"/>
    </row>
    <row r="514" ht="15.75" customHeight="1" s="1349">
      <c r="C514" s="1273" t="n"/>
      <c r="D514" s="1273" t="n"/>
      <c r="E514" s="1273" t="n"/>
      <c r="F514" s="1273" t="n"/>
      <c r="G514" s="1273" t="n"/>
      <c r="H514" s="1273" t="n"/>
      <c r="I514" s="1273" t="n"/>
      <c r="J514" s="1238" t="n"/>
    </row>
    <row r="515" ht="15.75" customHeight="1" s="1349">
      <c r="C515" s="1273" t="n"/>
      <c r="D515" s="1273" t="n"/>
      <c r="E515" s="1273" t="n"/>
      <c r="F515" s="1273" t="n"/>
      <c r="G515" s="1273" t="n"/>
      <c r="H515" s="1273" t="n"/>
      <c r="I515" s="1273" t="n"/>
      <c r="J515" s="1238" t="n"/>
    </row>
    <row r="516" ht="15.75" customHeight="1" s="1349">
      <c r="C516" s="1273" t="n"/>
      <c r="D516" s="1273" t="n"/>
      <c r="E516" s="1273" t="n"/>
      <c r="F516" s="1273" t="n"/>
      <c r="G516" s="1273" t="n"/>
      <c r="H516" s="1273" t="n"/>
      <c r="I516" s="1273" t="n"/>
      <c r="J516" s="1238" t="n"/>
    </row>
    <row r="517" ht="15.75" customHeight="1" s="1349">
      <c r="C517" s="1273" t="n"/>
      <c r="D517" s="1273" t="n"/>
      <c r="E517" s="1273" t="n"/>
      <c r="F517" s="1273" t="n"/>
      <c r="G517" s="1273" t="n"/>
      <c r="H517" s="1273" t="n"/>
      <c r="I517" s="1273" t="n"/>
      <c r="J517" s="1238" t="n"/>
    </row>
    <row r="518" ht="15.75" customHeight="1" s="1349">
      <c r="C518" s="1273" t="n"/>
      <c r="D518" s="1273" t="n"/>
      <c r="E518" s="1273" t="n"/>
      <c r="F518" s="1273" t="n"/>
      <c r="G518" s="1273" t="n"/>
      <c r="H518" s="1273" t="n"/>
      <c r="I518" s="1273" t="n"/>
      <c r="J518" s="1238" t="n"/>
    </row>
    <row r="519" ht="15.75" customHeight="1" s="1349">
      <c r="C519" s="1273" t="n"/>
      <c r="D519" s="1273" t="n"/>
      <c r="E519" s="1273" t="n"/>
      <c r="F519" s="1273" t="n"/>
      <c r="G519" s="1273" t="n"/>
      <c r="H519" s="1273" t="n"/>
      <c r="I519" s="1273" t="n"/>
      <c r="J519" s="1238" t="n"/>
    </row>
    <row r="520" ht="15.75" customHeight="1" s="1349">
      <c r="C520" s="1273" t="n"/>
      <c r="D520" s="1273" t="n"/>
      <c r="E520" s="1273" t="n"/>
      <c r="F520" s="1273" t="n"/>
      <c r="G520" s="1273" t="n"/>
      <c r="H520" s="1273" t="n"/>
      <c r="I520" s="1273" t="n"/>
      <c r="J520" s="1238" t="n"/>
    </row>
    <row r="521" ht="15.75" customHeight="1" s="1349">
      <c r="C521" s="1273" t="n"/>
      <c r="D521" s="1273" t="n"/>
      <c r="E521" s="1273" t="n"/>
      <c r="F521" s="1273" t="n"/>
      <c r="G521" s="1273" t="n"/>
      <c r="H521" s="1273" t="n"/>
      <c r="I521" s="1273" t="n"/>
      <c r="J521" s="1238" t="n"/>
    </row>
    <row r="522" ht="15.75" customHeight="1" s="1349">
      <c r="C522" s="1273" t="n"/>
      <c r="D522" s="1273" t="n"/>
      <c r="E522" s="1273" t="n"/>
      <c r="F522" s="1273" t="n"/>
      <c r="G522" s="1273" t="n"/>
      <c r="H522" s="1273" t="n"/>
      <c r="I522" s="1273" t="n"/>
      <c r="J522" s="1238" t="n"/>
    </row>
    <row r="523" ht="15.75" customHeight="1" s="1349">
      <c r="C523" s="1273" t="n"/>
      <c r="D523" s="1273" t="n"/>
      <c r="E523" s="1273" t="n"/>
      <c r="F523" s="1273" t="n"/>
      <c r="G523" s="1273" t="n"/>
      <c r="H523" s="1273" t="n"/>
      <c r="I523" s="1273" t="n"/>
      <c r="J523" s="1238" t="n"/>
    </row>
    <row r="524" ht="15.75" customHeight="1" s="1349">
      <c r="C524" s="1273" t="n"/>
      <c r="D524" s="1273" t="n"/>
      <c r="E524" s="1273" t="n"/>
      <c r="F524" s="1273" t="n"/>
      <c r="G524" s="1273" t="n"/>
      <c r="H524" s="1273" t="n"/>
      <c r="I524" s="1273" t="n"/>
      <c r="J524" s="1238" t="n"/>
    </row>
    <row r="525" ht="15.75" customHeight="1" s="1349">
      <c r="C525" s="1273" t="n"/>
      <c r="D525" s="1273" t="n"/>
      <c r="E525" s="1273" t="n"/>
      <c r="F525" s="1273" t="n"/>
      <c r="G525" s="1273" t="n"/>
      <c r="H525" s="1273" t="n"/>
      <c r="I525" s="1273" t="n"/>
      <c r="J525" s="1238" t="n"/>
    </row>
    <row r="526" ht="15.75" customHeight="1" s="1349">
      <c r="C526" s="1273" t="n"/>
      <c r="D526" s="1273" t="n"/>
      <c r="E526" s="1273" t="n"/>
      <c r="F526" s="1273" t="n"/>
      <c r="G526" s="1273" t="n"/>
      <c r="H526" s="1273" t="n"/>
      <c r="I526" s="1273" t="n"/>
      <c r="J526" s="1238" t="n"/>
    </row>
    <row r="527" ht="15.75" customHeight="1" s="1349">
      <c r="C527" s="1273" t="n"/>
      <c r="D527" s="1273" t="n"/>
      <c r="E527" s="1273" t="n"/>
      <c r="F527" s="1273" t="n"/>
      <c r="G527" s="1273" t="n"/>
      <c r="H527" s="1273" t="n"/>
      <c r="I527" s="1273" t="n"/>
      <c r="J527" s="1238" t="n"/>
    </row>
    <row r="528" ht="15.75" customHeight="1" s="1349">
      <c r="C528" s="1273" t="n"/>
      <c r="D528" s="1273" t="n"/>
      <c r="E528" s="1273" t="n"/>
      <c r="F528" s="1273" t="n"/>
      <c r="G528" s="1273" t="n"/>
      <c r="H528" s="1273" t="n"/>
      <c r="I528" s="1273" t="n"/>
      <c r="J528" s="1238" t="n"/>
    </row>
    <row r="529" ht="15.75" customHeight="1" s="1349">
      <c r="C529" s="1273" t="n"/>
      <c r="D529" s="1273" t="n"/>
      <c r="E529" s="1273" t="n"/>
      <c r="F529" s="1273" t="n"/>
      <c r="G529" s="1273" t="n"/>
      <c r="H529" s="1273" t="n"/>
      <c r="I529" s="1273" t="n"/>
      <c r="J529" s="1238" t="n"/>
    </row>
    <row r="530" ht="15.75" customHeight="1" s="1349">
      <c r="C530" s="1273" t="n"/>
      <c r="D530" s="1273" t="n"/>
      <c r="E530" s="1273" t="n"/>
      <c r="F530" s="1273" t="n"/>
      <c r="G530" s="1273" t="n"/>
      <c r="H530" s="1273" t="n"/>
      <c r="I530" s="1273" t="n"/>
      <c r="J530" s="1238" t="n"/>
    </row>
    <row r="531" ht="15.75" customHeight="1" s="1349">
      <c r="C531" s="1273" t="n"/>
      <c r="D531" s="1273" t="n"/>
      <c r="E531" s="1273" t="n"/>
      <c r="F531" s="1273" t="n"/>
      <c r="G531" s="1273" t="n"/>
      <c r="H531" s="1273" t="n"/>
      <c r="I531" s="1273" t="n"/>
      <c r="J531" s="1238" t="n"/>
    </row>
    <row r="532" ht="15.75" customHeight="1" s="1349">
      <c r="C532" s="1273" t="n"/>
      <c r="D532" s="1273" t="n"/>
      <c r="E532" s="1273" t="n"/>
      <c r="F532" s="1273" t="n"/>
      <c r="G532" s="1273" t="n"/>
      <c r="H532" s="1273" t="n"/>
      <c r="I532" s="1273" t="n"/>
      <c r="J532" s="1238" t="n"/>
    </row>
    <row r="533" ht="15.75" customHeight="1" s="1349">
      <c r="C533" s="1273" t="n"/>
      <c r="D533" s="1273" t="n"/>
      <c r="E533" s="1273" t="n"/>
      <c r="F533" s="1273" t="n"/>
      <c r="G533" s="1273" t="n"/>
      <c r="H533" s="1273" t="n"/>
      <c r="I533" s="1273" t="n"/>
      <c r="J533" s="1238" t="n"/>
    </row>
    <row r="534" ht="15.75" customHeight="1" s="1349">
      <c r="C534" s="1273" t="n"/>
      <c r="D534" s="1273" t="n"/>
      <c r="E534" s="1273" t="n"/>
      <c r="F534" s="1273" t="n"/>
      <c r="G534" s="1273" t="n"/>
      <c r="H534" s="1273" t="n"/>
      <c r="I534" s="1273" t="n"/>
      <c r="J534" s="1238" t="n"/>
    </row>
    <row r="535" ht="15.75" customHeight="1" s="1349">
      <c r="C535" s="1273" t="n"/>
      <c r="D535" s="1273" t="n"/>
      <c r="E535" s="1273" t="n"/>
      <c r="F535" s="1273" t="n"/>
      <c r="G535" s="1273" t="n"/>
      <c r="H535" s="1273" t="n"/>
      <c r="I535" s="1273" t="n"/>
      <c r="J535" s="1238" t="n"/>
    </row>
    <row r="536" ht="15.75" customHeight="1" s="1349">
      <c r="C536" s="1273" t="n"/>
      <c r="D536" s="1273" t="n"/>
      <c r="E536" s="1273" t="n"/>
      <c r="F536" s="1273" t="n"/>
      <c r="G536" s="1273" t="n"/>
      <c r="H536" s="1273" t="n"/>
      <c r="I536" s="1273" t="n"/>
      <c r="J536" s="1238" t="n"/>
    </row>
    <row r="537" ht="15.75" customHeight="1" s="1349">
      <c r="C537" s="1273" t="n"/>
      <c r="D537" s="1273" t="n"/>
      <c r="E537" s="1273" t="n"/>
      <c r="F537" s="1273" t="n"/>
      <c r="G537" s="1273" t="n"/>
      <c r="H537" s="1273" t="n"/>
      <c r="I537" s="1273" t="n"/>
      <c r="J537" s="1238" t="n"/>
    </row>
    <row r="538" ht="15.75" customHeight="1" s="1349">
      <c r="C538" s="1273" t="n"/>
      <c r="D538" s="1273" t="n"/>
      <c r="E538" s="1273" t="n"/>
      <c r="F538" s="1273" t="n"/>
      <c r="G538" s="1273" t="n"/>
      <c r="H538" s="1273" t="n"/>
      <c r="I538" s="1273" t="n"/>
      <c r="J538" s="1238" t="n"/>
    </row>
    <row r="539" ht="15.75" customHeight="1" s="1349">
      <c r="C539" s="1273" t="n"/>
      <c r="D539" s="1273" t="n"/>
      <c r="E539" s="1273" t="n"/>
      <c r="F539" s="1273" t="n"/>
      <c r="G539" s="1273" t="n"/>
      <c r="H539" s="1273" t="n"/>
      <c r="I539" s="1273" t="n"/>
      <c r="J539" s="1238" t="n"/>
    </row>
    <row r="540" ht="15.75" customHeight="1" s="1349">
      <c r="C540" s="1273" t="n"/>
      <c r="D540" s="1273" t="n"/>
      <c r="E540" s="1273" t="n"/>
      <c r="F540" s="1273" t="n"/>
      <c r="G540" s="1273" t="n"/>
      <c r="H540" s="1273" t="n"/>
      <c r="I540" s="1273" t="n"/>
      <c r="J540" s="1238" t="n"/>
    </row>
    <row r="541" ht="15.75" customHeight="1" s="1349">
      <c r="C541" s="1273" t="n"/>
      <c r="D541" s="1273" t="n"/>
      <c r="E541" s="1273" t="n"/>
      <c r="F541" s="1273" t="n"/>
      <c r="G541" s="1273" t="n"/>
      <c r="H541" s="1273" t="n"/>
      <c r="I541" s="1273" t="n"/>
      <c r="J541" s="1238" t="n"/>
    </row>
    <row r="542" ht="15.75" customHeight="1" s="1349">
      <c r="C542" s="1273" t="n"/>
      <c r="D542" s="1273" t="n"/>
      <c r="E542" s="1273" t="n"/>
      <c r="F542" s="1273" t="n"/>
      <c r="G542" s="1273" t="n"/>
      <c r="H542" s="1273" t="n"/>
      <c r="I542" s="1273" t="n"/>
      <c r="J542" s="1238" t="n"/>
    </row>
    <row r="543" ht="15.75" customHeight="1" s="1349">
      <c r="C543" s="1273" t="n"/>
      <c r="D543" s="1273" t="n"/>
      <c r="E543" s="1273" t="n"/>
      <c r="F543" s="1273" t="n"/>
      <c r="G543" s="1273" t="n"/>
      <c r="H543" s="1273" t="n"/>
      <c r="I543" s="1273" t="n"/>
      <c r="J543" s="1238" t="n"/>
    </row>
    <row r="544" ht="15.75" customHeight="1" s="1349">
      <c r="C544" s="1273" t="n"/>
      <c r="D544" s="1273" t="n"/>
      <c r="E544" s="1273" t="n"/>
      <c r="F544" s="1273" t="n"/>
      <c r="G544" s="1273" t="n"/>
      <c r="H544" s="1273" t="n"/>
      <c r="I544" s="1273" t="n"/>
      <c r="J544" s="1238" t="n"/>
    </row>
    <row r="545" ht="15.75" customHeight="1" s="1349">
      <c r="C545" s="1273" t="n"/>
      <c r="D545" s="1273" t="n"/>
      <c r="E545" s="1273" t="n"/>
      <c r="F545" s="1273" t="n"/>
      <c r="G545" s="1273" t="n"/>
      <c r="H545" s="1273" t="n"/>
      <c r="I545" s="1273" t="n"/>
      <c r="J545" s="1238" t="n"/>
    </row>
    <row r="546" ht="15.75" customHeight="1" s="1349">
      <c r="C546" s="1273" t="n"/>
      <c r="D546" s="1273" t="n"/>
      <c r="E546" s="1273" t="n"/>
      <c r="F546" s="1273" t="n"/>
      <c r="G546" s="1273" t="n"/>
      <c r="H546" s="1273" t="n"/>
      <c r="I546" s="1273" t="n"/>
      <c r="J546" s="1238" t="n"/>
    </row>
    <row r="547" ht="15.75" customHeight="1" s="1349">
      <c r="C547" s="1273" t="n"/>
      <c r="D547" s="1273" t="n"/>
      <c r="E547" s="1273" t="n"/>
      <c r="F547" s="1273" t="n"/>
      <c r="G547" s="1273" t="n"/>
      <c r="H547" s="1273" t="n"/>
      <c r="I547" s="1273" t="n"/>
      <c r="J547" s="1238" t="n"/>
    </row>
    <row r="548" ht="15.75" customHeight="1" s="1349">
      <c r="C548" s="1273" t="n"/>
      <c r="D548" s="1273" t="n"/>
      <c r="E548" s="1273" t="n"/>
      <c r="F548" s="1273" t="n"/>
      <c r="G548" s="1273" t="n"/>
      <c r="H548" s="1273" t="n"/>
      <c r="I548" s="1273" t="n"/>
      <c r="J548" s="1238" t="n"/>
    </row>
    <row r="549" ht="15.75" customHeight="1" s="1349">
      <c r="C549" s="1273" t="n"/>
      <c r="D549" s="1273" t="n"/>
      <c r="E549" s="1273" t="n"/>
      <c r="F549" s="1273" t="n"/>
      <c r="G549" s="1273" t="n"/>
      <c r="H549" s="1273" t="n"/>
      <c r="I549" s="1273" t="n"/>
      <c r="J549" s="1238" t="n"/>
    </row>
    <row r="550" ht="15.75" customHeight="1" s="1349">
      <c r="C550" s="1273" t="n"/>
      <c r="D550" s="1273" t="n"/>
      <c r="E550" s="1273" t="n"/>
      <c r="F550" s="1273" t="n"/>
      <c r="G550" s="1273" t="n"/>
      <c r="H550" s="1273" t="n"/>
      <c r="I550" s="1273" t="n"/>
      <c r="J550" s="1238" t="n"/>
    </row>
    <row r="551" ht="15.75" customHeight="1" s="1349">
      <c r="C551" s="1273" t="n"/>
      <c r="D551" s="1273" t="n"/>
      <c r="E551" s="1273" t="n"/>
      <c r="F551" s="1273" t="n"/>
      <c r="G551" s="1273" t="n"/>
      <c r="H551" s="1273" t="n"/>
      <c r="I551" s="1273" t="n"/>
      <c r="J551" s="1238" t="n"/>
    </row>
    <row r="552" ht="15.75" customHeight="1" s="1349">
      <c r="C552" s="1273" t="n"/>
      <c r="D552" s="1273" t="n"/>
      <c r="E552" s="1273" t="n"/>
      <c r="F552" s="1273" t="n"/>
      <c r="G552" s="1273" t="n"/>
      <c r="H552" s="1273" t="n"/>
      <c r="I552" s="1273" t="n"/>
      <c r="J552" s="1238" t="n"/>
    </row>
    <row r="553" ht="15.75" customHeight="1" s="1349">
      <c r="C553" s="1273" t="n"/>
      <c r="D553" s="1273" t="n"/>
      <c r="E553" s="1273" t="n"/>
      <c r="F553" s="1273" t="n"/>
      <c r="G553" s="1273" t="n"/>
      <c r="H553" s="1273" t="n"/>
      <c r="I553" s="1273" t="n"/>
      <c r="J553" s="1238" t="n"/>
    </row>
    <row r="554" ht="15.75" customHeight="1" s="1349">
      <c r="C554" s="1273" t="n"/>
      <c r="D554" s="1273" t="n"/>
      <c r="E554" s="1273" t="n"/>
      <c r="F554" s="1273" t="n"/>
      <c r="G554" s="1273" t="n"/>
      <c r="H554" s="1273" t="n"/>
      <c r="I554" s="1273" t="n"/>
      <c r="J554" s="1238" t="n"/>
    </row>
    <row r="555" ht="15.75" customHeight="1" s="1349">
      <c r="C555" s="1273" t="n"/>
      <c r="D555" s="1273" t="n"/>
      <c r="E555" s="1273" t="n"/>
      <c r="F555" s="1273" t="n"/>
      <c r="G555" s="1273" t="n"/>
      <c r="H555" s="1273" t="n"/>
      <c r="I555" s="1273" t="n"/>
      <c r="J555" s="1238" t="n"/>
    </row>
    <row r="556" ht="15.75" customHeight="1" s="1349">
      <c r="C556" s="1273" t="n"/>
      <c r="D556" s="1273" t="n"/>
      <c r="E556" s="1273" t="n"/>
      <c r="F556" s="1273" t="n"/>
      <c r="G556" s="1273" t="n"/>
      <c r="H556" s="1273" t="n"/>
      <c r="I556" s="1273" t="n"/>
      <c r="J556" s="1238" t="n"/>
    </row>
    <row r="557" ht="15.75" customHeight="1" s="1349">
      <c r="C557" s="1273" t="n"/>
      <c r="D557" s="1273" t="n"/>
      <c r="E557" s="1273" t="n"/>
      <c r="F557" s="1273" t="n"/>
      <c r="G557" s="1273" t="n"/>
      <c r="H557" s="1273" t="n"/>
      <c r="I557" s="1273" t="n"/>
      <c r="J557" s="1238" t="n"/>
    </row>
    <row r="558" ht="15.75" customHeight="1" s="1349">
      <c r="C558" s="1273" t="n"/>
      <c r="D558" s="1273" t="n"/>
      <c r="E558" s="1273" t="n"/>
      <c r="F558" s="1273" t="n"/>
      <c r="G558" s="1273" t="n"/>
      <c r="H558" s="1273" t="n"/>
      <c r="I558" s="1273" t="n"/>
      <c r="J558" s="1238" t="n"/>
    </row>
    <row r="559" ht="15.75" customHeight="1" s="1349">
      <c r="C559" s="1273" t="n"/>
      <c r="D559" s="1273" t="n"/>
      <c r="E559" s="1273" t="n"/>
      <c r="F559" s="1273" t="n"/>
      <c r="G559" s="1273" t="n"/>
      <c r="H559" s="1273" t="n"/>
      <c r="I559" s="1273" t="n"/>
      <c r="J559" s="1238" t="n"/>
    </row>
    <row r="560" ht="15.75" customHeight="1" s="1349">
      <c r="C560" s="1273" t="n"/>
      <c r="D560" s="1273" t="n"/>
      <c r="E560" s="1273" t="n"/>
      <c r="F560" s="1273" t="n"/>
      <c r="G560" s="1273" t="n"/>
      <c r="H560" s="1273" t="n"/>
      <c r="I560" s="1273" t="n"/>
      <c r="J560" s="1238" t="n"/>
    </row>
    <row r="561" ht="15.75" customHeight="1" s="1349">
      <c r="C561" s="1273" t="n"/>
      <c r="D561" s="1273" t="n"/>
      <c r="E561" s="1273" t="n"/>
      <c r="F561" s="1273" t="n"/>
      <c r="G561" s="1273" t="n"/>
      <c r="H561" s="1273" t="n"/>
      <c r="I561" s="1273" t="n"/>
      <c r="J561" s="1238" t="n"/>
    </row>
    <row r="562" ht="15.75" customHeight="1" s="1349">
      <c r="C562" s="1273" t="n"/>
      <c r="D562" s="1273" t="n"/>
      <c r="E562" s="1273" t="n"/>
      <c r="F562" s="1273" t="n"/>
      <c r="G562" s="1273" t="n"/>
      <c r="H562" s="1273" t="n"/>
      <c r="I562" s="1273" t="n"/>
      <c r="J562" s="1238" t="n"/>
    </row>
    <row r="563" ht="15.75" customHeight="1" s="1349">
      <c r="C563" s="1273" t="n"/>
      <c r="D563" s="1273" t="n"/>
      <c r="E563" s="1273" t="n"/>
      <c r="F563" s="1273" t="n"/>
      <c r="G563" s="1273" t="n"/>
      <c r="H563" s="1273" t="n"/>
      <c r="I563" s="1273" t="n"/>
      <c r="J563" s="1238" t="n"/>
    </row>
    <row r="564" ht="15.75" customHeight="1" s="1349">
      <c r="C564" s="1273" t="n"/>
      <c r="D564" s="1273" t="n"/>
      <c r="E564" s="1273" t="n"/>
      <c r="F564" s="1273" t="n"/>
      <c r="G564" s="1273" t="n"/>
      <c r="H564" s="1273" t="n"/>
      <c r="I564" s="1273" t="n"/>
      <c r="J564" s="1238" t="n"/>
    </row>
    <row r="565" ht="15.75" customHeight="1" s="1349">
      <c r="C565" s="1273" t="n"/>
      <c r="D565" s="1273" t="n"/>
      <c r="E565" s="1273" t="n"/>
      <c r="F565" s="1273" t="n"/>
      <c r="G565" s="1273" t="n"/>
      <c r="H565" s="1273" t="n"/>
      <c r="I565" s="1273" t="n"/>
      <c r="J565" s="1238" t="n"/>
    </row>
    <row r="566" ht="15.75" customHeight="1" s="1349">
      <c r="C566" s="1273" t="n"/>
      <c r="D566" s="1273" t="n"/>
      <c r="E566" s="1273" t="n"/>
      <c r="F566" s="1273" t="n"/>
      <c r="G566" s="1273" t="n"/>
      <c r="H566" s="1273" t="n"/>
      <c r="I566" s="1273" t="n"/>
      <c r="J566" s="1238" t="n"/>
    </row>
    <row r="567" ht="15.75" customHeight="1" s="1349">
      <c r="C567" s="1273" t="n"/>
      <c r="D567" s="1273" t="n"/>
      <c r="E567" s="1273" t="n"/>
      <c r="F567" s="1273" t="n"/>
      <c r="G567" s="1273" t="n"/>
      <c r="H567" s="1273" t="n"/>
      <c r="I567" s="1273" t="n"/>
      <c r="J567" s="1238" t="n"/>
    </row>
    <row r="568" ht="15.75" customHeight="1" s="1349">
      <c r="C568" s="1273" t="n"/>
      <c r="D568" s="1273" t="n"/>
      <c r="E568" s="1273" t="n"/>
      <c r="F568" s="1273" t="n"/>
      <c r="G568" s="1273" t="n"/>
      <c r="H568" s="1273" t="n"/>
      <c r="I568" s="1273" t="n"/>
      <c r="J568" s="1238" t="n"/>
    </row>
    <row r="569" ht="15.75" customHeight="1" s="1349">
      <c r="C569" s="1273" t="n"/>
      <c r="D569" s="1273" t="n"/>
      <c r="E569" s="1273" t="n"/>
      <c r="F569" s="1273" t="n"/>
      <c r="G569" s="1273" t="n"/>
      <c r="H569" s="1273" t="n"/>
      <c r="I569" s="1273" t="n"/>
      <c r="J569" s="1238" t="n"/>
    </row>
    <row r="570" ht="15.75" customHeight="1" s="1349">
      <c r="C570" s="1273" t="n"/>
      <c r="D570" s="1273" t="n"/>
      <c r="E570" s="1273" t="n"/>
      <c r="F570" s="1273" t="n"/>
      <c r="G570" s="1273" t="n"/>
      <c r="H570" s="1273" t="n"/>
      <c r="I570" s="1273" t="n"/>
      <c r="J570" s="1238" t="n"/>
    </row>
    <row r="571" ht="15.75" customHeight="1" s="1349">
      <c r="C571" s="1273" t="n"/>
      <c r="D571" s="1273" t="n"/>
      <c r="E571" s="1273" t="n"/>
      <c r="F571" s="1273" t="n"/>
      <c r="G571" s="1273" t="n"/>
      <c r="H571" s="1273" t="n"/>
      <c r="I571" s="1273" t="n"/>
      <c r="J571" s="1238" t="n"/>
    </row>
    <row r="572" ht="15.75" customHeight="1" s="1349">
      <c r="C572" s="1273" t="n"/>
      <c r="D572" s="1273" t="n"/>
      <c r="E572" s="1273" t="n"/>
      <c r="F572" s="1273" t="n"/>
      <c r="G572" s="1273" t="n"/>
      <c r="H572" s="1273" t="n"/>
      <c r="I572" s="1273" t="n"/>
      <c r="J572" s="1238" t="n"/>
    </row>
    <row r="573" ht="15.75" customHeight="1" s="1349">
      <c r="C573" s="1273" t="n"/>
      <c r="D573" s="1273" t="n"/>
      <c r="E573" s="1273" t="n"/>
      <c r="F573" s="1273" t="n"/>
      <c r="G573" s="1273" t="n"/>
      <c r="H573" s="1273" t="n"/>
      <c r="I573" s="1273" t="n"/>
      <c r="J573" s="1238" t="n"/>
    </row>
    <row r="574" ht="15.75" customHeight="1" s="1349">
      <c r="C574" s="1273" t="n"/>
      <c r="D574" s="1273" t="n"/>
      <c r="E574" s="1273" t="n"/>
      <c r="F574" s="1273" t="n"/>
      <c r="G574" s="1273" t="n"/>
      <c r="H574" s="1273" t="n"/>
      <c r="I574" s="1273" t="n"/>
      <c r="J574" s="1238" t="n"/>
    </row>
    <row r="575" ht="15.75" customHeight="1" s="1349">
      <c r="C575" s="1273" t="n"/>
      <c r="D575" s="1273" t="n"/>
      <c r="E575" s="1273" t="n"/>
      <c r="F575" s="1273" t="n"/>
      <c r="G575" s="1273" t="n"/>
      <c r="H575" s="1273" t="n"/>
      <c r="I575" s="1273" t="n"/>
      <c r="J575" s="1238" t="n"/>
    </row>
    <row r="576" ht="15.75" customHeight="1" s="1349">
      <c r="C576" s="1273" t="n"/>
      <c r="D576" s="1273" t="n"/>
      <c r="E576" s="1273" t="n"/>
      <c r="F576" s="1273" t="n"/>
      <c r="G576" s="1273" t="n"/>
      <c r="H576" s="1273" t="n"/>
      <c r="I576" s="1273" t="n"/>
      <c r="J576" s="1238" t="n"/>
    </row>
    <row r="577" ht="15.75" customHeight="1" s="1349">
      <c r="C577" s="1273" t="n"/>
      <c r="D577" s="1273" t="n"/>
      <c r="E577" s="1273" t="n"/>
      <c r="F577" s="1273" t="n"/>
      <c r="G577" s="1273" t="n"/>
      <c r="H577" s="1273" t="n"/>
      <c r="I577" s="1273" t="n"/>
      <c r="J577" s="1238" t="n"/>
    </row>
    <row r="578" ht="15.75" customHeight="1" s="1349">
      <c r="C578" s="1273" t="n"/>
      <c r="D578" s="1273" t="n"/>
      <c r="E578" s="1273" t="n"/>
      <c r="F578" s="1273" t="n"/>
      <c r="G578" s="1273" t="n"/>
      <c r="H578" s="1273" t="n"/>
      <c r="I578" s="1273" t="n"/>
      <c r="J578" s="1238" t="n"/>
    </row>
    <row r="579" ht="15.75" customHeight="1" s="1349">
      <c r="C579" s="1273" t="n"/>
      <c r="D579" s="1273" t="n"/>
      <c r="E579" s="1273" t="n"/>
      <c r="F579" s="1273" t="n"/>
      <c r="G579" s="1273" t="n"/>
      <c r="H579" s="1273" t="n"/>
      <c r="I579" s="1273" t="n"/>
      <c r="J579" s="1238" t="n"/>
    </row>
    <row r="580" ht="15.75" customHeight="1" s="1349">
      <c r="C580" s="1273" t="n"/>
      <c r="D580" s="1273" t="n"/>
      <c r="E580" s="1273" t="n"/>
      <c r="F580" s="1273" t="n"/>
      <c r="G580" s="1273" t="n"/>
      <c r="H580" s="1273" t="n"/>
      <c r="I580" s="1273" t="n"/>
      <c r="J580" s="1238" t="n"/>
    </row>
    <row r="581" ht="15.75" customHeight="1" s="1349">
      <c r="C581" s="1273" t="n"/>
      <c r="D581" s="1273" t="n"/>
      <c r="E581" s="1273" t="n"/>
      <c r="F581" s="1273" t="n"/>
      <c r="G581" s="1273" t="n"/>
      <c r="H581" s="1273" t="n"/>
      <c r="I581" s="1273" t="n"/>
      <c r="J581" s="1238" t="n"/>
    </row>
    <row r="582" ht="15.75" customHeight="1" s="1349">
      <c r="C582" s="1273" t="n"/>
      <c r="D582" s="1273" t="n"/>
      <c r="E582" s="1273" t="n"/>
      <c r="F582" s="1273" t="n"/>
      <c r="G582" s="1273" t="n"/>
      <c r="H582" s="1273" t="n"/>
      <c r="I582" s="1273" t="n"/>
      <c r="J582" s="1238" t="n"/>
    </row>
    <row r="583" ht="15.75" customHeight="1" s="1349">
      <c r="C583" s="1273" t="n"/>
      <c r="D583" s="1273" t="n"/>
      <c r="E583" s="1273" t="n"/>
      <c r="F583" s="1273" t="n"/>
      <c r="G583" s="1273" t="n"/>
      <c r="H583" s="1273" t="n"/>
      <c r="I583" s="1273" t="n"/>
      <c r="J583" s="1238" t="n"/>
    </row>
    <row r="584" ht="15.75" customHeight="1" s="1349">
      <c r="C584" s="1273" t="n"/>
      <c r="D584" s="1273" t="n"/>
      <c r="E584" s="1273" t="n"/>
      <c r="F584" s="1273" t="n"/>
      <c r="G584" s="1273" t="n"/>
      <c r="H584" s="1273" t="n"/>
      <c r="I584" s="1273" t="n"/>
      <c r="J584" s="1238" t="n"/>
    </row>
    <row r="585" ht="15.75" customHeight="1" s="1349">
      <c r="C585" s="1273" t="n"/>
      <c r="D585" s="1273" t="n"/>
      <c r="E585" s="1273" t="n"/>
      <c r="F585" s="1273" t="n"/>
      <c r="G585" s="1273" t="n"/>
      <c r="H585" s="1273" t="n"/>
      <c r="I585" s="1273" t="n"/>
      <c r="J585" s="1238" t="n"/>
    </row>
    <row r="586" ht="15.75" customHeight="1" s="1349">
      <c r="C586" s="1273" t="n"/>
      <c r="D586" s="1273" t="n"/>
      <c r="E586" s="1273" t="n"/>
      <c r="F586" s="1273" t="n"/>
      <c r="G586" s="1273" t="n"/>
      <c r="H586" s="1273" t="n"/>
      <c r="I586" s="1273" t="n"/>
      <c r="J586" s="1238" t="n"/>
    </row>
    <row r="587" ht="15.75" customHeight="1" s="1349">
      <c r="C587" s="1273" t="n"/>
      <c r="D587" s="1273" t="n"/>
      <c r="E587" s="1273" t="n"/>
      <c r="F587" s="1273" t="n"/>
      <c r="G587" s="1273" t="n"/>
      <c r="H587" s="1273" t="n"/>
      <c r="I587" s="1273" t="n"/>
      <c r="J587" s="1238" t="n"/>
    </row>
    <row r="588" ht="15.75" customHeight="1" s="1349">
      <c r="C588" s="1273" t="n"/>
      <c r="D588" s="1273" t="n"/>
      <c r="E588" s="1273" t="n"/>
      <c r="F588" s="1273" t="n"/>
      <c r="G588" s="1273" t="n"/>
      <c r="H588" s="1273" t="n"/>
      <c r="I588" s="1273" t="n"/>
      <c r="J588" s="1238" t="n"/>
    </row>
    <row r="589" ht="15.75" customHeight="1" s="1349">
      <c r="C589" s="1273" t="n"/>
      <c r="D589" s="1273" t="n"/>
      <c r="E589" s="1273" t="n"/>
      <c r="F589" s="1273" t="n"/>
      <c r="G589" s="1273" t="n"/>
      <c r="H589" s="1273" t="n"/>
      <c r="I589" s="1273" t="n"/>
      <c r="J589" s="1238" t="n"/>
    </row>
    <row r="590" ht="15.75" customHeight="1" s="1349">
      <c r="C590" s="1273" t="n"/>
      <c r="D590" s="1273" t="n"/>
      <c r="E590" s="1273" t="n"/>
      <c r="F590" s="1273" t="n"/>
      <c r="G590" s="1273" t="n"/>
      <c r="H590" s="1273" t="n"/>
      <c r="I590" s="1273" t="n"/>
      <c r="J590" s="1238" t="n"/>
    </row>
    <row r="591" ht="15.75" customHeight="1" s="1349">
      <c r="C591" s="1273" t="n"/>
      <c r="D591" s="1273" t="n"/>
      <c r="E591" s="1273" t="n"/>
      <c r="F591" s="1273" t="n"/>
      <c r="G591" s="1273" t="n"/>
      <c r="H591" s="1273" t="n"/>
      <c r="I591" s="1273" t="n"/>
      <c r="J591" s="1238" t="n"/>
    </row>
    <row r="592" ht="15.75" customHeight="1" s="1349">
      <c r="C592" s="1273" t="n"/>
      <c r="D592" s="1273" t="n"/>
      <c r="E592" s="1273" t="n"/>
      <c r="F592" s="1273" t="n"/>
      <c r="G592" s="1273" t="n"/>
      <c r="H592" s="1273" t="n"/>
      <c r="I592" s="1273" t="n"/>
      <c r="J592" s="1238" t="n"/>
    </row>
    <row r="593" ht="15.75" customHeight="1" s="1349">
      <c r="C593" s="1273" t="n"/>
      <c r="D593" s="1273" t="n"/>
      <c r="E593" s="1273" t="n"/>
      <c r="F593" s="1273" t="n"/>
      <c r="G593" s="1273" t="n"/>
      <c r="H593" s="1273" t="n"/>
      <c r="I593" s="1273" t="n"/>
      <c r="J593" s="1238" t="n"/>
    </row>
    <row r="594" ht="15.75" customHeight="1" s="1349">
      <c r="C594" s="1273" t="n"/>
      <c r="D594" s="1273" t="n"/>
      <c r="E594" s="1273" t="n"/>
      <c r="F594" s="1273" t="n"/>
      <c r="G594" s="1273" t="n"/>
      <c r="H594" s="1273" t="n"/>
      <c r="I594" s="1273" t="n"/>
      <c r="J594" s="1238" t="n"/>
    </row>
    <row r="595" ht="15.75" customHeight="1" s="1349">
      <c r="C595" s="1273" t="n"/>
      <c r="D595" s="1273" t="n"/>
      <c r="E595" s="1273" t="n"/>
      <c r="F595" s="1273" t="n"/>
      <c r="G595" s="1273" t="n"/>
      <c r="H595" s="1273" t="n"/>
      <c r="I595" s="1273" t="n"/>
      <c r="J595" s="1238" t="n"/>
    </row>
    <row r="596" ht="15.75" customHeight="1" s="1349">
      <c r="C596" s="1273" t="n"/>
      <c r="D596" s="1273" t="n"/>
      <c r="E596" s="1273" t="n"/>
      <c r="F596" s="1273" t="n"/>
      <c r="G596" s="1273" t="n"/>
      <c r="H596" s="1273" t="n"/>
      <c r="I596" s="1273" t="n"/>
      <c r="J596" s="1238" t="n"/>
    </row>
    <row r="597" ht="15.75" customHeight="1" s="1349">
      <c r="C597" s="1273" t="n"/>
      <c r="D597" s="1273" t="n"/>
      <c r="E597" s="1273" t="n"/>
      <c r="F597" s="1273" t="n"/>
      <c r="G597" s="1273" t="n"/>
      <c r="H597" s="1273" t="n"/>
      <c r="I597" s="1273" t="n"/>
      <c r="J597" s="1238" t="n"/>
    </row>
    <row r="598" ht="15.75" customHeight="1" s="1349">
      <c r="C598" s="1273" t="n"/>
      <c r="D598" s="1273" t="n"/>
      <c r="E598" s="1273" t="n"/>
      <c r="F598" s="1273" t="n"/>
      <c r="G598" s="1273" t="n"/>
      <c r="H598" s="1273" t="n"/>
      <c r="I598" s="1273" t="n"/>
      <c r="J598" s="1238" t="n"/>
    </row>
    <row r="599" ht="15.75" customHeight="1" s="1349">
      <c r="C599" s="1273" t="n"/>
      <c r="D599" s="1273" t="n"/>
      <c r="E599" s="1273" t="n"/>
      <c r="F599" s="1273" t="n"/>
      <c r="G599" s="1273" t="n"/>
      <c r="H599" s="1273" t="n"/>
      <c r="I599" s="1273" t="n"/>
      <c r="J599" s="1238" t="n"/>
    </row>
    <row r="600" ht="15.75" customHeight="1" s="1349">
      <c r="C600" s="1273" t="n"/>
      <c r="D600" s="1273" t="n"/>
      <c r="E600" s="1273" t="n"/>
      <c r="F600" s="1273" t="n"/>
      <c r="G600" s="1273" t="n"/>
      <c r="H600" s="1273" t="n"/>
      <c r="I600" s="1273" t="n"/>
      <c r="J600" s="1238" t="n"/>
    </row>
    <row r="601" ht="15.75" customHeight="1" s="1349">
      <c r="C601" s="1273" t="n"/>
      <c r="D601" s="1273" t="n"/>
      <c r="E601" s="1273" t="n"/>
      <c r="F601" s="1273" t="n"/>
      <c r="G601" s="1273" t="n"/>
      <c r="H601" s="1273" t="n"/>
      <c r="I601" s="1273" t="n"/>
      <c r="J601" s="1238" t="n"/>
    </row>
    <row r="602" ht="15.75" customHeight="1" s="1349">
      <c r="C602" s="1273" t="n"/>
      <c r="D602" s="1273" t="n"/>
      <c r="E602" s="1273" t="n"/>
      <c r="F602" s="1273" t="n"/>
      <c r="G602" s="1273" t="n"/>
      <c r="H602" s="1273" t="n"/>
      <c r="I602" s="1273" t="n"/>
      <c r="J602" s="1238" t="n"/>
    </row>
    <row r="603" ht="15.75" customHeight="1" s="1349">
      <c r="C603" s="1273" t="n"/>
      <c r="D603" s="1273" t="n"/>
      <c r="E603" s="1273" t="n"/>
      <c r="F603" s="1273" t="n"/>
      <c r="G603" s="1273" t="n"/>
      <c r="H603" s="1273" t="n"/>
      <c r="I603" s="1273" t="n"/>
      <c r="J603" s="1238" t="n"/>
    </row>
    <row r="604" ht="15.75" customHeight="1" s="1349">
      <c r="C604" s="1273" t="n"/>
      <c r="D604" s="1273" t="n"/>
      <c r="E604" s="1273" t="n"/>
      <c r="F604" s="1273" t="n"/>
      <c r="G604" s="1273" t="n"/>
      <c r="H604" s="1273" t="n"/>
      <c r="I604" s="1273" t="n"/>
      <c r="J604" s="1238" t="n"/>
    </row>
    <row r="605" ht="15.75" customHeight="1" s="1349">
      <c r="C605" s="1273" t="n"/>
      <c r="D605" s="1273" t="n"/>
      <c r="E605" s="1273" t="n"/>
      <c r="F605" s="1273" t="n"/>
      <c r="G605" s="1273" t="n"/>
      <c r="H605" s="1273" t="n"/>
      <c r="I605" s="1273" t="n"/>
      <c r="J605" s="1238" t="n"/>
    </row>
    <row r="606" ht="15.75" customHeight="1" s="1349">
      <c r="C606" s="1273" t="n"/>
      <c r="D606" s="1273" t="n"/>
      <c r="E606" s="1273" t="n"/>
      <c r="F606" s="1273" t="n"/>
      <c r="G606" s="1273" t="n"/>
      <c r="H606" s="1273" t="n"/>
      <c r="I606" s="1273" t="n"/>
      <c r="J606" s="1238" t="n"/>
    </row>
    <row r="607" ht="15.75" customHeight="1" s="1349">
      <c r="C607" s="1273" t="n"/>
      <c r="D607" s="1273" t="n"/>
      <c r="E607" s="1273" t="n"/>
      <c r="F607" s="1273" t="n"/>
      <c r="G607" s="1273" t="n"/>
      <c r="H607" s="1273" t="n"/>
      <c r="I607" s="1273" t="n"/>
      <c r="J607" s="1238" t="n"/>
    </row>
    <row r="608" ht="15.75" customHeight="1" s="1349">
      <c r="C608" s="1273" t="n"/>
      <c r="D608" s="1273" t="n"/>
      <c r="E608" s="1273" t="n"/>
      <c r="F608" s="1273" t="n"/>
      <c r="G608" s="1273" t="n"/>
      <c r="H608" s="1273" t="n"/>
      <c r="I608" s="1273" t="n"/>
      <c r="J608" s="1238" t="n"/>
    </row>
    <row r="609" ht="15.75" customHeight="1" s="1349">
      <c r="C609" s="1273" t="n"/>
      <c r="D609" s="1273" t="n"/>
      <c r="E609" s="1273" t="n"/>
      <c r="F609" s="1273" t="n"/>
      <c r="G609" s="1273" t="n"/>
      <c r="H609" s="1273" t="n"/>
      <c r="I609" s="1273" t="n"/>
      <c r="J609" s="1238" t="n"/>
    </row>
    <row r="610" ht="15.75" customHeight="1" s="1349">
      <c r="C610" s="1273" t="n"/>
      <c r="D610" s="1273" t="n"/>
      <c r="E610" s="1273" t="n"/>
      <c r="F610" s="1273" t="n"/>
      <c r="G610" s="1273" t="n"/>
      <c r="H610" s="1273" t="n"/>
      <c r="I610" s="1273" t="n"/>
      <c r="J610" s="1238" t="n"/>
    </row>
    <row r="611" ht="15.75" customHeight="1" s="1349">
      <c r="C611" s="1273" t="n"/>
      <c r="D611" s="1273" t="n"/>
      <c r="E611" s="1273" t="n"/>
      <c r="F611" s="1273" t="n"/>
      <c r="G611" s="1273" t="n"/>
      <c r="H611" s="1273" t="n"/>
      <c r="I611" s="1273" t="n"/>
      <c r="J611" s="1238" t="n"/>
    </row>
    <row r="612" ht="15.75" customHeight="1" s="1349">
      <c r="C612" s="1273" t="n"/>
      <c r="D612" s="1273" t="n"/>
      <c r="E612" s="1273" t="n"/>
      <c r="F612" s="1273" t="n"/>
      <c r="G612" s="1273" t="n"/>
      <c r="H612" s="1273" t="n"/>
      <c r="I612" s="1273" t="n"/>
      <c r="J612" s="1238" t="n"/>
    </row>
    <row r="613" ht="15.75" customHeight="1" s="1349">
      <c r="C613" s="1273" t="n"/>
      <c r="D613" s="1273" t="n"/>
      <c r="E613" s="1273" t="n"/>
      <c r="F613" s="1273" t="n"/>
      <c r="G613" s="1273" t="n"/>
      <c r="H613" s="1273" t="n"/>
      <c r="I613" s="1273" t="n"/>
      <c r="J613" s="1238" t="n"/>
    </row>
    <row r="614" ht="15.75" customHeight="1" s="1349">
      <c r="C614" s="1273" t="n"/>
      <c r="D614" s="1273" t="n"/>
      <c r="E614" s="1273" t="n"/>
      <c r="F614" s="1273" t="n"/>
      <c r="G614" s="1273" t="n"/>
      <c r="H614" s="1273" t="n"/>
      <c r="I614" s="1273" t="n"/>
      <c r="J614" s="1238" t="n"/>
    </row>
    <row r="615" ht="15.75" customHeight="1" s="1349">
      <c r="C615" s="1273" t="n"/>
      <c r="D615" s="1273" t="n"/>
      <c r="E615" s="1273" t="n"/>
      <c r="F615" s="1273" t="n"/>
      <c r="G615" s="1273" t="n"/>
      <c r="H615" s="1273" t="n"/>
      <c r="I615" s="1273" t="n"/>
      <c r="J615" s="1238" t="n"/>
    </row>
    <row r="616" ht="15.75" customHeight="1" s="1349">
      <c r="C616" s="1273" t="n"/>
      <c r="D616" s="1273" t="n"/>
      <c r="E616" s="1273" t="n"/>
      <c r="F616" s="1273" t="n"/>
      <c r="G616" s="1273" t="n"/>
      <c r="H616" s="1273" t="n"/>
      <c r="I616" s="1273" t="n"/>
      <c r="J616" s="1238" t="n"/>
    </row>
    <row r="617" ht="15.75" customHeight="1" s="1349">
      <c r="C617" s="1273" t="n"/>
      <c r="D617" s="1273" t="n"/>
      <c r="E617" s="1273" t="n"/>
      <c r="F617" s="1273" t="n"/>
      <c r="G617" s="1273" t="n"/>
      <c r="H617" s="1273" t="n"/>
      <c r="I617" s="1273" t="n"/>
      <c r="J617" s="1238" t="n"/>
    </row>
    <row r="618" ht="15.75" customHeight="1" s="1349">
      <c r="C618" s="1273" t="n"/>
      <c r="D618" s="1273" t="n"/>
      <c r="E618" s="1273" t="n"/>
      <c r="F618" s="1273" t="n"/>
      <c r="G618" s="1273" t="n"/>
      <c r="H618" s="1273" t="n"/>
      <c r="I618" s="1273" t="n"/>
      <c r="J618" s="1238" t="n"/>
    </row>
    <row r="619" ht="15.75" customHeight="1" s="1349">
      <c r="C619" s="1273" t="n"/>
      <c r="D619" s="1273" t="n"/>
      <c r="E619" s="1273" t="n"/>
      <c r="F619" s="1273" t="n"/>
      <c r="G619" s="1273" t="n"/>
      <c r="H619" s="1273" t="n"/>
      <c r="I619" s="1273" t="n"/>
      <c r="J619" s="1238" t="n"/>
    </row>
    <row r="620" ht="15.75" customHeight="1" s="1349">
      <c r="C620" s="1273" t="n"/>
      <c r="D620" s="1273" t="n"/>
      <c r="E620" s="1273" t="n"/>
      <c r="F620" s="1273" t="n"/>
      <c r="G620" s="1273" t="n"/>
      <c r="H620" s="1273" t="n"/>
      <c r="I620" s="1273" t="n"/>
      <c r="J620" s="1238" t="n"/>
    </row>
    <row r="621" ht="15.75" customHeight="1" s="1349">
      <c r="C621" s="1273" t="n"/>
      <c r="D621" s="1273" t="n"/>
      <c r="E621" s="1273" t="n"/>
      <c r="F621" s="1273" t="n"/>
      <c r="G621" s="1273" t="n"/>
      <c r="H621" s="1273" t="n"/>
      <c r="I621" s="1273" t="n"/>
      <c r="J621" s="1238" t="n"/>
    </row>
    <row r="622" ht="15.75" customHeight="1" s="1349">
      <c r="C622" s="1273" t="n"/>
      <c r="D622" s="1273" t="n"/>
      <c r="E622" s="1273" t="n"/>
      <c r="F622" s="1273" t="n"/>
      <c r="G622" s="1273" t="n"/>
      <c r="H622" s="1273" t="n"/>
      <c r="I622" s="1273" t="n"/>
      <c r="J622" s="1238" t="n"/>
    </row>
    <row r="623" ht="15.75" customHeight="1" s="1349">
      <c r="C623" s="1273" t="n"/>
      <c r="D623" s="1273" t="n"/>
      <c r="E623" s="1273" t="n"/>
      <c r="F623" s="1273" t="n"/>
      <c r="G623" s="1273" t="n"/>
      <c r="H623" s="1273" t="n"/>
      <c r="I623" s="1273" t="n"/>
      <c r="J623" s="1238" t="n"/>
    </row>
    <row r="624" ht="15.75" customHeight="1" s="1349">
      <c r="C624" s="1273" t="n"/>
      <c r="D624" s="1273" t="n"/>
      <c r="E624" s="1273" t="n"/>
      <c r="F624" s="1273" t="n"/>
      <c r="G624" s="1273" t="n"/>
      <c r="H624" s="1273" t="n"/>
      <c r="I624" s="1273" t="n"/>
      <c r="J624" s="1238" t="n"/>
    </row>
    <row r="625" ht="15.75" customHeight="1" s="1349">
      <c r="C625" s="1273" t="n"/>
      <c r="D625" s="1273" t="n"/>
      <c r="E625" s="1273" t="n"/>
      <c r="F625" s="1273" t="n"/>
      <c r="G625" s="1273" t="n"/>
      <c r="H625" s="1273" t="n"/>
      <c r="I625" s="1273" t="n"/>
      <c r="J625" s="1238" t="n"/>
    </row>
    <row r="626" ht="15.75" customHeight="1" s="1349">
      <c r="C626" s="1273" t="n"/>
      <c r="D626" s="1273" t="n"/>
      <c r="E626" s="1273" t="n"/>
      <c r="F626" s="1273" t="n"/>
      <c r="G626" s="1273" t="n"/>
      <c r="H626" s="1273" t="n"/>
      <c r="I626" s="1273" t="n"/>
      <c r="J626" s="1238" t="n"/>
    </row>
    <row r="627" ht="15.75" customHeight="1" s="1349">
      <c r="C627" s="1273" t="n"/>
      <c r="D627" s="1273" t="n"/>
      <c r="E627" s="1273" t="n"/>
      <c r="F627" s="1273" t="n"/>
      <c r="G627" s="1273" t="n"/>
      <c r="H627" s="1273" t="n"/>
      <c r="I627" s="1273" t="n"/>
      <c r="J627" s="1238" t="n"/>
    </row>
    <row r="628" ht="15.75" customHeight="1" s="1349">
      <c r="C628" s="1273" t="n"/>
      <c r="D628" s="1273" t="n"/>
      <c r="E628" s="1273" t="n"/>
      <c r="F628" s="1273" t="n"/>
      <c r="G628" s="1273" t="n"/>
      <c r="H628" s="1273" t="n"/>
      <c r="I628" s="1273" t="n"/>
      <c r="J628" s="1238" t="n"/>
    </row>
    <row r="629" ht="15.75" customHeight="1" s="1349">
      <c r="C629" s="1273" t="n"/>
      <c r="D629" s="1273" t="n"/>
      <c r="E629" s="1273" t="n"/>
      <c r="F629" s="1273" t="n"/>
      <c r="G629" s="1273" t="n"/>
      <c r="H629" s="1273" t="n"/>
      <c r="I629" s="1273" t="n"/>
      <c r="J629" s="1238" t="n"/>
    </row>
    <row r="630" ht="15.75" customHeight="1" s="1349">
      <c r="C630" s="1273" t="n"/>
      <c r="D630" s="1273" t="n"/>
      <c r="E630" s="1273" t="n"/>
      <c r="F630" s="1273" t="n"/>
      <c r="G630" s="1273" t="n"/>
      <c r="H630" s="1273" t="n"/>
      <c r="I630" s="1273" t="n"/>
      <c r="J630" s="1238" t="n"/>
    </row>
    <row r="631" ht="15.75" customHeight="1" s="1349">
      <c r="C631" s="1273" t="n"/>
      <c r="D631" s="1273" t="n"/>
      <c r="E631" s="1273" t="n"/>
      <c r="F631" s="1273" t="n"/>
      <c r="G631" s="1273" t="n"/>
      <c r="H631" s="1273" t="n"/>
      <c r="I631" s="1273" t="n"/>
      <c r="J631" s="1238" t="n"/>
    </row>
    <row r="632" ht="15.75" customHeight="1" s="1349">
      <c r="C632" s="1273" t="n"/>
      <c r="D632" s="1273" t="n"/>
      <c r="E632" s="1273" t="n"/>
      <c r="F632" s="1273" t="n"/>
      <c r="G632" s="1273" t="n"/>
      <c r="H632" s="1273" t="n"/>
      <c r="I632" s="1273" t="n"/>
      <c r="J632" s="1238" t="n"/>
    </row>
    <row r="633" ht="15.75" customHeight="1" s="1349">
      <c r="C633" s="1273" t="n"/>
      <c r="D633" s="1273" t="n"/>
      <c r="E633" s="1273" t="n"/>
      <c r="F633" s="1273" t="n"/>
      <c r="G633" s="1273" t="n"/>
      <c r="H633" s="1273" t="n"/>
      <c r="I633" s="1273" t="n"/>
      <c r="J633" s="1238" t="n"/>
    </row>
    <row r="634" ht="15.75" customHeight="1" s="1349">
      <c r="C634" s="1273" t="n"/>
      <c r="D634" s="1273" t="n"/>
      <c r="E634" s="1273" t="n"/>
      <c r="F634" s="1273" t="n"/>
      <c r="G634" s="1273" t="n"/>
      <c r="H634" s="1273" t="n"/>
      <c r="I634" s="1273" t="n"/>
      <c r="J634" s="1238" t="n"/>
    </row>
    <row r="635" ht="15.75" customHeight="1" s="1349">
      <c r="C635" s="1273" t="n"/>
      <c r="D635" s="1273" t="n"/>
      <c r="E635" s="1273" t="n"/>
      <c r="F635" s="1273" t="n"/>
      <c r="G635" s="1273" t="n"/>
      <c r="H635" s="1273" t="n"/>
      <c r="I635" s="1273" t="n"/>
      <c r="J635" s="1238" t="n"/>
    </row>
    <row r="636" ht="15.75" customHeight="1" s="1349">
      <c r="C636" s="1273" t="n"/>
      <c r="D636" s="1273" t="n"/>
      <c r="E636" s="1273" t="n"/>
      <c r="F636" s="1273" t="n"/>
      <c r="G636" s="1273" t="n"/>
      <c r="H636" s="1273" t="n"/>
      <c r="I636" s="1273" t="n"/>
      <c r="J636" s="1238" t="n"/>
    </row>
    <row r="637" ht="15.75" customHeight="1" s="1349">
      <c r="C637" s="1273" t="n"/>
      <c r="D637" s="1273" t="n"/>
      <c r="E637" s="1273" t="n"/>
      <c r="F637" s="1273" t="n"/>
      <c r="G637" s="1273" t="n"/>
      <c r="H637" s="1273" t="n"/>
      <c r="I637" s="1273" t="n"/>
      <c r="J637" s="1238" t="n"/>
    </row>
    <row r="638" ht="15.75" customHeight="1" s="1349">
      <c r="C638" s="1273" t="n"/>
      <c r="D638" s="1273" t="n"/>
      <c r="E638" s="1273" t="n"/>
      <c r="F638" s="1273" t="n"/>
      <c r="G638" s="1273" t="n"/>
      <c r="H638" s="1273" t="n"/>
      <c r="I638" s="1273" t="n"/>
      <c r="J638" s="1238" t="n"/>
    </row>
    <row r="639" ht="15.75" customHeight="1" s="1349">
      <c r="C639" s="1273" t="n"/>
      <c r="D639" s="1273" t="n"/>
      <c r="E639" s="1273" t="n"/>
      <c r="F639" s="1273" t="n"/>
      <c r="G639" s="1273" t="n"/>
      <c r="H639" s="1273" t="n"/>
      <c r="I639" s="1273" t="n"/>
      <c r="J639" s="1238" t="n"/>
    </row>
    <row r="640" ht="15.75" customHeight="1" s="1349">
      <c r="C640" s="1273" t="n"/>
      <c r="D640" s="1273" t="n"/>
      <c r="E640" s="1273" t="n"/>
      <c r="F640" s="1273" t="n"/>
      <c r="G640" s="1273" t="n"/>
      <c r="H640" s="1273" t="n"/>
      <c r="I640" s="1273" t="n"/>
      <c r="J640" s="1238" t="n"/>
    </row>
    <row r="641" ht="15.75" customHeight="1" s="1349">
      <c r="C641" s="1273" t="n"/>
      <c r="D641" s="1273" t="n"/>
      <c r="E641" s="1273" t="n"/>
      <c r="F641" s="1273" t="n"/>
      <c r="G641" s="1273" t="n"/>
      <c r="H641" s="1273" t="n"/>
      <c r="I641" s="1273" t="n"/>
      <c r="J641" s="1238" t="n"/>
    </row>
    <row r="642" ht="15.75" customHeight="1" s="1349">
      <c r="C642" s="1273" t="n"/>
      <c r="D642" s="1273" t="n"/>
      <c r="E642" s="1273" t="n"/>
      <c r="F642" s="1273" t="n"/>
      <c r="G642" s="1273" t="n"/>
      <c r="H642" s="1273" t="n"/>
      <c r="I642" s="1273" t="n"/>
      <c r="J642" s="1238" t="n"/>
    </row>
    <row r="643" ht="15.75" customHeight="1" s="1349">
      <c r="C643" s="1273" t="n"/>
      <c r="D643" s="1273" t="n"/>
      <c r="E643" s="1273" t="n"/>
      <c r="F643" s="1273" t="n"/>
      <c r="G643" s="1273" t="n"/>
      <c r="H643" s="1273" t="n"/>
      <c r="I643" s="1273" t="n"/>
      <c r="J643" s="1238" t="n"/>
    </row>
    <row r="644" ht="15.75" customHeight="1" s="1349">
      <c r="C644" s="1273" t="n"/>
      <c r="D644" s="1273" t="n"/>
      <c r="E644" s="1273" t="n"/>
      <c r="F644" s="1273" t="n"/>
      <c r="G644" s="1273" t="n"/>
      <c r="H644" s="1273" t="n"/>
      <c r="I644" s="1273" t="n"/>
      <c r="J644" s="1238" t="n"/>
    </row>
    <row r="645" ht="15.75" customHeight="1" s="1349">
      <c r="C645" s="1273" t="n"/>
      <c r="D645" s="1273" t="n"/>
      <c r="E645" s="1273" t="n"/>
      <c r="F645" s="1273" t="n"/>
      <c r="G645" s="1273" t="n"/>
      <c r="H645" s="1273" t="n"/>
      <c r="I645" s="1273" t="n"/>
      <c r="J645" s="1238" t="n"/>
    </row>
    <row r="646" ht="15.75" customHeight="1" s="1349">
      <c r="C646" s="1273" t="n"/>
      <c r="D646" s="1273" t="n"/>
      <c r="E646" s="1273" t="n"/>
      <c r="F646" s="1273" t="n"/>
      <c r="G646" s="1273" t="n"/>
      <c r="H646" s="1273" t="n"/>
      <c r="I646" s="1273" t="n"/>
      <c r="J646" s="1238" t="n"/>
    </row>
    <row r="647" ht="15.75" customHeight="1" s="1349">
      <c r="C647" s="1273" t="n"/>
      <c r="D647" s="1273" t="n"/>
      <c r="E647" s="1273" t="n"/>
      <c r="F647" s="1273" t="n"/>
      <c r="G647" s="1273" t="n"/>
      <c r="H647" s="1273" t="n"/>
      <c r="I647" s="1273" t="n"/>
      <c r="J647" s="1238" t="n"/>
    </row>
    <row r="648" ht="15.75" customHeight="1" s="1349">
      <c r="C648" s="1273" t="n"/>
      <c r="D648" s="1273" t="n"/>
      <c r="E648" s="1273" t="n"/>
      <c r="F648" s="1273" t="n"/>
      <c r="G648" s="1273" t="n"/>
      <c r="H648" s="1273" t="n"/>
      <c r="I648" s="1273" t="n"/>
      <c r="J648" s="1238" t="n"/>
    </row>
    <row r="649" ht="15.75" customHeight="1" s="1349">
      <c r="C649" s="1273" t="n"/>
      <c r="D649" s="1273" t="n"/>
      <c r="E649" s="1273" t="n"/>
      <c r="F649" s="1273" t="n"/>
      <c r="G649" s="1273" t="n"/>
      <c r="H649" s="1273" t="n"/>
      <c r="I649" s="1273" t="n"/>
      <c r="J649" s="1238" t="n"/>
    </row>
    <row r="650" ht="15.75" customHeight="1" s="1349">
      <c r="C650" s="1273" t="n"/>
      <c r="D650" s="1273" t="n"/>
      <c r="E650" s="1273" t="n"/>
      <c r="F650" s="1273" t="n"/>
      <c r="G650" s="1273" t="n"/>
      <c r="H650" s="1273" t="n"/>
      <c r="I650" s="1273" t="n"/>
      <c r="J650" s="1238" t="n"/>
    </row>
    <row r="651" ht="15.75" customHeight="1" s="1349">
      <c r="C651" s="1273" t="n"/>
      <c r="D651" s="1273" t="n"/>
      <c r="E651" s="1273" t="n"/>
      <c r="F651" s="1273" t="n"/>
      <c r="G651" s="1273" t="n"/>
      <c r="H651" s="1273" t="n"/>
      <c r="I651" s="1273" t="n"/>
      <c r="J651" s="1238" t="n"/>
    </row>
    <row r="652" ht="15.75" customHeight="1" s="1349">
      <c r="C652" s="1273" t="n"/>
      <c r="D652" s="1273" t="n"/>
      <c r="E652" s="1273" t="n"/>
      <c r="F652" s="1273" t="n"/>
      <c r="G652" s="1273" t="n"/>
      <c r="H652" s="1273" t="n"/>
      <c r="I652" s="1273" t="n"/>
      <c r="J652" s="1238" t="n"/>
    </row>
    <row r="653" ht="15.75" customHeight="1" s="1349">
      <c r="C653" s="1273" t="n"/>
      <c r="D653" s="1273" t="n"/>
      <c r="E653" s="1273" t="n"/>
      <c r="F653" s="1273" t="n"/>
      <c r="G653" s="1273" t="n"/>
      <c r="H653" s="1273" t="n"/>
      <c r="I653" s="1273" t="n"/>
      <c r="J653" s="1238" t="n"/>
    </row>
    <row r="654" ht="15.75" customHeight="1" s="1349">
      <c r="C654" s="1273" t="n"/>
      <c r="D654" s="1273" t="n"/>
      <c r="E654" s="1273" t="n"/>
      <c r="F654" s="1273" t="n"/>
      <c r="G654" s="1273" t="n"/>
      <c r="H654" s="1273" t="n"/>
      <c r="I654" s="1273" t="n"/>
      <c r="J654" s="1238" t="n"/>
    </row>
    <row r="655" ht="15.75" customHeight="1" s="1349">
      <c r="C655" s="1273" t="n"/>
      <c r="D655" s="1273" t="n"/>
      <c r="E655" s="1273" t="n"/>
      <c r="F655" s="1273" t="n"/>
      <c r="G655" s="1273" t="n"/>
      <c r="H655" s="1273" t="n"/>
      <c r="I655" s="1273" t="n"/>
      <c r="J655" s="1238" t="n"/>
    </row>
    <row r="656" ht="15.75" customHeight="1" s="1349">
      <c r="C656" s="1273" t="n"/>
      <c r="D656" s="1273" t="n"/>
      <c r="E656" s="1273" t="n"/>
      <c r="F656" s="1273" t="n"/>
      <c r="G656" s="1273" t="n"/>
      <c r="H656" s="1273" t="n"/>
      <c r="I656" s="1273" t="n"/>
      <c r="J656" s="1238" t="n"/>
    </row>
    <row r="657" ht="15.75" customHeight="1" s="1349">
      <c r="C657" s="1273" t="n"/>
      <c r="D657" s="1273" t="n"/>
      <c r="E657" s="1273" t="n"/>
      <c r="F657" s="1273" t="n"/>
      <c r="G657" s="1273" t="n"/>
      <c r="H657" s="1273" t="n"/>
      <c r="I657" s="1273" t="n"/>
      <c r="J657" s="1238" t="n"/>
    </row>
    <row r="658" ht="15.75" customHeight="1" s="1349">
      <c r="C658" s="1273" t="n"/>
      <c r="D658" s="1273" t="n"/>
      <c r="E658" s="1273" t="n"/>
      <c r="F658" s="1273" t="n"/>
      <c r="G658" s="1273" t="n"/>
      <c r="H658" s="1273" t="n"/>
      <c r="I658" s="1273" t="n"/>
      <c r="J658" s="1238" t="n"/>
    </row>
    <row r="659" ht="15.75" customHeight="1" s="1349">
      <c r="C659" s="1273" t="n"/>
      <c r="D659" s="1273" t="n"/>
      <c r="E659" s="1273" t="n"/>
      <c r="F659" s="1273" t="n"/>
      <c r="G659" s="1273" t="n"/>
      <c r="H659" s="1273" t="n"/>
      <c r="I659" s="1273" t="n"/>
      <c r="J659" s="1238" t="n"/>
    </row>
    <row r="660" ht="15.75" customHeight="1" s="1349">
      <c r="C660" s="1273" t="n"/>
      <c r="D660" s="1273" t="n"/>
      <c r="E660" s="1273" t="n"/>
      <c r="F660" s="1273" t="n"/>
      <c r="G660" s="1273" t="n"/>
      <c r="H660" s="1273" t="n"/>
      <c r="I660" s="1273" t="n"/>
      <c r="J660" s="1238" t="n"/>
    </row>
    <row r="661" ht="15.75" customHeight="1" s="1349">
      <c r="C661" s="1273" t="n"/>
      <c r="D661" s="1273" t="n"/>
      <c r="E661" s="1273" t="n"/>
      <c r="F661" s="1273" t="n"/>
      <c r="G661" s="1273" t="n"/>
      <c r="H661" s="1273" t="n"/>
      <c r="I661" s="1273" t="n"/>
      <c r="J661" s="1238" t="n"/>
    </row>
    <row r="662" ht="15.75" customHeight="1" s="1349">
      <c r="C662" s="1273" t="n"/>
      <c r="D662" s="1273" t="n"/>
      <c r="E662" s="1273" t="n"/>
      <c r="F662" s="1273" t="n"/>
      <c r="G662" s="1273" t="n"/>
      <c r="H662" s="1273" t="n"/>
      <c r="I662" s="1273" t="n"/>
      <c r="J662" s="1238" t="n"/>
    </row>
    <row r="663" ht="15.75" customHeight="1" s="1349">
      <c r="C663" s="1273" t="n"/>
      <c r="D663" s="1273" t="n"/>
      <c r="E663" s="1273" t="n"/>
      <c r="F663" s="1273" t="n"/>
      <c r="G663" s="1273" t="n"/>
      <c r="H663" s="1273" t="n"/>
      <c r="I663" s="1273" t="n"/>
      <c r="J663" s="1238" t="n"/>
    </row>
    <row r="664" ht="15.75" customHeight="1" s="1349">
      <c r="C664" s="1273" t="n"/>
      <c r="D664" s="1273" t="n"/>
      <c r="E664" s="1273" t="n"/>
      <c r="F664" s="1273" t="n"/>
      <c r="G664" s="1273" t="n"/>
      <c r="H664" s="1273" t="n"/>
      <c r="I664" s="1273" t="n"/>
      <c r="J664" s="1238" t="n"/>
    </row>
    <row r="665" ht="15.75" customHeight="1" s="1349">
      <c r="C665" s="1273" t="n"/>
      <c r="D665" s="1273" t="n"/>
      <c r="E665" s="1273" t="n"/>
      <c r="F665" s="1273" t="n"/>
      <c r="G665" s="1273" t="n"/>
      <c r="H665" s="1273" t="n"/>
      <c r="I665" s="1273" t="n"/>
      <c r="J665" s="1238" t="n"/>
    </row>
    <row r="666" ht="15.75" customHeight="1" s="1349">
      <c r="C666" s="1273" t="n"/>
      <c r="D666" s="1273" t="n"/>
      <c r="E666" s="1273" t="n"/>
      <c r="F666" s="1273" t="n"/>
      <c r="G666" s="1273" t="n"/>
      <c r="H666" s="1273" t="n"/>
      <c r="I666" s="1273" t="n"/>
      <c r="J666" s="1238" t="n"/>
    </row>
    <row r="667" ht="15.75" customHeight="1" s="1349">
      <c r="C667" s="1273" t="n"/>
      <c r="D667" s="1273" t="n"/>
      <c r="E667" s="1273" t="n"/>
      <c r="F667" s="1273" t="n"/>
      <c r="G667" s="1273" t="n"/>
      <c r="H667" s="1273" t="n"/>
      <c r="I667" s="1273" t="n"/>
      <c r="J667" s="1238" t="n"/>
    </row>
    <row r="668" ht="15.75" customHeight="1" s="1349">
      <c r="C668" s="1273" t="n"/>
      <c r="D668" s="1273" t="n"/>
      <c r="E668" s="1273" t="n"/>
      <c r="F668" s="1273" t="n"/>
      <c r="G668" s="1273" t="n"/>
      <c r="H668" s="1273" t="n"/>
      <c r="I668" s="1273" t="n"/>
      <c r="J668" s="1238" t="n"/>
    </row>
    <row r="669" ht="15.75" customHeight="1" s="1349">
      <c r="C669" s="1273" t="n"/>
      <c r="D669" s="1273" t="n"/>
      <c r="E669" s="1273" t="n"/>
      <c r="F669" s="1273" t="n"/>
      <c r="G669" s="1273" t="n"/>
      <c r="H669" s="1273" t="n"/>
      <c r="I669" s="1273" t="n"/>
      <c r="J669" s="1238" t="n"/>
    </row>
    <row r="670" ht="15.75" customHeight="1" s="1349">
      <c r="C670" s="1273" t="n"/>
      <c r="D670" s="1273" t="n"/>
      <c r="E670" s="1273" t="n"/>
      <c r="F670" s="1273" t="n"/>
      <c r="G670" s="1273" t="n"/>
      <c r="H670" s="1273" t="n"/>
      <c r="I670" s="1273" t="n"/>
      <c r="J670" s="1238" t="n"/>
    </row>
    <row r="671" ht="15.75" customHeight="1" s="1349">
      <c r="C671" s="1273" t="n"/>
      <c r="D671" s="1273" t="n"/>
      <c r="E671" s="1273" t="n"/>
      <c r="F671" s="1273" t="n"/>
      <c r="G671" s="1273" t="n"/>
      <c r="H671" s="1273" t="n"/>
      <c r="I671" s="1273" t="n"/>
      <c r="J671" s="1238" t="n"/>
    </row>
    <row r="672" ht="15.75" customHeight="1" s="1349">
      <c r="C672" s="1273" t="n"/>
      <c r="D672" s="1273" t="n"/>
      <c r="E672" s="1273" t="n"/>
      <c r="F672" s="1273" t="n"/>
      <c r="G672" s="1273" t="n"/>
      <c r="H672" s="1273" t="n"/>
      <c r="I672" s="1273" t="n"/>
      <c r="J672" s="1238" t="n"/>
    </row>
    <row r="673" ht="15.75" customHeight="1" s="1349">
      <c r="C673" s="1273" t="n"/>
      <c r="D673" s="1273" t="n"/>
      <c r="E673" s="1273" t="n"/>
      <c r="F673" s="1273" t="n"/>
      <c r="G673" s="1273" t="n"/>
      <c r="H673" s="1273" t="n"/>
      <c r="I673" s="1273" t="n"/>
      <c r="J673" s="1238" t="n"/>
    </row>
    <row r="674" ht="15.75" customHeight="1" s="1349">
      <c r="C674" s="1273" t="n"/>
      <c r="D674" s="1273" t="n"/>
      <c r="E674" s="1273" t="n"/>
      <c r="F674" s="1273" t="n"/>
      <c r="G674" s="1273" t="n"/>
      <c r="H674" s="1273" t="n"/>
      <c r="I674" s="1273" t="n"/>
      <c r="J674" s="1238" t="n"/>
    </row>
    <row r="675" ht="15.75" customHeight="1" s="1349">
      <c r="C675" s="1273" t="n"/>
      <c r="D675" s="1273" t="n"/>
      <c r="E675" s="1273" t="n"/>
      <c r="F675" s="1273" t="n"/>
      <c r="G675" s="1273" t="n"/>
      <c r="H675" s="1273" t="n"/>
      <c r="I675" s="1273" t="n"/>
      <c r="J675" s="1238" t="n"/>
    </row>
    <row r="676" ht="15.75" customHeight="1" s="1349">
      <c r="C676" s="1273" t="n"/>
      <c r="D676" s="1273" t="n"/>
      <c r="E676" s="1273" t="n"/>
      <c r="F676" s="1273" t="n"/>
      <c r="G676" s="1273" t="n"/>
      <c r="H676" s="1273" t="n"/>
      <c r="I676" s="1273" t="n"/>
      <c r="J676" s="1238" t="n"/>
    </row>
    <row r="677" ht="15.75" customHeight="1" s="1349">
      <c r="C677" s="1273" t="n"/>
      <c r="D677" s="1273" t="n"/>
      <c r="E677" s="1273" t="n"/>
      <c r="F677" s="1273" t="n"/>
      <c r="G677" s="1273" t="n"/>
      <c r="H677" s="1273" t="n"/>
      <c r="I677" s="1273" t="n"/>
      <c r="J677" s="1238" t="n"/>
    </row>
    <row r="678" ht="15.75" customHeight="1" s="1349">
      <c r="C678" s="1273" t="n"/>
      <c r="D678" s="1273" t="n"/>
      <c r="E678" s="1273" t="n"/>
      <c r="F678" s="1273" t="n"/>
      <c r="G678" s="1273" t="n"/>
      <c r="H678" s="1273" t="n"/>
      <c r="I678" s="1273" t="n"/>
      <c r="J678" s="1238" t="n"/>
    </row>
    <row r="679" ht="15.75" customHeight="1" s="1349">
      <c r="C679" s="1273" t="n"/>
      <c r="D679" s="1273" t="n"/>
      <c r="E679" s="1273" t="n"/>
      <c r="F679" s="1273" t="n"/>
      <c r="G679" s="1273" t="n"/>
      <c r="H679" s="1273" t="n"/>
      <c r="I679" s="1273" t="n"/>
      <c r="J679" s="1238" t="n"/>
    </row>
    <row r="680" ht="15.75" customHeight="1" s="1349">
      <c r="C680" s="1273" t="n"/>
      <c r="D680" s="1273" t="n"/>
      <c r="E680" s="1273" t="n"/>
      <c r="F680" s="1273" t="n"/>
      <c r="G680" s="1273" t="n"/>
      <c r="H680" s="1273" t="n"/>
      <c r="I680" s="1273" t="n"/>
      <c r="J680" s="1238" t="n"/>
    </row>
    <row r="681" ht="15.75" customHeight="1" s="1349">
      <c r="C681" s="1273" t="n"/>
      <c r="D681" s="1273" t="n"/>
      <c r="E681" s="1273" t="n"/>
      <c r="F681" s="1273" t="n"/>
      <c r="G681" s="1273" t="n"/>
      <c r="H681" s="1273" t="n"/>
      <c r="I681" s="1273" t="n"/>
      <c r="J681" s="1238" t="n"/>
    </row>
    <row r="682" ht="15.75" customHeight="1" s="1349">
      <c r="C682" s="1273" t="n"/>
      <c r="D682" s="1273" t="n"/>
      <c r="E682" s="1273" t="n"/>
      <c r="F682" s="1273" t="n"/>
      <c r="G682" s="1273" t="n"/>
      <c r="H682" s="1273" t="n"/>
      <c r="I682" s="1273" t="n"/>
      <c r="J682" s="1238" t="n"/>
    </row>
    <row r="683" ht="15.75" customHeight="1" s="1349">
      <c r="C683" s="1273" t="n"/>
      <c r="D683" s="1273" t="n"/>
      <c r="E683" s="1273" t="n"/>
      <c r="F683" s="1273" t="n"/>
      <c r="G683" s="1273" t="n"/>
      <c r="H683" s="1273" t="n"/>
      <c r="I683" s="1273" t="n"/>
      <c r="J683" s="1238" t="n"/>
    </row>
    <row r="684" ht="15.75" customHeight="1" s="1349">
      <c r="C684" s="1273" t="n"/>
      <c r="D684" s="1273" t="n"/>
      <c r="E684" s="1273" t="n"/>
      <c r="F684" s="1273" t="n"/>
      <c r="G684" s="1273" t="n"/>
      <c r="H684" s="1273" t="n"/>
      <c r="I684" s="1273" t="n"/>
      <c r="J684" s="1238" t="n"/>
    </row>
    <row r="685" ht="15.75" customHeight="1" s="1349">
      <c r="C685" s="1273" t="n"/>
      <c r="D685" s="1273" t="n"/>
      <c r="E685" s="1273" t="n"/>
      <c r="F685" s="1273" t="n"/>
      <c r="G685" s="1273" t="n"/>
      <c r="H685" s="1273" t="n"/>
      <c r="I685" s="1273" t="n"/>
      <c r="J685" s="1238" t="n"/>
    </row>
    <row r="686" ht="15.75" customHeight="1" s="1349">
      <c r="C686" s="1273" t="n"/>
      <c r="D686" s="1273" t="n"/>
      <c r="E686" s="1273" t="n"/>
      <c r="F686" s="1273" t="n"/>
      <c r="G686" s="1273" t="n"/>
      <c r="H686" s="1273" t="n"/>
      <c r="I686" s="1273" t="n"/>
      <c r="J686" s="1238" t="n"/>
    </row>
    <row r="687" ht="15.75" customHeight="1" s="1349">
      <c r="C687" s="1273" t="n"/>
      <c r="D687" s="1273" t="n"/>
      <c r="E687" s="1273" t="n"/>
      <c r="F687" s="1273" t="n"/>
      <c r="G687" s="1273" t="n"/>
      <c r="H687" s="1273" t="n"/>
      <c r="I687" s="1273" t="n"/>
      <c r="J687" s="1238" t="n"/>
    </row>
    <row r="688" ht="15.75" customHeight="1" s="1349">
      <c r="C688" s="1273" t="n"/>
      <c r="D688" s="1273" t="n"/>
      <c r="E688" s="1273" t="n"/>
      <c r="F688" s="1273" t="n"/>
      <c r="G688" s="1273" t="n"/>
      <c r="H688" s="1273" t="n"/>
      <c r="I688" s="1273" t="n"/>
      <c r="J688" s="1238" t="n"/>
    </row>
    <row r="689" ht="15.75" customHeight="1" s="1349">
      <c r="C689" s="1273" t="n"/>
      <c r="D689" s="1273" t="n"/>
      <c r="E689" s="1273" t="n"/>
      <c r="F689" s="1273" t="n"/>
      <c r="G689" s="1273" t="n"/>
      <c r="H689" s="1273" t="n"/>
      <c r="I689" s="1273" t="n"/>
      <c r="J689" s="1238" t="n"/>
    </row>
    <row r="690" ht="15.75" customHeight="1" s="1349">
      <c r="C690" s="1273" t="n"/>
      <c r="D690" s="1273" t="n"/>
      <c r="E690" s="1273" t="n"/>
      <c r="F690" s="1273" t="n"/>
      <c r="G690" s="1273" t="n"/>
      <c r="H690" s="1273" t="n"/>
      <c r="I690" s="1273" t="n"/>
      <c r="J690" s="1238" t="n"/>
    </row>
    <row r="691" ht="15.75" customHeight="1" s="1349">
      <c r="C691" s="1273" t="n"/>
      <c r="D691" s="1273" t="n"/>
      <c r="E691" s="1273" t="n"/>
      <c r="F691" s="1273" t="n"/>
      <c r="G691" s="1273" t="n"/>
      <c r="H691" s="1273" t="n"/>
      <c r="I691" s="1273" t="n"/>
      <c r="J691" s="1238" t="n"/>
    </row>
    <row r="692" ht="15.75" customHeight="1" s="1349">
      <c r="C692" s="1273" t="n"/>
      <c r="D692" s="1273" t="n"/>
      <c r="E692" s="1273" t="n"/>
      <c r="F692" s="1273" t="n"/>
      <c r="G692" s="1273" t="n"/>
      <c r="H692" s="1273" t="n"/>
      <c r="I692" s="1273" t="n"/>
      <c r="J692" s="1238" t="n"/>
    </row>
    <row r="693" ht="15.75" customHeight="1" s="1349">
      <c r="C693" s="1273" t="n"/>
      <c r="D693" s="1273" t="n"/>
      <c r="E693" s="1273" t="n"/>
      <c r="F693" s="1273" t="n"/>
      <c r="G693" s="1273" t="n"/>
      <c r="H693" s="1273" t="n"/>
      <c r="I693" s="1273" t="n"/>
      <c r="J693" s="1238" t="n"/>
    </row>
    <row r="694" ht="15.75" customHeight="1" s="1349">
      <c r="C694" s="1273" t="n"/>
      <c r="D694" s="1273" t="n"/>
      <c r="E694" s="1273" t="n"/>
      <c r="F694" s="1273" t="n"/>
      <c r="G694" s="1273" t="n"/>
      <c r="H694" s="1273" t="n"/>
      <c r="I694" s="1273" t="n"/>
      <c r="J694" s="1238" t="n"/>
    </row>
    <row r="695" ht="15.75" customHeight="1" s="1349">
      <c r="C695" s="1273" t="n"/>
      <c r="D695" s="1273" t="n"/>
      <c r="E695" s="1273" t="n"/>
      <c r="F695" s="1273" t="n"/>
      <c r="G695" s="1273" t="n"/>
      <c r="H695" s="1273" t="n"/>
      <c r="I695" s="1273" t="n"/>
      <c r="J695" s="1238" t="n"/>
    </row>
    <row r="696" ht="15.75" customHeight="1" s="1349">
      <c r="C696" s="1273" t="n"/>
      <c r="D696" s="1273" t="n"/>
      <c r="E696" s="1273" t="n"/>
      <c r="F696" s="1273" t="n"/>
      <c r="G696" s="1273" t="n"/>
      <c r="H696" s="1273" t="n"/>
      <c r="I696" s="1273" t="n"/>
      <c r="J696" s="1238" t="n"/>
    </row>
    <row r="697" ht="15.75" customHeight="1" s="1349">
      <c r="C697" s="1273" t="n"/>
      <c r="D697" s="1273" t="n"/>
      <c r="E697" s="1273" t="n"/>
      <c r="F697" s="1273" t="n"/>
      <c r="G697" s="1273" t="n"/>
      <c r="H697" s="1273" t="n"/>
      <c r="I697" s="1273" t="n"/>
      <c r="J697" s="1238" t="n"/>
    </row>
    <row r="698" ht="15.75" customHeight="1" s="1349">
      <c r="C698" s="1273" t="n"/>
      <c r="D698" s="1273" t="n"/>
      <c r="E698" s="1273" t="n"/>
      <c r="F698" s="1273" t="n"/>
      <c r="G698" s="1273" t="n"/>
      <c r="H698" s="1273" t="n"/>
      <c r="I698" s="1273" t="n"/>
      <c r="J698" s="1238" t="n"/>
    </row>
    <row r="699" ht="15.75" customHeight="1" s="1349">
      <c r="C699" s="1273" t="n"/>
      <c r="D699" s="1273" t="n"/>
      <c r="E699" s="1273" t="n"/>
      <c r="F699" s="1273" t="n"/>
      <c r="G699" s="1273" t="n"/>
      <c r="H699" s="1273" t="n"/>
      <c r="I699" s="1273" t="n"/>
      <c r="J699" s="1238" t="n"/>
    </row>
    <row r="700" ht="15.75" customHeight="1" s="1349">
      <c r="C700" s="1273" t="n"/>
      <c r="D700" s="1273" t="n"/>
      <c r="E700" s="1273" t="n"/>
      <c r="F700" s="1273" t="n"/>
      <c r="G700" s="1273" t="n"/>
      <c r="H700" s="1273" t="n"/>
      <c r="I700" s="1273" t="n"/>
      <c r="J700" s="1238" t="n"/>
    </row>
    <row r="701" ht="15.75" customHeight="1" s="1349">
      <c r="C701" s="1273" t="n"/>
      <c r="D701" s="1273" t="n"/>
      <c r="E701" s="1273" t="n"/>
      <c r="F701" s="1273" t="n"/>
      <c r="G701" s="1273" t="n"/>
      <c r="H701" s="1273" t="n"/>
      <c r="I701" s="1273" t="n"/>
      <c r="J701" s="1238" t="n"/>
    </row>
    <row r="702" ht="15.75" customHeight="1" s="1349">
      <c r="C702" s="1273" t="n"/>
      <c r="D702" s="1273" t="n"/>
      <c r="E702" s="1273" t="n"/>
      <c r="F702" s="1273" t="n"/>
      <c r="G702" s="1273" t="n"/>
      <c r="H702" s="1273" t="n"/>
      <c r="I702" s="1273" t="n"/>
      <c r="J702" s="1238" t="n"/>
    </row>
    <row r="703" ht="15.75" customHeight="1" s="1349">
      <c r="C703" s="1273" t="n"/>
      <c r="D703" s="1273" t="n"/>
      <c r="E703" s="1273" t="n"/>
      <c r="F703" s="1273" t="n"/>
      <c r="G703" s="1273" t="n"/>
      <c r="H703" s="1273" t="n"/>
      <c r="I703" s="1273" t="n"/>
      <c r="J703" s="1238" t="n"/>
    </row>
    <row r="704" ht="15.75" customHeight="1" s="1349">
      <c r="C704" s="1273" t="n"/>
      <c r="D704" s="1273" t="n"/>
      <c r="E704" s="1273" t="n"/>
      <c r="F704" s="1273" t="n"/>
      <c r="G704" s="1273" t="n"/>
      <c r="H704" s="1273" t="n"/>
      <c r="I704" s="1273" t="n"/>
      <c r="J704" s="1238" t="n"/>
    </row>
    <row r="705" ht="15.75" customHeight="1" s="1349">
      <c r="C705" s="1273" t="n"/>
      <c r="D705" s="1273" t="n"/>
      <c r="E705" s="1273" t="n"/>
      <c r="F705" s="1273" t="n"/>
      <c r="G705" s="1273" t="n"/>
      <c r="H705" s="1273" t="n"/>
      <c r="I705" s="1273" t="n"/>
      <c r="J705" s="1238" t="n"/>
    </row>
    <row r="706" ht="15.75" customHeight="1" s="1349">
      <c r="C706" s="1273" t="n"/>
      <c r="D706" s="1273" t="n"/>
      <c r="E706" s="1273" t="n"/>
      <c r="F706" s="1273" t="n"/>
      <c r="G706" s="1273" t="n"/>
      <c r="H706" s="1273" t="n"/>
      <c r="I706" s="1273" t="n"/>
      <c r="J706" s="1238" t="n"/>
    </row>
    <row r="707" ht="15.75" customHeight="1" s="1349">
      <c r="C707" s="1273" t="n"/>
      <c r="D707" s="1273" t="n"/>
      <c r="E707" s="1273" t="n"/>
      <c r="F707" s="1273" t="n"/>
      <c r="G707" s="1273" t="n"/>
      <c r="H707" s="1273" t="n"/>
      <c r="I707" s="1273" t="n"/>
      <c r="J707" s="1238" t="n"/>
    </row>
    <row r="708" ht="15.75" customHeight="1" s="1349">
      <c r="C708" s="1273" t="n"/>
      <c r="D708" s="1273" t="n"/>
      <c r="E708" s="1273" t="n"/>
      <c r="F708" s="1273" t="n"/>
      <c r="G708" s="1273" t="n"/>
      <c r="H708" s="1273" t="n"/>
      <c r="I708" s="1273" t="n"/>
      <c r="J708" s="1238" t="n"/>
    </row>
    <row r="709" ht="15.75" customHeight="1" s="1349">
      <c r="C709" s="1273" t="n"/>
      <c r="D709" s="1273" t="n"/>
      <c r="E709" s="1273" t="n"/>
      <c r="F709" s="1273" t="n"/>
      <c r="G709" s="1273" t="n"/>
      <c r="H709" s="1273" t="n"/>
      <c r="I709" s="1273" t="n"/>
      <c r="J709" s="1238" t="n"/>
    </row>
    <row r="710" ht="15.75" customHeight="1" s="1349">
      <c r="C710" s="1273" t="n"/>
      <c r="D710" s="1273" t="n"/>
      <c r="E710" s="1273" t="n"/>
      <c r="F710" s="1273" t="n"/>
      <c r="G710" s="1273" t="n"/>
      <c r="H710" s="1273" t="n"/>
      <c r="I710" s="1273" t="n"/>
      <c r="J710" s="1238" t="n"/>
    </row>
    <row r="711" ht="15.75" customHeight="1" s="1349">
      <c r="C711" s="1273" t="n"/>
      <c r="D711" s="1273" t="n"/>
      <c r="E711" s="1273" t="n"/>
      <c r="F711" s="1273" t="n"/>
      <c r="G711" s="1273" t="n"/>
      <c r="H711" s="1273" t="n"/>
      <c r="I711" s="1273" t="n"/>
      <c r="J711" s="1238" t="n"/>
    </row>
    <row r="712" ht="15.75" customHeight="1" s="1349">
      <c r="C712" s="1273" t="n"/>
      <c r="D712" s="1273" t="n"/>
      <c r="E712" s="1273" t="n"/>
      <c r="F712" s="1273" t="n"/>
      <c r="G712" s="1273" t="n"/>
      <c r="H712" s="1273" t="n"/>
      <c r="I712" s="1273" t="n"/>
      <c r="J712" s="1238" t="n"/>
    </row>
    <row r="713" ht="15.75" customHeight="1" s="1349">
      <c r="C713" s="1273" t="n"/>
      <c r="D713" s="1273" t="n"/>
      <c r="E713" s="1273" t="n"/>
      <c r="F713" s="1273" t="n"/>
      <c r="G713" s="1273" t="n"/>
      <c r="H713" s="1273" t="n"/>
      <c r="I713" s="1273" t="n"/>
      <c r="J713" s="1238" t="n"/>
    </row>
    <row r="714" ht="15.75" customHeight="1" s="1349">
      <c r="C714" s="1273" t="n"/>
      <c r="D714" s="1273" t="n"/>
      <c r="E714" s="1273" t="n"/>
      <c r="F714" s="1273" t="n"/>
      <c r="G714" s="1273" t="n"/>
      <c r="H714" s="1273" t="n"/>
      <c r="I714" s="1273" t="n"/>
      <c r="J714" s="1238" t="n"/>
    </row>
    <row r="715" ht="15.75" customHeight="1" s="1349">
      <c r="C715" s="1273" t="n"/>
      <c r="D715" s="1273" t="n"/>
      <c r="E715" s="1273" t="n"/>
      <c r="F715" s="1273" t="n"/>
      <c r="G715" s="1273" t="n"/>
      <c r="H715" s="1273" t="n"/>
      <c r="I715" s="1273" t="n"/>
      <c r="J715" s="1238" t="n"/>
    </row>
    <row r="716" ht="15.75" customHeight="1" s="1349">
      <c r="C716" s="1273" t="n"/>
      <c r="D716" s="1273" t="n"/>
      <c r="E716" s="1273" t="n"/>
      <c r="F716" s="1273" t="n"/>
      <c r="G716" s="1273" t="n"/>
      <c r="H716" s="1273" t="n"/>
      <c r="I716" s="1273" t="n"/>
      <c r="J716" s="1238" t="n"/>
    </row>
    <row r="717" ht="15.75" customHeight="1" s="1349">
      <c r="C717" s="1273" t="n"/>
      <c r="D717" s="1273" t="n"/>
      <c r="E717" s="1273" t="n"/>
      <c r="F717" s="1273" t="n"/>
      <c r="G717" s="1273" t="n"/>
      <c r="H717" s="1273" t="n"/>
      <c r="I717" s="1273" t="n"/>
      <c r="J717" s="1238" t="n"/>
    </row>
    <row r="718" ht="15.75" customHeight="1" s="1349">
      <c r="C718" s="1273" t="n"/>
      <c r="D718" s="1273" t="n"/>
      <c r="E718" s="1273" t="n"/>
      <c r="F718" s="1273" t="n"/>
      <c r="G718" s="1273" t="n"/>
      <c r="H718" s="1273" t="n"/>
      <c r="I718" s="1273" t="n"/>
      <c r="J718" s="1238" t="n"/>
    </row>
    <row r="719" ht="15.75" customHeight="1" s="1349">
      <c r="C719" s="1273" t="n"/>
      <c r="D719" s="1273" t="n"/>
      <c r="E719" s="1273" t="n"/>
      <c r="F719" s="1273" t="n"/>
      <c r="G719" s="1273" t="n"/>
      <c r="H719" s="1273" t="n"/>
      <c r="I719" s="1273" t="n"/>
      <c r="J719" s="1238" t="n"/>
    </row>
    <row r="720" ht="15.75" customHeight="1" s="1349">
      <c r="C720" s="1273" t="n"/>
      <c r="D720" s="1273" t="n"/>
      <c r="E720" s="1273" t="n"/>
      <c r="F720" s="1273" t="n"/>
      <c r="G720" s="1273" t="n"/>
      <c r="H720" s="1273" t="n"/>
      <c r="I720" s="1273" t="n"/>
      <c r="J720" s="1238" t="n"/>
    </row>
    <row r="721" ht="15.75" customHeight="1" s="1349">
      <c r="C721" s="1273" t="n"/>
      <c r="D721" s="1273" t="n"/>
      <c r="E721" s="1273" t="n"/>
      <c r="F721" s="1273" t="n"/>
      <c r="G721" s="1273" t="n"/>
      <c r="H721" s="1273" t="n"/>
      <c r="I721" s="1273" t="n"/>
      <c r="J721" s="1238" t="n"/>
    </row>
    <row r="722" ht="15.75" customHeight="1" s="1349">
      <c r="C722" s="1273" t="n"/>
      <c r="D722" s="1273" t="n"/>
      <c r="E722" s="1273" t="n"/>
      <c r="F722" s="1273" t="n"/>
      <c r="G722" s="1273" t="n"/>
      <c r="H722" s="1273" t="n"/>
      <c r="I722" s="1273" t="n"/>
      <c r="J722" s="1238" t="n"/>
    </row>
    <row r="723" ht="15.75" customHeight="1" s="1349">
      <c r="C723" s="1273" t="n"/>
      <c r="D723" s="1273" t="n"/>
      <c r="E723" s="1273" t="n"/>
      <c r="F723" s="1273" t="n"/>
      <c r="G723" s="1273" t="n"/>
      <c r="H723" s="1273" t="n"/>
      <c r="I723" s="1273" t="n"/>
      <c r="J723" s="1238" t="n"/>
    </row>
    <row r="724" ht="15.75" customHeight="1" s="1349">
      <c r="C724" s="1273" t="n"/>
      <c r="D724" s="1273" t="n"/>
      <c r="E724" s="1273" t="n"/>
      <c r="F724" s="1273" t="n"/>
      <c r="G724" s="1273" t="n"/>
      <c r="H724" s="1273" t="n"/>
      <c r="I724" s="1273" t="n"/>
      <c r="J724" s="1238" t="n"/>
    </row>
    <row r="725" ht="15.75" customHeight="1" s="1349">
      <c r="C725" s="1273" t="n"/>
      <c r="D725" s="1273" t="n"/>
      <c r="E725" s="1273" t="n"/>
      <c r="F725" s="1273" t="n"/>
      <c r="G725" s="1273" t="n"/>
      <c r="H725" s="1273" t="n"/>
      <c r="I725" s="1273" t="n"/>
      <c r="J725" s="1238" t="n"/>
    </row>
    <row r="726" ht="15.75" customHeight="1" s="1349">
      <c r="C726" s="1273" t="n"/>
      <c r="D726" s="1273" t="n"/>
      <c r="E726" s="1273" t="n"/>
      <c r="F726" s="1273" t="n"/>
      <c r="G726" s="1273" t="n"/>
      <c r="H726" s="1273" t="n"/>
      <c r="I726" s="1273" t="n"/>
      <c r="J726" s="1238" t="n"/>
    </row>
    <row r="727" ht="15.75" customHeight="1" s="1349">
      <c r="C727" s="1273" t="n"/>
      <c r="D727" s="1273" t="n"/>
      <c r="E727" s="1273" t="n"/>
      <c r="F727" s="1273" t="n"/>
      <c r="G727" s="1273" t="n"/>
      <c r="H727" s="1273" t="n"/>
      <c r="I727" s="1273" t="n"/>
      <c r="J727" s="1238" t="n"/>
    </row>
    <row r="728" ht="15.75" customHeight="1" s="1349">
      <c r="C728" s="1273" t="n"/>
      <c r="D728" s="1273" t="n"/>
      <c r="E728" s="1273" t="n"/>
      <c r="F728" s="1273" t="n"/>
      <c r="G728" s="1273" t="n"/>
      <c r="H728" s="1273" t="n"/>
      <c r="I728" s="1273" t="n"/>
      <c r="J728" s="1238" t="n"/>
    </row>
    <row r="729" ht="15.75" customHeight="1" s="1349">
      <c r="C729" s="1273" t="n"/>
      <c r="D729" s="1273" t="n"/>
      <c r="E729" s="1273" t="n"/>
      <c r="F729" s="1273" t="n"/>
      <c r="G729" s="1273" t="n"/>
      <c r="H729" s="1273" t="n"/>
      <c r="I729" s="1273" t="n"/>
      <c r="J729" s="1238" t="n"/>
    </row>
    <row r="730" ht="15.75" customHeight="1" s="1349">
      <c r="C730" s="1273" t="n"/>
      <c r="D730" s="1273" t="n"/>
      <c r="E730" s="1273" t="n"/>
      <c r="F730" s="1273" t="n"/>
      <c r="G730" s="1273" t="n"/>
      <c r="H730" s="1273" t="n"/>
      <c r="I730" s="1273" t="n"/>
      <c r="J730" s="1238" t="n"/>
    </row>
    <row r="731" ht="15.75" customHeight="1" s="1349">
      <c r="C731" s="1273" t="n"/>
      <c r="D731" s="1273" t="n"/>
      <c r="E731" s="1273" t="n"/>
      <c r="F731" s="1273" t="n"/>
      <c r="G731" s="1273" t="n"/>
      <c r="H731" s="1273" t="n"/>
      <c r="I731" s="1273" t="n"/>
      <c r="J731" s="1238" t="n"/>
    </row>
    <row r="732" ht="15.75" customHeight="1" s="1349">
      <c r="C732" s="1273" t="n"/>
      <c r="D732" s="1273" t="n"/>
      <c r="E732" s="1273" t="n"/>
      <c r="F732" s="1273" t="n"/>
      <c r="G732" s="1273" t="n"/>
      <c r="H732" s="1273" t="n"/>
      <c r="I732" s="1273" t="n"/>
      <c r="J732" s="1238" t="n"/>
    </row>
    <row r="733" ht="15.75" customHeight="1" s="1349">
      <c r="C733" s="1273" t="n"/>
      <c r="D733" s="1273" t="n"/>
      <c r="E733" s="1273" t="n"/>
      <c r="F733" s="1273" t="n"/>
      <c r="G733" s="1273" t="n"/>
      <c r="H733" s="1273" t="n"/>
      <c r="I733" s="1273" t="n"/>
      <c r="J733" s="1238" t="n"/>
    </row>
    <row r="734" ht="15.75" customHeight="1" s="1349">
      <c r="C734" s="1273" t="n"/>
      <c r="D734" s="1273" t="n"/>
      <c r="E734" s="1273" t="n"/>
      <c r="F734" s="1273" t="n"/>
      <c r="G734" s="1273" t="n"/>
      <c r="H734" s="1273" t="n"/>
      <c r="I734" s="1273" t="n"/>
      <c r="J734" s="1238" t="n"/>
    </row>
    <row r="735" ht="15.75" customHeight="1" s="1349">
      <c r="C735" s="1273" t="n"/>
      <c r="D735" s="1273" t="n"/>
      <c r="E735" s="1273" t="n"/>
      <c r="F735" s="1273" t="n"/>
      <c r="G735" s="1273" t="n"/>
      <c r="H735" s="1273" t="n"/>
      <c r="I735" s="1273" t="n"/>
      <c r="J735" s="1238" t="n"/>
    </row>
    <row r="736" ht="15.75" customHeight="1" s="1349">
      <c r="C736" s="1273" t="n"/>
      <c r="D736" s="1273" t="n"/>
      <c r="E736" s="1273" t="n"/>
      <c r="F736" s="1273" t="n"/>
      <c r="G736" s="1273" t="n"/>
      <c r="H736" s="1273" t="n"/>
      <c r="I736" s="1273" t="n"/>
      <c r="J736" s="1238" t="n"/>
    </row>
    <row r="737" ht="15.75" customHeight="1" s="1349">
      <c r="C737" s="1273" t="n"/>
      <c r="D737" s="1273" t="n"/>
      <c r="E737" s="1273" t="n"/>
      <c r="F737" s="1273" t="n"/>
      <c r="G737" s="1273" t="n"/>
      <c r="H737" s="1273" t="n"/>
      <c r="I737" s="1273" t="n"/>
      <c r="J737" s="1238" t="n"/>
    </row>
    <row r="738" ht="15.75" customHeight="1" s="1349">
      <c r="C738" s="1273" t="n"/>
      <c r="D738" s="1273" t="n"/>
      <c r="E738" s="1273" t="n"/>
      <c r="F738" s="1273" t="n"/>
      <c r="G738" s="1273" t="n"/>
      <c r="H738" s="1273" t="n"/>
      <c r="I738" s="1273" t="n"/>
      <c r="J738" s="1238" t="n"/>
    </row>
  </sheetData>
  <mergeCells count="1">
    <mergeCell ref="A1:G1"/>
  </mergeCells>
  <conditionalFormatting sqref="C18">
    <cfRule type="expression" priority="1" dxfId="9">
      <formula>$R18="Estoque encalhado"</formula>
    </cfRule>
    <cfRule type="expression" priority="2" dxfId="8">
      <formula>$R18="Sem Estoque"</formula>
    </cfRule>
  </conditionalFormatting>
  <conditionalFormatting sqref="A11:A20 B12:B20 C11:C20">
    <cfRule type="expression" priority="3" dxfId="8">
      <formula>$Q11="Sem Estoque"</formula>
    </cfRule>
    <cfRule type="expression" priority="4" dxfId="9">
      <formula>$Q11="Estoque encalhado"</formula>
    </cfRule>
  </conditionalFormatting>
  <conditionalFormatting sqref="A8:C20">
    <cfRule type="expression" priority="5" dxfId="5">
      <formula>$R8="sem estoque"</formula>
    </cfRule>
  </conditionalFormatting>
  <conditionalFormatting sqref="A5:C20">
    <cfRule type="expression" priority="6" dxfId="5">
      <formula>$S5="sem estoque"</formula>
    </cfRule>
  </conditionalFormatting>
  <conditionalFormatting sqref="A4:C20">
    <cfRule type="expression" priority="7" dxfId="5">
      <formula>$T4="sem estoque"</formula>
    </cfRule>
  </conditionalFormatting>
  <dataValidations count="2">
    <dataValidation sqref="J3:J20" showDropDown="0" showInputMessage="0" showErrorMessage="0" allowBlank="1" type="list">
      <formula1>"C,B"</formula1>
    </dataValidation>
    <dataValidation sqref="E3:E20 G3:H20" showDropDown="1" showInputMessage="0" showErrorMessage="0" allowBlank="1" type="custom">
      <formula1>AND(ISNUMBER(E3),(NOT(OR(NOT(ISERROR(DATEVALUE(E3))), AND(ISNUMBER(E3), LEFT(CELL("format", E3))="D")))))</formula1>
    </dataValidation>
  </dataValidation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511811024" right="0.511811024" top="0.787401575" bottom="0.787401575" header="0" footer="0"/>
  <pageSetup orientation="landscape"/>
  <tableParts count="1">
    <tablePart xmlns:r="http://schemas.openxmlformats.org/officeDocument/2006/relationships" r:id="rId8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9.33" customWidth="1" style="1349" min="1" max="1"/>
    <col width="11.33" customWidth="1" style="1349" min="2" max="2"/>
    <col width="18.67" customWidth="1" style="1349" min="3" max="3"/>
    <col width="16" customWidth="1" style="1349" min="4" max="4"/>
    <col width="10.56" customWidth="1" style="1349" min="5" max="5"/>
    <col width="13.89" customWidth="1" style="1349" min="6" max="6"/>
    <col width="13.22" customWidth="1" style="1349" min="7" max="7"/>
    <col width="13.56" customWidth="1" style="1349" min="8" max="8"/>
    <col width="12.44" customWidth="1" style="1349" min="9" max="9"/>
    <col width="8.890000000000001" customWidth="1" style="1349" min="10" max="10"/>
    <col width="10" customWidth="1" style="1349" min="11" max="11"/>
    <col width="10.44" customWidth="1" style="1349" min="12" max="12"/>
    <col width="12.33" customWidth="1" style="1349" min="13" max="13"/>
    <col width="10" customWidth="1" style="1349" min="14" max="14"/>
    <col width="8.890000000000001" customWidth="1" style="1349" min="15" max="15"/>
    <col width="14.22" customWidth="1" style="1349" min="16" max="16"/>
    <col width="10.67" customWidth="1" style="1349" min="17" max="17"/>
    <col width="12.33" customWidth="1" style="1349" min="18" max="18"/>
    <col width="12.89" customWidth="1" style="1349" min="19" max="19"/>
    <col width="10.67" customWidth="1" style="1349" min="20" max="20"/>
    <col width="11.56" customWidth="1" style="1349" min="21" max="21"/>
    <col width="22.67" customWidth="1" style="1349" min="22" max="22"/>
    <col width="23.33" customWidth="1" style="1349" min="23" max="23"/>
    <col width="20.89" customWidth="1" style="1349" min="24" max="24"/>
    <col width="14" customWidth="1" style="1349" min="25" max="25"/>
    <col width="11" customWidth="1" style="1349" min="26" max="35"/>
  </cols>
  <sheetData>
    <row r="1" ht="15.75" customHeight="1" s="1349">
      <c r="A1" s="1274" t="inlineStr">
        <is>
          <t>SKU</t>
        </is>
      </c>
      <c r="B1" s="1275" t="inlineStr">
        <is>
          <t>Categoria</t>
        </is>
      </c>
      <c r="C1" s="1274" t="inlineStr">
        <is>
          <t>itens</t>
        </is>
      </c>
      <c r="D1" s="1274" t="inlineStr">
        <is>
          <t>Comissão (6%) - SITE</t>
        </is>
      </c>
      <c r="E1" s="1274" t="inlineStr">
        <is>
          <t>Cupom/promoção</t>
        </is>
      </c>
      <c r="F1" s="1274" t="inlineStr">
        <is>
          <t>Cupom 5%</t>
        </is>
      </c>
      <c r="G1" s="1276" t="inlineStr">
        <is>
          <t>Preço Final</t>
        </is>
      </c>
      <c r="H1" s="1277" t="inlineStr">
        <is>
          <t>Frete</t>
        </is>
      </c>
      <c r="I1" s="1274" t="inlineStr">
        <is>
          <t>AFILIADOS(%)</t>
        </is>
      </c>
      <c r="J1" s="1274" t="inlineStr">
        <is>
          <t>AFILIADO</t>
        </is>
      </c>
      <c r="K1" s="1274" t="inlineStr">
        <is>
          <t>ICMS (18%)</t>
        </is>
      </c>
      <c r="L1" s="1274" t="inlineStr">
        <is>
          <t>PIS (1,65%)</t>
        </is>
      </c>
      <c r="M1" s="1277" t="inlineStr">
        <is>
          <t>COFINS (7,6%)</t>
        </is>
      </c>
      <c r="N1" s="1274" t="inlineStr">
        <is>
          <t>Imposto Recuperável'</t>
        </is>
      </c>
      <c r="O1" s="1278" t="inlineStr">
        <is>
          <t>CUSTO</t>
        </is>
      </c>
      <c r="P1" s="1279" t="inlineStr">
        <is>
          <t>Lucro Líquido (Valor)</t>
        </is>
      </c>
      <c r="Q1" s="1274" t="inlineStr">
        <is>
          <t>Lucro S/ afiliados</t>
        </is>
      </c>
      <c r="R1" s="1277" t="inlineStr">
        <is>
          <t>Lucro AFiliados(%)</t>
        </is>
      </c>
      <c r="S1" s="1280" t="inlineStr">
        <is>
          <t>Envio</t>
        </is>
      </c>
      <c r="T1" s="1281" t="inlineStr">
        <is>
          <t>obs</t>
        </is>
      </c>
      <c r="U1" s="1282" t="inlineStr">
        <is>
          <t>vendas</t>
        </is>
      </c>
      <c r="V1" s="1283" t="inlineStr">
        <is>
          <t>Promoção Ativa</t>
        </is>
      </c>
      <c r="W1" s="753" t="n"/>
    </row>
    <row r="2" ht="15.75" customHeight="1" s="1349">
      <c r="A2" s="1265" t="inlineStr">
        <is>
          <t>10034034167499</t>
        </is>
      </c>
      <c r="B2" s="1292" t="inlineStr">
        <is>
          <t>ÂNCORA</t>
        </is>
      </c>
      <c r="C2" s="1310" t="inlineStr">
        <is>
          <t>Pino Liso Ação Indireta 1/4x28</t>
        </is>
      </c>
      <c r="D2" s="1285">
        <f>IF(G2&lt;50,(G2*10%)+4,(G2*6%)+6)</f>
        <v/>
      </c>
      <c r="E2" s="1286">
        <f>G2+F2</f>
        <v/>
      </c>
      <c r="F2" s="1285">
        <f>G2*0.05</f>
        <v/>
      </c>
      <c r="G2" s="1287" t="n">
        <v>32.15</v>
      </c>
      <c r="H2" s="1288">
        <f>G2*6%</f>
        <v/>
      </c>
      <c r="I2" s="1289" t="n">
        <v>0.1</v>
      </c>
      <c r="J2" s="1290">
        <f>G2*I2</f>
        <v/>
      </c>
      <c r="K2" s="1291">
        <f>G2*18%</f>
        <v/>
      </c>
      <c r="L2" s="1291">
        <f>(G2-K2)*1.65%-(D2*1.65%)</f>
        <v/>
      </c>
      <c r="M2" s="1291">
        <f>(G2-K2)*7.6%-(D2*7.6%)</f>
        <v/>
      </c>
      <c r="N2" s="1097" t="n">
        <v>1.73</v>
      </c>
      <c r="O2" s="1297" t="n">
        <v>14.27</v>
      </c>
      <c r="P2" s="447">
        <f>G2 - (D2+H2+J2+K2+L2+M2+O2) + (N2)</f>
        <v/>
      </c>
      <c r="Q2" s="328">
        <f>(G2 - (D2+H2+K2+L2+M2+O2) + (N2)) / G2</f>
        <v/>
      </c>
      <c r="R2" s="328">
        <f>P2/G2</f>
        <v/>
      </c>
      <c r="S2" s="904" t="inlineStr">
        <is>
          <t>Ativo</t>
        </is>
      </c>
      <c r="T2" s="651" t="n"/>
      <c r="U2" s="569" t="n"/>
      <c r="V2" s="1292" t="n"/>
      <c r="W2" s="1293" t="n"/>
    </row>
    <row r="3" ht="15.75" customHeight="1" s="1349">
      <c r="A3" s="1292" t="inlineStr">
        <is>
          <t>10034034166460</t>
        </is>
      </c>
      <c r="B3" s="904" t="inlineStr">
        <is>
          <t>VOLK</t>
        </is>
      </c>
      <c r="C3" s="904" t="inlineStr">
        <is>
          <t>Luva Orange Smart Palma Vulcanizada Fibras Sintéticas 2 Prs</t>
        </is>
      </c>
      <c r="D3" s="1285">
        <f>IF(G3&lt;50,(G3*10%)+4,(G3*6%)+6)</f>
        <v/>
      </c>
      <c r="E3" s="1286">
        <f>G3+F3</f>
        <v/>
      </c>
      <c r="F3" s="1285">
        <f>G3*0.05</f>
        <v/>
      </c>
      <c r="G3" s="1294" t="n">
        <v>17.2</v>
      </c>
      <c r="H3" s="1288">
        <f>G3*6%</f>
        <v/>
      </c>
      <c r="I3" s="1289" t="n">
        <v>0.1</v>
      </c>
      <c r="J3" s="1290">
        <f>G3*I3</f>
        <v/>
      </c>
      <c r="K3" s="1291">
        <f>G3*18%</f>
        <v/>
      </c>
      <c r="L3" s="1291">
        <f>(G3-K3)*1.65%-(D3*1.65%)</f>
        <v/>
      </c>
      <c r="M3" s="1291">
        <f>(G3-K3)*7.6%-(D3*7.6%)</f>
        <v/>
      </c>
      <c r="N3" s="1097" t="n">
        <v>0.62</v>
      </c>
      <c r="O3" s="1320" t="n">
        <v>4.78</v>
      </c>
      <c r="P3" s="447">
        <f>G3 - (D3+H3+J3+K3+L3+M3+O3) + (N3)</f>
        <v/>
      </c>
      <c r="Q3" s="328">
        <f>(G3 - (D3+H3+K3+L3+M3+O3) + (N3)) / G3</f>
        <v/>
      </c>
      <c r="R3" s="328">
        <f>P3/G3</f>
        <v/>
      </c>
      <c r="S3" s="1206" t="n"/>
      <c r="T3" s="904" t="n"/>
      <c r="U3" s="569" t="n"/>
      <c r="V3" s="1317" t="n"/>
    </row>
    <row r="4" ht="15.75" customHeight="1" s="1349">
      <c r="A4" s="1292" t="inlineStr">
        <is>
          <t>16</t>
        </is>
      </c>
      <c r="B4" s="904" t="inlineStr">
        <is>
          <t>VOLK</t>
        </is>
      </c>
      <c r="C4" s="904" t="inlineStr">
        <is>
          <t>Bicolor</t>
        </is>
      </c>
      <c r="D4" s="1285">
        <f>IF(G4&lt;50,(G4*10%)+4,(G4*6%)+6)</f>
        <v/>
      </c>
      <c r="E4" s="1286">
        <f>G4+F4</f>
        <v/>
      </c>
      <c r="F4" s="1285">
        <f>G4*0.05</f>
        <v/>
      </c>
      <c r="G4" s="1294" t="n">
        <v>16.99</v>
      </c>
      <c r="H4" s="1288">
        <f>G4*6%</f>
        <v/>
      </c>
      <c r="I4" s="1289" t="n">
        <v>0.1</v>
      </c>
      <c r="J4" s="1290">
        <f>G4*I4</f>
        <v/>
      </c>
      <c r="K4" s="1291">
        <f>G4*18%</f>
        <v/>
      </c>
      <c r="L4" s="1291">
        <f>(G4-K4)*1.65%-(D4*1.65%)</f>
        <v/>
      </c>
      <c r="M4" s="1291">
        <f>(G4-K4)*7.6%-(D4*7.6%)</f>
        <v/>
      </c>
      <c r="N4" s="1097" t="n">
        <v>0.62</v>
      </c>
      <c r="O4" s="1320" t="n">
        <v>5.3</v>
      </c>
      <c r="P4" s="447">
        <f>G4 - (D4+H4+J4+K4+L4+M4+O4) + (N4)</f>
        <v/>
      </c>
      <c r="Q4" s="328">
        <f>(G4 - (D4+H4+K4+L4+M4+O4) + (N4)) / G4</f>
        <v/>
      </c>
      <c r="R4" s="328">
        <f>P4/G4</f>
        <v/>
      </c>
      <c r="S4" s="1206" t="n"/>
      <c r="T4" s="904" t="n"/>
      <c r="U4" s="569" t="n"/>
      <c r="V4" s="1317" t="n"/>
    </row>
    <row r="5" ht="15.75" customHeight="1" s="1349">
      <c r="A5" s="1292" t="inlineStr">
        <is>
          <t>800200C</t>
        </is>
      </c>
      <c r="B5" s="904" t="inlineStr">
        <is>
          <t>Camper</t>
        </is>
      </c>
      <c r="C5" s="904" t="inlineStr">
        <is>
          <t>abafador c200</t>
        </is>
      </c>
      <c r="D5" s="1285">
        <f>IF(G5&lt;50,(G5*10%)+4,(G5*6%)+6)</f>
        <v/>
      </c>
      <c r="E5" s="1286">
        <f>G5+F5</f>
        <v/>
      </c>
      <c r="F5" s="1285">
        <f>G5*0.05</f>
        <v/>
      </c>
      <c r="G5" s="1296" t="n">
        <v>29.9</v>
      </c>
      <c r="H5" s="1288">
        <f>G5*6%</f>
        <v/>
      </c>
      <c r="I5" s="1289" t="n">
        <v>0.1</v>
      </c>
      <c r="J5" s="1290">
        <f>G5*I5</f>
        <v/>
      </c>
      <c r="K5" s="1291">
        <f>G5*18%</f>
        <v/>
      </c>
      <c r="L5" s="1291">
        <f>(G5-K5)*1.65%-(D5*1.65%)</f>
        <v/>
      </c>
      <c r="M5" s="1291">
        <f>(G5-K5)*7.6%-(D5*7.6%)</f>
        <v/>
      </c>
      <c r="N5" s="1097" t="n">
        <v>2.76</v>
      </c>
      <c r="O5" s="1320" t="n">
        <v>15.03</v>
      </c>
      <c r="P5" s="447">
        <f>G5 - (D5+H5+J5+K5+L5+M5+O5) + (N5)</f>
        <v/>
      </c>
      <c r="Q5" s="328">
        <f>(G5 - (D5+H5+K5+L5+M5+O5) + (N5)) / G5</f>
        <v/>
      </c>
      <c r="R5" s="328">
        <f>P5/G5</f>
        <v/>
      </c>
      <c r="S5" s="1206" t="n"/>
      <c r="T5" s="904" t="n"/>
      <c r="U5" s="569" t="n"/>
      <c r="V5" s="1317" t="n"/>
    </row>
    <row r="6" ht="15.75" customHeight="1" s="1349">
      <c r="A6" s="1292" t="inlineStr">
        <is>
          <t>912288</t>
        </is>
      </c>
      <c r="B6" s="904" t="inlineStr">
        <is>
          <t>Delta plus</t>
        </is>
      </c>
      <c r="C6" s="904" t="inlineStr">
        <is>
          <t>Bota Velcro Botina Nobuck Couro Velcro</t>
        </is>
      </c>
      <c r="D6" s="1285">
        <f>IF(G6&lt;50,(G6*10%)+4,(G6*6%)+6)</f>
        <v/>
      </c>
      <c r="E6" s="1286">
        <f>G6+F6</f>
        <v/>
      </c>
      <c r="F6" s="1285">
        <f>G6*0.05</f>
        <v/>
      </c>
      <c r="G6" s="1294" t="n">
        <v>185</v>
      </c>
      <c r="H6" s="1288">
        <f>G6*6%</f>
        <v/>
      </c>
      <c r="I6" s="1289" t="n">
        <v>0.115</v>
      </c>
      <c r="J6" s="1290">
        <f>G6*I6</f>
        <v/>
      </c>
      <c r="K6" s="1291">
        <f>G6*18%</f>
        <v/>
      </c>
      <c r="L6" s="1291">
        <f>(G6-K6)*1.65%-(D6*1.65%)</f>
        <v/>
      </c>
      <c r="M6" s="1291">
        <f>(G6-K6)*7.6%-(D6*7.6%)</f>
        <v/>
      </c>
      <c r="N6" s="1097" t="n">
        <v>21.64</v>
      </c>
      <c r="O6" s="1297" t="n">
        <v>107.47</v>
      </c>
      <c r="P6" s="447">
        <f>G6 - (D6+H6+J6+K6+L6+M6+O6) + (N6)</f>
        <v/>
      </c>
      <c r="Q6" s="328">
        <f>(G6 - (D6+H6+K6+L6+M6+O6) + (N6)) / G6</f>
        <v/>
      </c>
      <c r="R6" s="328">
        <f>P6/G6</f>
        <v/>
      </c>
      <c r="S6" s="1206" t="n"/>
      <c r="T6" s="904" t="n"/>
      <c r="U6" s="569" t="n"/>
      <c r="V6" s="1317" t="n"/>
    </row>
    <row r="7" ht="15.75" customHeight="1" s="1349">
      <c r="A7" s="1292" t="inlineStr">
        <is>
          <t>10034034168305</t>
        </is>
      </c>
      <c r="B7" s="904" t="inlineStr">
        <is>
          <t>Bracol</t>
        </is>
      </c>
      <c r="C7" s="904" t="inlineStr">
        <is>
          <t xml:space="preserve">Dubai </t>
        </is>
      </c>
      <c r="D7" s="1285">
        <f>IF(G7&lt;50,(G7*10%)+4,(G7*6%)+6)</f>
        <v/>
      </c>
      <c r="E7" s="1286">
        <f>G7+F7</f>
        <v/>
      </c>
      <c r="F7" s="1285">
        <f>G7*0.05</f>
        <v/>
      </c>
      <c r="G7" s="1294" t="n">
        <v>154.2</v>
      </c>
      <c r="H7" s="1288">
        <f>G7*6%</f>
        <v/>
      </c>
      <c r="I7" s="1289" t="n">
        <v>0.1</v>
      </c>
      <c r="J7" s="1290">
        <f>G7*I7</f>
        <v/>
      </c>
      <c r="K7" s="1291">
        <f>G7*18%</f>
        <v/>
      </c>
      <c r="L7" s="1291">
        <f>(G7-K7)*1.65%-(D7*1.65%)</f>
        <v/>
      </c>
      <c r="M7" s="1291">
        <f>(G7-K7)*7.6%-(D7*7.6%)</f>
        <v/>
      </c>
      <c r="N7" s="1097" t="n">
        <v>18.76</v>
      </c>
      <c r="O7" s="1320" t="n">
        <v>93.16</v>
      </c>
      <c r="P7" s="447">
        <f>G7 - (D7+H7+J7+K7+L7+M7+O7) + (N7)</f>
        <v/>
      </c>
      <c r="Q7" s="328">
        <f>(G7 - (D7+H7+K7+L7+M7+O7) + (N7)) / G7</f>
        <v/>
      </c>
      <c r="R7" s="328">
        <f>P7/G7</f>
        <v/>
      </c>
      <c r="S7" s="1206" t="n"/>
      <c r="T7" s="904" t="n"/>
      <c r="U7" s="569" t="n"/>
      <c r="V7" s="1317" t="n"/>
    </row>
    <row r="8" ht="15.75" customHeight="1" s="1349">
      <c r="A8" s="1292" t="inlineStr">
        <is>
          <t>335</t>
        </is>
      </c>
      <c r="B8" s="904" t="inlineStr">
        <is>
          <t>VOLK</t>
        </is>
      </c>
      <c r="C8" s="904" t="inlineStr">
        <is>
          <t>luva ranhurada rosa/bege</t>
        </is>
      </c>
      <c r="D8" s="1285">
        <f>IF(G8&lt;50,(G8*10%)+4,(G8*6%)+6)</f>
        <v/>
      </c>
      <c r="E8" s="1286">
        <f>G8+F8</f>
        <v/>
      </c>
      <c r="F8" s="1285">
        <f>G8*0.05</f>
        <v/>
      </c>
      <c r="G8" s="1294" t="n">
        <v>20.69</v>
      </c>
      <c r="H8" s="1288">
        <f>G8*6%</f>
        <v/>
      </c>
      <c r="I8" s="1289" t="n">
        <v>0.095</v>
      </c>
      <c r="J8" s="1290">
        <f>G8*I8</f>
        <v/>
      </c>
      <c r="K8" s="1291">
        <f>G8*18%</f>
        <v/>
      </c>
      <c r="L8" s="1291">
        <f>(G8-K8)*1.65%-(D8*1.65%)</f>
        <v/>
      </c>
      <c r="M8" s="1291">
        <f>(G8-K8)*7.6%-(D8*7.6%)</f>
        <v/>
      </c>
      <c r="N8" s="1097" t="n">
        <v>0.77</v>
      </c>
      <c r="O8" s="1320" t="n">
        <v>5.98</v>
      </c>
      <c r="P8" s="447">
        <f>G8 - (D8+H8+J8+K8+L8+M8+O8) + (N8)</f>
        <v/>
      </c>
      <c r="Q8" s="328">
        <f>(G8 - (D8+H8+K8+L8+M8+O8) + (N8)) / G8</f>
        <v/>
      </c>
      <c r="R8" s="328">
        <f>P8/G8</f>
        <v/>
      </c>
      <c r="S8" s="1206" t="inlineStr">
        <is>
          <t>Ativo</t>
        </is>
      </c>
      <c r="T8" s="904" t="n"/>
      <c r="U8" s="569" t="n"/>
      <c r="V8" s="1317" t="n"/>
    </row>
    <row r="9" ht="15.75" customHeight="1" s="1349">
      <c r="A9" s="1292" t="n"/>
      <c r="B9" s="904" t="n"/>
      <c r="C9" s="904" t="inlineStr">
        <is>
          <t>Kit 2un luva ranhurada rosa/bege</t>
        </is>
      </c>
      <c r="D9" s="1285">
        <f>IF(G9&lt;50,(G9*10%)+4,(G9*6%)+6)</f>
        <v/>
      </c>
      <c r="E9" s="1286">
        <f>G9+F9</f>
        <v/>
      </c>
      <c r="F9" s="1285">
        <f>G9*0.05</f>
        <v/>
      </c>
      <c r="G9" s="1298" t="n">
        <v>32</v>
      </c>
      <c r="H9" s="1288">
        <f>G9*6%</f>
        <v/>
      </c>
      <c r="I9" s="1289" t="n">
        <v>0.095</v>
      </c>
      <c r="J9" s="1290">
        <f>G9*I9</f>
        <v/>
      </c>
      <c r="K9" s="1291">
        <f>G9*18%</f>
        <v/>
      </c>
      <c r="L9" s="1291">
        <f>(G9-K9)*1.65%-(D9*1.65%)</f>
        <v/>
      </c>
      <c r="M9" s="1291">
        <f>(G9-K9)*7.6%-(D9*7.6%)</f>
        <v/>
      </c>
      <c r="N9" s="1097" t="n">
        <v>1.54</v>
      </c>
      <c r="O9" s="1320" t="n">
        <v>11.96</v>
      </c>
      <c r="P9" s="447">
        <f>G9 - (D9+H9+J9+K9+L9+M9+O9) + (N9)</f>
        <v/>
      </c>
      <c r="Q9" s="328">
        <f>(G9 - (D9+H9+K9+L9+M9+O9) + (N9)) / G9</f>
        <v/>
      </c>
      <c r="R9" s="328">
        <f>P9/G9</f>
        <v/>
      </c>
      <c r="S9" s="1206" t="n"/>
      <c r="T9" s="904" t="n"/>
      <c r="U9" s="569" t="n"/>
      <c r="V9" s="1317" t="n"/>
    </row>
    <row r="10" ht="15.75" customHeight="1" s="1349">
      <c r="A10" s="1292" t="inlineStr">
        <is>
          <t>912255</t>
        </is>
      </c>
      <c r="B10" s="904" t="inlineStr">
        <is>
          <t>Calfor</t>
        </is>
      </c>
      <c r="C10" s="904" t="inlineStr">
        <is>
          <t>Sapato Ocupacional</t>
        </is>
      </c>
      <c r="D10" s="1285">
        <f>IF(G10&lt;50,(G10*10%)+4,(G10*6%)+6)</f>
        <v/>
      </c>
      <c r="E10" s="1286">
        <f>G10+F10</f>
        <v/>
      </c>
      <c r="F10" s="1285">
        <f>G10*0.05</f>
        <v/>
      </c>
      <c r="G10" s="1294" t="n">
        <v>76.2</v>
      </c>
      <c r="H10" s="1288">
        <f>G10*6%</f>
        <v/>
      </c>
      <c r="I10" s="1289" t="n">
        <v>0.1</v>
      </c>
      <c r="J10" s="1290">
        <f>G10*I10</f>
        <v/>
      </c>
      <c r="K10" s="1291">
        <f>G10*18%</f>
        <v/>
      </c>
      <c r="L10" s="1291">
        <f>(G10-K10)*1.65%-(D10*1.65%)</f>
        <v/>
      </c>
      <c r="M10" s="1291">
        <f>(G10-K10)*7.6%-(D10*7.6%)</f>
        <v/>
      </c>
      <c r="N10" s="1097" t="n">
        <v>8.5</v>
      </c>
      <c r="O10" s="1320" t="n">
        <v>42.2</v>
      </c>
      <c r="P10" s="447">
        <f>G10 - (D10+H10+J10+K10+L10+M10+O10) + (N10)</f>
        <v/>
      </c>
      <c r="Q10" s="328">
        <f>(G10 - (D10+H10+K10+L10+M10+O10) + (N10)) / G10</f>
        <v/>
      </c>
      <c r="R10" s="328">
        <f>P10/G10</f>
        <v/>
      </c>
      <c r="S10" s="1206" t="n"/>
      <c r="T10" s="904" t="n"/>
      <c r="U10" s="569" t="n"/>
      <c r="V10" s="1317" t="n"/>
    </row>
    <row r="11" ht="15.75" customHeight="1" s="1349">
      <c r="A11" s="1292" t="inlineStr">
        <is>
          <t>10034034166541</t>
        </is>
      </c>
      <c r="B11" s="904" t="inlineStr">
        <is>
          <t>Innpro</t>
        </is>
      </c>
      <c r="C11" s="904" t="inlineStr">
        <is>
          <t>Innpro cano longo</t>
        </is>
      </c>
      <c r="D11" s="1285">
        <f>IF(G11&lt;50,(G11*10%)+4,(G11*6%)+6)</f>
        <v/>
      </c>
      <c r="E11" s="1286">
        <f>G11+F11</f>
        <v/>
      </c>
      <c r="F11" s="1285">
        <f>G11*0.05</f>
        <v/>
      </c>
      <c r="G11" s="1294" t="n">
        <v>72.89</v>
      </c>
      <c r="H11" s="1288">
        <f>G11*12%</f>
        <v/>
      </c>
      <c r="I11" s="1289" t="n">
        <v>0.1</v>
      </c>
      <c r="J11" s="1290">
        <f>G11*I11</f>
        <v/>
      </c>
      <c r="K11" s="1291">
        <f>G11*18%</f>
        <v/>
      </c>
      <c r="L11" s="1291">
        <f>(G11-K11)*1.65%-(D11*1.65%)</f>
        <v/>
      </c>
      <c r="M11" s="1291">
        <f>(G11-K11)*7.6%-(D11*7.6%)</f>
        <v/>
      </c>
      <c r="N11" s="1097" t="n">
        <v>0.79</v>
      </c>
      <c r="O11" s="1320" t="n">
        <v>28.76</v>
      </c>
      <c r="P11" s="447">
        <f>G11 - (D11+H11+J11+K11+L11+M11+O11) + (N11)</f>
        <v/>
      </c>
      <c r="Q11" s="328">
        <f>(G11 - (D11+H11+K11+L11+M11+O11) + (N11)) / G11</f>
        <v/>
      </c>
      <c r="R11" s="328">
        <f>P11/G11</f>
        <v/>
      </c>
      <c r="S11" s="1206" t="n"/>
      <c r="T11" s="904" t="n"/>
      <c r="U11" s="569" t="n"/>
      <c r="V11" s="1317" t="n"/>
    </row>
    <row r="12" ht="15.75" customHeight="1" s="1349">
      <c r="A12" s="1292" t="inlineStr">
        <is>
          <t>10034034167167</t>
        </is>
      </c>
      <c r="B12" s="904" t="inlineStr">
        <is>
          <t>Calfor</t>
        </is>
      </c>
      <c r="C12" s="904" t="inlineStr">
        <is>
          <t>Bota Infantil Calfor Pampeana Nieve</t>
        </is>
      </c>
      <c r="D12" s="1285">
        <f>IF(G12&lt;50,(G12*10%)+4,(G12*6%)+6)</f>
        <v/>
      </c>
      <c r="E12" s="1286">
        <f>G12+F12</f>
        <v/>
      </c>
      <c r="F12" s="1285">
        <f>G12*0.05</f>
        <v/>
      </c>
      <c r="G12" s="1294" t="n">
        <v>69.89</v>
      </c>
      <c r="H12" s="1288">
        <f>G12*12%</f>
        <v/>
      </c>
      <c r="I12" s="1289" t="n">
        <v>0.1</v>
      </c>
      <c r="J12" s="1290">
        <f>G12*I12</f>
        <v/>
      </c>
      <c r="K12" s="1291">
        <f>G12*18%</f>
        <v/>
      </c>
      <c r="L12" s="1291">
        <f>(G12-K12)*1.65%-(D12*1.65%)</f>
        <v/>
      </c>
      <c r="M12" s="1291">
        <f>(G12-K12)*7.6%-(D12*7.6%)</f>
        <v/>
      </c>
      <c r="N12" s="1097" t="n">
        <v>6.77</v>
      </c>
      <c r="O12" s="1320" t="n">
        <v>33.59</v>
      </c>
      <c r="P12" s="447">
        <f>G12 - (D12+H12+J12+K12+L12+M12+O12) + (N12)</f>
        <v/>
      </c>
      <c r="Q12" s="328">
        <f>(G12 - (D12+H12+K12+L12+M12+O12) + (N12)) / G12</f>
        <v/>
      </c>
      <c r="R12" s="328">
        <f>P12/G12</f>
        <v/>
      </c>
      <c r="S12" s="1206" t="n"/>
      <c r="T12" s="904" t="n"/>
      <c r="U12" s="569" t="n"/>
      <c r="V12" s="1317" t="n"/>
    </row>
    <row r="13" ht="15.75" customHeight="1" s="1349">
      <c r="A13" s="1292" t="inlineStr">
        <is>
          <t>700302-42</t>
        </is>
      </c>
      <c r="B13" s="904" t="inlineStr">
        <is>
          <t>MARLUVAS</t>
        </is>
      </c>
      <c r="C13" s="904" t="inlineStr">
        <is>
          <t>vulcaflex marluvas ca 43377</t>
        </is>
      </c>
      <c r="D13" s="1285">
        <f>IF(G13&lt;50,(G13*10%)+4,(G13*6%)+6)</f>
        <v/>
      </c>
      <c r="E13" s="1286">
        <f>G13+F13</f>
        <v/>
      </c>
      <c r="F13" s="1285">
        <f>G13*0.05</f>
        <v/>
      </c>
      <c r="G13" s="1294" t="n">
        <v>99.89</v>
      </c>
      <c r="H13" s="1288">
        <f>G13*12%</f>
        <v/>
      </c>
      <c r="I13" s="1289" t="n">
        <v>0.1</v>
      </c>
      <c r="J13" s="1290">
        <f>G13*I13</f>
        <v/>
      </c>
      <c r="K13" s="1291">
        <f>G13*18%</f>
        <v/>
      </c>
      <c r="L13" s="1291">
        <f>(G13-K13)*1.65%-(D13*1.65%)</f>
        <v/>
      </c>
      <c r="M13" s="1291">
        <f>(G13-K13)*7.6%-(D13*7.6%)</f>
        <v/>
      </c>
      <c r="N13" s="1097" t="n">
        <v>9.42</v>
      </c>
      <c r="O13" s="1320" t="n">
        <v>46.74</v>
      </c>
      <c r="P13" s="447">
        <f>G13 - (D13+H13+J13+K13+L13+M13+O13) + (N13)</f>
        <v/>
      </c>
      <c r="Q13" s="328">
        <f>(G13 - (D13+H13+K13+L13+M13+O13) + (N13)) / G13</f>
        <v/>
      </c>
      <c r="R13" s="328">
        <f>P13/G13</f>
        <v/>
      </c>
      <c r="S13" s="1206" t="n"/>
      <c r="T13" s="904" t="n"/>
      <c r="U13" s="569" t="n"/>
      <c r="V13" s="1317" t="n"/>
    </row>
    <row r="14" ht="15.75" customHeight="1" s="1349">
      <c r="A14" s="1292" t="inlineStr">
        <is>
          <t>800204C</t>
        </is>
      </c>
      <c r="B14" s="904" t="inlineStr">
        <is>
          <t>Camper</t>
        </is>
      </c>
      <c r="C14" s="904" t="inlineStr">
        <is>
          <t>Confort Plus Cinza 26db Ca 48054 Camper</t>
        </is>
      </c>
      <c r="D14" s="1285">
        <f>IF(G14&lt;50,(G14*10%)+4,(G14*6%)+6)</f>
        <v/>
      </c>
      <c r="E14" s="1286">
        <f>G14+F14</f>
        <v/>
      </c>
      <c r="F14" s="1285">
        <f>G14*0.05</f>
        <v/>
      </c>
      <c r="G14" s="1296" t="n">
        <v>65.90000000000001</v>
      </c>
      <c r="H14" s="1288">
        <f>G14*12%</f>
        <v/>
      </c>
      <c r="I14" s="1289" t="n">
        <v>0.1</v>
      </c>
      <c r="J14" s="1290">
        <f>G14*I14</f>
        <v/>
      </c>
      <c r="K14" s="1291">
        <f>G14*18%</f>
        <v/>
      </c>
      <c r="L14" s="1291">
        <f>(G14-K14)*1.65%-(D14*1.65%)</f>
        <v/>
      </c>
      <c r="M14" s="1291">
        <f>(G14-K14)*7.6%-(D14*7.6%)</f>
        <v/>
      </c>
      <c r="N14" s="1097" t="n">
        <v>7.72</v>
      </c>
      <c r="O14" s="1320" t="n">
        <v>30.19</v>
      </c>
      <c r="P14" s="447">
        <f>G14 - (D14+H14+J14+K14+L14+M14+O14) + (N14)</f>
        <v/>
      </c>
      <c r="Q14" s="328">
        <f>(G14 - (D14+H14+K14+L14+M14+O14) + (N14)) / G14</f>
        <v/>
      </c>
      <c r="R14" s="328">
        <f>P14/G14</f>
        <v/>
      </c>
      <c r="S14" s="1206" t="n"/>
      <c r="T14" s="904" t="n"/>
      <c r="U14" s="569" t="n"/>
      <c r="V14" s="1317" t="n"/>
    </row>
    <row r="15" ht="15.75" customHeight="1" s="1349">
      <c r="A15" s="1292" t="inlineStr">
        <is>
          <t>10034034166421</t>
        </is>
      </c>
      <c r="B15" s="904" t="inlineStr">
        <is>
          <t>Camper</t>
        </is>
      </c>
      <c r="C15" s="904" t="inlineStr">
        <is>
          <t>Confort Plus Branco</t>
        </is>
      </c>
      <c r="D15" s="1285">
        <f>IF(G15&lt;50,(G15*10%)+4,(G15*6%)+6)</f>
        <v/>
      </c>
      <c r="E15" s="1286">
        <f>G15+F15</f>
        <v/>
      </c>
      <c r="F15" s="1285">
        <f>G15*0.05</f>
        <v/>
      </c>
      <c r="G15" s="1296" t="n">
        <v>65.90000000000001</v>
      </c>
      <c r="H15" s="1288">
        <f>G15*12%</f>
        <v/>
      </c>
      <c r="I15" s="1289" t="n">
        <v>0.1</v>
      </c>
      <c r="J15" s="1290">
        <f>G15*I15</f>
        <v/>
      </c>
      <c r="K15" s="1291">
        <f>G15*18%</f>
        <v/>
      </c>
      <c r="L15" s="1291">
        <f>(G15-K15)*1.65%-(D15*1.65%)</f>
        <v/>
      </c>
      <c r="M15" s="1291">
        <f>(G15-K15)*7.6%-(D15*7.6%)</f>
        <v/>
      </c>
      <c r="N15" s="1097" t="n">
        <v>7.72</v>
      </c>
      <c r="O15" s="1320" t="n">
        <v>30.19</v>
      </c>
      <c r="P15" s="447">
        <f>G15 - (D15+H15+J15+K15+L15+M15+O15) + (N15)</f>
        <v/>
      </c>
      <c r="Q15" s="328">
        <f>(G15 - (D15+H15+K15+L15+M15+O15) + (N15)) / G15</f>
        <v/>
      </c>
      <c r="R15" s="328">
        <f>P15/G15</f>
        <v/>
      </c>
      <c r="S15" s="1206" t="n"/>
      <c r="T15" s="904" t="n"/>
      <c r="U15" s="569" t="n"/>
      <c r="V15" s="1317" t="n"/>
    </row>
    <row r="16" ht="15.75" customHeight="1" s="1349">
      <c r="A16" s="1292" t="inlineStr">
        <is>
          <t>10034034166569</t>
        </is>
      </c>
      <c r="B16" s="904" t="inlineStr">
        <is>
          <t>Innpro</t>
        </is>
      </c>
      <c r="C16" s="904" t="inlineStr">
        <is>
          <t>Innpro pro cano médio</t>
        </is>
      </c>
      <c r="D16" s="1285">
        <f>IF(G16&lt;50,(G16*10%)+4,(G16*6%)+6)</f>
        <v/>
      </c>
      <c r="E16" s="1286">
        <f>G16+F16</f>
        <v/>
      </c>
      <c r="F16" s="1285">
        <f>G16*0.05</f>
        <v/>
      </c>
      <c r="G16" s="1294" t="n">
        <v>58.9</v>
      </c>
      <c r="H16" s="1288">
        <f>G16*12%</f>
        <v/>
      </c>
      <c r="I16" s="1289" t="n">
        <v>0.1</v>
      </c>
      <c r="J16" s="1290">
        <f>G16*I16</f>
        <v/>
      </c>
      <c r="K16" s="1291">
        <f>G16*18%</f>
        <v/>
      </c>
      <c r="L16" s="1291">
        <f>(G16-K16)*1.65%-(D16*1.65%)</f>
        <v/>
      </c>
      <c r="M16" s="1291">
        <f>(G16-K16)*7.6%-(D16*7.6%)</f>
        <v/>
      </c>
      <c r="N16" s="1097" t="n">
        <v>4.83</v>
      </c>
      <c r="O16" s="1320" t="n">
        <v>28.97</v>
      </c>
      <c r="P16" s="447">
        <f>G16 - (D16+H16+J16+K16+L16+M16+O16) + (N16)</f>
        <v/>
      </c>
      <c r="Q16" s="328">
        <f>(G16 - (D16+H16+K16+L16+M16+O16) + (N16)) / G16</f>
        <v/>
      </c>
      <c r="R16" s="328">
        <f>P16/G16</f>
        <v/>
      </c>
      <c r="S16" s="1206" t="n"/>
      <c r="T16" s="904" t="n"/>
      <c r="U16" s="569" t="n"/>
      <c r="V16" s="1317" t="n"/>
    </row>
    <row r="17" ht="15.75" customHeight="1" s="1349">
      <c r="A17" s="1292" t="inlineStr">
        <is>
          <t>10034034167850</t>
        </is>
      </c>
      <c r="B17" s="904" t="inlineStr">
        <is>
          <t>VOLK</t>
        </is>
      </c>
      <c r="C17" s="904" t="inlineStr">
        <is>
          <t>luva gladiador</t>
        </is>
      </c>
      <c r="D17" s="1285">
        <f>IF(G17&lt;50,(G17*10%)+4,(G17*6%)+6)</f>
        <v/>
      </c>
      <c r="E17" s="1286">
        <f>G17+F17</f>
        <v/>
      </c>
      <c r="F17" s="1285">
        <f>G17*0.05</f>
        <v/>
      </c>
      <c r="G17" s="1294" t="n">
        <v>19.2</v>
      </c>
      <c r="H17" s="1288">
        <f>G17*12%</f>
        <v/>
      </c>
      <c r="I17" s="1289" t="n">
        <v>0.1</v>
      </c>
      <c r="J17" s="1290">
        <f>G17*I17</f>
        <v/>
      </c>
      <c r="K17" s="1291">
        <f>G17*18%</f>
        <v/>
      </c>
      <c r="L17" s="1291">
        <f>(G17-K17)*1.65%-(D17*1.65%)</f>
        <v/>
      </c>
      <c r="M17" s="1291">
        <f>(G17-K17)*7.6%-(D17*7.6%)</f>
        <v/>
      </c>
      <c r="N17" s="1097" t="n">
        <v>0.67</v>
      </c>
      <c r="O17" s="1320" t="n">
        <v>6.04</v>
      </c>
      <c r="P17" s="447">
        <f>G17 - (D17+H17+J17+K17+L17+M17+O17) + (N17)</f>
        <v/>
      </c>
      <c r="Q17" s="328">
        <f>(G17 - (D17+H17+K17+L17+M17+O17) + (N17)) / G17</f>
        <v/>
      </c>
      <c r="R17" s="328">
        <f>P17/G17</f>
        <v/>
      </c>
      <c r="S17" s="1206" t="n"/>
      <c r="T17" s="904" t="n"/>
      <c r="U17" s="569" t="n"/>
      <c r="V17" s="1317" t="n"/>
    </row>
    <row r="18" ht="15.75" customHeight="1" s="1349">
      <c r="A18" s="1292" t="inlineStr">
        <is>
          <t>10034034167960</t>
        </is>
      </c>
      <c r="B18" s="904" t="inlineStr">
        <is>
          <t>Danny</t>
        </is>
      </c>
      <c r="C18" s="904" t="inlineStr">
        <is>
          <t xml:space="preserve">Danny confort </t>
        </is>
      </c>
      <c r="D18" s="1285">
        <f>IF(G18&lt;50,(G18*10%)+4,(G18*6%)+6)</f>
        <v/>
      </c>
      <c r="E18" s="1286">
        <f>G18+F18</f>
        <v/>
      </c>
      <c r="F18" s="1285">
        <f>G18*0.05</f>
        <v/>
      </c>
      <c r="G18" s="1298" t="n">
        <v>26.89</v>
      </c>
      <c r="H18" s="1288">
        <f>G18*12%</f>
        <v/>
      </c>
      <c r="I18" s="1289" t="n">
        <v>0.1</v>
      </c>
      <c r="J18" s="1290">
        <f>G18*I18</f>
        <v/>
      </c>
      <c r="K18" s="1291">
        <f>G18*18%</f>
        <v/>
      </c>
      <c r="L18" s="1291">
        <f>(G18-K18)*1.65%-(D18*1.65%)</f>
        <v/>
      </c>
      <c r="M18" s="1291">
        <f>(G18-K18)*7.6%-(D18*7.6%)</f>
        <v/>
      </c>
      <c r="N18" s="1097" t="n">
        <v>1.35</v>
      </c>
      <c r="O18" s="1320" t="n">
        <v>10.5</v>
      </c>
      <c r="P18" s="447">
        <f>G18 - (D18+H18+J18+K18+L18+M18+O18) + (N18)</f>
        <v/>
      </c>
      <c r="Q18" s="328">
        <f>(G18 - (D18+H18+K18+L18+M18+O18) + (N18)) / G18</f>
        <v/>
      </c>
      <c r="R18" s="328">
        <f>P18/G18</f>
        <v/>
      </c>
      <c r="S18" s="1206" t="n"/>
      <c r="T18" s="904" t="n"/>
      <c r="U18" s="569" t="n"/>
      <c r="V18" s="1317" t="n"/>
    </row>
    <row r="19" ht="15.75" customHeight="1" s="1349">
      <c r="A19" s="1292" t="inlineStr">
        <is>
          <t>10034034166666</t>
        </is>
      </c>
      <c r="B19" s="904" t="inlineStr">
        <is>
          <t>Delta plus</t>
        </is>
      </c>
      <c r="C19" s="904" t="inlineStr">
        <is>
          <t xml:space="preserve">bota brasilia </t>
        </is>
      </c>
      <c r="D19" s="1285">
        <f>IF(G19&lt;50,(G19*10%)+4,(G19*6%)+6)</f>
        <v/>
      </c>
      <c r="E19" s="1286">
        <f>G19+F19</f>
        <v/>
      </c>
      <c r="F19" s="1285">
        <f>G19*0.05</f>
        <v/>
      </c>
      <c r="G19" s="1294" t="n">
        <v>242.89</v>
      </c>
      <c r="H19" s="1288">
        <f>G19*12%</f>
        <v/>
      </c>
      <c r="I19" s="1289" t="n">
        <v>0.1</v>
      </c>
      <c r="J19" s="1290">
        <f>G19*I19</f>
        <v/>
      </c>
      <c r="K19" s="1291">
        <f>G19*18%</f>
        <v/>
      </c>
      <c r="L19" s="1291">
        <f>(G19-K19)*1.65%-(D19*1.65%)</f>
        <v/>
      </c>
      <c r="M19" s="1291">
        <f>(G19-K19)*7.6%-(D19*7.6%)</f>
        <v/>
      </c>
      <c r="N19" s="1097" t="n">
        <v>28.65</v>
      </c>
      <c r="O19" s="1320" t="n">
        <v>142.25</v>
      </c>
      <c r="P19" s="447">
        <f>G19 - (D19+H19+J19+K19+L19+M19+O19) + (N19)</f>
        <v/>
      </c>
      <c r="Q19" s="328">
        <f>(G19 - (D19+H19+K19+L19+M19+O19) + (N19)) / G19</f>
        <v/>
      </c>
      <c r="R19" s="328">
        <f>P19/G19</f>
        <v/>
      </c>
      <c r="S19" s="1206" t="n"/>
      <c r="T19" s="904" t="n"/>
      <c r="U19" s="569" t="n"/>
      <c r="V19" s="1317" t="n"/>
    </row>
    <row r="20" ht="15.75" customHeight="1" s="1349">
      <c r="A20" s="1292" t="inlineStr">
        <is>
          <t>10034034166495</t>
        </is>
      </c>
      <c r="B20" s="904" t="inlineStr">
        <is>
          <t>Camper</t>
        </is>
      </c>
      <c r="C20" s="904" t="inlineStr">
        <is>
          <t>Protetor Auditivo Auricular Acoplar P/ Capacete 17db C/ Ca Cinza</t>
        </is>
      </c>
      <c r="D20" s="1285">
        <f>IF(G20&lt;50,(G20*10%)+4,(G20*6%)+6)</f>
        <v/>
      </c>
      <c r="E20" s="1286">
        <f>G20+F20</f>
        <v/>
      </c>
      <c r="F20" s="1285">
        <f>G20*0.05</f>
        <v/>
      </c>
      <c r="G20" s="1296" t="n">
        <v>78.55</v>
      </c>
      <c r="H20" s="1288">
        <f>G20*12%</f>
        <v/>
      </c>
      <c r="I20" s="1289" t="n">
        <v>0.1</v>
      </c>
      <c r="J20" s="1290">
        <f>G20*I20</f>
        <v/>
      </c>
      <c r="K20" s="1291">
        <f>G20*18%</f>
        <v/>
      </c>
      <c r="L20" s="1291">
        <f>(G20-K20)*1.65%-(D20*1.65%)</f>
        <v/>
      </c>
      <c r="M20" s="1291">
        <f>(G20-K20)*7.6%-(D20*7.6%)</f>
        <v/>
      </c>
      <c r="N20" s="1097" t="n">
        <v>8.92</v>
      </c>
      <c r="O20" s="1320" t="n">
        <v>44.3</v>
      </c>
      <c r="P20" s="447">
        <f>G20 - (D20+H20+J20+K20+L20+M20+O20) + (N20)</f>
        <v/>
      </c>
      <c r="Q20" s="328">
        <f>(G20 - (D20+H20+K20+L20+M20+O20) + (N20)) / G20</f>
        <v/>
      </c>
      <c r="R20" s="328">
        <f>P20/G20</f>
        <v/>
      </c>
      <c r="S20" s="1206" t="n"/>
      <c r="T20" s="904" t="n"/>
      <c r="U20" s="569" t="n"/>
      <c r="V20" s="1317" t="n"/>
    </row>
    <row r="21" ht="15.75" customHeight="1" s="1349">
      <c r="A21" s="1299" t="inlineStr">
        <is>
          <t>10034034167960</t>
        </is>
      </c>
      <c r="B21" s="1300" t="inlineStr">
        <is>
          <t>VOLK</t>
        </is>
      </c>
      <c r="C21" s="1300" t="inlineStr">
        <is>
          <t>multiuso slim</t>
        </is>
      </c>
      <c r="D21" s="1285">
        <f>IF(G21&lt;50,(G21*10%)+4,(G21*6%)+6)</f>
        <v/>
      </c>
      <c r="E21" s="1286">
        <f>G21+F21</f>
        <v/>
      </c>
      <c r="F21" s="1285">
        <f>G21*0.05</f>
        <v/>
      </c>
      <c r="G21" s="1294" t="n">
        <v>26.42</v>
      </c>
      <c r="H21" s="1288">
        <f>G21*12%</f>
        <v/>
      </c>
      <c r="I21" s="1289" t="n">
        <v>0.1</v>
      </c>
      <c r="J21" s="1290">
        <f>G21*I21</f>
        <v/>
      </c>
      <c r="K21" s="1291">
        <f>G21*18%</f>
        <v/>
      </c>
      <c r="L21" s="1291">
        <f>(G21-K21)*1.65%-(D21*1.65%)</f>
        <v/>
      </c>
      <c r="M21" s="1291">
        <f>(G21-K21)*7.6%-(D21*7.6%)</f>
        <v/>
      </c>
      <c r="N21" s="1097" t="n">
        <v>0.97</v>
      </c>
      <c r="O21" s="1320" t="n">
        <v>10.05</v>
      </c>
      <c r="P21" s="447">
        <f>G21 - (D21+H21+J21+K21+L21+M21+O21) + (N21)</f>
        <v/>
      </c>
      <c r="Q21" s="328">
        <f>(G21 - (D21+H21+K21+L21+M21+O21) + (N21)) / G21</f>
        <v/>
      </c>
      <c r="R21" s="328">
        <f>P21/G21</f>
        <v/>
      </c>
      <c r="S21" s="1206" t="n"/>
      <c r="T21" s="904" t="n"/>
      <c r="U21" s="569" t="n"/>
      <c r="V21" s="1317" t="n"/>
    </row>
    <row r="22" ht="15.75" customHeight="1" s="1349">
      <c r="A22" s="1292" t="inlineStr">
        <is>
          <t>10034034167020</t>
        </is>
      </c>
      <c r="B22" s="904" t="inlineStr">
        <is>
          <t>VOLK</t>
        </is>
      </c>
      <c r="C22" s="904" t="inlineStr">
        <is>
          <t>Luva Nitril Full Punho Liso Proteção Química Mecânica Epi</t>
        </is>
      </c>
      <c r="D22" s="1285">
        <f>IF(G22&lt;50,(G22*10%)+4,(G22*6%)+6)</f>
        <v/>
      </c>
      <c r="E22" s="1286">
        <f>G22+F22</f>
        <v/>
      </c>
      <c r="F22" s="1285">
        <f>G22*0.05</f>
        <v/>
      </c>
      <c r="G22" s="1298" t="n">
        <v>19.1</v>
      </c>
      <c r="H22" s="1288">
        <f>G22*12%</f>
        <v/>
      </c>
      <c r="I22" s="1289" t="n">
        <v>0.1</v>
      </c>
      <c r="J22" s="1290">
        <f>G22*I22</f>
        <v/>
      </c>
      <c r="K22" s="1291">
        <f>G22*18%</f>
        <v/>
      </c>
      <c r="L22" s="1291">
        <f>(G22-K22)*1.65%-(D22*1.65%)</f>
        <v/>
      </c>
      <c r="M22" s="1291">
        <f>(G22-K22)*7.6%-(D22*7.6%)</f>
        <v/>
      </c>
      <c r="N22" s="1097" t="n">
        <v>0.92</v>
      </c>
      <c r="O22" s="1320" t="n">
        <v>6.21</v>
      </c>
      <c r="P22" s="447">
        <f>G22 - (D22+H22+J22+K22+L22+M22+O22) + (N22)</f>
        <v/>
      </c>
      <c r="Q22" s="328">
        <f>(G22 - (D22+H22+K22+L22+M22+O22) + (N22)) / G22</f>
        <v/>
      </c>
      <c r="R22" s="328">
        <f>P22/G22</f>
        <v/>
      </c>
      <c r="S22" s="1206" t="n"/>
      <c r="T22" s="904" t="n"/>
      <c r="U22" s="569" t="n"/>
      <c r="V22" s="1317" t="n"/>
    </row>
    <row r="23" ht="15.75" customHeight="1" s="1349">
      <c r="A23" s="1292" t="inlineStr">
        <is>
          <t>800202C</t>
        </is>
      </c>
      <c r="B23" s="904" t="inlineStr">
        <is>
          <t>Camper</t>
        </is>
      </c>
      <c r="C23" s="904" t="inlineStr">
        <is>
          <t>abafador acoplar</t>
        </is>
      </c>
      <c r="D23" s="1285">
        <f>IF(G23&lt;50,(G23*10%)+4,(G23*6%)+6)</f>
        <v/>
      </c>
      <c r="E23" s="1286">
        <f>G23+F23</f>
        <v/>
      </c>
      <c r="F23" s="1285">
        <f>G23*0.05</f>
        <v/>
      </c>
      <c r="G23" s="1298" t="n">
        <v>66.89</v>
      </c>
      <c r="H23" s="1288">
        <f>G23*12%</f>
        <v/>
      </c>
      <c r="I23" s="1289" t="n">
        <v>0.1</v>
      </c>
      <c r="J23" s="1290">
        <f>G23*I23</f>
        <v/>
      </c>
      <c r="K23" s="1291">
        <f>G23*18%</f>
        <v/>
      </c>
      <c r="L23" s="1291">
        <f>(G23-K23)*1.65%-(D23*1.65%)</f>
        <v/>
      </c>
      <c r="M23" s="1291">
        <f>(G23-K23)*7.6%-(D23*7.6%)</f>
        <v/>
      </c>
      <c r="N23" s="1097" t="n">
        <v>1.06</v>
      </c>
      <c r="O23" s="1320" t="n">
        <v>22.73</v>
      </c>
      <c r="P23" s="447">
        <f>G23 - (D23+H23+J23+K23+L23+M23+O23) + (N23)</f>
        <v/>
      </c>
      <c r="Q23" s="328">
        <f>(G23 - (D23+H23+K23+L23+M23+O23) + (N23)) / G23</f>
        <v/>
      </c>
      <c r="R23" s="328">
        <f>P23/G23</f>
        <v/>
      </c>
      <c r="S23" s="1206" t="n"/>
      <c r="T23" s="904" t="n"/>
      <c r="U23" s="569" t="n"/>
      <c r="V23" s="1317" t="n"/>
    </row>
    <row r="24" ht="15.75" customHeight="1" s="1349">
      <c r="A24" s="1292" t="inlineStr">
        <is>
          <t>59</t>
        </is>
      </c>
      <c r="B24" s="904" t="inlineStr">
        <is>
          <t>Delta plus</t>
        </is>
      </c>
      <c r="C24" s="904" t="inlineStr">
        <is>
          <t>oculos summer incolor delta plus</t>
        </is>
      </c>
      <c r="D24" s="1285">
        <f>IF(G24&lt;50,(G24*10%)+4,(G24*6%)+6)</f>
        <v/>
      </c>
      <c r="E24" s="1286">
        <f>G24+F24</f>
        <v/>
      </c>
      <c r="F24" s="1285">
        <f>G24*0.05</f>
        <v/>
      </c>
      <c r="G24" s="1294" t="n">
        <v>10.2</v>
      </c>
      <c r="H24" s="1288">
        <f>G24*12%</f>
        <v/>
      </c>
      <c r="I24" s="1289" t="n">
        <v>0.1</v>
      </c>
      <c r="J24" s="1290">
        <f>G24*I24</f>
        <v/>
      </c>
      <c r="K24" s="1291">
        <f>G24*18%</f>
        <v/>
      </c>
      <c r="L24" s="1291">
        <f>(G24-K24)*1.65%-(D24*1.65%)</f>
        <v/>
      </c>
      <c r="M24" s="1291">
        <f>(G24-K24)*7.6%-(D24*7.6%)</f>
        <v/>
      </c>
      <c r="N24" s="1097" t="n">
        <v>0.72</v>
      </c>
      <c r="O24" s="1320" t="n">
        <v>1.93</v>
      </c>
      <c r="P24" s="447">
        <f>G24 - (D24+H24+J24+K24+L24+M24+O24) + (N24)</f>
        <v/>
      </c>
      <c r="Q24" s="328">
        <f>(G24 - (D24+H24+K24+L24+M24+O24) + (N24)) / G24</f>
        <v/>
      </c>
      <c r="R24" s="328">
        <f>P24/G24</f>
        <v/>
      </c>
      <c r="S24" s="1206" t="n"/>
      <c r="T24" s="904" t="n"/>
      <c r="U24" s="569" t="n"/>
      <c r="V24" s="1317" t="n"/>
    </row>
    <row r="25" ht="15.75" customHeight="1" s="1349">
      <c r="A25" s="1292" t="inlineStr">
        <is>
          <t>10034034167319</t>
        </is>
      </c>
      <c r="B25" s="904" t="inlineStr">
        <is>
          <t>Nutriex</t>
        </is>
      </c>
      <c r="C25" s="904" t="inlineStr">
        <is>
          <t>regederm g3 nutriex</t>
        </is>
      </c>
      <c r="D25" s="1285">
        <f>IF(G25&lt;50,(G25*10%)+4,(G25*6%)+6)</f>
        <v/>
      </c>
      <c r="E25" s="1286">
        <f>G25+F25</f>
        <v/>
      </c>
      <c r="F25" s="1285">
        <f>G25*0.05</f>
        <v/>
      </c>
      <c r="G25" s="1294" t="n">
        <v>22.89</v>
      </c>
      <c r="H25" s="1288">
        <f>G25*12%</f>
        <v/>
      </c>
      <c r="I25" s="1289" t="n">
        <v>0.1</v>
      </c>
      <c r="J25" s="1290">
        <f>G25*I25</f>
        <v/>
      </c>
      <c r="K25" s="1291">
        <f>G25*18%</f>
        <v/>
      </c>
      <c r="L25" s="1291">
        <f>(G25-K25)*1.65%-(D25*1.65%)</f>
        <v/>
      </c>
      <c r="M25" s="1291">
        <f>(G25-K25)*7.6%-(D25*7.6%)</f>
        <v/>
      </c>
      <c r="N25" s="1097" t="n">
        <v>0.79</v>
      </c>
      <c r="O25" s="1320" t="n">
        <v>7.99</v>
      </c>
      <c r="P25" s="447">
        <f>G25 - (D25+H25+J25+K25+L25+M25+O25) + (N25)</f>
        <v/>
      </c>
      <c r="Q25" s="328">
        <f>(G25 - (D25+H25+K25+L25+M25+O25) + (N25)) / G25</f>
        <v/>
      </c>
      <c r="R25" s="328">
        <f>P25/G25</f>
        <v/>
      </c>
      <c r="S25" s="1206" t="n"/>
      <c r="T25" s="904" t="n"/>
      <c r="U25" s="569" t="n"/>
      <c r="V25" s="1317" t="n"/>
    </row>
    <row r="26" ht="15.75" customHeight="1" s="1349">
      <c r="A26" s="1292" t="inlineStr">
        <is>
          <t>294</t>
        </is>
      </c>
      <c r="B26" s="904" t="inlineStr">
        <is>
          <t>Delta plus</t>
        </is>
      </c>
      <c r="C26" s="904" t="inlineStr">
        <is>
          <t>óculos sky Fumê/incolor</t>
        </is>
      </c>
      <c r="D26" s="1285">
        <f>IF(G26&lt;50,(G26*10%)+4,(G26*6%)+6)</f>
        <v/>
      </c>
      <c r="E26" s="1286">
        <f>G26+F26</f>
        <v/>
      </c>
      <c r="F26" s="1285">
        <f>G26*0.05</f>
        <v/>
      </c>
      <c r="G26" s="1298" t="n">
        <v>11.89</v>
      </c>
      <c r="H26" s="1288">
        <f>G26*12%</f>
        <v/>
      </c>
      <c r="I26" s="1289" t="n">
        <v>0.1</v>
      </c>
      <c r="J26" s="1290">
        <f>G26*I26</f>
        <v/>
      </c>
      <c r="K26" s="1291">
        <f>G26*18%</f>
        <v/>
      </c>
      <c r="L26" s="1291">
        <f>(G26-K26)*1.65%-(D26*1.65%)</f>
        <v/>
      </c>
      <c r="M26" s="1291">
        <f>(G26-K26)*7.6%-(D26*7.6%)</f>
        <v/>
      </c>
      <c r="N26" s="1097" t="n">
        <v>0.16</v>
      </c>
      <c r="O26" s="1320" t="n">
        <v>2.04</v>
      </c>
      <c r="P26" s="447">
        <f>G26 - (D26+H26+J26+K26+L26+M26+O26) + (N26)</f>
        <v/>
      </c>
      <c r="Q26" s="328">
        <f>(G26 - (D26+H26+K26+L26+M26+O26) + (N26)) / G26</f>
        <v/>
      </c>
      <c r="R26" s="328">
        <f>P26/G26</f>
        <v/>
      </c>
      <c r="S26" s="1206" t="n"/>
      <c r="T26" s="904" t="n"/>
      <c r="U26" s="569" t="n"/>
      <c r="V26" s="1317" t="n"/>
    </row>
    <row r="27" ht="15.75" customHeight="1" s="1349">
      <c r="A27" s="1292" t="inlineStr">
        <is>
          <t>912308</t>
        </is>
      </c>
      <c r="B27" s="904" t="n"/>
      <c r="C27" s="904" t="inlineStr">
        <is>
          <t>Creme Protetor Para Pele Luva Qúimica Grupo 3 Nutriex 1l</t>
        </is>
      </c>
      <c r="D27" s="1285">
        <f>IF(G27&lt;50,(G27*10%)+4,(G27*6%)+6)</f>
        <v/>
      </c>
      <c r="E27" s="1286">
        <f>G27+F27</f>
        <v/>
      </c>
      <c r="F27" s="1285">
        <f>G27*0.05</f>
        <v/>
      </c>
      <c r="G27" s="1294" t="n">
        <v>38.2</v>
      </c>
      <c r="H27" s="1301">
        <f>G27*12%</f>
        <v/>
      </c>
      <c r="I27" s="1289" t="n">
        <v>0.1</v>
      </c>
      <c r="J27" s="1302">
        <f>G27*I27</f>
        <v/>
      </c>
      <c r="K27" s="1303">
        <f>G27*18%</f>
        <v/>
      </c>
      <c r="L27" s="1303">
        <f>(G27-K27)*1.65%-(D27*1.65%)</f>
        <v/>
      </c>
      <c r="M27" s="1291">
        <f>(G27-K27)*7.6%-(D27*7.6%)</f>
        <v/>
      </c>
      <c r="N27" s="1097" t="n">
        <v>9.25</v>
      </c>
      <c r="O27" s="1320" t="n">
        <v>22.11</v>
      </c>
      <c r="P27" s="447">
        <f>G27 - (D27+H27+J27+K27+L27+M27+O27) + (N27)</f>
        <v/>
      </c>
      <c r="Q27" s="328">
        <f>(G27 - (D27+H27+K27+L27+M27+O27) + (N27)) / G27</f>
        <v/>
      </c>
      <c r="R27" s="328">
        <f>P27/G27</f>
        <v/>
      </c>
      <c r="S27" s="1206" t="n"/>
      <c r="T27" s="904" t="n"/>
      <c r="U27" s="569" t="n"/>
      <c r="V27" s="1317" t="n"/>
    </row>
    <row r="28" ht="15.75" customHeight="1" s="1349">
      <c r="A28" s="1292" t="inlineStr">
        <is>
          <t>10034034167322</t>
        </is>
      </c>
      <c r="B28" s="904" t="n"/>
      <c r="C28" s="904" t="inlineStr">
        <is>
          <t>Protetor Abafador Ruído Construção Autismo Industria 22db</t>
        </is>
      </c>
      <c r="D28" s="1285">
        <f>IF(G28&lt;50,(G28*10%)+4,(G28*6%)+6)</f>
        <v/>
      </c>
      <c r="E28" s="1286">
        <f>G28+F28</f>
        <v/>
      </c>
      <c r="F28" s="1285">
        <f>G28*0.05</f>
        <v/>
      </c>
      <c r="G28" s="1294" t="n">
        <v>55.89</v>
      </c>
      <c r="H28" s="1301">
        <f>G28*12%</f>
        <v/>
      </c>
      <c r="I28" s="1289" t="n">
        <v>0.1</v>
      </c>
      <c r="J28" s="1302">
        <f>G28*I28</f>
        <v/>
      </c>
      <c r="K28" s="1303">
        <f>G28*18%</f>
        <v/>
      </c>
      <c r="L28" s="1303">
        <f>(G28-K28)*1.65%-(D28*1.65%)</f>
        <v/>
      </c>
      <c r="M28" s="1291">
        <f>(G28-K28)*7.6%-(D28*7.6%)</f>
        <v/>
      </c>
      <c r="N28" s="1097" t="n">
        <v>1.32</v>
      </c>
      <c r="O28" s="1320" t="n">
        <v>24.36</v>
      </c>
      <c r="P28" s="447">
        <f>G28 - (D28+H28+J28+K28+L28+M28+O28) + (N28)</f>
        <v/>
      </c>
      <c r="Q28" s="328">
        <f>(G28 - (D28+H28+K28+L28+M28+O28) + (N28)) / G28</f>
        <v/>
      </c>
      <c r="R28" s="328">
        <f>P28/G28</f>
        <v/>
      </c>
      <c r="S28" s="1206" t="n"/>
      <c r="T28" s="904" t="n"/>
      <c r="U28" s="569" t="n"/>
      <c r="V28" s="1317" t="n"/>
    </row>
    <row r="29" ht="15.75" customHeight="1" s="1349">
      <c r="A29" s="1304" t="inlineStr">
        <is>
          <t>10034034167300</t>
        </is>
      </c>
      <c r="B29" s="1306" t="inlineStr">
        <is>
          <t>Danny</t>
        </is>
      </c>
      <c r="C29" s="1306" t="inlineStr">
        <is>
          <t xml:space="preserve">LUVA DANNY NITRILICA </t>
        </is>
      </c>
      <c r="D29" s="1285">
        <f>IF(G29&lt;50,(G29*10%)+4,(G29*6%)+6)</f>
        <v/>
      </c>
      <c r="E29" s="1286">
        <f>G29+F29</f>
        <v/>
      </c>
      <c r="F29" s="1285">
        <f>G29*0.05</f>
        <v/>
      </c>
      <c r="G29" s="1312" t="n">
        <v>55.3</v>
      </c>
      <c r="H29" s="1288">
        <f>G29*12%</f>
        <v/>
      </c>
      <c r="I29" s="1289" t="n">
        <v>0.1</v>
      </c>
      <c r="J29" s="1290">
        <f>G29*I29</f>
        <v/>
      </c>
      <c r="K29" s="1291">
        <f>G29*18%</f>
        <v/>
      </c>
      <c r="L29" s="1291">
        <f>(G29-K29)*1.65%-(D29*1.65%)</f>
        <v/>
      </c>
      <c r="M29" s="1291">
        <f>(G29-K29)*7.6%-(D29*7.6%)</f>
        <v/>
      </c>
      <c r="N29" s="1097" t="n">
        <v>1.49</v>
      </c>
      <c r="O29" s="1320" t="n">
        <v>24.64</v>
      </c>
      <c r="P29" s="447">
        <f>G29 - (D29+H29+J29+K29+L29+M29+O29) + (N29)</f>
        <v/>
      </c>
      <c r="Q29" s="328">
        <f>(G29 - (D29+H29+K29+L29+M29+O29) + (N29)) / G29</f>
        <v/>
      </c>
      <c r="R29" s="328">
        <f>P29/G29</f>
        <v/>
      </c>
      <c r="S29" s="1206" t="n"/>
      <c r="T29" s="904" t="n"/>
      <c r="U29" s="569" t="n"/>
      <c r="V29" s="1317" t="n"/>
    </row>
    <row r="30" ht="15.75" customHeight="1" s="1349">
      <c r="A30" s="1292" t="inlineStr">
        <is>
          <t>10034034166963</t>
        </is>
      </c>
      <c r="B30" s="904" t="n"/>
      <c r="C30" s="904" t="inlineStr">
        <is>
          <t>Tela Fibra Vidro 1x50 Reforço Alvenaria m Branca</t>
        </is>
      </c>
      <c r="D30" s="1285">
        <f>IF(G30&lt;50,(G30*10%)+4,(G30*6%)+6)</f>
        <v/>
      </c>
      <c r="E30" s="1286">
        <f>G30+F30</f>
        <v/>
      </c>
      <c r="F30" s="1285">
        <f>G30*0.05</f>
        <v/>
      </c>
      <c r="G30" s="1312" t="n">
        <v>442</v>
      </c>
      <c r="H30" s="1288">
        <f>G30*12%</f>
        <v/>
      </c>
      <c r="I30" s="1289" t="n">
        <v>0.1</v>
      </c>
      <c r="J30" s="1290">
        <f>G30*I30</f>
        <v/>
      </c>
      <c r="K30" s="1291">
        <f>G30*18%</f>
        <v/>
      </c>
      <c r="L30" s="1291">
        <f>(G30-K30)*1.65%-(D30*1.65%)</f>
        <v/>
      </c>
      <c r="M30" s="1291">
        <f>(G30-K30)*7.6%-(D30*7.6%)</f>
        <v/>
      </c>
      <c r="N30" s="1097" t="n">
        <v>8.789999999999999</v>
      </c>
      <c r="O30" s="1320" t="n">
        <v>207.68</v>
      </c>
      <c r="P30" s="447">
        <f>G30 - (D30+H30+J30+K30+L30+M30+O30) + (N30)</f>
        <v/>
      </c>
      <c r="Q30" s="328">
        <f>(G30 - (D30+H30+K30+L30+M30+O30) + (N30)) / G30</f>
        <v/>
      </c>
      <c r="R30" s="328">
        <f>P30/G30</f>
        <v/>
      </c>
      <c r="S30" s="1206" t="n"/>
      <c r="T30" s="904" t="n"/>
      <c r="U30" s="569" t="n"/>
      <c r="V30" s="1317" t="n"/>
    </row>
    <row r="31" ht="15.75" customHeight="1" s="1349">
      <c r="A31" s="1292" t="inlineStr">
        <is>
          <t>49</t>
        </is>
      </c>
      <c r="B31" s="904" t="n"/>
      <c r="C31" s="904" t="inlineStr">
        <is>
          <t>TELA SOLDADA</t>
        </is>
      </c>
      <c r="D31" s="1285">
        <f>IF(G31&lt;50,(G31*10%)+4,(G31*6%)+6)</f>
        <v/>
      </c>
      <c r="E31" s="1286">
        <f>G31+F31</f>
        <v/>
      </c>
      <c r="F31" s="1285">
        <f>G31*0.05</f>
        <v/>
      </c>
      <c r="G31" s="1312" t="n">
        <v>189.2</v>
      </c>
      <c r="H31" s="1288">
        <f>G31*12%</f>
        <v/>
      </c>
      <c r="I31" s="1289" t="n">
        <v>0.1</v>
      </c>
      <c r="J31" s="1290">
        <f>G31*I31</f>
        <v/>
      </c>
      <c r="K31" s="1291">
        <f>G31*18%</f>
        <v/>
      </c>
      <c r="L31" s="1291">
        <f>(G31-K31)*1.65%-(D31*1.65%)</f>
        <v/>
      </c>
      <c r="M31" s="1291">
        <f>(G31-K31)*7.6%-(D31*7.6%)</f>
        <v/>
      </c>
      <c r="N31" s="1097" t="n">
        <v>9.49</v>
      </c>
      <c r="O31" s="1320" t="n">
        <v>99</v>
      </c>
      <c r="P31" s="447">
        <f>G31 - (D31+H31+J31+K31+L31+M31+O31) + (N31)</f>
        <v/>
      </c>
      <c r="Q31" s="328">
        <f>(G31 - (D31+H31+K31+L31+M31+O31) + (N31)) / G31</f>
        <v/>
      </c>
      <c r="R31" s="328">
        <f>P31/G31</f>
        <v/>
      </c>
      <c r="S31" s="1206" t="n"/>
      <c r="T31" s="904" t="n"/>
      <c r="U31" s="569" t="n"/>
      <c r="V31" s="1317" t="n"/>
    </row>
    <row r="32" ht="15.75" customHeight="1" s="1349">
      <c r="A32" s="1292" t="inlineStr">
        <is>
          <t>10034034166335</t>
        </is>
      </c>
      <c r="B32" s="904" t="n"/>
      <c r="C32" s="904" t="inlineStr">
        <is>
          <t>Tela Alvenaria 1,2x105x500mm Tl105 Amarração De Blocos 50un</t>
        </is>
      </c>
      <c r="D32" s="1285">
        <f>IF(G32&lt;50,(G32*10%)+4,(G32*6%)+6)</f>
        <v/>
      </c>
      <c r="E32" s="1286">
        <f>G32+F32</f>
        <v/>
      </c>
      <c r="F32" s="1285">
        <f>G32*0.05</f>
        <v/>
      </c>
      <c r="G32" s="1312" t="n">
        <v>82.09999999999999</v>
      </c>
      <c r="H32" s="1288">
        <f>G32*12%</f>
        <v/>
      </c>
      <c r="I32" s="1289" t="n">
        <v>0.1</v>
      </c>
      <c r="J32" s="1290">
        <f>G32*I32</f>
        <v/>
      </c>
      <c r="K32" s="1291">
        <f>G32*18%</f>
        <v/>
      </c>
      <c r="L32" s="1291">
        <f>(G32-K32)*1.65%-(D32*1.65%)</f>
        <v/>
      </c>
      <c r="M32" s="1291">
        <f>(G32-K32)*7.6%-(D32*7.6%)</f>
        <v/>
      </c>
      <c r="N32" s="1097" t="n">
        <v>3.36</v>
      </c>
      <c r="O32" s="1320" t="n">
        <v>40.525</v>
      </c>
      <c r="P32" s="447">
        <f>G32 - (D32+H32+J32+K32+L32+M32+O32) + (N32)</f>
        <v/>
      </c>
      <c r="Q32" s="328">
        <f>(G32 - (D32+H32+K32+L32+M32+O32) + (N32)) / G32</f>
        <v/>
      </c>
      <c r="R32" s="328">
        <f>P32/G32</f>
        <v/>
      </c>
      <c r="S32" s="1206" t="n"/>
      <c r="T32" s="904" t="n"/>
      <c r="U32" s="569" t="n"/>
      <c r="V32" s="1317" t="n"/>
    </row>
    <row r="33" ht="15.75" customHeight="1" s="1349">
      <c r="A33" s="1292" t="inlineStr">
        <is>
          <t>10034034167492</t>
        </is>
      </c>
      <c r="B33" s="904" t="n"/>
      <c r="C33" s="904" t="inlineStr">
        <is>
          <t>MOLA AEREA 45kg</t>
        </is>
      </c>
      <c r="D33" s="1285">
        <f>IF(G33&lt;50,(G33*10%)+4,(G33*6%)+6)</f>
        <v/>
      </c>
      <c r="E33" s="1286">
        <f>G33+F33</f>
        <v/>
      </c>
      <c r="F33" s="1285">
        <f>G33*0.05</f>
        <v/>
      </c>
      <c r="G33" s="1319" t="n">
        <v>135.2</v>
      </c>
      <c r="H33" s="1288">
        <f>G33*12%</f>
        <v/>
      </c>
      <c r="I33" s="1289" t="n">
        <v>0.1</v>
      </c>
      <c r="J33" s="1290">
        <f>G33*I33</f>
        <v/>
      </c>
      <c r="K33" s="1291">
        <f>G33*18%</f>
        <v/>
      </c>
      <c r="L33" s="1291">
        <f>(G33-K33)*1.65%-(D33*1.65%)</f>
        <v/>
      </c>
      <c r="M33" s="1291">
        <f>(G33-K33)*7.6%-(D33*7.6%)</f>
        <v/>
      </c>
      <c r="N33" s="1097" t="n">
        <v>3.05</v>
      </c>
      <c r="O33" s="1320" t="n">
        <v>67.23999999999999</v>
      </c>
      <c r="P33" s="447">
        <f>G33 - (D33+H33+J33+K33+L33+M33+O33) + (N33)</f>
        <v/>
      </c>
      <c r="Q33" s="328">
        <f>(G33 - (D33+H33+K33+L33+M33+O33) + (N33)) / G33</f>
        <v/>
      </c>
      <c r="R33" s="328">
        <f>P33/G33</f>
        <v/>
      </c>
      <c r="S33" s="1206" t="n"/>
      <c r="T33" s="904" t="n"/>
      <c r="U33" s="569" t="n"/>
      <c r="V33" s="1317" t="n"/>
    </row>
    <row r="34" ht="15.75" customHeight="1" s="1349">
      <c r="A34" s="1292" t="inlineStr">
        <is>
          <t>10034034167376</t>
        </is>
      </c>
      <c r="B34" s="904" t="n"/>
      <c r="C34" s="904" t="inlineStr">
        <is>
          <t>Kit 500 Abraçadeira Nylon Cintas Plásticas Reforçada 4,8x300</t>
        </is>
      </c>
      <c r="D34" s="1285">
        <f>IF(G34&lt;50,(G34*10%)+4,(G34*6%)+6)</f>
        <v/>
      </c>
      <c r="E34" s="1286">
        <f>G34+F34</f>
        <v/>
      </c>
      <c r="F34" s="1285">
        <f>G34*0.05</f>
        <v/>
      </c>
      <c r="G34" s="1312" t="n">
        <v>98.2</v>
      </c>
      <c r="H34" s="1288">
        <f>G34*12%</f>
        <v/>
      </c>
      <c r="I34" s="1289" t="n">
        <v>0.1</v>
      </c>
      <c r="J34" s="1290">
        <f>G34*I34</f>
        <v/>
      </c>
      <c r="K34" s="1291">
        <f>G34*18%</f>
        <v/>
      </c>
      <c r="L34" s="1291">
        <f>(G34-K34)*1.65%-(D34*1.65%)</f>
        <v/>
      </c>
      <c r="M34" s="1291">
        <f>(G34-K34)*7.6%-(D34*7.6%)</f>
        <v/>
      </c>
      <c r="N34" s="1097" t="n">
        <v>2.86</v>
      </c>
      <c r="O34" s="1320" t="n">
        <v>48</v>
      </c>
      <c r="P34" s="447">
        <f>G34 - (D34+H34+J34+K34+L34+M34+O34) + (N34)</f>
        <v/>
      </c>
      <c r="Q34" s="328">
        <f>(G34 - (D34+H34+K34+L34+M34+O34) + (N34)) / G34</f>
        <v/>
      </c>
      <c r="R34" s="328">
        <f>P34/G34</f>
        <v/>
      </c>
      <c r="S34" s="1206" t="n"/>
      <c r="T34" s="904" t="n"/>
      <c r="U34" s="569" t="n"/>
      <c r="V34" s="1317" t="n"/>
    </row>
    <row r="35" ht="15.75" customHeight="1" s="1349">
      <c r="A35" s="1292" t="inlineStr">
        <is>
          <t>10034034166811</t>
        </is>
      </c>
      <c r="B35" s="904" t="n"/>
      <c r="C35" s="904" t="inlineStr">
        <is>
          <t xml:space="preserve">SUPORTE PARA VISOR DELTAPLUS </t>
        </is>
      </c>
      <c r="D35" s="1285">
        <f>IF(G35&lt;50,(G35*10%)+4,(G35*6%)+6)</f>
        <v/>
      </c>
      <c r="E35" s="1286">
        <f>G35+F35</f>
        <v/>
      </c>
      <c r="F35" s="1285">
        <f>G35*0.05</f>
        <v/>
      </c>
      <c r="G35" s="1312" t="n">
        <v>49.98</v>
      </c>
      <c r="H35" s="1288">
        <f>G35*12%</f>
        <v/>
      </c>
      <c r="I35" s="1289" t="n">
        <v>0.1</v>
      </c>
      <c r="J35" s="1290">
        <f>G35*I35</f>
        <v/>
      </c>
      <c r="K35" s="1291">
        <f>G35*18%</f>
        <v/>
      </c>
      <c r="L35" s="1291">
        <f>(G35-K35)*1.65%-(D35*1.65%)</f>
        <v/>
      </c>
      <c r="M35" s="1291">
        <f>(G35-K35)*7.6%-(D35*7.6%)</f>
        <v/>
      </c>
      <c r="N35" s="1097" t="n">
        <v>1.04</v>
      </c>
      <c r="O35" s="1320" t="n">
        <v>21.82</v>
      </c>
      <c r="P35" s="447">
        <f>G35 - (D35+H35+J35+K35+L35+M35+O35) + (N35)</f>
        <v/>
      </c>
      <c r="Q35" s="328">
        <f>(G35 - (D35+H35+K35+L35+M35+O35) + (N35)) / G35</f>
        <v/>
      </c>
      <c r="R35" s="328">
        <f>P35/G35</f>
        <v/>
      </c>
      <c r="S35" s="1206" t="n"/>
      <c r="T35" s="904" t="n"/>
      <c r="U35" s="569" t="n"/>
      <c r="V35" s="1317" t="n"/>
    </row>
    <row r="36" ht="15.75" customHeight="1" s="1349">
      <c r="A36" s="1292" t="inlineStr">
        <is>
          <t>10034034167071</t>
        </is>
      </c>
      <c r="B36" s="904" t="n"/>
      <c r="C36" s="904" t="inlineStr">
        <is>
          <t xml:space="preserve">COLA BRANCA 500G TEKBOND </t>
        </is>
      </c>
      <c r="D36" s="1285">
        <f>IF(G36&lt;50,(G36*10%)+4,(G36*6%)+6)</f>
        <v/>
      </c>
      <c r="E36" s="1286">
        <f>G36+F36</f>
        <v/>
      </c>
      <c r="F36" s="1285">
        <f>G36*0.05</f>
        <v/>
      </c>
      <c r="G36" s="1312" t="n">
        <v>26.3</v>
      </c>
      <c r="H36" s="1288">
        <f>G36*12%</f>
        <v/>
      </c>
      <c r="I36" s="1289" t="n">
        <v>0.1</v>
      </c>
      <c r="J36" s="1290">
        <f>G36*I36</f>
        <v/>
      </c>
      <c r="K36" s="1291">
        <f>G36*18%</f>
        <v/>
      </c>
      <c r="L36" s="1291">
        <f>(G36-K36)*1.65%-(D36*1.65%)</f>
        <v/>
      </c>
      <c r="M36" s="1291">
        <f>(G36-K36)*7.6%-(D36*7.6%)</f>
        <v/>
      </c>
      <c r="N36" s="1097" t="n">
        <v>0.92</v>
      </c>
      <c r="O36" s="1320" t="n">
        <v>9.81</v>
      </c>
      <c r="P36" s="447">
        <f>G36 - (D36+H36+J36+K36+L36+M36+O36) + (N36)</f>
        <v/>
      </c>
      <c r="Q36" s="328">
        <f>(G36 - (D36+H36+K36+L36+M36+O36) + (N36)) / G36</f>
        <v/>
      </c>
      <c r="R36" s="328">
        <f>P36/G36</f>
        <v/>
      </c>
      <c r="S36" s="1206" t="n"/>
      <c r="T36" s="904" t="n"/>
      <c r="U36" s="569" t="n"/>
      <c r="V36" s="1317" t="n"/>
    </row>
    <row r="37" ht="15.75" customHeight="1" s="1349">
      <c r="A37" s="1292" t="inlineStr">
        <is>
          <t>10034034166750</t>
        </is>
      </c>
      <c r="B37" s="904" t="n"/>
      <c r="C37" s="904" t="inlineStr">
        <is>
          <t>CHUMBADOR QUIMICO 300</t>
        </is>
      </c>
      <c r="D37" s="1285">
        <f>IF(G37&lt;50,(G37*10%)+4,(G37*6%)+6)</f>
        <v/>
      </c>
      <c r="E37" s="1286">
        <f>G37+F37</f>
        <v/>
      </c>
      <c r="F37" s="1285">
        <f>G37*0.05</f>
        <v/>
      </c>
      <c r="G37" s="1312" t="n">
        <v>110.89</v>
      </c>
      <c r="H37" s="1288">
        <f>G37*12%</f>
        <v/>
      </c>
      <c r="I37" s="1289" t="n">
        <v>0.1</v>
      </c>
      <c r="J37" s="1290">
        <f>G37*I37</f>
        <v/>
      </c>
      <c r="K37" s="1291">
        <f>G37*18%</f>
        <v/>
      </c>
      <c r="L37" s="1291">
        <f>(G37-K37)*1.65%-(D37*1.65%)</f>
        <v/>
      </c>
      <c r="M37" s="1291">
        <f>(G37-K37)*7.6%-(D37*7.6%)</f>
        <v/>
      </c>
      <c r="N37" s="1097" t="n">
        <v>2.33</v>
      </c>
      <c r="O37" s="1320" t="n">
        <v>53.65</v>
      </c>
      <c r="P37" s="447">
        <f>G37 - (D37+H37+J37+K37+L37+M37+O37) + (N37)</f>
        <v/>
      </c>
      <c r="Q37" s="328">
        <f>(G37 - (D37+H37+K37+L37+M37+O37) + (N37)) / G37</f>
        <v/>
      </c>
      <c r="R37" s="328">
        <f>P37/G37</f>
        <v/>
      </c>
      <c r="S37" s="1206" t="n"/>
      <c r="T37" s="904" t="n"/>
      <c r="U37" s="569" t="n"/>
      <c r="V37" s="1317" t="n"/>
    </row>
    <row r="38" ht="15.75" customHeight="1" s="1349">
      <c r="A38" s="1292" t="inlineStr">
        <is>
          <t>10034034167465</t>
        </is>
      </c>
      <c r="B38" s="904" t="n"/>
      <c r="C38" s="904" t="inlineStr">
        <is>
          <t>DISCO DIAMANTADO 105mm</t>
        </is>
      </c>
      <c r="D38" s="1285">
        <f>IF(G38&lt;50,(G38*10%)+4,(G38*6%)+6)</f>
        <v/>
      </c>
      <c r="E38" s="1286">
        <f>G38+F38</f>
        <v/>
      </c>
      <c r="F38" s="1285">
        <f>G38*0.05</f>
        <v/>
      </c>
      <c r="G38" s="1312" t="n">
        <v>22.1</v>
      </c>
      <c r="H38" s="1288">
        <f>G38*12%</f>
        <v/>
      </c>
      <c r="I38" s="1289" t="n">
        <v>0.1</v>
      </c>
      <c r="J38" s="1290">
        <f>G38*I38</f>
        <v/>
      </c>
      <c r="K38" s="1291">
        <f>G38*18%</f>
        <v/>
      </c>
      <c r="L38" s="1291">
        <f>(G38-K38)*1.65%-(D38*1.65%)</f>
        <v/>
      </c>
      <c r="M38" s="1291">
        <f>(G38-K38)*7.6%-(D38*7.6%)</f>
        <v/>
      </c>
      <c r="N38" s="1097" t="n">
        <v>0.98</v>
      </c>
      <c r="O38" s="1320" t="n">
        <v>7.99</v>
      </c>
      <c r="P38" s="447">
        <f>G38 - (D38+H38+J38+K38+L38+M38+O38) + (N38)</f>
        <v/>
      </c>
      <c r="Q38" s="328">
        <f>(G38 - (D38+H38+K38+L38+M38+O38) + (N38)) / G38</f>
        <v/>
      </c>
      <c r="R38" s="328">
        <f>P38/G38</f>
        <v/>
      </c>
      <c r="S38" s="1206" t="n"/>
      <c r="T38" s="904" t="n"/>
      <c r="U38" s="569" t="n"/>
      <c r="V38" s="1317" t="n"/>
    </row>
    <row r="39" ht="15.75" customHeight="1" s="1349">
      <c r="A39" s="1292" t="inlineStr">
        <is>
          <t>10034034166352</t>
        </is>
      </c>
      <c r="B39" s="904" t="n"/>
      <c r="C39" s="904" t="inlineStr">
        <is>
          <t>BLACK TRATOR 8un</t>
        </is>
      </c>
      <c r="D39" s="1285">
        <f>IF(G39&lt;50,(G39*10%)+4,(G39*6%)+6)</f>
        <v/>
      </c>
      <c r="E39" s="1286">
        <f>G39+F39</f>
        <v/>
      </c>
      <c r="F39" s="1285">
        <f>G39*0.05</f>
        <v/>
      </c>
      <c r="G39" s="1312" t="n">
        <v>108.2</v>
      </c>
      <c r="H39" s="1288">
        <f>G39*12%</f>
        <v/>
      </c>
      <c r="I39" s="1289" t="n">
        <v>0.1</v>
      </c>
      <c r="J39" s="1290">
        <f>G39*I39</f>
        <v/>
      </c>
      <c r="K39" s="1291">
        <f>G39*18%</f>
        <v/>
      </c>
      <c r="L39" s="1291">
        <f>(G39-K39)*1.65%-(D39*1.65%)</f>
        <v/>
      </c>
      <c r="M39" s="1291">
        <f>(G39-K39)*7.6%-(D39*7.6%)</f>
        <v/>
      </c>
      <c r="N39" s="1097" t="n">
        <v>3.23</v>
      </c>
      <c r="O39" s="1320" t="n">
        <v>53.52</v>
      </c>
      <c r="P39" s="447">
        <f>G39 - (D39+H39+J39+K39+L39+M39+O39) + (N39)</f>
        <v/>
      </c>
      <c r="Q39" s="328">
        <f>(G39 - (D39+H39+K39+L39+M39+O39) + (N39)) / G39</f>
        <v/>
      </c>
      <c r="R39" s="328">
        <f>P39/G39</f>
        <v/>
      </c>
      <c r="S39" s="1206" t="n"/>
      <c r="T39" s="904" t="n"/>
      <c r="U39" s="569" t="n"/>
      <c r="V39" s="1317" t="n"/>
    </row>
    <row r="40" ht="15.75" customHeight="1" s="1349">
      <c r="A40" s="1292" t="inlineStr">
        <is>
          <t>800100P</t>
        </is>
      </c>
      <c r="B40" s="904" t="n"/>
      <c r="C40" s="904" t="inlineStr">
        <is>
          <t>CAPACETE CAMPER</t>
        </is>
      </c>
      <c r="D40" s="1285">
        <f>IF(G40&lt;50,(G40*10%)+4,(G40*6%)+6)</f>
        <v/>
      </c>
      <c r="E40" s="1286">
        <f>G40+F40</f>
        <v/>
      </c>
      <c r="F40" s="1285">
        <f>G40*0.05</f>
        <v/>
      </c>
      <c r="G40" s="1312" t="n">
        <v>22.6</v>
      </c>
      <c r="H40" s="1288">
        <f>G40*12%</f>
        <v/>
      </c>
      <c r="I40" s="1289" t="n">
        <v>0.1</v>
      </c>
      <c r="J40" s="1290">
        <f>G40*I40</f>
        <v/>
      </c>
      <c r="K40" s="1291">
        <f>G40*18%</f>
        <v/>
      </c>
      <c r="L40" s="1291">
        <f>(G40-K40)*1.65%-(D40*1.65%)</f>
        <v/>
      </c>
      <c r="M40" s="1291">
        <f>(G40-K40)*7.6%-(D40*7.6%)</f>
        <v/>
      </c>
      <c r="N40" s="1097" t="n">
        <v>1.01</v>
      </c>
      <c r="O40" s="1320" t="n">
        <v>8.24</v>
      </c>
      <c r="P40" s="447">
        <f>G40 - (D40+H40+J40+K40+L40+M40+O40) + (N40)</f>
        <v/>
      </c>
      <c r="Q40" s="328">
        <f>(G40 - (D40+H40+K40+L40+M40+O40) + (N40)) / G40</f>
        <v/>
      </c>
      <c r="R40" s="328">
        <f>P40/G40</f>
        <v/>
      </c>
      <c r="S40" s="1206" t="n"/>
      <c r="T40" s="904" t="n"/>
      <c r="U40" s="569" t="n"/>
      <c r="V40" s="1317" t="n"/>
    </row>
    <row r="41" ht="15.75" customHeight="1" s="1349">
      <c r="A41" s="1292" t="inlineStr">
        <is>
          <t>10034034168089</t>
        </is>
      </c>
      <c r="B41" s="904" t="n"/>
      <c r="C41" s="904" t="inlineStr">
        <is>
          <t>MANGOTE 50 UNIDADES</t>
        </is>
      </c>
      <c r="D41" s="1285">
        <f>IF(G41&lt;50,(G41*10%)+4,(G41*6%)+6)</f>
        <v/>
      </c>
      <c r="E41" s="1286">
        <f>G41+F41</f>
        <v/>
      </c>
      <c r="F41" s="1285">
        <f>G41*0.05</f>
        <v/>
      </c>
      <c r="G41" s="1312" t="n">
        <v>29.8</v>
      </c>
      <c r="H41" s="1288">
        <f>G41*12%</f>
        <v/>
      </c>
      <c r="I41" s="1289" t="n">
        <v>0.1</v>
      </c>
      <c r="J41" s="1290">
        <f>G41*I41</f>
        <v/>
      </c>
      <c r="K41" s="1291">
        <f>G41*18%</f>
        <v/>
      </c>
      <c r="L41" s="1291">
        <f>(G41-K41)*1.65%-(D41*1.65%)</f>
        <v/>
      </c>
      <c r="M41" s="1291">
        <f>(G41-K41)*7.6%-(D41*7.6%)</f>
        <v/>
      </c>
      <c r="N41" s="1097" t="n">
        <v>0.93</v>
      </c>
      <c r="O41" s="1320" t="n">
        <v>11.18</v>
      </c>
      <c r="P41" s="447">
        <f>G41 - (D41+H41+J41+K41+L41+M41+O41) + (N41)</f>
        <v/>
      </c>
      <c r="Q41" s="328">
        <f>(G41 - (D41+H41+K41+L41+M41+O41) + (N41)) / G41</f>
        <v/>
      </c>
      <c r="R41" s="328">
        <f>P41/G41</f>
        <v/>
      </c>
      <c r="S41" s="1206" t="n"/>
      <c r="T41" s="904" t="n"/>
      <c r="U41" s="569" t="n"/>
      <c r="V41" s="1317" t="n"/>
    </row>
    <row r="42" ht="15.75" customHeight="1" s="1349">
      <c r="A42" s="1292" t="inlineStr">
        <is>
          <t>NÃO TEM</t>
        </is>
      </c>
      <c r="B42" s="904" t="n"/>
      <c r="C42" s="904" t="inlineStr">
        <is>
          <t>MANGOTE 10 UNIDADES</t>
        </is>
      </c>
      <c r="D42" s="1285">
        <f>IF(G42&lt;50,(G42*10%)+4,(G42*6%)+6)</f>
        <v/>
      </c>
      <c r="E42" s="1286">
        <f>G42+F42</f>
        <v/>
      </c>
      <c r="F42" s="1285">
        <f>G42*0.05</f>
        <v/>
      </c>
      <c r="G42" s="1312" t="n">
        <v>12.15</v>
      </c>
      <c r="H42" s="1288">
        <f>G42*12%</f>
        <v/>
      </c>
      <c r="I42" s="1289" t="n">
        <v>0.1</v>
      </c>
      <c r="J42" s="1290">
        <f>G42*I42</f>
        <v/>
      </c>
      <c r="K42" s="1291">
        <f>G42*18%</f>
        <v/>
      </c>
      <c r="L42" s="1291">
        <f>(G42-K42)*1.65%-(D42*1.65%)</f>
        <v/>
      </c>
      <c r="M42" s="1291">
        <f>(G42-K42)*7.6%-(D42*7.6%)</f>
        <v/>
      </c>
      <c r="N42" s="1097" t="n">
        <v>0.19</v>
      </c>
      <c r="O42" s="1320" t="n">
        <v>2.24</v>
      </c>
      <c r="P42" s="447">
        <f>G42 - (D42+H42+J42+K42+L42+M42+O42) + (N42)</f>
        <v/>
      </c>
      <c r="Q42" s="328">
        <f>(G42 - (D42+H42+K42+L42+M42+O42) + (N42)) / G42</f>
        <v/>
      </c>
      <c r="R42" s="328">
        <f>P42/G42</f>
        <v/>
      </c>
      <c r="S42" s="1206" t="n"/>
      <c r="T42" s="904" t="n"/>
      <c r="U42" s="569" t="n"/>
      <c r="V42" s="1317" t="n"/>
    </row>
    <row r="43" ht="15.75" customHeight="1" s="1349">
      <c r="A43" s="1292" t="inlineStr">
        <is>
          <t>NÃO TEM</t>
        </is>
      </c>
      <c r="B43" s="904" t="n"/>
      <c r="C43" s="904" t="inlineStr">
        <is>
          <t>MANGOTE 100 UNIDADES</t>
        </is>
      </c>
      <c r="D43" s="1285">
        <f>IF(G43&lt;50,(G43*10%)+4,(G43*6%)+6)</f>
        <v/>
      </c>
      <c r="E43" s="1286">
        <f>G43+F43</f>
        <v/>
      </c>
      <c r="F43" s="1285">
        <f>G43*0.05</f>
        <v/>
      </c>
      <c r="G43" s="1312" t="n">
        <v>58.2</v>
      </c>
      <c r="H43" s="1288">
        <f>G43*12%</f>
        <v/>
      </c>
      <c r="I43" s="1289" t="n">
        <v>0.1</v>
      </c>
      <c r="J43" s="1290">
        <f>G43*I43</f>
        <v/>
      </c>
      <c r="K43" s="1291">
        <f>G43*18%</f>
        <v/>
      </c>
      <c r="L43" s="1291">
        <f>(G43-K43)*1.65%-(D43*1.65%)</f>
        <v/>
      </c>
      <c r="M43" s="1291">
        <f>(G43-K43)*7.6%-(D43*7.6%)</f>
        <v/>
      </c>
      <c r="N43" s="1097" t="n">
        <v>1.86</v>
      </c>
      <c r="O43" s="1320" t="n">
        <v>22.36</v>
      </c>
      <c r="P43" s="447">
        <f>G43 - (D43+H43+J43+K43+L43+M43+O43) + (N43)</f>
        <v/>
      </c>
      <c r="Q43" s="328">
        <f>(G43 - (D43+H43+K43+L43+M43+O43) + (N43)) / G43</f>
        <v/>
      </c>
      <c r="R43" s="328">
        <f>P43/G43</f>
        <v/>
      </c>
      <c r="S43" s="1206" t="n"/>
      <c r="T43" s="904" t="n"/>
      <c r="U43" s="569" t="n"/>
      <c r="V43" s="1317" t="n"/>
    </row>
    <row r="44" ht="15.75" customHeight="1" s="1349">
      <c r="A44" s="1292" t="inlineStr">
        <is>
          <t>10034034167695</t>
        </is>
      </c>
      <c r="B44" s="904" t="n"/>
      <c r="C44" s="904" t="inlineStr">
        <is>
          <t>Botina Belf Bel Ocupacional Microfibra Resistente Perfuração</t>
        </is>
      </c>
      <c r="D44" s="1285">
        <f>IF(G44&lt;50,(G44*10%)+4,(G44*6%)+6)</f>
        <v/>
      </c>
      <c r="E44" s="1286">
        <f>G44+F44</f>
        <v/>
      </c>
      <c r="F44" s="1285">
        <f>G44*0.05</f>
        <v/>
      </c>
      <c r="G44" s="1312" t="n">
        <v>148.2</v>
      </c>
      <c r="H44" s="1288">
        <f>G44*12%</f>
        <v/>
      </c>
      <c r="I44" s="1289" t="n">
        <v>0.1</v>
      </c>
      <c r="J44" s="1290">
        <f>G44*I44</f>
        <v/>
      </c>
      <c r="K44" s="1291">
        <f>G44*18%</f>
        <v/>
      </c>
      <c r="L44" s="1291">
        <f>(G44-K44)*1.65%-(D44*1.65%)</f>
        <v/>
      </c>
      <c r="M44" s="1291">
        <f>(G44-K44)*7.6%-(D44*7.6%)</f>
        <v/>
      </c>
      <c r="N44" s="1097" t="n">
        <v>4.4</v>
      </c>
      <c r="O44" s="1320" t="n">
        <v>75.76000000000001</v>
      </c>
      <c r="P44" s="447">
        <f>G44 - (D44+H44+J44+K44+L44+M44+O44) + (N44)</f>
        <v/>
      </c>
      <c r="Q44" s="328">
        <f>(G44 - (D44+H44+K44+L44+M44+O44) + (N44)) / G44</f>
        <v/>
      </c>
      <c r="R44" s="328">
        <f>P44/G44</f>
        <v/>
      </c>
      <c r="S44" s="1206" t="n"/>
      <c r="T44" s="904" t="n"/>
      <c r="U44" s="569" t="n"/>
      <c r="V44" s="1317" t="n"/>
    </row>
    <row r="45" ht="15.75" customHeight="1" s="1349">
      <c r="A45" s="1292" t="n"/>
      <c r="B45" s="904" t="n"/>
      <c r="C45" s="904" t="inlineStr">
        <is>
          <t>luva latex volk descartavel</t>
        </is>
      </c>
      <c r="D45" s="1285">
        <f>IF(G45&lt;50,(G45*10%)+4,(G45*6%)+6)</f>
        <v/>
      </c>
      <c r="E45" s="1286">
        <f>G45+F45</f>
        <v/>
      </c>
      <c r="F45" s="1285">
        <f>G45*0.05</f>
        <v/>
      </c>
      <c r="G45" s="1312" t="n">
        <v>70</v>
      </c>
      <c r="H45" s="1288">
        <f>G45*12%</f>
        <v/>
      </c>
      <c r="I45" s="1289" t="n">
        <v>0.1</v>
      </c>
      <c r="J45" s="1309">
        <f>G45*I45</f>
        <v/>
      </c>
      <c r="K45" s="340">
        <f>G45*18%</f>
        <v/>
      </c>
      <c r="L45" s="340">
        <f>(G45-K45)*1.65%-(D45*1.65%)</f>
        <v/>
      </c>
      <c r="M45" s="340">
        <f>(G45-K45)*7.6%-(D45*7.6%)</f>
        <v/>
      </c>
      <c r="N45" s="577" t="n"/>
      <c r="O45" s="701" t="n"/>
      <c r="P45" s="447">
        <f>G45 - (D45+H45+J45+K45+L45+M45+O45) + (N45)</f>
        <v/>
      </c>
      <c r="Q45" s="328">
        <f>(G45 - (D45+H45+K45+L45+M45+O45) + (N45)) / G45</f>
        <v/>
      </c>
      <c r="R45" s="328">
        <f>P45/G45</f>
        <v/>
      </c>
      <c r="S45" s="1206" t="n"/>
      <c r="T45" s="904" t="n"/>
      <c r="U45" s="569" t="n"/>
      <c r="V45" s="1317" t="n"/>
    </row>
    <row r="46" ht="15.75" customHeight="1" s="1349">
      <c r="A46" s="1292" t="n"/>
      <c r="B46" s="904" t="n"/>
      <c r="C46" s="904" t="inlineStr">
        <is>
          <t>silicone acetico 1 unid</t>
        </is>
      </c>
      <c r="D46" s="1285">
        <f>IF(G46&lt;50,(G46*10%)+4,(G46*6%)+6)</f>
        <v/>
      </c>
      <c r="E46" s="1286">
        <f>G46+F46</f>
        <v/>
      </c>
      <c r="F46" s="1285">
        <f>G46*0.05</f>
        <v/>
      </c>
      <c r="G46" s="1312" t="n">
        <v>56.9</v>
      </c>
      <c r="H46" s="1288">
        <f>G46*12%</f>
        <v/>
      </c>
      <c r="I46" s="1289" t="n">
        <v>0.1</v>
      </c>
      <c r="J46" s="1309">
        <f>G46*I46</f>
        <v/>
      </c>
      <c r="K46" s="340">
        <f>G46*18%</f>
        <v/>
      </c>
      <c r="L46" s="340">
        <f>(G46-K46)*1.65%-(D46*1.65%)</f>
        <v/>
      </c>
      <c r="M46" s="340">
        <f>(G46-K46)*7.6%-(D46*7.6%)</f>
        <v/>
      </c>
      <c r="N46" s="1097" t="n">
        <v>1.07</v>
      </c>
      <c r="O46" s="701" t="n">
        <v>10.74</v>
      </c>
      <c r="P46" s="447">
        <f>G46 - (D46+H46+J46+K46+L46+M46+O46) + (N46)</f>
        <v/>
      </c>
      <c r="Q46" s="328">
        <f>(G46 - (D46+H46+K46+L46+M46+O46) + (N46)) / G46</f>
        <v/>
      </c>
      <c r="R46" s="328">
        <f>P46/G46</f>
        <v/>
      </c>
      <c r="S46" s="1206" t="n"/>
      <c r="T46" s="904" t="n"/>
      <c r="U46" s="569" t="n"/>
      <c r="V46" s="1317" t="n"/>
    </row>
    <row r="47" ht="15.75" customHeight="1" s="1349">
      <c r="A47" s="1292" t="n"/>
      <c r="B47" s="904" t="n"/>
      <c r="C47" s="904" t="inlineStr">
        <is>
          <t>silicone acetico 3 unid</t>
        </is>
      </c>
      <c r="D47" s="1285">
        <f>IF(G47&lt;50,(G47*10%)+4,(G47*6%)+6)</f>
        <v/>
      </c>
      <c r="E47" s="1286">
        <f>G47+F47</f>
        <v/>
      </c>
      <c r="F47" s="1285">
        <f>G47*0.05</f>
        <v/>
      </c>
      <c r="G47" s="1312" t="n">
        <v>169.9</v>
      </c>
      <c r="H47" s="1288">
        <f>G47*12%</f>
        <v/>
      </c>
      <c r="I47" s="1289" t="n">
        <v>0.1</v>
      </c>
      <c r="J47" s="1309">
        <f>G47*I47</f>
        <v/>
      </c>
      <c r="K47" s="340">
        <f>G47*18%</f>
        <v/>
      </c>
      <c r="L47" s="340">
        <f>(G47-K47)*1.65%-(D47*1.65%)</f>
        <v/>
      </c>
      <c r="M47" s="340">
        <f>(G47-K47)*7.6%-(D47*7.6%)</f>
        <v/>
      </c>
      <c r="N47" s="1097" t="n">
        <v>3.21</v>
      </c>
      <c r="O47" s="701" t="n">
        <v>32.22</v>
      </c>
      <c r="P47" s="447">
        <f>G47 - (D47+H47+J47+K47+L47+M47+O47) + (N47)</f>
        <v/>
      </c>
      <c r="Q47" s="328">
        <f>(G47 - (D47+H47+K47+L47+M47+O47) + (N47)) / G47</f>
        <v/>
      </c>
      <c r="R47" s="328">
        <f>P47/G47</f>
        <v/>
      </c>
      <c r="S47" s="1206" t="n"/>
      <c r="T47" s="904" t="n"/>
      <c r="U47" s="569" t="n"/>
      <c r="V47" s="1317" t="n"/>
    </row>
    <row r="48" ht="15.75" customHeight="1" s="1349">
      <c r="A48" s="1292" t="n"/>
      <c r="B48" s="904" t="n"/>
      <c r="C48" s="904" t="inlineStr">
        <is>
          <t>silicone acetico 10 unid</t>
        </is>
      </c>
      <c r="D48" s="1285">
        <f>IF(G48&lt;50,(G48*10%)+4,(G48*6%)+6)</f>
        <v/>
      </c>
      <c r="E48" s="1286">
        <f>G48+F48</f>
        <v/>
      </c>
      <c r="F48" s="1285">
        <f>G48*0.05</f>
        <v/>
      </c>
      <c r="G48" s="1312" t="n">
        <v>559.9</v>
      </c>
      <c r="H48" s="1288">
        <f>G48*12%</f>
        <v/>
      </c>
      <c r="I48" s="1289" t="n">
        <v>0.1</v>
      </c>
      <c r="J48" s="1309">
        <f>G48*I48</f>
        <v/>
      </c>
      <c r="K48" s="340">
        <f>G48*18%</f>
        <v/>
      </c>
      <c r="L48" s="340">
        <f>(G48-K48)*1.65%-(D48*1.65%)</f>
        <v/>
      </c>
      <c r="M48" s="340">
        <f>(G48-K48)*7.6%-(D48*7.6%)</f>
        <v/>
      </c>
      <c r="N48" s="1097" t="n">
        <v>10.7</v>
      </c>
      <c r="O48" s="701" t="n">
        <v>107.4</v>
      </c>
      <c r="P48" s="447">
        <f>G48 - (D48+H48+J48+K48+L48+M48+O48) + (N48)</f>
        <v/>
      </c>
      <c r="Q48" s="328">
        <f>(G48 - (D48+H48+K48+L48+M48+O48) + (N48)) / G48</f>
        <v/>
      </c>
      <c r="R48" s="328">
        <f>P48/G48</f>
        <v/>
      </c>
      <c r="S48" s="1206" t="n"/>
      <c r="T48" s="904" t="n"/>
      <c r="U48" s="569" t="n"/>
      <c r="V48" s="1317" t="n"/>
    </row>
    <row r="49" ht="15.75" customHeight="1" s="1349">
      <c r="A49" s="1292" t="n"/>
      <c r="B49" s="904" t="inlineStr">
        <is>
          <t>Nutriex</t>
        </is>
      </c>
      <c r="C49" s="904" t="inlineStr">
        <is>
          <t>CREME PROTETOR</t>
        </is>
      </c>
      <c r="D49" s="1285">
        <f>IF(G49&lt;50,(G49*10%)+4,(G49*6%)+6)</f>
        <v/>
      </c>
      <c r="E49" s="1286">
        <f>G49+F49</f>
        <v/>
      </c>
      <c r="F49" s="1285">
        <f>G49*0.05</f>
        <v/>
      </c>
      <c r="G49" s="1312" t="n">
        <v>109.9</v>
      </c>
      <c r="H49" s="1301">
        <f>G49*12%</f>
        <v/>
      </c>
      <c r="I49" s="1289" t="n">
        <v>0.1</v>
      </c>
      <c r="J49" s="1310">
        <f>G49*I49</f>
        <v/>
      </c>
      <c r="K49" s="1311">
        <f>G49*18%</f>
        <v/>
      </c>
      <c r="L49" s="1311">
        <f>(G49-K49)*1.65%-(D49*1.65%)</f>
        <v/>
      </c>
      <c r="M49" s="340">
        <f>(G49-K49)*7.6%-(D49*7.6%)</f>
        <v/>
      </c>
      <c r="N49" s="577" t="n"/>
      <c r="O49" s="701" t="n"/>
      <c r="P49" s="447">
        <f>G49 - (D49+H49+J49+K49+L49+M49+O49) + (N49)</f>
        <v/>
      </c>
      <c r="Q49" s="328">
        <f>(G49 - (D49+H49+K49+L49+M49+O49) + (N49)) / G49</f>
        <v/>
      </c>
      <c r="R49" s="328">
        <f>P49/G49</f>
        <v/>
      </c>
      <c r="S49" s="1206" t="n"/>
      <c r="T49" s="904" t="n"/>
      <c r="U49" s="569" t="n"/>
      <c r="V49" s="1317" t="n"/>
    </row>
    <row r="50" ht="15.75" customHeight="1" s="1349">
      <c r="A50" s="1292" t="n"/>
      <c r="B50" s="904" t="n"/>
      <c r="C50" s="904" t="inlineStr">
        <is>
          <t>Bota Manobreiro Metatarso Antiperfuro Composite Bidensidade</t>
        </is>
      </c>
      <c r="D50" s="1285">
        <f>IF(G50&lt;50,(G50*10%)+4,(G50*6%)+6)</f>
        <v/>
      </c>
      <c r="E50" s="1286">
        <f>G50+F50</f>
        <v/>
      </c>
      <c r="F50" s="1285">
        <f>G50*0.05</f>
        <v/>
      </c>
      <c r="G50" s="1312" t="n">
        <v>15</v>
      </c>
      <c r="H50" s="1301">
        <f>G50*12%</f>
        <v/>
      </c>
      <c r="I50" s="1289" t="n">
        <v>0.1</v>
      </c>
      <c r="J50" s="1310">
        <f>G50*I50</f>
        <v/>
      </c>
      <c r="K50" s="1303" t="n"/>
      <c r="L50" s="1303">
        <f>(G50-K50)*1.65%-(D50*1.65%)</f>
        <v/>
      </c>
      <c r="M50" s="1291">
        <f>(G50-K50)*7.6%-(D50*7.6%)</f>
        <v/>
      </c>
      <c r="N50" s="1097" t="n">
        <v>21.18</v>
      </c>
      <c r="O50" s="1320" t="n"/>
      <c r="P50" s="447">
        <f>G50 - (D50+H50+J50+K50+L50+M50+O50) + (N50)</f>
        <v/>
      </c>
      <c r="Q50" s="328">
        <f>(G50 - (D50+H50+K50+L50+M50+O50) + (N50)) / G50</f>
        <v/>
      </c>
      <c r="R50" s="328">
        <f>P50/G50</f>
        <v/>
      </c>
      <c r="S50" s="1206" t="n"/>
      <c r="T50" s="904" t="n"/>
      <c r="U50" s="569" t="n"/>
      <c r="V50" s="1317" t="n"/>
    </row>
    <row r="51" ht="15.75" customHeight="1" s="1349">
      <c r="A51" s="1292" t="inlineStr">
        <is>
          <t>42</t>
        </is>
      </c>
      <c r="B51" s="904" t="n"/>
      <c r="C51" s="904" t="inlineStr">
        <is>
          <t>Pino Liso Ação Indireta 1/4x28 C/ Arruela Conica 23mm Ancora</t>
        </is>
      </c>
      <c r="D51" s="1285">
        <f>IF(G51&lt;50,(G51*10%)+4,(G51*6%)+6)</f>
        <v/>
      </c>
      <c r="E51" s="1286">
        <f>G51+F51</f>
        <v/>
      </c>
      <c r="F51" s="1285">
        <f>G51*0.05</f>
        <v/>
      </c>
      <c r="G51" s="1312" t="n">
        <v>42.1</v>
      </c>
      <c r="H51" s="1301">
        <f>G51*12%</f>
        <v/>
      </c>
      <c r="I51" s="1289" t="n">
        <v>0.1</v>
      </c>
      <c r="J51" s="1310">
        <f>G51*I51</f>
        <v/>
      </c>
      <c r="K51" s="1303">
        <f>G51*18%</f>
        <v/>
      </c>
      <c r="L51" s="1303">
        <f>(G51-K51)*1.65%-(D51*1.65%)</f>
        <v/>
      </c>
      <c r="M51" s="1291">
        <f>(G51-K51)*7.6%-(D51*7.6%)</f>
        <v/>
      </c>
      <c r="N51" s="1097" t="n">
        <v>0.96</v>
      </c>
      <c r="O51" s="1320" t="n">
        <v>14.27</v>
      </c>
      <c r="P51" s="447">
        <f>G51 - (D51+H51+J51+K51+L51+M51+O51) + (N51)</f>
        <v/>
      </c>
      <c r="Q51" s="328">
        <f>(G51 - (D51+H51+K51+L51+M51+O51) + (N51)) / G51</f>
        <v/>
      </c>
      <c r="R51" s="328">
        <f>P51/G51</f>
        <v/>
      </c>
      <c r="S51" s="1206" t="n"/>
      <c r="T51" s="904" t="n"/>
      <c r="U51" s="569" t="n"/>
      <c r="V51" s="1317" t="n"/>
    </row>
    <row r="52" ht="15.75" customHeight="1" s="1349">
      <c r="A52" s="1292" t="inlineStr">
        <is>
          <t>PXCL142813</t>
        </is>
      </c>
      <c r="B52" s="904" t="n"/>
      <c r="C52" s="904" t="inlineStr">
        <is>
          <t>Pino Liso Clip Cadeirinha 13mm Ação Indireta 1/4x28mm 100un</t>
        </is>
      </c>
      <c r="D52" s="1285">
        <f>IF(G52&lt;50,(G52*10%)+4,(G52*6%)+6)</f>
        <v/>
      </c>
      <c r="E52" s="1286">
        <f>G52+F52</f>
        <v/>
      </c>
      <c r="F52" s="1285">
        <f>G52*0.05</f>
        <v/>
      </c>
      <c r="G52" s="1319" t="n">
        <v>49.89</v>
      </c>
      <c r="H52" s="1301">
        <f>G52*12%</f>
        <v/>
      </c>
      <c r="I52" s="1289" t="n">
        <v>0.1</v>
      </c>
      <c r="J52" s="1310">
        <f>G52*I52</f>
        <v/>
      </c>
      <c r="K52" s="1303">
        <f>G52*18%</f>
        <v/>
      </c>
      <c r="L52" s="1303">
        <f>(G52-K52)*1.65%-(D52*1.65%)</f>
        <v/>
      </c>
      <c r="M52" s="1291">
        <f>(G52-K52)*7.6%-(D52*7.6%)</f>
        <v/>
      </c>
      <c r="N52" s="1097" t="n">
        <v>1.09</v>
      </c>
      <c r="O52" s="1320" t="n">
        <v>21.04</v>
      </c>
      <c r="P52" s="447">
        <f>G52 - (D52+H52+J52+K52+L52+M52+O52) + (N52)</f>
        <v/>
      </c>
      <c r="Q52" s="328">
        <f>(G52 - (D52+H52+K52+L52+M52+O52) + (N52)) / G52</f>
        <v/>
      </c>
      <c r="R52" s="328">
        <f>P52/G52</f>
        <v/>
      </c>
      <c r="S52" s="1206" t="n"/>
      <c r="T52" s="904" t="n"/>
      <c r="U52" s="569" t="n"/>
      <c r="V52" s="1317" t="n"/>
    </row>
    <row r="53" ht="15.75" customHeight="1" s="1349">
      <c r="A53" s="1292" t="inlineStr">
        <is>
          <t>48</t>
        </is>
      </c>
      <c r="B53" s="904" t="n"/>
      <c r="C53" s="904" t="inlineStr">
        <is>
          <t>Arame Galvanizado Bwg 18 Liso 1kg Drywall Gesso Forro</t>
        </is>
      </c>
      <c r="D53" s="1285">
        <f>IF(G53&lt;50,(G53*10%)+4,(G53*6%)+6)</f>
        <v/>
      </c>
      <c r="E53" s="1286">
        <f>G53+F53</f>
        <v/>
      </c>
      <c r="F53" s="1285">
        <f>G53*0.05</f>
        <v/>
      </c>
      <c r="G53" s="1312" t="n">
        <v>36.2</v>
      </c>
      <c r="H53" s="1301">
        <f>G53*12%</f>
        <v/>
      </c>
      <c r="I53" s="1289" t="n">
        <v>0.1</v>
      </c>
      <c r="J53" s="1310">
        <f>G53*I53</f>
        <v/>
      </c>
      <c r="K53" s="1303">
        <f>G53*18%</f>
        <v/>
      </c>
      <c r="L53" s="1303">
        <f>(G53-K53)*1.65%-(D53*1.65%)</f>
        <v/>
      </c>
      <c r="M53" s="1291">
        <f>(G53-K53)*7.6%-(D53*7.6%)</f>
        <v/>
      </c>
      <c r="N53" s="1097" t="n">
        <v>0.95</v>
      </c>
      <c r="O53" s="1320" t="n">
        <v>12.23</v>
      </c>
      <c r="P53" s="447">
        <f>G53 - (D53+H53+J53+K53+L53+M53+O53) + (N53)</f>
        <v/>
      </c>
      <c r="Q53" s="328">
        <f>(G53 - (D53+H53+K53+L53+M53+O53) + (N53)) / G53</f>
        <v/>
      </c>
      <c r="R53" s="328">
        <f>P53/G53</f>
        <v/>
      </c>
      <c r="S53" s="1206" t="n"/>
      <c r="T53" s="904" t="n"/>
      <c r="U53" s="569" t="n"/>
      <c r="V53" s="1317" t="n"/>
    </row>
    <row r="54" ht="15.75" customHeight="1" s="1349">
      <c r="A54" s="1292" t="inlineStr">
        <is>
          <t>700302-35</t>
        </is>
      </c>
      <c r="B54" s="904" t="n"/>
      <c r="C54" s="904" t="inlineStr">
        <is>
          <t>Bota De Segurança Marluvas Vulcaflex Bico De Pvc - Ca 43377</t>
        </is>
      </c>
      <c r="D54" s="1285">
        <f>IF(G54&lt;50,(G54*10%)+4,(G54*6%)+6)</f>
        <v/>
      </c>
      <c r="E54" s="1286">
        <f>G54+F54</f>
        <v/>
      </c>
      <c r="F54" s="1285">
        <f>G54*0.05</f>
        <v/>
      </c>
      <c r="G54" s="1312" t="n"/>
      <c r="H54" s="1301">
        <f>G54*12%</f>
        <v/>
      </c>
      <c r="I54" s="1289" t="n">
        <v>0.1</v>
      </c>
      <c r="J54" s="1310">
        <f>G54*I54</f>
        <v/>
      </c>
      <c r="K54" s="1303">
        <f>G54*18%</f>
        <v/>
      </c>
      <c r="L54" s="1303">
        <f>(G54-K54)*1.65%-(D54*1.65%)</f>
        <v/>
      </c>
      <c r="M54" s="1291">
        <f>(G54-K54)*7.6%-(D54*7.6%)</f>
        <v/>
      </c>
      <c r="N54" s="577" t="n"/>
      <c r="O54" s="1320" t="n"/>
      <c r="P54" s="447">
        <f>G54 - (D54+H54+J54+K54+L54+M54+O54) + (N54)</f>
        <v/>
      </c>
      <c r="Q54" s="328">
        <f>(G54 - (D54+H54+K54+L54+M54+O54) + (N54)) / G54</f>
        <v/>
      </c>
      <c r="R54" s="328">
        <f>P54/G54</f>
        <v/>
      </c>
      <c r="S54" s="1206" t="n"/>
      <c r="T54" s="904" t="n"/>
      <c r="U54" s="569" t="n"/>
      <c r="V54" s="1317" t="n"/>
    </row>
    <row r="55" ht="15.75" customHeight="1" s="1349">
      <c r="A55" s="1292" t="inlineStr">
        <is>
          <t>10034034166586</t>
        </is>
      </c>
      <c r="B55" s="904" t="n"/>
      <c r="C55" s="904" t="inlineStr">
        <is>
          <t>Kit 10 Luva De Látex Natural E Neoprene Bicolor - Volk 16779</t>
        </is>
      </c>
      <c r="D55" s="1285">
        <f>IF(G55&lt;50,(G55*10%)+4,(G55*6%)+6)</f>
        <v/>
      </c>
      <c r="E55" s="1286">
        <f>G55+F55</f>
        <v/>
      </c>
      <c r="F55" s="1285">
        <f>G55*0.05</f>
        <v/>
      </c>
      <c r="G55" s="1319" t="n">
        <v>119.2</v>
      </c>
      <c r="H55" s="1301">
        <f>G55*12%</f>
        <v/>
      </c>
      <c r="I55" s="1289" t="n">
        <v>0.1</v>
      </c>
      <c r="J55" s="1310">
        <f>G55*I55</f>
        <v/>
      </c>
      <c r="K55" s="1303">
        <f>G55*18%</f>
        <v/>
      </c>
      <c r="L55" s="1303">
        <f>(G55-K55)*1.65%-(D55*1.65%)</f>
        <v/>
      </c>
      <c r="M55" s="1291">
        <f>(G55-K55)*7.6%-(D55*7.6%)</f>
        <v/>
      </c>
      <c r="N55" s="1097" t="n">
        <v>2.72</v>
      </c>
      <c r="O55" s="1320" t="n">
        <v>53</v>
      </c>
      <c r="P55" s="447">
        <f>G55 - (D55+H55+J55+K55+L55+M55+O55) + (N55)</f>
        <v/>
      </c>
      <c r="Q55" s="328">
        <f>(G55 - (D55+H55+K55+L55+M55+O55) + (N55)) / G55</f>
        <v/>
      </c>
      <c r="R55" s="328">
        <f>P55/G55</f>
        <v/>
      </c>
      <c r="S55" s="1206" t="n"/>
      <c r="T55" s="904" t="n"/>
      <c r="U55" s="569" t="n"/>
      <c r="V55" s="1317" t="n"/>
    </row>
    <row r="56" ht="15.75" customHeight="1" s="1349">
      <c r="A56" s="1292" t="inlineStr">
        <is>
          <t>1736005374409475975</t>
        </is>
      </c>
      <c r="B56" s="904" t="n"/>
      <c r="C56" s="904" t="inlineStr">
        <is>
          <t>Parafuso Drywall Tromb. Ponta De Agulha 3,5x35 500 Pçs Gn35</t>
        </is>
      </c>
      <c r="D56" s="1285">
        <f>IF(G56&lt;50,(G56*10%)+4,(G56*6%)+6)</f>
        <v/>
      </c>
      <c r="E56" s="1286">
        <f>G56+F56</f>
        <v/>
      </c>
      <c r="F56" s="1285">
        <f>G56*0.05</f>
        <v/>
      </c>
      <c r="G56" s="1312" t="n"/>
      <c r="H56" s="1301">
        <f>G56*12%</f>
        <v/>
      </c>
      <c r="I56" s="1289" t="n">
        <v>0.1</v>
      </c>
      <c r="J56" s="1310">
        <f>G56*I56</f>
        <v/>
      </c>
      <c r="K56" s="1303">
        <f>G56*18%</f>
        <v/>
      </c>
      <c r="L56" s="1303">
        <f>(G56-K56)*1.65%-(D56*1.65%)</f>
        <v/>
      </c>
      <c r="M56" s="1291">
        <f>(G56-K56)*7.6%-(D56*7.6%)</f>
        <v/>
      </c>
      <c r="N56" s="577" t="n"/>
      <c r="O56" s="1320" t="n"/>
      <c r="P56" s="447">
        <f>G56 - (D56+H56+J56+K56+L56+M56+O56) + (N56)</f>
        <v/>
      </c>
      <c r="Q56" s="328">
        <f>(G56 - (D56+H56+K56+L56+M56+O56) + (N56)) / G56</f>
        <v/>
      </c>
      <c r="R56" s="328">
        <f>P56/G56</f>
        <v/>
      </c>
      <c r="S56" s="1206" t="n"/>
      <c r="T56" s="904" t="n"/>
      <c r="U56" s="569" t="n"/>
      <c r="V56" s="1317" t="n"/>
    </row>
    <row r="57" ht="15.75" customHeight="1" s="1349">
      <c r="A57" s="1292" t="inlineStr">
        <is>
          <t>10034034166358</t>
        </is>
      </c>
      <c r="B57" s="904" t="n"/>
      <c r="C57" s="904" t="inlineStr">
        <is>
          <t>Luva Mucambo Pro 157 Latex Antiderrapante Reforçada 10 Pares</t>
        </is>
      </c>
      <c r="D57" s="1285">
        <f>IF(G57&lt;50,(G57*10%)+4,(G57*6%)+6)</f>
        <v/>
      </c>
      <c r="E57" s="1286">
        <f>G57+F57</f>
        <v/>
      </c>
      <c r="F57" s="1285">
        <f>G57*0.05</f>
        <v/>
      </c>
      <c r="G57" s="1319" t="n">
        <v>98.2</v>
      </c>
      <c r="H57" s="1301">
        <f>G57*12%</f>
        <v/>
      </c>
      <c r="I57" s="1289" t="n">
        <v>0.1</v>
      </c>
      <c r="J57" s="1310">
        <f>G57*I57</f>
        <v/>
      </c>
      <c r="K57" s="1303">
        <f>G57*18%</f>
        <v/>
      </c>
      <c r="L57" s="1303">
        <f>(G57-K57)*1.65%-(D57*1.65%)</f>
        <v/>
      </c>
      <c r="M57" s="1291">
        <f>(G57-K57)*7.6%-(D57*7.6%)</f>
        <v/>
      </c>
      <c r="N57" s="1097" t="n">
        <v>1.7</v>
      </c>
      <c r="O57" s="1320" t="n">
        <v>46.4</v>
      </c>
      <c r="P57" s="447">
        <f>G57 - (D57+H57+J57+K57+L57+M57+O57) + (N57)</f>
        <v/>
      </c>
      <c r="Q57" s="328">
        <f>(G57 - (D57+H57+K57+L57+M57+O57) + (N57)) / G57</f>
        <v/>
      </c>
      <c r="R57" s="328">
        <f>P57/G57</f>
        <v/>
      </c>
      <c r="S57" s="1206" t="n"/>
      <c r="T57" s="904" t="n"/>
      <c r="U57" s="569" t="n"/>
      <c r="V57" s="1317" t="n"/>
    </row>
    <row r="58" ht="15.75" customHeight="1" s="1349">
      <c r="A58" s="1292" t="inlineStr">
        <is>
          <t>64</t>
        </is>
      </c>
      <c r="B58" s="904" t="n"/>
      <c r="C58" s="904" t="inlineStr">
        <is>
          <t>Luva Soldador Weld Master Alta Temperatura Até 500ºc 41cm DIREITA E ESQUERDA</t>
        </is>
      </c>
      <c r="D58" s="1285">
        <f>IF(G58&lt;50,(G58*10%)+4,(G58*6%)+6)</f>
        <v/>
      </c>
      <c r="E58" s="1286">
        <f>G58+F58</f>
        <v/>
      </c>
      <c r="F58" s="1285">
        <f>G58*0.05</f>
        <v/>
      </c>
      <c r="G58" s="1319" t="n">
        <v>103.2</v>
      </c>
      <c r="H58" s="1301">
        <f>G58*12%</f>
        <v/>
      </c>
      <c r="I58" s="1289" t="n">
        <v>0.1</v>
      </c>
      <c r="J58" s="1310">
        <f>G58*I58</f>
        <v/>
      </c>
      <c r="K58" s="1303">
        <f>G58*18%</f>
        <v/>
      </c>
      <c r="L58" s="1303">
        <f>(G58-K58)*1.65%-(D58*1.65%)</f>
        <v/>
      </c>
      <c r="M58" s="1291">
        <f>(G58-K58)*7.6%-(D58*7.6%)</f>
        <v/>
      </c>
      <c r="N58" s="1097" t="n">
        <v>2.56</v>
      </c>
      <c r="O58" s="1297" t="n">
        <v>50.62</v>
      </c>
      <c r="P58" s="447">
        <f>G58 - (D58+H58+J58+K58+L58+M58+O58) + (N58)</f>
        <v/>
      </c>
      <c r="Q58" s="328">
        <f>(G58 - (D58+H58+K58+L58+M58+O58) + (N58)) / G58</f>
        <v/>
      </c>
      <c r="R58" s="328">
        <f>P58/G58</f>
        <v/>
      </c>
      <c r="S58" s="1206" t="n"/>
      <c r="T58" s="904" t="n"/>
      <c r="U58" s="569" t="n"/>
      <c r="V58" s="1317" t="n"/>
    </row>
    <row r="59" ht="15.75" customHeight="1" s="1349">
      <c r="A59" s="1292" t="inlineStr">
        <is>
          <t>WELD_MASTER_DIR</t>
        </is>
      </c>
      <c r="B59" s="904" t="n"/>
      <c r="C59" s="904" t="inlineStr">
        <is>
          <t>DIREITA Luva Soldador Weld Master Alta Temperatura Até 500ºc 41cm DIREITA E ESQUERDA</t>
        </is>
      </c>
      <c r="D59" s="1285">
        <f>IF(G59&lt;50,(G59*10%)+4,(G59*6%)+6)</f>
        <v/>
      </c>
      <c r="E59" s="1286">
        <f>G59+F59</f>
        <v/>
      </c>
      <c r="F59" s="1285">
        <f>G59*0.05</f>
        <v/>
      </c>
      <c r="G59" s="1319" t="n">
        <v>56.3</v>
      </c>
      <c r="H59" s="1301">
        <f>G59*12%</f>
        <v/>
      </c>
      <c r="I59" s="1289" t="n">
        <v>0.1</v>
      </c>
      <c r="J59" s="1310">
        <f>G59*I59</f>
        <v/>
      </c>
      <c r="K59" s="1303">
        <f>G59*18%</f>
        <v/>
      </c>
      <c r="L59" s="1303">
        <f>(G59-K59)*1.65%-(D59*1.65%)</f>
        <v/>
      </c>
      <c r="M59" s="1291">
        <f>(G59-K59)*7.6%-(D59*7.6%)</f>
        <v/>
      </c>
      <c r="N59" s="1097" t="n">
        <v>1.62</v>
      </c>
      <c r="O59" s="1297" t="n">
        <v>25.31</v>
      </c>
      <c r="P59" s="447">
        <f>G59 - (D59+H59+J59+K59+L59+M59+O59) + (N59)</f>
        <v/>
      </c>
      <c r="Q59" s="328">
        <f>(G59 - (D59+H59+K59+L59+M59+O59) + (N59)) / G59</f>
        <v/>
      </c>
      <c r="R59" s="328">
        <f>P59/G59</f>
        <v/>
      </c>
      <c r="S59" s="1206" t="n"/>
      <c r="T59" s="904" t="n"/>
      <c r="U59" s="569" t="n"/>
      <c r="V59" s="1317" t="n"/>
    </row>
    <row r="60" ht="15.75" customHeight="1" s="1349">
      <c r="A60" s="1292" t="n"/>
      <c r="B60" s="904" t="n"/>
      <c r="C60" s="904" t="inlineStr">
        <is>
          <t>ESQUERDA Luva Soldador Weld Master Alta Temperatura Até 500ºc 41cm DIREITA E ESQUERDA</t>
        </is>
      </c>
      <c r="D60" s="1285">
        <f>IF(G60&lt;50,(G60*10%)+4,(G60*6%)+6)</f>
        <v/>
      </c>
      <c r="E60" s="1286">
        <f>G60+F60</f>
        <v/>
      </c>
      <c r="F60" s="1285">
        <f>G60*0.05</f>
        <v/>
      </c>
      <c r="G60" s="1319" t="n">
        <v>56.3</v>
      </c>
      <c r="H60" s="1301">
        <f>G60*12%</f>
        <v/>
      </c>
      <c r="I60" s="1289" t="n">
        <v>0.1</v>
      </c>
      <c r="J60" s="1310">
        <f>G60*I60</f>
        <v/>
      </c>
      <c r="K60" s="1303">
        <f>G60*18%</f>
        <v/>
      </c>
      <c r="L60" s="1303">
        <f>(G60-K60)*1.65%-(D60*1.65%)</f>
        <v/>
      </c>
      <c r="M60" s="1291">
        <f>(G60-K60)*7.6%-(D60*7.6%)</f>
        <v/>
      </c>
      <c r="N60" s="1097" t="n">
        <v>1.62</v>
      </c>
      <c r="O60" s="1297" t="n">
        <v>25.31</v>
      </c>
      <c r="P60" s="447">
        <f>G60 - (D60+H60+J60+K60+L60+M60+O60) + (N60)</f>
        <v/>
      </c>
      <c r="Q60" s="328">
        <f>(G60 - (D60+H60+K60+L60+M60+O60) + (N60)) / G60</f>
        <v/>
      </c>
      <c r="R60" s="328">
        <f>P60/G60</f>
        <v/>
      </c>
      <c r="S60" s="1206" t="n"/>
      <c r="T60" s="904" t="n"/>
      <c r="U60" s="569" t="n"/>
      <c r="V60" s="1317" t="n"/>
    </row>
    <row r="61" ht="15.75" customHeight="1" s="1349">
      <c r="A61" s="1292" t="inlineStr">
        <is>
          <t>FTD5090</t>
        </is>
      </c>
      <c r="B61" s="904" t="n"/>
      <c r="C61" s="904" t="inlineStr">
        <is>
          <t>Fita Adesiva Telada Juntas Trincas Drywall Gesso 90m X 48mm</t>
        </is>
      </c>
      <c r="D61" s="1285">
        <f>IF(G61&lt;50,(G61*10%)+4,(G61*6%)+6)</f>
        <v/>
      </c>
      <c r="E61" s="1286">
        <f>G61+F61</f>
        <v/>
      </c>
      <c r="F61" s="1285">
        <f>G61*0.05</f>
        <v/>
      </c>
      <c r="G61" s="1319" t="n">
        <v>30.98</v>
      </c>
      <c r="H61" s="1301">
        <f>G61*12%</f>
        <v/>
      </c>
      <c r="I61" s="1289" t="n">
        <v>0.1</v>
      </c>
      <c r="J61" s="1310">
        <f>G61*I61</f>
        <v/>
      </c>
      <c r="K61" s="1303">
        <f>G61*18%</f>
        <v/>
      </c>
      <c r="L61" s="1303">
        <f>(G61-K61)*1.65%-(D61*1.65%)</f>
        <v/>
      </c>
      <c r="M61" s="1291">
        <f>(G61-K61)*7.6%-(D61*7.6%)</f>
        <v/>
      </c>
      <c r="N61" s="1097" t="n">
        <v>0.95</v>
      </c>
      <c r="O61" s="1320" t="n">
        <v>11.97</v>
      </c>
      <c r="P61" s="447">
        <f>G61 - (D61+H61+J61+K61+L61+M61+O61) + (N61)</f>
        <v/>
      </c>
      <c r="Q61" s="328">
        <f>(G61 - (D61+H61+K61+L61+M61+O61) + (N61)) / G61</f>
        <v/>
      </c>
      <c r="R61" s="328">
        <f>P61/G61</f>
        <v/>
      </c>
      <c r="S61" s="1206" t="n"/>
      <c r="T61" s="904" t="n"/>
      <c r="U61" s="569" t="n"/>
      <c r="V61" s="1317" t="n"/>
    </row>
    <row r="62" ht="15.75" customHeight="1" s="1349">
      <c r="A62" s="1292" t="inlineStr">
        <is>
          <t>266</t>
        </is>
      </c>
      <c r="B62" s="904" t="n"/>
      <c r="C62" s="904" t="inlineStr">
        <is>
          <t>Colete Refletivo Fluorescente Blusão Segurança Sinalização</t>
        </is>
      </c>
      <c r="D62" s="1285">
        <f>IF(G62&lt;50,(G62*10%)+4,(G62*6%)+6)</f>
        <v/>
      </c>
      <c r="E62" s="1286">
        <f>G62+F62</f>
        <v/>
      </c>
      <c r="F62" s="1285">
        <f>G62*0.05</f>
        <v/>
      </c>
      <c r="G62" s="1319" t="n">
        <v>26.89</v>
      </c>
      <c r="H62" s="1301">
        <f>G62*12%</f>
        <v/>
      </c>
      <c r="I62" s="1289" t="n">
        <v>0.1</v>
      </c>
      <c r="J62" s="1310">
        <f>G62*I62</f>
        <v/>
      </c>
      <c r="K62" s="1303">
        <f>G62*18%</f>
        <v/>
      </c>
      <c r="L62" s="1303">
        <f>(G62-K62)*1.65%-(D62*1.65%)</f>
        <v/>
      </c>
      <c r="M62" s="1291">
        <f>(G62-K62)*7.6%-(D62*7.6%)</f>
        <v/>
      </c>
      <c r="N62" s="1097" t="n">
        <v>0.98</v>
      </c>
      <c r="O62" s="1320" t="n">
        <v>10.15</v>
      </c>
      <c r="P62" s="447">
        <f>G62 - (D62+H62+J62+K62+L62+M62+O62) + (N62)</f>
        <v/>
      </c>
      <c r="Q62" s="328">
        <f>(G62 - (D62+H62+K62+L62+M62+O62) + (N62)) / G62</f>
        <v/>
      </c>
      <c r="R62" s="328">
        <f>P62/G62</f>
        <v/>
      </c>
      <c r="S62" s="1206" t="n"/>
      <c r="T62" s="904" t="n"/>
      <c r="U62" s="569" t="n"/>
      <c r="V62" s="1317" t="n"/>
    </row>
    <row r="63" ht="22.5" customHeight="1" s="1349">
      <c r="A63" s="1206" t="n">
        <v>10034034166301</v>
      </c>
      <c r="B63" s="1206" t="n"/>
      <c r="C63" s="904" t="inlineStr">
        <is>
          <t>Parafuso Drywall Trombeta 3,5x35 Cx500pçs Gn35</t>
        </is>
      </c>
      <c r="D63" s="1285">
        <f>IF(G63&lt;50,(G63*10%)+4,(G63*6%)+6)</f>
        <v/>
      </c>
      <c r="E63" s="1286">
        <f>G63+F63</f>
        <v/>
      </c>
      <c r="F63" s="1285">
        <f>G63*0.05</f>
        <v/>
      </c>
      <c r="G63" s="1313" t="n">
        <v>28.1</v>
      </c>
      <c r="H63" s="1301">
        <f>G63*12%</f>
        <v/>
      </c>
      <c r="I63" s="1289" t="n">
        <v>0.1</v>
      </c>
      <c r="J63" s="1310">
        <f>G63*I63</f>
        <v/>
      </c>
      <c r="K63" s="1320" t="n"/>
      <c r="L63" s="1320" t="n"/>
      <c r="M63" s="1315" t="n"/>
      <c r="N63" s="1316" t="n">
        <v>1.01</v>
      </c>
      <c r="O63" s="1320" t="n">
        <v>14.5</v>
      </c>
      <c r="P63" s="447">
        <f>G63 - (D63+H63+J63+K63+L63+M63+O63) + (N63)</f>
        <v/>
      </c>
      <c r="Q63" s="328">
        <f>(G63 - (D63+H63+K63+L63+M63+O63) + (N63)) / G63</f>
        <v/>
      </c>
      <c r="R63" s="328">
        <f>P63/G63</f>
        <v/>
      </c>
      <c r="S63" s="1206" t="n"/>
      <c r="U63" s="1206" t="n"/>
      <c r="V63" s="1317" t="n"/>
    </row>
    <row r="64" ht="15.75" customHeight="1" s="1349">
      <c r="A64" s="1292" t="inlineStr">
        <is>
          <t>207</t>
        </is>
      </c>
      <c r="B64" s="904" t="n"/>
      <c r="C64" s="904" t="inlineStr">
        <is>
          <t>Abraçadeira 7,2x40cm 100un De Nylon</t>
        </is>
      </c>
      <c r="D64" s="1285">
        <f>IF(G64&lt;50,(G64*10%)+4,(G64*6%)+6)</f>
        <v/>
      </c>
      <c r="E64" s="1286">
        <f>G64+F64</f>
        <v/>
      </c>
      <c r="F64" s="1285">
        <f>G64*0.05</f>
        <v/>
      </c>
      <c r="G64" s="1319" t="n">
        <v>64.89</v>
      </c>
      <c r="H64" s="1301">
        <f>G64*12%</f>
        <v/>
      </c>
      <c r="I64" s="1289" t="n">
        <v>0.1</v>
      </c>
      <c r="J64" s="1310">
        <f>G64*I64</f>
        <v/>
      </c>
      <c r="K64" s="1303">
        <f>G64*18%</f>
        <v/>
      </c>
      <c r="L64" s="1303">
        <f>(G64-K64)*1.65%-(D64*1.65%)</f>
        <v/>
      </c>
      <c r="M64" s="1291">
        <f>(G64-K64)*7.6%-(D64*7.6%)</f>
        <v/>
      </c>
      <c r="N64" s="1097" t="n">
        <v>1.28</v>
      </c>
      <c r="O64" s="1320" t="n">
        <v>29.2</v>
      </c>
      <c r="P64" s="447">
        <f>G64 - (D64+H64+J64+K64+L64+M64+O64) + (N64)</f>
        <v/>
      </c>
      <c r="Q64" s="328">
        <f>(G64 - (D64+H64+K64+L64+M64+O64) + (N64)) / G64</f>
        <v/>
      </c>
      <c r="R64" s="328">
        <f>P64/G64</f>
        <v/>
      </c>
      <c r="S64" s="1206" t="n"/>
      <c r="T64" s="904" t="n"/>
      <c r="U64" s="569" t="n"/>
      <c r="V64" s="1317" t="n"/>
    </row>
    <row r="65" ht="15.75" customHeight="1" s="1349">
      <c r="A65" s="1292" t="inlineStr">
        <is>
          <t>206</t>
        </is>
      </c>
      <c r="B65" s="904" t="n"/>
      <c r="C65" s="904" t="inlineStr">
        <is>
          <t>Abraçadeira 4.8X300 100un De Nylon</t>
        </is>
      </c>
      <c r="D65" s="1285">
        <f>IF(G65&lt;50,(G65*10%)+4,(G65*6%)+6)</f>
        <v/>
      </c>
      <c r="E65" s="1286">
        <f>G65+F65</f>
        <v/>
      </c>
      <c r="F65" s="1285">
        <f>G65*0.05</f>
        <v/>
      </c>
      <c r="G65" s="1319" t="n">
        <v>32.1</v>
      </c>
      <c r="H65" s="1301">
        <f>G65*12%</f>
        <v/>
      </c>
      <c r="I65" s="1289" t="n">
        <v>0.1</v>
      </c>
      <c r="J65" s="1310">
        <f>G65*I65</f>
        <v/>
      </c>
      <c r="K65" s="1303">
        <f>G65*18%</f>
        <v/>
      </c>
      <c r="L65" s="1303">
        <f>(G65-K65)*1.65%-(D65*1.65%)</f>
        <v/>
      </c>
      <c r="M65" s="1291">
        <f>(G65-K65)*7.6%-(D65*7.6%)</f>
        <v/>
      </c>
      <c r="N65" s="1097" t="n">
        <v>0.95</v>
      </c>
      <c r="O65" s="1320" t="n">
        <v>12.5</v>
      </c>
      <c r="P65" s="447">
        <f>G65 - (D65+H65+J65+K65+L65+M65+O65) + (N65)</f>
        <v/>
      </c>
      <c r="Q65" s="328">
        <f>(G65 - (D65+H65+K65+L65+M65+O65) + (N65)) / G65</f>
        <v/>
      </c>
      <c r="R65" s="328">
        <f>P65/G65</f>
        <v/>
      </c>
      <c r="S65" s="1206" t="n"/>
      <c r="T65" s="904" t="n"/>
      <c r="U65" s="569" t="n"/>
      <c r="V65" s="1317" t="n"/>
    </row>
    <row r="66" ht="15.75" customHeight="1" s="1349">
      <c r="A66" s="1292" t="inlineStr">
        <is>
          <t>10034034166750</t>
        </is>
      </c>
      <c r="B66" s="904" t="n"/>
      <c r="C66" s="904" t="inlineStr">
        <is>
          <t>Chumbador Químico Poliester Qpo300 C/ Aplicador Seca Rapido</t>
        </is>
      </c>
      <c r="D66" s="1285">
        <f>IF(G66&lt;50,(G66*10%)+4,(G66*6%)+6)</f>
        <v/>
      </c>
      <c r="E66" s="1286">
        <f>G66+F66</f>
        <v/>
      </c>
      <c r="F66" s="1285">
        <f>G66*0.05</f>
        <v/>
      </c>
      <c r="G66" s="1319" t="n">
        <v>109.6</v>
      </c>
      <c r="H66" s="1301">
        <f>G66*12%</f>
        <v/>
      </c>
      <c r="I66" s="1289" t="n">
        <v>0.1</v>
      </c>
      <c r="J66" s="1310">
        <f>G66*I66</f>
        <v/>
      </c>
      <c r="K66" s="1318">
        <f>G66*18%</f>
        <v/>
      </c>
      <c r="L66" s="1318">
        <f>(G66-K66)*1.65%-(D66*1.65%)</f>
        <v/>
      </c>
      <c r="M66" s="1291">
        <f>(G66-K66)*7.6%-(D66*7.6%)</f>
        <v/>
      </c>
      <c r="N66" s="863" t="n">
        <v>2.33</v>
      </c>
      <c r="O66" s="1320" t="n">
        <v>53.65</v>
      </c>
      <c r="P66" s="447">
        <f>G66 - (D66+H66+J66+K66+L66+M66+O66) + (N66)</f>
        <v/>
      </c>
      <c r="Q66" s="328">
        <f>(G66 - (D66+H66+K66+L66+M66+O66) + (N66)) / G66</f>
        <v/>
      </c>
      <c r="R66" s="328">
        <f>P66/G66</f>
        <v/>
      </c>
      <c r="S66" s="1206" t="n"/>
      <c r="T66" s="904" t="n"/>
      <c r="U66" s="569" t="n"/>
      <c r="V66" s="1317" t="n"/>
    </row>
    <row r="67" ht="15.75" customHeight="1" s="1349">
      <c r="A67" s="1292" t="inlineStr">
        <is>
          <t>10034034166505</t>
        </is>
      </c>
      <c r="B67" s="904" t="n"/>
      <c r="C67" s="904" t="inlineStr">
        <is>
          <t>Luvas Descartáveis Volk Do Brasil Descartável Cor Branco T-g</t>
        </is>
      </c>
      <c r="D67" s="1285">
        <f>IF(G67&lt;50,(G67*10%)+4,(G67*6%)+6)</f>
        <v/>
      </c>
      <c r="E67" s="1286">
        <f>G67+F67</f>
        <v/>
      </c>
      <c r="F67" s="1285">
        <f>G67*0.05</f>
        <v/>
      </c>
      <c r="G67" s="1319" t="n">
        <v>58.1</v>
      </c>
      <c r="H67" s="1301">
        <f>G67*12%</f>
        <v/>
      </c>
      <c r="I67" s="1289" t="n">
        <v>0.1</v>
      </c>
      <c r="J67" s="1310">
        <f>G67*I67</f>
        <v/>
      </c>
      <c r="K67" s="1318">
        <f>G67*18%</f>
        <v/>
      </c>
      <c r="L67" s="1318">
        <f>(G67-K67)*1.65%-(D67*1.65%)</f>
        <v/>
      </c>
      <c r="M67" s="1291">
        <f>(G67-K67)*7.6%-(D67*7.6%)</f>
        <v/>
      </c>
      <c r="N67" s="863" t="n">
        <v>1.03</v>
      </c>
      <c r="O67" s="1320" t="n">
        <v>19.67</v>
      </c>
      <c r="P67" s="447">
        <f>G67 - (D67+H67+J67+K67+L67+M67+O67) + (N67)</f>
        <v/>
      </c>
      <c r="Q67" s="328">
        <f>(G67 - (D67+H67+K67+L67+M67+O67) + (N67)) / G67</f>
        <v/>
      </c>
      <c r="R67" s="328">
        <f>P67/G67</f>
        <v/>
      </c>
      <c r="S67" s="1206" t="n"/>
      <c r="T67" s="904" t="n"/>
      <c r="U67" s="569" t="n"/>
      <c r="V67" s="1317" t="n"/>
    </row>
    <row r="68" ht="15.75" customHeight="1" s="1349">
      <c r="A68" s="1292" t="inlineStr">
        <is>
          <t>AM27</t>
        </is>
      </c>
      <c r="B68" s="904" t="n"/>
      <c r="C68" s="904" t="inlineStr">
        <is>
          <t>Fincapino Calibre.27 Magazinado Amarelo Am27 C/100un</t>
        </is>
      </c>
      <c r="D68" s="1285">
        <f>IF(G68&lt;50,(G68*10%)+4,(G68*6%)+6)</f>
        <v/>
      </c>
      <c r="E68" s="1286">
        <f>G68+F68</f>
        <v/>
      </c>
      <c r="F68" s="1285">
        <f>G68*0.05</f>
        <v/>
      </c>
      <c r="G68" s="1319" t="n">
        <v>70.2</v>
      </c>
      <c r="H68" s="1301">
        <f>G68*12%</f>
        <v/>
      </c>
      <c r="I68" s="1289" t="n">
        <v>0.1</v>
      </c>
      <c r="J68" s="1310">
        <f>G68*I68</f>
        <v/>
      </c>
      <c r="K68" s="1318">
        <f>G68*18%</f>
        <v/>
      </c>
      <c r="L68" s="1318">
        <f>(G68-K68)*1.65%-(D68*1.65%)</f>
        <v/>
      </c>
      <c r="M68" s="1291">
        <f>(G68-K68)*7.6%-(D68*7.6%)</f>
        <v/>
      </c>
      <c r="N68" s="863" t="n">
        <v>1.45</v>
      </c>
      <c r="O68" s="1320" t="n">
        <v>31.95</v>
      </c>
      <c r="P68" s="447">
        <f>G68 - (D68+H68+J68+K68+L68+M68+O68) + (N68)</f>
        <v/>
      </c>
      <c r="Q68" s="328">
        <f>(G68 - (D68+H68+K68+L68+M68+O68) + (N68)) / G68</f>
        <v/>
      </c>
      <c r="R68" s="328">
        <f>P68/G68</f>
        <v/>
      </c>
      <c r="S68" s="1206" t="n"/>
      <c r="T68" s="904" t="n"/>
      <c r="U68" s="569" t="n"/>
      <c r="V68" s="1317" t="n"/>
    </row>
    <row r="69" ht="15.75" customHeight="1" s="1349">
      <c r="A69" s="1292" t="n"/>
      <c r="B69" s="904" t="n"/>
      <c r="C69" s="904" t="inlineStr">
        <is>
          <t>Capa De Chuva Amarela Refletiva Forrada Reforçada Com Capuz</t>
        </is>
      </c>
      <c r="D69" s="1285">
        <f>IF(G69&lt;50,(G69*10%)+4,(G69*6%)+6)</f>
        <v/>
      </c>
      <c r="E69" s="1286">
        <f>G69+F69</f>
        <v/>
      </c>
      <c r="F69" s="1285">
        <f>G69*0.05</f>
        <v/>
      </c>
      <c r="G69" s="1319" t="n">
        <v>69.90000000000001</v>
      </c>
      <c r="H69" s="1301">
        <f>G69*12%</f>
        <v/>
      </c>
      <c r="I69" s="1289" t="n">
        <v>0.1</v>
      </c>
      <c r="J69" s="1310">
        <f>G69*I69</f>
        <v/>
      </c>
      <c r="K69" s="1318">
        <f>G69*18%</f>
        <v/>
      </c>
      <c r="L69" s="1318">
        <f>(G69-K69)*1.65%-(D69*1.65%)</f>
        <v/>
      </c>
      <c r="M69" s="1291">
        <f>(G69-K69)*7.6%-(D69*7.6%)</f>
        <v/>
      </c>
      <c r="N69" s="863" t="n">
        <v>1.14</v>
      </c>
      <c r="O69" s="1320" t="n">
        <v>26</v>
      </c>
      <c r="P69" s="447">
        <f>G69 - (D69+H69+J69+K69+L69+M69+O69) + (N69)</f>
        <v/>
      </c>
      <c r="Q69" s="328">
        <f>(G69 - (D69+H69+K69+L69+M69+O69) + (N69)) / G69</f>
        <v/>
      </c>
      <c r="R69" s="328">
        <f>P69/G69</f>
        <v/>
      </c>
      <c r="S69" s="1206" t="n"/>
      <c r="T69" s="904" t="n"/>
      <c r="U69" s="569" t="n"/>
      <c r="V69" s="1317" t="n"/>
    </row>
    <row r="70" ht="15.75" customHeight="1" s="1349">
      <c r="A70" s="1292" t="inlineStr">
        <is>
          <t>299</t>
        </is>
      </c>
      <c r="B70" s="904" t="n"/>
      <c r="C70" s="904" t="inlineStr">
        <is>
          <t>Macacão Proteção Pintura Quimico Impermeável C/ Capuz Volk</t>
        </is>
      </c>
      <c r="D70" s="1285">
        <f>IF(G70&lt;50,(G70*10%)+4,(G70*6%)+6)</f>
        <v/>
      </c>
      <c r="E70" s="1286">
        <f>G70+F70</f>
        <v/>
      </c>
      <c r="F70" s="1285">
        <f>G70*0.05</f>
        <v/>
      </c>
      <c r="G70" s="1319" t="n">
        <v>26.2</v>
      </c>
      <c r="H70" s="1301">
        <f>G70*12%</f>
        <v/>
      </c>
      <c r="I70" s="1289" t="n">
        <v>0.1</v>
      </c>
      <c r="J70" s="1310">
        <f>G70*I70</f>
        <v/>
      </c>
      <c r="K70" s="1318">
        <f>G70*18%</f>
        <v/>
      </c>
      <c r="L70" s="1318">
        <f>(G70-K70)*1.65%-(D70*1.65%)</f>
        <v/>
      </c>
      <c r="M70" s="1291">
        <f>(G70-K70)*7.6%-(D70*7.6%)</f>
        <v/>
      </c>
      <c r="N70" s="863" t="n">
        <v>1.03</v>
      </c>
      <c r="O70" s="1320" t="n">
        <v>6.99</v>
      </c>
      <c r="P70" s="447">
        <f>G70 - (D70+H70+J70+K70+L70+M70+O70) + (N70)</f>
        <v/>
      </c>
      <c r="Q70" s="328">
        <f>(G70 - (D70+H70+K70+L70+M70+O70) + (N70)) / G70</f>
        <v/>
      </c>
      <c r="R70" s="328">
        <f>P70/G70</f>
        <v/>
      </c>
      <c r="S70" s="1206" t="n"/>
      <c r="T70" s="904" t="n"/>
      <c r="U70" s="569" t="n"/>
      <c r="V70" s="1317" t="n"/>
    </row>
    <row r="71" ht="15.75" customHeight="1" s="1349">
      <c r="A71" s="1292" t="n"/>
      <c r="B71" s="904" t="inlineStr">
        <is>
          <t>Carbografite</t>
        </is>
      </c>
      <c r="C71" s="904" t="inlineStr">
        <is>
          <t>Cartucho Carbografite Filtro Rc203 Para Máscara Cg306 6 Um</t>
        </is>
      </c>
      <c r="D71" s="1285">
        <f>IF(G71&lt;50,(G71*10%)+4,(G71*6%)+6)</f>
        <v/>
      </c>
      <c r="E71" s="1286">
        <f>G71+F71</f>
        <v/>
      </c>
      <c r="F71" s="1285">
        <f>G71*0.05</f>
        <v/>
      </c>
      <c r="G71" s="1319" t="n">
        <v>118.2</v>
      </c>
      <c r="H71" s="1301">
        <f>G71*12%</f>
        <v/>
      </c>
      <c r="I71" s="1289" t="n">
        <v>0.1</v>
      </c>
      <c r="J71" s="1310">
        <f>G71*I71</f>
        <v/>
      </c>
      <c r="K71" s="1318">
        <f>G71*18%</f>
        <v/>
      </c>
      <c r="L71" s="1318">
        <f>(G71-K71)*1.65%-(D71*1.65%)</f>
        <v/>
      </c>
      <c r="M71" s="1291">
        <f>(G71-K71)*7.6%-(D71*7.6%)</f>
        <v/>
      </c>
      <c r="N71" s="863" t="n">
        <v>2.57</v>
      </c>
      <c r="O71" s="1320" t="n">
        <v>57</v>
      </c>
      <c r="P71" s="447">
        <f>G71 - (D71+H71+J71+K71+L71+M71+O71) + (N71)</f>
        <v/>
      </c>
      <c r="Q71" s="328">
        <f>(G71 - (D71+H71+K71+L71+M71+O71) + (N71)) / G71</f>
        <v/>
      </c>
      <c r="R71" s="328">
        <f>P71/G71</f>
        <v/>
      </c>
      <c r="S71" s="1206" t="n"/>
      <c r="T71" s="904" t="n"/>
      <c r="U71" s="569" t="n"/>
      <c r="V71" s="1317" t="n"/>
    </row>
    <row r="72" ht="15.75" customHeight="1" s="1349">
      <c r="A72" s="1292" t="n"/>
      <c r="B72" s="904" t="inlineStr">
        <is>
          <t>GERDAU</t>
        </is>
      </c>
      <c r="C72" s="904" t="inlineStr">
        <is>
          <t>Prego 18x27 (kg) Com Cabeça Gerdau Polido 1kg</t>
        </is>
      </c>
      <c r="D72" s="1285">
        <f>IF(G72&lt;50,(G72*10%)+4,(G72*6%)+6)</f>
        <v/>
      </c>
      <c r="E72" s="1286">
        <f>G72+F72</f>
        <v/>
      </c>
      <c r="F72" s="1285">
        <f>G72*0.05</f>
        <v/>
      </c>
      <c r="G72" s="1319" t="n">
        <v>48.2</v>
      </c>
      <c r="H72" s="1301">
        <f>G72*12%</f>
        <v/>
      </c>
      <c r="I72" s="1289" t="n">
        <v>0.1</v>
      </c>
      <c r="J72" s="1310">
        <f>G72*I72</f>
        <v/>
      </c>
      <c r="K72" s="1318">
        <f>G72*18%</f>
        <v/>
      </c>
      <c r="L72" s="1318">
        <f>(G72-K72)*1.65%-(D72*1.65%)</f>
        <v/>
      </c>
      <c r="M72" s="1291">
        <f>(G72-K72)*7.6%-(D72*7.6%)</f>
        <v/>
      </c>
      <c r="N72" s="863" t="n">
        <v>0.97</v>
      </c>
      <c r="O72" s="1320" t="n">
        <v>16.38</v>
      </c>
      <c r="P72" s="447">
        <f>G72 - (D72+H72+J72+K72+L72+M72+O72) + (N72)</f>
        <v/>
      </c>
      <c r="Q72" s="328">
        <f>(G72 - (D72+H72+K72+L72+M72+O72) + (N72)) / G72</f>
        <v/>
      </c>
      <c r="R72" s="328">
        <f>P72/G72</f>
        <v/>
      </c>
      <c r="S72" s="1206" t="n"/>
      <c r="T72" s="904" t="n"/>
      <c r="U72" s="569" t="n"/>
      <c r="V72" s="1317" t="n"/>
    </row>
    <row r="73" ht="15.75" customHeight="1" s="1349">
      <c r="A73" s="1292" t="n"/>
      <c r="B73" s="904" t="n"/>
      <c r="C73" s="904" t="n"/>
      <c r="D73" s="1285">
        <f>IF(G73&lt;50,(G73*10%)+4,(G73*6%)+6)</f>
        <v/>
      </c>
      <c r="E73" s="1286">
        <f>G73+F73</f>
        <v/>
      </c>
      <c r="F73" s="1285">
        <f>G73*0.05</f>
        <v/>
      </c>
      <c r="G73" s="1319" t="n"/>
      <c r="H73" s="1301">
        <f>G73*12%</f>
        <v/>
      </c>
      <c r="I73" s="1289" t="n">
        <v>0.1</v>
      </c>
      <c r="J73" s="1310">
        <f>G73*I73</f>
        <v/>
      </c>
      <c r="K73" s="1318">
        <f>G73*18%</f>
        <v/>
      </c>
      <c r="L73" s="1318">
        <f>(G73-K73)*1.65%-(D73*1.65%)</f>
        <v/>
      </c>
      <c r="M73" s="1291">
        <f>(G73-K73)*7.6%-(D73*7.6%)</f>
        <v/>
      </c>
      <c r="N73" s="863" t="n"/>
      <c r="O73" s="1320" t="n"/>
      <c r="P73" s="447">
        <f>G73 - (D73+H73+J73+K73+L73+M73+O73) + (N73)</f>
        <v/>
      </c>
      <c r="Q73" s="328">
        <f>(G73 - (D73+H73+K73+L73+M73+O73) + (N73)) / G73</f>
        <v/>
      </c>
      <c r="R73" s="328">
        <f>P73/G73</f>
        <v/>
      </c>
      <c r="S73" s="1206" t="n"/>
      <c r="T73" s="904" t="n"/>
      <c r="U73" s="569" t="n"/>
      <c r="V73" s="1317" t="n"/>
    </row>
    <row r="74" ht="15.75" customHeight="1" s="1349">
      <c r="A74" s="1292" t="n"/>
      <c r="B74" s="904" t="n"/>
      <c r="C74" s="904" t="n"/>
      <c r="D74" s="1285">
        <f>IF(G74&lt;50,(G74*10%)+4,(G74*6%)+6)</f>
        <v/>
      </c>
      <c r="E74" s="1286">
        <f>G74+F74</f>
        <v/>
      </c>
      <c r="F74" s="1285">
        <f>G74*0.05</f>
        <v/>
      </c>
      <c r="G74" s="1319" t="n"/>
      <c r="H74" s="1301">
        <f>G74*12%</f>
        <v/>
      </c>
      <c r="I74" s="1289" t="n">
        <v>0.1</v>
      </c>
      <c r="J74" s="1310">
        <f>G74*I74</f>
        <v/>
      </c>
      <c r="K74" s="1318">
        <f>G74*18%</f>
        <v/>
      </c>
      <c r="L74" s="1318">
        <f>(G74-K74)*1.65%-(D74*1.65%)</f>
        <v/>
      </c>
      <c r="M74" s="1291">
        <f>(G74-K74)*7.6%-(D74*7.6%)</f>
        <v/>
      </c>
      <c r="N74" s="863" t="n"/>
      <c r="O74" s="1320" t="n"/>
      <c r="P74" s="447">
        <f>G74 - (D74+H74+J74+K74+L74+M74+O74) + (N74)</f>
        <v/>
      </c>
      <c r="Q74" s="328">
        <f>(G74 - (D74+H74+K74+L74+M74+O74) + (N74)) / G74</f>
        <v/>
      </c>
      <c r="R74" s="328">
        <f>P74/G74</f>
        <v/>
      </c>
      <c r="S74" s="1206" t="n"/>
      <c r="T74" s="904" t="n"/>
      <c r="U74" s="569" t="n"/>
      <c r="V74" s="1317" t="n"/>
    </row>
    <row r="75" ht="15.75" customHeight="1" s="1349">
      <c r="A75" s="1292" t="n"/>
      <c r="B75" s="904" t="n"/>
      <c r="C75" s="904" t="n"/>
      <c r="D75" s="1285">
        <f>IF(G75&lt;50,(G75*10%)+4,(G75*6%)+6)</f>
        <v/>
      </c>
      <c r="E75" s="1286">
        <f>G75+F75</f>
        <v/>
      </c>
      <c r="F75" s="1285">
        <f>G75*0.05</f>
        <v/>
      </c>
      <c r="G75" s="1319" t="n"/>
      <c r="H75" s="1301">
        <f>G75*12%</f>
        <v/>
      </c>
      <c r="I75" s="1289" t="n">
        <v>0.1</v>
      </c>
      <c r="J75" s="1310">
        <f>G75*I75</f>
        <v/>
      </c>
      <c r="K75" s="1318">
        <f>G75*18%</f>
        <v/>
      </c>
      <c r="L75" s="1318">
        <f>(G75-K75)*1.65%-(D75*1.65%)</f>
        <v/>
      </c>
      <c r="M75" s="1291">
        <f>(G75-K75)*7.6%-(D75*7.6%)</f>
        <v/>
      </c>
      <c r="N75" s="863" t="n"/>
      <c r="O75" s="1320" t="n"/>
      <c r="P75" s="447">
        <f>G75 - (D75+H75+J75+K75+L75+M75+O75) + (N75)</f>
        <v/>
      </c>
      <c r="Q75" s="328">
        <f>(G75 - (D75+H75+K75+L75+M75+O75) + (N75)) / G75</f>
        <v/>
      </c>
      <c r="R75" s="328">
        <f>P75/G75</f>
        <v/>
      </c>
      <c r="S75" s="1206" t="n"/>
      <c r="T75" s="904" t="n"/>
      <c r="U75" s="569" t="n"/>
      <c r="V75" s="1317" t="n"/>
    </row>
    <row r="76" ht="15.75" customHeight="1" s="1349">
      <c r="A76" s="1292" t="n"/>
      <c r="B76" s="904" t="n"/>
      <c r="C76" s="904" t="n"/>
      <c r="D76" s="1285">
        <f>IF(G76&lt;50,(G76*10%)+4,(G76*6%)+6)</f>
        <v/>
      </c>
      <c r="E76" s="1286">
        <f>G76+F76</f>
        <v/>
      </c>
      <c r="F76" s="1285">
        <f>G76*0.05</f>
        <v/>
      </c>
      <c r="G76" s="1319" t="n"/>
      <c r="H76" s="1301">
        <f>G76*12%</f>
        <v/>
      </c>
      <c r="I76" s="1289" t="n">
        <v>0.1</v>
      </c>
      <c r="J76" s="1310">
        <f>G76*I76</f>
        <v/>
      </c>
      <c r="K76" s="1318">
        <f>G76*18%</f>
        <v/>
      </c>
      <c r="L76" s="1318">
        <f>(G76-K76)*1.65%-(D76*1.65%)</f>
        <v/>
      </c>
      <c r="M76" s="1318" t="n"/>
      <c r="N76" s="863" t="n"/>
      <c r="O76" s="1320" t="n"/>
      <c r="P76" s="447">
        <f>G76 - (D76+H76+J76+K76+L76+M76+O76) + (N76)</f>
        <v/>
      </c>
      <c r="Q76" s="328">
        <f>(G76 - (D76+H76+K76+L76+M76+O76) + (N76)) / G76</f>
        <v/>
      </c>
      <c r="R76" s="328">
        <f>P76/G76</f>
        <v/>
      </c>
      <c r="S76" s="1206" t="n"/>
      <c r="T76" s="904" t="n"/>
      <c r="U76" s="569" t="n"/>
      <c r="V76" s="1317" t="n"/>
    </row>
    <row r="77" ht="15.75" customHeight="1" s="1349">
      <c r="A77" s="1292" t="n"/>
      <c r="B77" s="904" t="n"/>
      <c r="C77" s="904" t="n"/>
      <c r="D77" s="1285">
        <f>IF(G77&lt;50,(G77*10%)+4,(G77*6%)+6)</f>
        <v/>
      </c>
      <c r="E77" s="1286">
        <f>G77+F77</f>
        <v/>
      </c>
      <c r="F77" s="1285">
        <f>G77*0.05</f>
        <v/>
      </c>
      <c r="G77" s="1319" t="n"/>
      <c r="H77" s="1301">
        <f>G77*12%</f>
        <v/>
      </c>
      <c r="I77" s="1289" t="n">
        <v>0.1</v>
      </c>
      <c r="J77" s="1310">
        <f>G77*I77</f>
        <v/>
      </c>
      <c r="K77" s="1318">
        <f>G77*18%</f>
        <v/>
      </c>
      <c r="L77" s="1318">
        <f>(G77-K77)*1.65%-(D77*1.65%)</f>
        <v/>
      </c>
      <c r="M77" s="1318" t="n"/>
      <c r="N77" s="863" t="n"/>
      <c r="O77" s="1320" t="n"/>
      <c r="P77" s="447">
        <f>G77 - (D77+H77+J77+K77+L77+M77+O77) + (N77)</f>
        <v/>
      </c>
      <c r="Q77" s="328">
        <f>(G77 - (D77+H77+K77+L77+M77+O77) + (N77)) / G77</f>
        <v/>
      </c>
      <c r="R77" s="328">
        <f>P77/G77</f>
        <v/>
      </c>
      <c r="S77" s="1206" t="n"/>
      <c r="T77" s="904" t="n"/>
      <c r="U77" s="569" t="n"/>
      <c r="V77" s="1317" t="n"/>
    </row>
    <row r="78" ht="15.75" customHeight="1" s="1349">
      <c r="A78" s="1292" t="n"/>
      <c r="B78" s="904" t="n"/>
      <c r="C78" s="904" t="n"/>
      <c r="D78" s="1285">
        <f>IF(G78&lt;50,(G78*10%)+4,(G78*6%)+6)</f>
        <v/>
      </c>
      <c r="E78" s="1286">
        <f>G78+F78</f>
        <v/>
      </c>
      <c r="F78" s="1285">
        <f>G78*0.05</f>
        <v/>
      </c>
      <c r="G78" s="1319" t="n"/>
      <c r="H78" s="1301">
        <f>G78*12%</f>
        <v/>
      </c>
      <c r="I78" s="1289" t="n">
        <v>0.1</v>
      </c>
      <c r="J78" s="1310">
        <f>G78*I78</f>
        <v/>
      </c>
      <c r="K78" s="1318">
        <f>G78*18%</f>
        <v/>
      </c>
      <c r="L78" s="1318">
        <f>(G78-K78)*1.65%-(D78*1.65%)</f>
        <v/>
      </c>
      <c r="M78" s="1318" t="n"/>
      <c r="N78" s="863" t="n"/>
      <c r="O78" s="1320" t="n"/>
      <c r="P78" s="447">
        <f>G78 - (D78+H78+J78+K78+L78+M78+O78) + (N78)</f>
        <v/>
      </c>
      <c r="Q78" s="328">
        <f>(G78 - (D78+H78+K78+L78+M78+O78) + (N78)) / G78</f>
        <v/>
      </c>
      <c r="R78" s="328">
        <f>P78/G78</f>
        <v/>
      </c>
      <c r="S78" s="1206" t="n"/>
      <c r="T78" s="904" t="n"/>
      <c r="U78" s="569" t="n"/>
      <c r="V78" s="1317" t="n"/>
    </row>
    <row r="79" ht="15.75" customHeight="1" s="1349">
      <c r="A79" s="1292" t="n"/>
      <c r="B79" s="904" t="n"/>
      <c r="C79" s="904" t="n"/>
      <c r="D79" s="1285">
        <f>IF(G79&lt;50,(G79*10%)+4,(G79*6%)+6)</f>
        <v/>
      </c>
      <c r="E79" s="1286">
        <f>G79+F79</f>
        <v/>
      </c>
      <c r="F79" s="1285">
        <f>G79*0.05</f>
        <v/>
      </c>
      <c r="G79" s="1319" t="n"/>
      <c r="H79" s="1301">
        <f>G79*12%</f>
        <v/>
      </c>
      <c r="I79" s="1321" t="n"/>
      <c r="J79" s="1310">
        <f>G79*I79</f>
        <v/>
      </c>
      <c r="K79" s="1318">
        <f>G79*18%</f>
        <v/>
      </c>
      <c r="L79" s="1318">
        <f>(G79-K79)*1.65%-(D79*1.65%)</f>
        <v/>
      </c>
      <c r="M79" s="1318" t="n"/>
      <c r="N79" s="863" t="n"/>
      <c r="O79" s="1320" t="n"/>
      <c r="P79" s="447">
        <f>G79 - (D79+H79+J79+K79+L79+M79+O79) + (N79)</f>
        <v/>
      </c>
      <c r="Q79" s="328">
        <f>(G79 - (D79+H79+K79+L79+M79+O79) + (N79)) / G79</f>
        <v/>
      </c>
      <c r="R79" s="328">
        <f>P79/G79</f>
        <v/>
      </c>
      <c r="S79" s="1206" t="n"/>
      <c r="T79" s="904" t="n"/>
      <c r="U79" s="569" t="n"/>
      <c r="V79" s="1317" t="n"/>
    </row>
    <row r="80" ht="15.75" customHeight="1" s="1349">
      <c r="A80" s="1292" t="n"/>
      <c r="B80" s="904" t="n"/>
      <c r="C80" s="904" t="n"/>
      <c r="D80" s="1285">
        <f>IF(G80&lt;50,(G80*10%)+4,(G80*6%)+6)</f>
        <v/>
      </c>
      <c r="E80" s="1286">
        <f>G80+F80</f>
        <v/>
      </c>
      <c r="F80" s="1285">
        <f>G80*0.05</f>
        <v/>
      </c>
      <c r="G80" s="1312" t="n"/>
      <c r="H80" s="1301">
        <f>G80*12%</f>
        <v/>
      </c>
      <c r="I80" s="1321" t="n"/>
      <c r="J80" s="1310">
        <f>G80*I80</f>
        <v/>
      </c>
      <c r="K80" s="1318">
        <f>G80*18%</f>
        <v/>
      </c>
      <c r="L80" s="1318">
        <f>(G80-K80)*1.65%-(D80*1.65%)</f>
        <v/>
      </c>
      <c r="M80" s="1318" t="n"/>
      <c r="N80" s="863" t="n"/>
      <c r="O80" s="1320" t="n"/>
      <c r="P80" s="447">
        <f>G80 - (D80+H80+J80+K80+L80+M80+O80) + (N80)</f>
        <v/>
      </c>
      <c r="Q80" s="328">
        <f>(G80 - (D80+H80+K80+L80+M80+O80) + (N80)) / G80</f>
        <v/>
      </c>
      <c r="R80" s="328">
        <f>P80/G80</f>
        <v/>
      </c>
      <c r="S80" s="1206" t="n"/>
      <c r="T80" s="904" t="n"/>
      <c r="U80" s="569" t="n"/>
      <c r="V80" s="1317" t="n"/>
    </row>
    <row r="81" ht="15.75" customHeight="1" s="1349">
      <c r="A81" s="1292" t="n"/>
      <c r="B81" s="904" t="n"/>
      <c r="C81" s="904" t="n"/>
      <c r="D81" s="1285">
        <f>IF(G81&lt;50,(G81*10%)+4,(G81*6%)+6)</f>
        <v/>
      </c>
      <c r="E81" s="1286">
        <f>G81+F81</f>
        <v/>
      </c>
      <c r="F81" s="1285">
        <f>G81*0.05</f>
        <v/>
      </c>
      <c r="G81" s="1312" t="n"/>
      <c r="H81" s="1301">
        <f>G81*12%</f>
        <v/>
      </c>
      <c r="I81" s="1321" t="n"/>
      <c r="J81" s="1310">
        <f>G81*I81</f>
        <v/>
      </c>
      <c r="K81" s="1318">
        <f>G81*18%</f>
        <v/>
      </c>
      <c r="L81" s="1318">
        <f>(G81-K81)*1.65%-(D81*1.65%)</f>
        <v/>
      </c>
      <c r="M81" s="1318" t="n"/>
      <c r="N81" s="863" t="n"/>
      <c r="O81" s="1320" t="n"/>
      <c r="P81" s="447">
        <f>G81 - (D81+H81+J81+K81+L81+M81+O81) + (N81)</f>
        <v/>
      </c>
      <c r="Q81" s="328">
        <f>(G81 - (D81+H81+K81+L81+M81+O81) + (N81)) / G81</f>
        <v/>
      </c>
      <c r="R81" s="328">
        <f>P81/G81</f>
        <v/>
      </c>
      <c r="S81" s="1206" t="n"/>
      <c r="T81" s="904" t="n"/>
      <c r="U81" s="569" t="n"/>
      <c r="V81" s="1317" t="n"/>
    </row>
    <row r="82" ht="15.75" customHeight="1" s="1349">
      <c r="A82" s="1292" t="n"/>
      <c r="B82" s="904" t="n"/>
      <c r="C82" s="904" t="n"/>
      <c r="D82" s="1285">
        <f>IF(G82&lt;50,(G82*10%)+4,(G82*6%)+6)</f>
        <v/>
      </c>
      <c r="E82" s="1286">
        <f>G82+F82</f>
        <v/>
      </c>
      <c r="F82" s="1285">
        <f>G82*0.05</f>
        <v/>
      </c>
      <c r="G82" s="1312" t="n"/>
      <c r="H82" s="1301">
        <f>G82*12%</f>
        <v/>
      </c>
      <c r="I82" s="1321" t="n"/>
      <c r="J82" s="1322" t="n"/>
      <c r="K82" s="1318">
        <f>G82*18%</f>
        <v/>
      </c>
      <c r="L82" s="1318">
        <f>(G82-K82)*1.65%-(D82*1.65%)</f>
        <v/>
      </c>
      <c r="M82" s="1318" t="n"/>
      <c r="N82" s="863" t="n"/>
      <c r="O82" s="1320" t="n"/>
      <c r="P82" s="447">
        <f>G82 - (D82+H82+J82+K82+L82+M82+O82) + (N82)</f>
        <v/>
      </c>
      <c r="Q82" s="328">
        <f>(G82 - (D82+H82+K82+L82+M82+O82) + (N82)) / G82</f>
        <v/>
      </c>
      <c r="R82" s="328">
        <f>P82/G82</f>
        <v/>
      </c>
      <c r="S82" s="1206" t="n"/>
      <c r="T82" s="904" t="n"/>
      <c r="U82" s="569" t="n"/>
      <c r="V82" s="1317" t="n"/>
    </row>
    <row r="83" ht="15.75" customHeight="1" s="1349">
      <c r="A83" s="1292" t="n"/>
      <c r="B83" s="904" t="n"/>
      <c r="C83" s="904" t="n"/>
      <c r="D83" s="1285">
        <f>IF(G83&lt;50,(G83*10%)+4,(G83*6%)+6)</f>
        <v/>
      </c>
      <c r="E83" s="1286">
        <f>G83+F83</f>
        <v/>
      </c>
      <c r="F83" s="1285">
        <f>G83*0.05</f>
        <v/>
      </c>
      <c r="G83" s="1312" t="n"/>
      <c r="H83" s="1301">
        <f>G83*12%</f>
        <v/>
      </c>
      <c r="I83" s="1321" t="n"/>
      <c r="J83" s="1322" t="n"/>
      <c r="K83" s="1318">
        <f>G83*18%</f>
        <v/>
      </c>
      <c r="L83" s="1318">
        <f>(G83-K83)*1.65%-(D83*1.65%)</f>
        <v/>
      </c>
      <c r="M83" s="1318" t="n"/>
      <c r="N83" s="863" t="n"/>
      <c r="O83" s="1320" t="n"/>
      <c r="P83" s="447">
        <f>G83 - (D83+H83+J83+K83+L83+M83+O83) + (N83)</f>
        <v/>
      </c>
      <c r="Q83" s="328">
        <f>(G83 - (D83+H83+K83+L83+M83+O83) + (N83)) / G83</f>
        <v/>
      </c>
      <c r="R83" s="328">
        <f>P83/G83</f>
        <v/>
      </c>
      <c r="S83" s="1206" t="n"/>
      <c r="T83" s="904" t="n"/>
      <c r="U83" s="569" t="n"/>
      <c r="V83" s="1317" t="n"/>
    </row>
    <row r="84" ht="15.75" customHeight="1" s="1349">
      <c r="A84" s="1292" t="n"/>
      <c r="B84" s="904" t="n"/>
      <c r="C84" s="904" t="n"/>
      <c r="D84" s="1285">
        <f>IF(G84&lt;50,(G84*10%)+4,(G84*6%)+6)</f>
        <v/>
      </c>
      <c r="E84" s="1286">
        <f>G84+F84</f>
        <v/>
      </c>
      <c r="F84" s="1285">
        <f>G84*0.05</f>
        <v/>
      </c>
      <c r="G84" s="1312" t="n"/>
      <c r="H84" s="1301">
        <f>G84*12%</f>
        <v/>
      </c>
      <c r="I84" s="1321" t="n"/>
      <c r="J84" s="1322" t="n"/>
      <c r="K84" s="1318">
        <f>G84*18%</f>
        <v/>
      </c>
      <c r="L84" s="1318">
        <f>(G84-K84)*1.65%-(D84*1.65%)</f>
        <v/>
      </c>
      <c r="M84" s="1318" t="n"/>
      <c r="N84" s="863" t="n"/>
      <c r="O84" s="1320" t="n"/>
      <c r="P84" s="447">
        <f>G84 - (D84+H84+J84+K84+L84+M84+O84) + (N84)</f>
        <v/>
      </c>
      <c r="Q84" s="651">
        <f>(G84 - (D84+H84+K84+L84+M84+O84) + (N84)) / G84</f>
        <v/>
      </c>
      <c r="R84" s="651" t="n"/>
      <c r="S84" s="1206" t="n"/>
      <c r="T84" s="904" t="n"/>
      <c r="U84" s="569" t="n"/>
      <c r="V84" s="1317" t="n"/>
    </row>
    <row r="85" ht="15.75" customHeight="1" s="1349">
      <c r="A85" s="1292" t="n"/>
      <c r="B85" s="904" t="n"/>
      <c r="C85" s="904" t="n"/>
      <c r="D85" s="1285">
        <f>IF(G85&lt;50,(G85*10%)+4,(G85*6%)+6)</f>
        <v/>
      </c>
      <c r="E85" s="1286">
        <f>G85+F85</f>
        <v/>
      </c>
      <c r="F85" s="1285">
        <f>G85*0.05</f>
        <v/>
      </c>
      <c r="G85" s="1312" t="n"/>
      <c r="H85" s="1301">
        <f>G85*12%</f>
        <v/>
      </c>
      <c r="I85" s="1321" t="n"/>
      <c r="J85" s="1322" t="n"/>
      <c r="K85" s="1318">
        <f>G85*18%</f>
        <v/>
      </c>
      <c r="L85" s="1318">
        <f>(G85-K85)*1.65%-(D85*1.65%)</f>
        <v/>
      </c>
      <c r="M85" s="1318" t="n"/>
      <c r="N85" s="863" t="n"/>
      <c r="O85" s="1320" t="n"/>
      <c r="P85" s="447">
        <f>G85 - (D85+H85+J85+K85+L85+M85+O85) + (N85)</f>
        <v/>
      </c>
      <c r="Q85" s="651">
        <f>(G85 - (D85+H85+K85+L85+M85+O85) + (N85)) / G85</f>
        <v/>
      </c>
      <c r="R85" s="651" t="n"/>
      <c r="S85" s="1206" t="n"/>
      <c r="T85" s="904" t="n"/>
      <c r="U85" s="569" t="n"/>
      <c r="V85" s="1317" t="n"/>
    </row>
    <row r="86" ht="15.75" customHeight="1" s="1349">
      <c r="A86" s="1292" t="n"/>
      <c r="B86" s="904" t="n"/>
      <c r="C86" s="904" t="n"/>
      <c r="D86" s="1285">
        <f>IF(G86&lt;50,(G86*10%)+4,(G86*6%)+6)</f>
        <v/>
      </c>
      <c r="E86" s="1286">
        <f>G86+F86</f>
        <v/>
      </c>
      <c r="F86" s="1285">
        <f>G86*0.05</f>
        <v/>
      </c>
      <c r="G86" s="1312" t="n"/>
      <c r="H86" s="1301">
        <f>G86*12%</f>
        <v/>
      </c>
      <c r="I86" s="1321" t="n"/>
      <c r="J86" s="1322" t="n"/>
      <c r="K86" s="1318">
        <f>G86*18%</f>
        <v/>
      </c>
      <c r="L86" s="1318">
        <f>(G86-K86)*1.65%-(D86*1.65%)</f>
        <v/>
      </c>
      <c r="M86" s="1318" t="n"/>
      <c r="N86" s="863" t="n"/>
      <c r="O86" s="1320" t="n"/>
      <c r="P86" s="447">
        <f>G86 - (D86+H86+J86+K86+L86+M86+O86) + (N86)</f>
        <v/>
      </c>
      <c r="Q86" s="651">
        <f>(G86 - (D86+H86+K86+L86+M86+O86) + (N86)) / G86</f>
        <v/>
      </c>
      <c r="R86" s="651" t="n"/>
      <c r="S86" s="1206" t="n"/>
      <c r="T86" s="904" t="n"/>
      <c r="U86" s="569" t="n"/>
      <c r="V86" s="1317" t="n"/>
    </row>
    <row r="87" ht="15.75" customHeight="1" s="1349">
      <c r="A87" s="1292" t="n"/>
      <c r="B87" s="904" t="n"/>
      <c r="C87" s="904" t="n"/>
      <c r="D87" s="1285">
        <f>IF(G87&lt;50,(G87*10%)+4,(G87*6%)+6)</f>
        <v/>
      </c>
      <c r="E87" s="1286">
        <f>G87+F87</f>
        <v/>
      </c>
      <c r="F87" s="1285">
        <f>G87*0.05</f>
        <v/>
      </c>
      <c r="G87" s="1312" t="n"/>
      <c r="H87" s="1301">
        <f>G87*12%</f>
        <v/>
      </c>
      <c r="I87" s="1321" t="n"/>
      <c r="J87" s="1322" t="n"/>
      <c r="K87" s="1318">
        <f>G87*18%</f>
        <v/>
      </c>
      <c r="L87" s="1318">
        <f>(G87-K87)*1.65%-(D87*1.65%)</f>
        <v/>
      </c>
      <c r="M87" s="1318" t="n"/>
      <c r="N87" s="863" t="n"/>
      <c r="O87" s="1320" t="n"/>
      <c r="P87" s="447">
        <f>G87 - (D87+H87+J87+K87+L87+M87+O87) + (N87)</f>
        <v/>
      </c>
      <c r="Q87" s="651">
        <f>(G87 - (D87+H87+K87+L87+M87+O87) + (N87)) / G87</f>
        <v/>
      </c>
      <c r="R87" s="651" t="n"/>
      <c r="S87" s="1206" t="n"/>
      <c r="T87" s="904" t="n"/>
      <c r="U87" s="569" t="n"/>
      <c r="V87" s="1317" t="n"/>
    </row>
    <row r="88" ht="15.75" customHeight="1" s="1349">
      <c r="A88" s="1292" t="n"/>
      <c r="B88" s="904" t="n"/>
      <c r="C88" s="904" t="n"/>
      <c r="D88" s="1285">
        <f>IF(G88&lt;50,(G88*10%)+4,(G88*6%)+6)</f>
        <v/>
      </c>
      <c r="E88" s="1286">
        <f>G88+F88</f>
        <v/>
      </c>
      <c r="F88" s="1285">
        <f>G88*0.05</f>
        <v/>
      </c>
      <c r="G88" s="1312" t="n"/>
      <c r="H88" s="1301">
        <f>G88*12%</f>
        <v/>
      </c>
      <c r="I88" s="1321" t="n"/>
      <c r="J88" s="1322" t="n"/>
      <c r="K88" s="1318">
        <f>G88*18%</f>
        <v/>
      </c>
      <c r="L88" s="1318">
        <f>(G88-K88)*1.65%-(D88*1.65%)</f>
        <v/>
      </c>
      <c r="M88" s="1318" t="n"/>
      <c r="N88" s="863" t="n"/>
      <c r="O88" s="1320" t="n"/>
      <c r="P88" s="447">
        <f>G88 - (D88+H88+J88+K88+L88+M88+O88) + (N88)</f>
        <v/>
      </c>
      <c r="Q88" s="651">
        <f>(G88 - (D88+H88+K88+L88+M88+O88) + (N88)) / G88</f>
        <v/>
      </c>
      <c r="R88" s="651" t="n"/>
      <c r="S88" s="1206" t="n"/>
      <c r="T88" s="904" t="n"/>
      <c r="U88" s="569" t="n"/>
      <c r="V88" s="1317" t="n"/>
    </row>
    <row r="89" ht="15.75" customHeight="1" s="1349">
      <c r="A89" s="1292" t="n"/>
      <c r="B89" s="904" t="n"/>
      <c r="C89" s="904" t="n"/>
      <c r="D89" s="1285">
        <f>IF(G89&lt;50,(G89*10%)+4,(G89*6%)+6)</f>
        <v/>
      </c>
      <c r="E89" s="1286">
        <f>G89+F89</f>
        <v/>
      </c>
      <c r="F89" s="1285">
        <f>G89*0.05</f>
        <v/>
      </c>
      <c r="G89" s="1312" t="n"/>
      <c r="H89" s="1301">
        <f>G89*12%</f>
        <v/>
      </c>
      <c r="I89" s="1321" t="n"/>
      <c r="J89" s="1322" t="n"/>
      <c r="K89" s="1318">
        <f>G89*18%</f>
        <v/>
      </c>
      <c r="L89" s="1318">
        <f>(G89-K89)*1.65%-(D89*1.65%)</f>
        <v/>
      </c>
      <c r="M89" s="1318" t="n"/>
      <c r="N89" s="863" t="n"/>
      <c r="O89" s="1320" t="n"/>
      <c r="P89" s="447">
        <f>G89 - (D89+H89+J89+K89+L89+M89+O89) + (N89)</f>
        <v/>
      </c>
      <c r="Q89" s="651">
        <f>(G89 - (D89+H89+K89+L89+M89+O89) + (N89)) / G89</f>
        <v/>
      </c>
      <c r="R89" s="651" t="n"/>
      <c r="S89" s="1206" t="n"/>
      <c r="T89" s="904" t="n"/>
      <c r="U89" s="569" t="n"/>
      <c r="V89" s="1317" t="n"/>
    </row>
    <row r="90" ht="15.75" customHeight="1" s="1349">
      <c r="A90" s="1292" t="n"/>
      <c r="B90" s="904" t="n"/>
      <c r="C90" s="904" t="n"/>
      <c r="D90" s="1285">
        <f>IF(G90&lt;50,(G90*10%)+4,(G90*6%)+6)</f>
        <v/>
      </c>
      <c r="E90" s="1326">
        <f>G90+F90</f>
        <v/>
      </c>
      <c r="F90" s="1325">
        <f>G90*0.05</f>
        <v/>
      </c>
      <c r="G90" s="1312" t="n"/>
      <c r="H90" s="1301">
        <f>G90*12%</f>
        <v/>
      </c>
      <c r="I90" s="1321" t="n"/>
      <c r="J90" s="1322" t="n"/>
      <c r="K90" s="1318">
        <f>G90*18%</f>
        <v/>
      </c>
      <c r="L90" s="1318">
        <f>(G90-K90)*1.65%-(D90*1.65%)</f>
        <v/>
      </c>
      <c r="M90" s="1318" t="n"/>
      <c r="N90" s="863" t="n"/>
      <c r="O90" s="1320" t="n"/>
      <c r="P90" s="447">
        <f>G90 - (D90+H90+J90+K90+L90+M90+O90) + (N90)</f>
        <v/>
      </c>
      <c r="Q90" s="651">
        <f>(G90 - (D90+H90+K90+L90+M90+O90) + (N90)) / G90</f>
        <v/>
      </c>
      <c r="R90" s="651" t="n"/>
      <c r="S90" s="1206" t="n"/>
      <c r="T90" s="904" t="n"/>
      <c r="U90" s="569" t="n"/>
      <c r="V90" s="1317" t="n"/>
    </row>
    <row r="91" ht="15.75" customHeight="1" s="1349">
      <c r="A91" s="1292" t="n"/>
      <c r="B91" s="904" t="n"/>
      <c r="C91" s="904" t="n"/>
      <c r="D91" s="1285">
        <f>IF(G91&lt;50,(G91*10%)+4,(G91*6%)+6)</f>
        <v/>
      </c>
      <c r="E91" s="1326">
        <f>G91+F91</f>
        <v/>
      </c>
      <c r="F91" s="1325">
        <f>G91*0.05</f>
        <v/>
      </c>
      <c r="G91" s="1312" t="n"/>
      <c r="H91" s="1301">
        <f>G91*12%</f>
        <v/>
      </c>
      <c r="I91" s="1321" t="n"/>
      <c r="J91" s="1322" t="n"/>
      <c r="K91" s="1318">
        <f>G91*18%</f>
        <v/>
      </c>
      <c r="L91" s="1318">
        <f>(G91-K91)*1.65%-(D91*1.65%)</f>
        <v/>
      </c>
      <c r="M91" s="1318" t="n"/>
      <c r="N91" s="863" t="n"/>
      <c r="O91" s="1320" t="n"/>
      <c r="P91" s="447">
        <f>G91 - (D91+H91+J91+K91+L91+M91+O91) + (N91)</f>
        <v/>
      </c>
      <c r="Q91" s="651">
        <f>(G91 - (D91+H91+K91+L91+M91+O91) + (N91)) / G91</f>
        <v/>
      </c>
      <c r="R91" s="651" t="n"/>
      <c r="S91" s="1206" t="n"/>
      <c r="T91" s="904" t="n"/>
      <c r="U91" s="569" t="n"/>
      <c r="V91" s="1317" t="n"/>
    </row>
    <row r="92" ht="15.75" customHeight="1" s="1349">
      <c r="A92" s="1292" t="n"/>
      <c r="B92" s="904" t="n"/>
      <c r="C92" s="904" t="n"/>
      <c r="D92" s="1285">
        <f>IF(G92&lt;50,(G92*10%)+4,(G92*6%)+6)</f>
        <v/>
      </c>
      <c r="E92" s="1326">
        <f>G92+F92</f>
        <v/>
      </c>
      <c r="F92" s="1325">
        <f>G92*0.05</f>
        <v/>
      </c>
      <c r="G92" s="1312" t="n"/>
      <c r="H92" s="1301">
        <f>G92*12%</f>
        <v/>
      </c>
      <c r="I92" s="1321" t="n"/>
      <c r="J92" s="1322" t="n"/>
      <c r="K92" s="1318">
        <f>G92*18%</f>
        <v/>
      </c>
      <c r="L92" s="1318">
        <f>(G92-K92)*1.65%-(D92*1.65%)</f>
        <v/>
      </c>
      <c r="M92" s="1318" t="n"/>
      <c r="N92" s="863" t="n"/>
      <c r="O92" s="1320" t="n"/>
      <c r="P92" s="447">
        <f>G92 - (D92+H92+J92+K92+L92+M92+O92) + (N92)</f>
        <v/>
      </c>
      <c r="Q92" s="651">
        <f>(G92 - (D92+H92+K92+L92+M92+O92) + (N92)) / G92</f>
        <v/>
      </c>
      <c r="R92" s="651" t="n"/>
      <c r="S92" s="1206" t="n"/>
      <c r="T92" s="904" t="n"/>
      <c r="U92" s="569" t="n"/>
      <c r="V92" s="1317" t="n"/>
    </row>
    <row r="93" ht="15.75" customHeight="1" s="1349">
      <c r="A93" s="1292" t="n"/>
      <c r="B93" s="904" t="n"/>
      <c r="C93" s="904" t="n"/>
      <c r="D93" s="1285">
        <f>IF(G93&lt;50,(G93*10%)+4,(G93*6%)+6)</f>
        <v/>
      </c>
      <c r="E93" s="1326">
        <f>G93+F93</f>
        <v/>
      </c>
      <c r="F93" s="1325">
        <f>G93*0.05</f>
        <v/>
      </c>
      <c r="G93" s="1312" t="n"/>
      <c r="H93" s="1301">
        <f>G93*12%</f>
        <v/>
      </c>
      <c r="I93" s="1321" t="n"/>
      <c r="J93" s="1322" t="n"/>
      <c r="K93" s="1318">
        <f>G93*18%</f>
        <v/>
      </c>
      <c r="L93" s="1318">
        <f>(G93-K93)*1.65%-(D93*1.65%)</f>
        <v/>
      </c>
      <c r="M93" s="1318" t="n"/>
      <c r="N93" s="863" t="n"/>
      <c r="O93" s="1320" t="n"/>
      <c r="P93" s="447">
        <f>G93-J93-(H93+#REF!+K93+L93+M93+O93)+N93</f>
        <v/>
      </c>
      <c r="Q93" s="651">
        <f>(G93 - (D93+H93+K93+L93+M93+O93) + (N93)) / G93</f>
        <v/>
      </c>
      <c r="R93" s="651" t="n"/>
      <c r="S93" s="1206" t="n"/>
      <c r="T93" s="904" t="n"/>
      <c r="U93" s="569" t="n"/>
      <c r="V93" s="1317" t="n"/>
    </row>
    <row r="94" ht="15.75" customHeight="1" s="1349">
      <c r="A94" s="1292" t="n"/>
      <c r="B94" s="904" t="n"/>
      <c r="C94" s="904" t="n"/>
      <c r="D94" s="1285">
        <f>IF(G94&lt;50,(G94*10%)+4,(G94*6%)+6)</f>
        <v/>
      </c>
      <c r="E94" s="1326">
        <f>G94+F94</f>
        <v/>
      </c>
      <c r="F94" s="1325">
        <f>G94*0.05</f>
        <v/>
      </c>
      <c r="G94" s="1312" t="n"/>
      <c r="H94" s="1301">
        <f>G94*12%</f>
        <v/>
      </c>
      <c r="I94" s="1321" t="n"/>
      <c r="J94" s="1322" t="n"/>
      <c r="K94" s="1318">
        <f>G94*18%</f>
        <v/>
      </c>
      <c r="L94" s="1318">
        <f>(G94-K94)*1.65%-(D94*1.65%)</f>
        <v/>
      </c>
      <c r="M94" s="1318" t="n"/>
      <c r="N94" s="863" t="n"/>
      <c r="O94" s="1320" t="n"/>
      <c r="P94" s="447">
        <f>G94-J94-(H94+#REF!+K94+L94+M94+O94)+N94</f>
        <v/>
      </c>
      <c r="Q94" s="651">
        <f>(G94 - (D94+H94+K94+L94+M94+O94) + (N94)) / G94</f>
        <v/>
      </c>
      <c r="R94" s="651" t="n"/>
      <c r="S94" s="1206" t="n"/>
      <c r="T94" s="904" t="n"/>
      <c r="U94" s="569" t="n"/>
      <c r="V94" s="1317" t="n"/>
    </row>
    <row r="95" ht="15.75" customHeight="1" s="1349">
      <c r="A95" s="1292" t="n"/>
      <c r="B95" s="904" t="n"/>
      <c r="C95" s="904" t="n"/>
      <c r="D95" s="1285">
        <f>IF(G95&lt;50,(G95*10%)+4,(G95*6%)+6)</f>
        <v/>
      </c>
      <c r="E95" s="1326">
        <f>G95+F95</f>
        <v/>
      </c>
      <c r="F95" s="1325">
        <f>G95*0.05</f>
        <v/>
      </c>
      <c r="G95" s="1312" t="n"/>
      <c r="H95" s="1301">
        <f>G95*12%</f>
        <v/>
      </c>
      <c r="I95" s="1321" t="n"/>
      <c r="J95" s="1322" t="n"/>
      <c r="K95" s="1318">
        <f>G95*18%</f>
        <v/>
      </c>
      <c r="L95" s="1318">
        <f>(G95-K95)*1.65%-(D95*1.65%)</f>
        <v/>
      </c>
      <c r="M95" s="1318" t="n"/>
      <c r="N95" s="863" t="n"/>
      <c r="O95" s="1320" t="n"/>
      <c r="P95" s="447">
        <f>G95-J95-(H95+#REF!+K95+L95+M95+O95)+N95</f>
        <v/>
      </c>
      <c r="Q95" s="651">
        <f>(G95 - (D95+H95+K95+L95+M95+O95) + (N95)) / G95</f>
        <v/>
      </c>
      <c r="R95" s="651" t="n"/>
      <c r="S95" s="1206" t="n"/>
      <c r="T95" s="904" t="n"/>
      <c r="U95" s="569" t="n"/>
      <c r="V95" s="1317" t="n"/>
    </row>
    <row r="96" ht="15.75" customHeight="1" s="1349">
      <c r="A96" s="1292" t="n"/>
      <c r="B96" s="904" t="n"/>
      <c r="C96" s="904" t="n"/>
      <c r="D96" s="1285">
        <f>IF(G96&lt;50,(G96*10%)+4,(G96*6%)+6)</f>
        <v/>
      </c>
      <c r="E96" s="1326">
        <f>G96+F96</f>
        <v/>
      </c>
      <c r="F96" s="1325">
        <f>G96*0.05</f>
        <v/>
      </c>
      <c r="G96" s="1312" t="n"/>
      <c r="H96" s="1301">
        <f>G96*12%</f>
        <v/>
      </c>
      <c r="I96" s="1321" t="n"/>
      <c r="J96" s="1322" t="n"/>
      <c r="K96" s="1318">
        <f>G96*18%</f>
        <v/>
      </c>
      <c r="L96" s="1318">
        <f>(G96-K96)*1.65%-(D96*1.65%)</f>
        <v/>
      </c>
      <c r="M96" s="1318" t="n"/>
      <c r="N96" s="863" t="n"/>
      <c r="O96" s="1320" t="n"/>
      <c r="P96" s="866" t="n"/>
      <c r="Q96" s="651">
        <f>(G96 - (D96+H96+K96+L96+M96+O96) + (N96)) / G96</f>
        <v/>
      </c>
      <c r="R96" s="651" t="n"/>
      <c r="S96" s="1206" t="n"/>
      <c r="T96" s="904" t="n"/>
      <c r="U96" s="569" t="n"/>
      <c r="V96" s="1317" t="n"/>
    </row>
    <row r="97" ht="15.75" customHeight="1" s="1349">
      <c r="A97" s="1292" t="n"/>
      <c r="B97" s="904" t="n"/>
      <c r="C97" s="904" t="n"/>
      <c r="D97" s="1285">
        <f>IF(G97&lt;50,(G97*10%)+4,(G97*6%)+6)</f>
        <v/>
      </c>
      <c r="E97" s="1326">
        <f>G97+F97</f>
        <v/>
      </c>
      <c r="F97" s="1325">
        <f>G97*0.05</f>
        <v/>
      </c>
      <c r="G97" s="1312" t="n"/>
      <c r="H97" s="1301">
        <f>G97*12%</f>
        <v/>
      </c>
      <c r="I97" s="1321" t="n"/>
      <c r="J97" s="1322" t="n"/>
      <c r="K97" s="1318">
        <f>G97*18%</f>
        <v/>
      </c>
      <c r="L97" s="1318">
        <f>(G97-K97)*1.65%-(D97*1.65%)</f>
        <v/>
      </c>
      <c r="M97" s="1318" t="n"/>
      <c r="N97" s="863" t="n"/>
      <c r="O97" s="1320" t="n"/>
      <c r="P97" s="866" t="n"/>
      <c r="Q97" s="651">
        <f>(G97 - (D97+H97+K97+L97+M97+O97) + (N97)) / G97</f>
        <v/>
      </c>
      <c r="R97" s="651" t="n"/>
      <c r="S97" s="1206" t="n"/>
      <c r="T97" s="904" t="n"/>
      <c r="U97" s="569" t="n"/>
      <c r="V97" s="1317" t="n"/>
    </row>
    <row r="98" ht="15.75" customHeight="1" s="1349">
      <c r="A98" s="1292" t="n"/>
      <c r="B98" s="904" t="n"/>
      <c r="C98" s="904" t="n"/>
      <c r="D98" s="1325" t="n"/>
      <c r="E98" s="1326">
        <f>G98+F98</f>
        <v/>
      </c>
      <c r="F98" s="1325">
        <f>G98*0.05</f>
        <v/>
      </c>
      <c r="G98" s="1312" t="n"/>
      <c r="H98" s="1301">
        <f>G98*12%</f>
        <v/>
      </c>
      <c r="I98" s="1321" t="n"/>
      <c r="J98" s="1322" t="n"/>
      <c r="K98" s="1318">
        <f>G98*18%</f>
        <v/>
      </c>
      <c r="L98" s="1318">
        <f>(G98-K98)*1.65%-(D98*1.65%)</f>
        <v/>
      </c>
      <c r="M98" s="1318" t="n"/>
      <c r="N98" s="863" t="n"/>
      <c r="O98" s="1320" t="n"/>
      <c r="P98" s="866" t="n"/>
      <c r="Q98" s="651">
        <f>(G98 - (D98+H98+K98+L98+M98+O98) + (N98)) / G98</f>
        <v/>
      </c>
      <c r="R98" s="651" t="n"/>
      <c r="S98" s="1206" t="n"/>
      <c r="T98" s="904" t="n"/>
      <c r="U98" s="569" t="n"/>
      <c r="V98" s="1317" t="n"/>
    </row>
    <row r="99" ht="15.75" customHeight="1" s="1349">
      <c r="A99" s="1292" t="n"/>
      <c r="B99" s="904" t="n"/>
      <c r="C99" s="904" t="n"/>
      <c r="D99" s="1325" t="n"/>
      <c r="E99" s="1326">
        <f>G99+F99</f>
        <v/>
      </c>
      <c r="F99" s="1325">
        <f>G99*0.05</f>
        <v/>
      </c>
      <c r="G99" s="1312" t="n"/>
      <c r="H99" s="1301">
        <f>G99*12%</f>
        <v/>
      </c>
      <c r="I99" s="1321" t="n"/>
      <c r="J99" s="1322" t="n"/>
      <c r="K99" s="1318">
        <f>G99*18%</f>
        <v/>
      </c>
      <c r="L99" s="1318">
        <f>(G99-K99)*1.65%-(D99*1.65%)</f>
        <v/>
      </c>
      <c r="M99" s="1318" t="n"/>
      <c r="N99" s="863" t="n"/>
      <c r="O99" s="1320" t="n"/>
      <c r="P99" s="866" t="n"/>
      <c r="Q99" s="651">
        <f>(G99 - (D99+H99+K99+L99+M99+O99) + (N99)) / G99</f>
        <v/>
      </c>
      <c r="R99" s="651" t="n"/>
      <c r="S99" s="1206" t="n"/>
      <c r="T99" s="904" t="n"/>
      <c r="U99" s="569" t="n"/>
      <c r="V99" s="1317" t="n"/>
    </row>
    <row r="100" ht="15.75" customHeight="1" s="1349">
      <c r="A100" s="1292" t="n"/>
      <c r="B100" s="904" t="n"/>
      <c r="C100" s="904" t="n"/>
      <c r="D100" s="1325" t="n"/>
      <c r="E100" s="1326">
        <f>G100+F100</f>
        <v/>
      </c>
      <c r="F100" s="1325">
        <f>G100*0.05</f>
        <v/>
      </c>
      <c r="G100" s="1312" t="n"/>
      <c r="H100" s="1301">
        <f>G100*12%</f>
        <v/>
      </c>
      <c r="I100" s="1321" t="n"/>
      <c r="J100" s="1322" t="n"/>
      <c r="K100" s="1318">
        <f>G100*18%</f>
        <v/>
      </c>
      <c r="L100" s="1318">
        <f>(G100-K100)*1.65%-(D100*1.65%)</f>
        <v/>
      </c>
      <c r="M100" s="1318" t="n"/>
      <c r="N100" s="863" t="n"/>
      <c r="O100" s="1320" t="n"/>
      <c r="P100" s="866" t="n"/>
      <c r="Q100" s="651">
        <f>(G100 - (D100+H100+K100+L100+M100+O100) + (N100)) / G100</f>
        <v/>
      </c>
      <c r="R100" s="651" t="n"/>
      <c r="S100" s="1206" t="n"/>
      <c r="T100" s="904" t="n"/>
      <c r="U100" s="569" t="n"/>
      <c r="V100" s="1317" t="n"/>
    </row>
    <row r="101" ht="15.75" customHeight="1" s="1349">
      <c r="A101" s="1292" t="n"/>
      <c r="B101" s="904" t="n"/>
      <c r="C101" s="904" t="n"/>
      <c r="D101" s="1325" t="n"/>
      <c r="E101" s="1326">
        <f>G101+F101</f>
        <v/>
      </c>
      <c r="F101" s="1325">
        <f>G101*0.05</f>
        <v/>
      </c>
      <c r="G101" s="1312" t="n"/>
      <c r="H101" s="1301">
        <f>G101*12%</f>
        <v/>
      </c>
      <c r="I101" s="1321" t="n"/>
      <c r="J101" s="1322" t="n"/>
      <c r="K101" s="1318">
        <f>G101*18%</f>
        <v/>
      </c>
      <c r="L101" s="1318">
        <f>(G101-K101)*1.65%-(D101*1.65%)</f>
        <v/>
      </c>
      <c r="M101" s="1318" t="n"/>
      <c r="N101" s="863" t="n"/>
      <c r="O101" s="1320" t="n"/>
      <c r="P101" s="866" t="n"/>
      <c r="Q101" s="651">
        <f>(G101 - (D101+H101+K101+L101+M101+O101) + (N101)) / G101</f>
        <v/>
      </c>
      <c r="R101" s="651" t="n"/>
      <c r="S101" s="1206" t="n"/>
      <c r="T101" s="904" t="n"/>
      <c r="U101" s="569" t="n"/>
      <c r="V101" s="1317" t="n"/>
    </row>
    <row r="102" ht="15.75" customHeight="1" s="1349">
      <c r="A102" s="1292" t="n"/>
      <c r="B102" s="1292" t="inlineStr">
        <is>
          <t>EPI</t>
        </is>
      </c>
      <c r="C102" s="904" t="inlineStr">
        <is>
          <t>orange 4</t>
        </is>
      </c>
      <c r="D102" s="1325" t="n"/>
      <c r="E102" s="1326">
        <f>G102+F102</f>
        <v/>
      </c>
      <c r="F102" s="1325">
        <f>G102*0.05</f>
        <v/>
      </c>
      <c r="G102" s="1312" t="n">
        <v>50</v>
      </c>
      <c r="H102" s="1301">
        <f>G102*12%</f>
        <v/>
      </c>
      <c r="I102" s="1321" t="n"/>
      <c r="J102" s="1322" t="n"/>
      <c r="K102" s="1303">
        <f>G102*18%</f>
        <v/>
      </c>
      <c r="L102" s="1303">
        <f>(G102-K102)*1.65%-(D102*1.65%)</f>
        <v/>
      </c>
      <c r="M102" s="1303">
        <f>G102*10%</f>
        <v/>
      </c>
      <c r="N102" s="577" t="n"/>
      <c r="O102" s="1320">
        <f>4.78*4</f>
        <v/>
      </c>
      <c r="P102" s="1327">
        <f>G102-H102-#REF!-M102-O102-J102</f>
        <v/>
      </c>
      <c r="Q102" s="1328">
        <f>(G102 - (D102+H102+K102+L102+M102+O102) + (N102)) / G102</f>
        <v/>
      </c>
      <c r="R102" s="462">
        <f>P102/G102</f>
        <v/>
      </c>
      <c r="S102" s="1206" t="n"/>
      <c r="T102" s="904" t="n"/>
      <c r="U102" s="569" t="n"/>
      <c r="V102" s="1292" t="n"/>
    </row>
    <row r="103" ht="15.75" customHeight="1" s="1349">
      <c r="A103" s="1292" t="n"/>
      <c r="B103" s="1292" t="inlineStr">
        <is>
          <t>EPI</t>
        </is>
      </c>
      <c r="C103" s="904" t="inlineStr">
        <is>
          <t>orange 6</t>
        </is>
      </c>
      <c r="D103" s="1325" t="n"/>
      <c r="E103" s="1326">
        <f>G103+F103</f>
        <v/>
      </c>
      <c r="F103" s="1325">
        <f>G103*0.05</f>
        <v/>
      </c>
      <c r="G103" s="1312" t="n">
        <v>78.98999999999999</v>
      </c>
      <c r="H103" s="1301">
        <f>G103*12%</f>
        <v/>
      </c>
      <c r="I103" s="1321" t="n"/>
      <c r="J103" s="1322" t="n"/>
      <c r="K103" s="1303">
        <f>G103*18%</f>
        <v/>
      </c>
      <c r="L103" s="1303">
        <f>(G103-K103)*1.65%-(D103*1.65%)</f>
        <v/>
      </c>
      <c r="M103" s="1303">
        <f>G103*10%</f>
        <v/>
      </c>
      <c r="N103" s="577" t="n"/>
      <c r="O103" s="1320">
        <f>4.78*6</f>
        <v/>
      </c>
      <c r="P103" s="1327">
        <f>G103-H103-#REF!-M103-O103-J103</f>
        <v/>
      </c>
      <c r="Q103" s="1328">
        <f>(G103 - (D103+H103+K103+L103+M103+O103) + (N103)) / G103</f>
        <v/>
      </c>
      <c r="R103" s="462">
        <f>P103/G103</f>
        <v/>
      </c>
      <c r="S103" s="1206" t="n"/>
      <c r="T103" s="904" t="n"/>
      <c r="U103" s="569" t="n"/>
      <c r="V103" s="1292" t="n"/>
    </row>
    <row r="104" ht="15.75" customHeight="1" s="1349">
      <c r="A104" s="1292" t="inlineStr">
        <is>
          <t>ml santos</t>
        </is>
      </c>
      <c r="B104" s="1292" t="inlineStr">
        <is>
          <t>EPI</t>
        </is>
      </c>
      <c r="C104" s="904" t="inlineStr">
        <is>
          <t>groove lock 10</t>
        </is>
      </c>
      <c r="D104" s="1325" t="n"/>
      <c r="E104" s="1326">
        <f>G104+F104</f>
        <v/>
      </c>
      <c r="F104" s="1325">
        <f>G104*0.05</f>
        <v/>
      </c>
      <c r="G104" s="1312" t="n">
        <v>199</v>
      </c>
      <c r="H104" s="1301">
        <f>G104*12%</f>
        <v/>
      </c>
      <c r="I104" s="1321" t="n"/>
      <c r="J104" s="1322" t="n"/>
      <c r="K104" s="1303">
        <f>G104*18%</f>
        <v/>
      </c>
      <c r="L104" s="1303">
        <f>(G104-K104)*1.65%-(D104*1.65%)</f>
        <v/>
      </c>
      <c r="M104" s="1303">
        <f>G104*10%</f>
        <v/>
      </c>
      <c r="N104" s="577" t="n"/>
      <c r="O104" s="1320" t="n">
        <v>104.21</v>
      </c>
      <c r="P104" s="1327">
        <f>G104-H104-#REF!-M104-O104-J104</f>
        <v/>
      </c>
      <c r="Q104" s="1328">
        <f>(G104 - (D104+H104+K104+L104+M104+O104) + (N104)) / G104</f>
        <v/>
      </c>
      <c r="R104" s="462">
        <f>P104/G104</f>
        <v/>
      </c>
      <c r="S104" s="1206" t="n"/>
      <c r="T104" s="904" t="n"/>
      <c r="U104" s="569" t="n"/>
      <c r="V104" s="1292" t="n"/>
    </row>
    <row r="105" ht="15.75" customHeight="1" s="1349">
      <c r="A105" s="1292" t="inlineStr">
        <is>
          <t>ml santos</t>
        </is>
      </c>
      <c r="B105" s="1292" t="inlineStr">
        <is>
          <t>EPI</t>
        </is>
      </c>
      <c r="C105" s="904" t="inlineStr">
        <is>
          <t>groove lock 12</t>
        </is>
      </c>
      <c r="D105" s="1325" t="n"/>
      <c r="E105" s="1326">
        <f>G105+F105</f>
        <v/>
      </c>
      <c r="F105" s="1325">
        <f>G105*0.05</f>
        <v/>
      </c>
      <c r="G105" s="1312" t="n">
        <v>250</v>
      </c>
      <c r="H105" s="1301">
        <f>G105*12%</f>
        <v/>
      </c>
      <c r="I105" s="1321" t="n"/>
      <c r="J105" s="1322" t="n"/>
      <c r="K105" s="1303">
        <f>G105*18%</f>
        <v/>
      </c>
      <c r="L105" s="1303">
        <f>(G105-K105)*1.65%-(D105*1.65%)</f>
        <v/>
      </c>
      <c r="M105" s="1303">
        <f>G105*10%</f>
        <v/>
      </c>
      <c r="N105" s="577" t="n"/>
      <c r="O105" s="1320" t="n">
        <v>128.91</v>
      </c>
      <c r="P105" s="1327">
        <f>G105-H105-#REF!-M105-O105-J105</f>
        <v/>
      </c>
      <c r="Q105" s="1328">
        <f>(G105 - (D105+H105+K105+L105+M105+O105) + (N105)) / G105</f>
        <v/>
      </c>
      <c r="R105" s="462">
        <f>P105/G105</f>
        <v/>
      </c>
      <c r="S105" s="1206" t="n"/>
      <c r="T105" s="904" t="n"/>
      <c r="U105" s="569" t="n"/>
      <c r="V105" s="1292" t="n"/>
    </row>
    <row r="106" ht="15.75" customHeight="1" s="1349">
      <c r="A106" s="1292" t="inlineStr">
        <is>
          <t>ml santos</t>
        </is>
      </c>
      <c r="B106" s="1292" t="inlineStr">
        <is>
          <t>EPI</t>
        </is>
      </c>
      <c r="C106" s="904" t="inlineStr">
        <is>
          <t>chave ajust 8</t>
        </is>
      </c>
      <c r="D106" s="1325" t="n"/>
      <c r="E106" s="1326">
        <f>G106+F106</f>
        <v/>
      </c>
      <c r="F106" s="1325">
        <f>G106*0.05</f>
        <v/>
      </c>
      <c r="G106" s="1312" t="n">
        <v>139</v>
      </c>
      <c r="H106" s="1301">
        <f>G106*12%</f>
        <v/>
      </c>
      <c r="I106" s="1321" t="n"/>
      <c r="J106" s="1322" t="n"/>
      <c r="K106" s="1303">
        <f>G106*18%</f>
        <v/>
      </c>
      <c r="L106" s="1303">
        <f>(G106-K106)*1.65%-(D106*1.65%)</f>
        <v/>
      </c>
      <c r="M106" s="1303">
        <f>G106*10%</f>
        <v/>
      </c>
      <c r="N106" s="577" t="n"/>
      <c r="O106" s="1320" t="n">
        <v>63.86</v>
      </c>
      <c r="P106" s="1327">
        <f>G106-H106-#REF!-M106-O106-J106</f>
        <v/>
      </c>
      <c r="Q106" s="1328">
        <f>(G106 - (D106+H106+K106+L106+M106+O106) + (N106)) / G106</f>
        <v/>
      </c>
      <c r="R106" s="462">
        <f>P106/G106</f>
        <v/>
      </c>
      <c r="S106" s="1206" t="n"/>
      <c r="T106" s="904" t="n"/>
      <c r="U106" s="569" t="n"/>
      <c r="V106" s="1292" t="n"/>
    </row>
    <row r="107" ht="15.75" customHeight="1" s="1349">
      <c r="A107" s="1292" t="inlineStr">
        <is>
          <t>ml santos</t>
        </is>
      </c>
      <c r="B107" s="1292" t="inlineStr">
        <is>
          <t>EPI</t>
        </is>
      </c>
      <c r="C107" s="904" t="inlineStr">
        <is>
          <t>chave ajustavel 12 irwin</t>
        </is>
      </c>
      <c r="D107" s="1325" t="n"/>
      <c r="E107" s="1326">
        <f>G107+F107</f>
        <v/>
      </c>
      <c r="F107" s="1325">
        <f>G107*0.05</f>
        <v/>
      </c>
      <c r="G107" s="1312" t="n">
        <v>110</v>
      </c>
      <c r="H107" s="1301">
        <f>G107*12%</f>
        <v/>
      </c>
      <c r="I107" s="1321" t="n"/>
      <c r="J107" s="1322" t="n"/>
      <c r="K107" s="1303">
        <f>G107*18%</f>
        <v/>
      </c>
      <c r="L107" s="1303">
        <f>(G107-K107)*1.65%-(D107*1.65%)</f>
        <v/>
      </c>
      <c r="M107" s="1303">
        <f>G107*10%</f>
        <v/>
      </c>
      <c r="N107" s="577" t="n"/>
      <c r="O107" s="1320" t="n">
        <v>49.74</v>
      </c>
      <c r="P107" s="1327">
        <f>G107-H107-#REF!-M107-O107-J107</f>
        <v/>
      </c>
      <c r="Q107" s="1328">
        <f>(G107 - (D107+H107+K107+L107+M107+O107) + (N107)) / G107</f>
        <v/>
      </c>
      <c r="R107" s="462">
        <f>P107/G107</f>
        <v/>
      </c>
      <c r="S107" s="1206" t="n"/>
      <c r="T107" s="904" t="n"/>
      <c r="U107" s="569" t="n"/>
      <c r="V107" s="1292" t="n"/>
    </row>
    <row r="108" ht="15.75" customHeight="1" s="1349">
      <c r="A108" s="1292" t="n"/>
      <c r="B108" s="904" t="n"/>
      <c r="C108" s="904" t="n"/>
      <c r="D108" s="1325" t="n"/>
      <c r="E108" s="1326">
        <f>G108+F108</f>
        <v/>
      </c>
      <c r="F108" s="1325">
        <f>G108*0.05</f>
        <v/>
      </c>
      <c r="G108" s="1312" t="n"/>
      <c r="H108" s="1301">
        <f>G108*12%</f>
        <v/>
      </c>
      <c r="I108" s="1321" t="n"/>
      <c r="J108" s="1322" t="n"/>
      <c r="K108" s="1318">
        <f>G108*18%</f>
        <v/>
      </c>
      <c r="L108" s="1318">
        <f>(G108-K108)*1.65%-(D108*1.65%)</f>
        <v/>
      </c>
      <c r="M108" s="1318" t="n"/>
      <c r="N108" s="863" t="n"/>
      <c r="O108" s="1320" t="n"/>
      <c r="P108" s="866" t="n"/>
      <c r="Q108" s="651">
        <f>(G108 - (D108+H108+K108+L108+M108+O108) + (N108)) / G108</f>
        <v/>
      </c>
      <c r="R108" s="651" t="n"/>
      <c r="S108" s="1206" t="n"/>
      <c r="T108" s="904" t="n"/>
      <c r="U108" s="569" t="n"/>
      <c r="V108" s="1317" t="n"/>
    </row>
    <row r="109" ht="15.75" customHeight="1" s="1349">
      <c r="A109" s="1292" t="n"/>
      <c r="B109" s="904" t="n"/>
      <c r="C109" s="904" t="n"/>
      <c r="D109" s="1325" t="n"/>
      <c r="E109" s="1326">
        <f>G109+F109</f>
        <v/>
      </c>
      <c r="F109" s="1325">
        <f>G109*0.05</f>
        <v/>
      </c>
      <c r="G109" s="1312" t="n"/>
      <c r="H109" s="1301">
        <f>G109*12%</f>
        <v/>
      </c>
      <c r="I109" s="1321" t="n"/>
      <c r="J109" s="1322" t="n"/>
      <c r="K109" s="1318">
        <f>G109*18%</f>
        <v/>
      </c>
      <c r="L109" s="1318">
        <f>(G109-K109)*1.65%-(D109*1.65%)</f>
        <v/>
      </c>
      <c r="M109" s="1318" t="n"/>
      <c r="N109" s="863" t="n"/>
      <c r="O109" s="1320" t="n"/>
      <c r="P109" s="866" t="n"/>
      <c r="Q109" s="651">
        <f>(G109 - (D109+H109+K109+L109+M109+O109) + (N109)) / G109</f>
        <v/>
      </c>
      <c r="R109" s="651" t="n"/>
      <c r="S109" s="1206" t="n"/>
      <c r="T109" s="904" t="n"/>
      <c r="U109" s="569" t="n"/>
      <c r="V109" s="1317" t="n"/>
    </row>
    <row r="110" ht="15.75" customHeight="1" s="1349">
      <c r="A110" s="1292" t="n"/>
      <c r="B110" s="904" t="n"/>
      <c r="C110" s="904" t="n"/>
      <c r="D110" s="1325" t="n"/>
      <c r="E110" s="1326">
        <f>G110+F110</f>
        <v/>
      </c>
      <c r="F110" s="1325">
        <f>G110*0.05</f>
        <v/>
      </c>
      <c r="G110" s="1312" t="n"/>
      <c r="H110" s="1301">
        <f>G110*12%</f>
        <v/>
      </c>
      <c r="I110" s="1321" t="n"/>
      <c r="J110" s="1322" t="n"/>
      <c r="K110" s="1318">
        <f>G110*18%</f>
        <v/>
      </c>
      <c r="L110" s="1318">
        <f>(G110-K110)*1.65%-(D110*1.65%)</f>
        <v/>
      </c>
      <c r="M110" s="1318" t="n"/>
      <c r="N110" s="863" t="n"/>
      <c r="O110" s="1320" t="n"/>
      <c r="P110" s="866" t="n"/>
      <c r="Q110" s="651">
        <f>(G110 - (D110+H110+K110+L110+M110+O110) + (N110)) / G110</f>
        <v/>
      </c>
      <c r="R110" s="651" t="n"/>
      <c r="S110" s="1206" t="n"/>
      <c r="T110" s="904" t="n"/>
      <c r="U110" s="569" t="n"/>
      <c r="V110" s="1317" t="n"/>
    </row>
    <row r="111" ht="15.75" customHeight="1" s="1349">
      <c r="A111" s="1292" t="n"/>
      <c r="B111" s="904" t="n"/>
      <c r="C111" s="904" t="n"/>
      <c r="D111" s="1325" t="n"/>
      <c r="E111" s="1326">
        <f>G111+F111</f>
        <v/>
      </c>
      <c r="F111" s="1325">
        <f>G111*0.05</f>
        <v/>
      </c>
      <c r="G111" s="1312" t="n"/>
      <c r="H111" s="1301">
        <f>G111*12%</f>
        <v/>
      </c>
      <c r="I111" s="1321" t="n"/>
      <c r="J111" s="1322" t="n"/>
      <c r="K111" s="1318">
        <f>G111*18%</f>
        <v/>
      </c>
      <c r="L111" s="1318">
        <f>(G111-K111)*1.65%-(D111*1.65%)</f>
        <v/>
      </c>
      <c r="M111" s="1318" t="n"/>
      <c r="N111" s="863" t="n"/>
      <c r="O111" s="1320" t="n"/>
      <c r="P111" s="866" t="n"/>
      <c r="Q111" s="651">
        <f>(G111 - (D111+H111+K111+L111+M111+O111) + (N111)) / G111</f>
        <v/>
      </c>
      <c r="R111" s="651" t="n"/>
      <c r="S111" s="1206" t="n"/>
      <c r="T111" s="904" t="n"/>
      <c r="U111" s="569" t="n"/>
      <c r="V111" s="1317" t="n"/>
    </row>
    <row r="112" ht="15.75" customHeight="1" s="1349">
      <c r="A112" s="1292" t="n"/>
      <c r="B112" s="904" t="n"/>
      <c r="C112" s="904" t="n"/>
      <c r="D112" s="1325" t="n"/>
      <c r="E112" s="1326">
        <f>G112+F112</f>
        <v/>
      </c>
      <c r="F112" s="1325">
        <f>G112*0.05</f>
        <v/>
      </c>
      <c r="G112" s="1312" t="n"/>
      <c r="H112" s="1301">
        <f>G112*12%</f>
        <v/>
      </c>
      <c r="I112" s="1321" t="n"/>
      <c r="J112" s="1322" t="n"/>
      <c r="K112" s="1318">
        <f>G112*18%</f>
        <v/>
      </c>
      <c r="L112" s="1318">
        <f>(G112-K112)*1.65%-(D112*1.65%)</f>
        <v/>
      </c>
      <c r="M112" s="1318" t="n"/>
      <c r="N112" s="863" t="n"/>
      <c r="O112" s="1320" t="n"/>
      <c r="P112" s="866" t="n"/>
      <c r="Q112" s="651">
        <f>(G112 - (D112+H112+K112+L112+M112+O112) + (N112)) / G112</f>
        <v/>
      </c>
      <c r="R112" s="651" t="n"/>
      <c r="S112" s="1206" t="n"/>
      <c r="T112" s="904" t="n"/>
      <c r="U112" s="569" t="n"/>
      <c r="V112" s="1317" t="n"/>
    </row>
    <row r="113" ht="15.75" customHeight="1" s="1349">
      <c r="A113" s="1292" t="n"/>
      <c r="B113" s="904" t="n"/>
      <c r="C113" s="904" t="n"/>
      <c r="D113" s="1325" t="n"/>
      <c r="E113" s="1326">
        <f>G113+F113</f>
        <v/>
      </c>
      <c r="F113" s="1325">
        <f>G113*0.05</f>
        <v/>
      </c>
      <c r="G113" s="1312" t="n"/>
      <c r="H113" s="1301">
        <f>G113*12%</f>
        <v/>
      </c>
      <c r="I113" s="1321" t="n"/>
      <c r="J113" s="1322" t="n"/>
      <c r="K113" s="1318">
        <f>G113*18%</f>
        <v/>
      </c>
      <c r="L113" s="1318">
        <f>(G113-K113)*1.65%-(D113*1.65%)</f>
        <v/>
      </c>
      <c r="M113" s="1318" t="n"/>
      <c r="N113" s="863" t="n"/>
      <c r="O113" s="1320" t="n"/>
      <c r="P113" s="866" t="n"/>
      <c r="Q113" s="651">
        <f>(G113 - (D113+H113+K113+L113+M113+O113) + (N113)) / G113</f>
        <v/>
      </c>
      <c r="R113" s="651" t="n"/>
      <c r="S113" s="1206" t="n"/>
      <c r="T113" s="904" t="n"/>
      <c r="U113" s="569" t="n"/>
      <c r="V113" s="1317" t="n"/>
    </row>
    <row r="114" ht="15.75" customHeight="1" s="1349">
      <c r="A114" s="1292" t="n"/>
      <c r="B114" s="904" t="n"/>
      <c r="C114" s="904" t="n"/>
      <c r="D114" s="1325" t="n"/>
      <c r="E114" s="1326">
        <f>G114+F114</f>
        <v/>
      </c>
      <c r="F114" s="1325">
        <f>G114*0.05</f>
        <v/>
      </c>
      <c r="G114" s="1312" t="n"/>
      <c r="H114" s="1301">
        <f>G114*12%</f>
        <v/>
      </c>
      <c r="I114" s="1321" t="n"/>
      <c r="J114" s="1322" t="n"/>
      <c r="K114" s="1318">
        <f>G114*18%</f>
        <v/>
      </c>
      <c r="L114" s="1318">
        <f>(G114-K114)*1.65%-(D114*1.65%)</f>
        <v/>
      </c>
      <c r="M114" s="1318" t="n"/>
      <c r="N114" s="863" t="n"/>
      <c r="O114" s="1320" t="n"/>
      <c r="P114" s="866" t="n"/>
      <c r="Q114" s="651">
        <f>(G114 - (D114+H114+K114+L114+M114+O114) + (N114)) / G114</f>
        <v/>
      </c>
      <c r="R114" s="651" t="n"/>
      <c r="S114" s="1206" t="n"/>
      <c r="T114" s="904" t="n"/>
      <c r="U114" s="569" t="n"/>
      <c r="V114" s="1317" t="n"/>
    </row>
    <row r="115" ht="15.75" customHeight="1" s="1349">
      <c r="A115" s="1292" t="n"/>
      <c r="B115" s="904" t="n"/>
      <c r="C115" s="904" t="n"/>
      <c r="D115" s="1325" t="n"/>
      <c r="E115" s="1326">
        <f>G115+F115</f>
        <v/>
      </c>
      <c r="F115" s="1325">
        <f>G115*0.05</f>
        <v/>
      </c>
      <c r="G115" s="1312" t="n"/>
      <c r="H115" s="1301">
        <f>G115*12%</f>
        <v/>
      </c>
      <c r="I115" s="1321" t="n"/>
      <c r="J115" s="1322" t="n"/>
      <c r="K115" s="1318">
        <f>G115*18%</f>
        <v/>
      </c>
      <c r="L115" s="1318">
        <f>(G115-K115)*1.65%-(D115*1.65%)</f>
        <v/>
      </c>
      <c r="M115" s="1318" t="n"/>
      <c r="N115" s="863" t="n"/>
      <c r="O115" s="1320" t="n"/>
      <c r="P115" s="866" t="n"/>
      <c r="Q115" s="651">
        <f>(G115 - (D115+H115+K115+L115+M115+O115) + (N115)) / G115</f>
        <v/>
      </c>
      <c r="R115" s="651" t="n"/>
      <c r="S115" s="1206" t="n"/>
      <c r="T115" s="904" t="n"/>
      <c r="U115" s="569" t="n"/>
      <c r="V115" s="1317" t="n"/>
    </row>
    <row r="116" ht="15.75" customHeight="1" s="1349">
      <c r="A116" s="1292" t="n"/>
      <c r="B116" s="904" t="n"/>
      <c r="C116" s="904" t="n"/>
      <c r="D116" s="1325" t="n"/>
      <c r="E116" s="1326">
        <f>G116+F116</f>
        <v/>
      </c>
      <c r="F116" s="1325">
        <f>G116*0.05</f>
        <v/>
      </c>
      <c r="G116" s="1312" t="n"/>
      <c r="H116" s="1301">
        <f>G116*12%</f>
        <v/>
      </c>
      <c r="I116" s="1321" t="n"/>
      <c r="J116" s="1322" t="n"/>
      <c r="K116" s="1318">
        <f>G116*18%</f>
        <v/>
      </c>
      <c r="L116" s="1318">
        <f>(G116-K116)*1.65%-(D116*1.65%)</f>
        <v/>
      </c>
      <c r="M116" s="1318" t="n"/>
      <c r="N116" s="863" t="n"/>
      <c r="O116" s="1320" t="n"/>
      <c r="P116" s="866" t="n"/>
      <c r="Q116" s="651">
        <f>(G116 - (D116+H116+K116+L116+M116+O116) + (N116)) / G116</f>
        <v/>
      </c>
      <c r="R116" s="651" t="n"/>
      <c r="S116" s="1206" t="n"/>
      <c r="T116" s="904" t="n"/>
      <c r="U116" s="569" t="n"/>
      <c r="V116" s="1317" t="n"/>
    </row>
    <row r="117" ht="15.75" customHeight="1" s="1349">
      <c r="A117" s="1292" t="n"/>
      <c r="B117" s="904" t="n"/>
      <c r="C117" s="904" t="n"/>
      <c r="D117" s="1325" t="n"/>
      <c r="E117" s="1326">
        <f>G117+F117</f>
        <v/>
      </c>
      <c r="F117" s="1325">
        <f>G117*0.05</f>
        <v/>
      </c>
      <c r="G117" s="1312" t="n"/>
      <c r="H117" s="1301">
        <f>G117*12%</f>
        <v/>
      </c>
      <c r="I117" s="1321" t="n"/>
      <c r="J117" s="1322" t="n"/>
      <c r="K117" s="1318">
        <f>G117*18%</f>
        <v/>
      </c>
      <c r="L117" s="1318">
        <f>(G117-K117)*1.65%-(D117*1.65%)</f>
        <v/>
      </c>
      <c r="M117" s="1318" t="n"/>
      <c r="N117" s="863" t="n"/>
      <c r="O117" s="1320" t="n"/>
      <c r="P117" s="866" t="n"/>
      <c r="Q117" s="651">
        <f>(G117 - (D117+H117+K117+L117+M117+O117) + (N117)) / G117</f>
        <v/>
      </c>
      <c r="R117" s="651" t="n"/>
      <c r="S117" s="1206" t="n"/>
      <c r="T117" s="904" t="n"/>
      <c r="U117" s="569" t="n"/>
      <c r="V117" s="1317" t="n"/>
    </row>
    <row r="118" ht="15.75" customHeight="1" s="1349">
      <c r="A118" s="1292" t="n"/>
      <c r="B118" s="904" t="n"/>
      <c r="C118" s="904" t="n"/>
      <c r="D118" s="1325" t="n"/>
      <c r="E118" s="1326">
        <f>G118+F118</f>
        <v/>
      </c>
      <c r="F118" s="1325">
        <f>G118*0.05</f>
        <v/>
      </c>
      <c r="G118" s="1312" t="n"/>
      <c r="H118" s="1301">
        <f>G118*12%</f>
        <v/>
      </c>
      <c r="I118" s="1321" t="n"/>
      <c r="J118" s="1322" t="n"/>
      <c r="K118" s="1318">
        <f>G118*18%</f>
        <v/>
      </c>
      <c r="L118" s="1318">
        <f>(G118-K118)*1.65%-(D118*1.65%)</f>
        <v/>
      </c>
      <c r="M118" s="1318" t="n"/>
      <c r="N118" s="863" t="n"/>
      <c r="O118" s="1320" t="n"/>
      <c r="P118" s="866" t="n"/>
      <c r="Q118" s="651">
        <f>(G118 - (D118+H118+K118+L118+M118+O118) + (N118)) / G118</f>
        <v/>
      </c>
      <c r="R118" s="651" t="n"/>
      <c r="S118" s="1206" t="n"/>
      <c r="T118" s="904" t="n"/>
      <c r="U118" s="569" t="n"/>
      <c r="V118" s="1317" t="n"/>
    </row>
    <row r="119" ht="15.75" customHeight="1" s="1349">
      <c r="A119" s="1292" t="n"/>
      <c r="B119" s="904" t="n"/>
      <c r="C119" s="904" t="n"/>
      <c r="D119" s="1325" t="n"/>
      <c r="E119" s="1326">
        <f>G119+F119</f>
        <v/>
      </c>
      <c r="F119" s="1325">
        <f>G119*0.05</f>
        <v/>
      </c>
      <c r="G119" s="1312" t="n"/>
      <c r="H119" s="1301">
        <f>G119*12%</f>
        <v/>
      </c>
      <c r="I119" s="1321" t="n"/>
      <c r="J119" s="1322" t="n"/>
      <c r="K119" s="1318">
        <f>G119*18%</f>
        <v/>
      </c>
      <c r="L119" s="1318">
        <f>(G119-K119)*1.65%-(D119*1.65%)</f>
        <v/>
      </c>
      <c r="M119" s="1318" t="n"/>
      <c r="N119" s="863" t="n"/>
      <c r="O119" s="1320" t="n"/>
      <c r="P119" s="866" t="n"/>
      <c r="Q119" s="651">
        <f>(G119 - (D119+H119+K119+L119+M119+O119) + (N119)) / G119</f>
        <v/>
      </c>
      <c r="R119" s="651" t="n"/>
      <c r="S119" s="1206" t="n"/>
      <c r="T119" s="904" t="n"/>
      <c r="U119" s="569" t="n"/>
      <c r="V119" s="1317" t="n"/>
    </row>
    <row r="120" ht="15.75" customHeight="1" s="1349">
      <c r="A120" s="1292" t="n"/>
      <c r="B120" s="904" t="n"/>
      <c r="C120" s="904" t="n"/>
      <c r="D120" s="1325" t="n"/>
      <c r="E120" s="1326">
        <f>G120+F120</f>
        <v/>
      </c>
      <c r="F120" s="1325">
        <f>G120*0.05</f>
        <v/>
      </c>
      <c r="G120" s="1312" t="n"/>
      <c r="H120" s="1301">
        <f>G120*12%</f>
        <v/>
      </c>
      <c r="I120" s="1321" t="n"/>
      <c r="J120" s="1322" t="n"/>
      <c r="K120" s="1318">
        <f>G120*18%</f>
        <v/>
      </c>
      <c r="L120" s="1318">
        <f>(G120-K120)*1.65%-(D120*1.65%)</f>
        <v/>
      </c>
      <c r="M120" s="1318" t="n"/>
      <c r="N120" s="863" t="n"/>
      <c r="O120" s="1320" t="n"/>
      <c r="P120" s="866" t="n"/>
      <c r="Q120" s="651">
        <f>(G120 - (D120+H120+K120+L120+M120+O120) + (N120)) / G120</f>
        <v/>
      </c>
      <c r="R120" s="651" t="n"/>
      <c r="S120" s="1206" t="n"/>
      <c r="T120" s="904" t="n"/>
      <c r="U120" s="569" t="n"/>
      <c r="V120" s="1317" t="n"/>
    </row>
    <row r="121" ht="15.75" customHeight="1" s="1349">
      <c r="A121" s="1292" t="n"/>
      <c r="B121" s="904" t="n"/>
      <c r="C121" s="904" t="n"/>
      <c r="D121" s="1325" t="n"/>
      <c r="E121" s="1326">
        <f>G121+F121</f>
        <v/>
      </c>
      <c r="F121" s="1325">
        <f>G121*0.05</f>
        <v/>
      </c>
      <c r="G121" s="1312" t="n"/>
      <c r="H121" s="1301">
        <f>G121*12%</f>
        <v/>
      </c>
      <c r="I121" s="1321" t="n"/>
      <c r="J121" s="1322" t="n"/>
      <c r="K121" s="1318">
        <f>G121*18%</f>
        <v/>
      </c>
      <c r="L121" s="1318">
        <f>(G121-K121)*1.65%-(D121*1.65%)</f>
        <v/>
      </c>
      <c r="M121" s="1318" t="n"/>
      <c r="N121" s="863" t="n"/>
      <c r="O121" s="1320" t="n"/>
      <c r="P121" s="866" t="n"/>
      <c r="Q121" s="651">
        <f>(G121 - (D121+H121+K121+L121+M121+O121) + (N121)) / G121</f>
        <v/>
      </c>
      <c r="R121" s="651" t="n"/>
      <c r="S121" s="1206" t="n"/>
      <c r="T121" s="904" t="n"/>
      <c r="U121" s="569" t="n"/>
      <c r="V121" s="1317" t="n"/>
    </row>
    <row r="122" ht="15.75" customHeight="1" s="1349">
      <c r="A122" s="1292" t="n"/>
      <c r="B122" s="904" t="n"/>
      <c r="C122" s="904" t="n"/>
      <c r="D122" s="1325" t="n"/>
      <c r="E122" s="1326">
        <f>G122+F122</f>
        <v/>
      </c>
      <c r="F122" s="1325">
        <f>G122*0.05</f>
        <v/>
      </c>
      <c r="G122" s="1312" t="n"/>
      <c r="H122" s="1301">
        <f>G122*12%</f>
        <v/>
      </c>
      <c r="I122" s="1321" t="n"/>
      <c r="J122" s="1322" t="n"/>
      <c r="K122" s="1318">
        <f>G122*18%</f>
        <v/>
      </c>
      <c r="L122" s="1318">
        <f>(G122-K122)*1.65%-(D122*1.65%)</f>
        <v/>
      </c>
      <c r="M122" s="1318" t="n"/>
      <c r="N122" s="863" t="n"/>
      <c r="O122" s="1320" t="n"/>
      <c r="P122" s="866" t="n"/>
      <c r="Q122" s="651">
        <f>(G122 - (D122+H122+K122+L122+M122+O122) + (N122)) / G122</f>
        <v/>
      </c>
      <c r="R122" s="651" t="n"/>
      <c r="S122" s="1206" t="n"/>
      <c r="T122" s="904" t="n"/>
      <c r="U122" s="569" t="n"/>
      <c r="V122" s="1317" t="n"/>
    </row>
    <row r="123" ht="15.75" customHeight="1" s="1349">
      <c r="A123" s="1292" t="n"/>
      <c r="B123" s="904" t="n"/>
      <c r="C123" s="904" t="n"/>
      <c r="D123" s="1325" t="n"/>
      <c r="E123" s="1326">
        <f>G123+F123</f>
        <v/>
      </c>
      <c r="F123" s="1325">
        <f>G123*0.05</f>
        <v/>
      </c>
      <c r="G123" s="1312" t="n"/>
      <c r="H123" s="1301">
        <f>G123*12%</f>
        <v/>
      </c>
      <c r="I123" s="1321" t="n"/>
      <c r="J123" s="1322" t="n"/>
      <c r="K123" s="1318">
        <f>G123*18%</f>
        <v/>
      </c>
      <c r="L123" s="1318">
        <f>(G123-K123)*1.65%-(D123*1.65%)</f>
        <v/>
      </c>
      <c r="M123" s="1318" t="n"/>
      <c r="N123" s="863" t="n"/>
      <c r="O123" s="1320" t="n"/>
      <c r="P123" s="866" t="n"/>
      <c r="Q123" s="651">
        <f>(G123 - (D123+H123+K123+L123+M123+O123) + (N123)) / G123</f>
        <v/>
      </c>
      <c r="R123" s="651" t="n"/>
      <c r="S123" s="1206" t="n"/>
      <c r="T123" s="904" t="n"/>
      <c r="U123" s="569" t="n"/>
      <c r="V123" s="1317" t="n"/>
    </row>
    <row r="124" ht="15.75" customHeight="1" s="1349">
      <c r="A124" s="1292" t="n"/>
      <c r="B124" s="904" t="n"/>
      <c r="C124" s="904" t="n"/>
      <c r="D124" s="1325" t="n"/>
      <c r="E124" s="1326">
        <f>G124+F124</f>
        <v/>
      </c>
      <c r="F124" s="1325">
        <f>G124*0.05</f>
        <v/>
      </c>
      <c r="G124" s="1312" t="n"/>
      <c r="H124" s="1301">
        <f>G124*12%</f>
        <v/>
      </c>
      <c r="I124" s="1321" t="n"/>
      <c r="J124" s="1322" t="n"/>
      <c r="K124" s="1318">
        <f>G124*18%</f>
        <v/>
      </c>
      <c r="L124" s="1318">
        <f>(G124-K124)*1.65%-(D124*1.65%)</f>
        <v/>
      </c>
      <c r="M124" s="1318" t="n"/>
      <c r="N124" s="863" t="n"/>
      <c r="O124" s="1320" t="n"/>
      <c r="P124" s="866" t="n"/>
      <c r="Q124" s="651">
        <f>(G124 - (D124+H124+K124+L124+M124+O124) + (N124)) / G124</f>
        <v/>
      </c>
      <c r="R124" s="651" t="n"/>
      <c r="S124" s="1206" t="n"/>
      <c r="T124" s="904" t="n"/>
      <c r="U124" s="569" t="n"/>
      <c r="V124" s="1317" t="n"/>
    </row>
    <row r="125" ht="15.75" customHeight="1" s="1349">
      <c r="A125" s="1292" t="n"/>
      <c r="B125" s="904" t="n"/>
      <c r="C125" s="904" t="n"/>
      <c r="D125" s="1325" t="n"/>
      <c r="E125" s="1326">
        <f>G125+F125</f>
        <v/>
      </c>
      <c r="F125" s="1325">
        <f>G125*0.05</f>
        <v/>
      </c>
      <c r="G125" s="1312" t="n"/>
      <c r="H125" s="1301">
        <f>G125*12%</f>
        <v/>
      </c>
      <c r="I125" s="1321" t="n"/>
      <c r="J125" s="1322" t="n"/>
      <c r="K125" s="1318">
        <f>G125*18%</f>
        <v/>
      </c>
      <c r="L125" s="1318">
        <f>(G125-K125)*1.65%-(D125*1.65%)</f>
        <v/>
      </c>
      <c r="M125" s="1318" t="n"/>
      <c r="N125" s="863" t="n"/>
      <c r="O125" s="1320" t="n"/>
      <c r="P125" s="866" t="n"/>
      <c r="Q125" s="651">
        <f>(G125 - (D125+H125+K125+L125+M125+O125) + (N125)) / G125</f>
        <v/>
      </c>
      <c r="R125" s="651" t="n"/>
      <c r="S125" s="1206" t="n"/>
      <c r="T125" s="904" t="n"/>
      <c r="U125" s="569" t="n"/>
      <c r="V125" s="1317" t="n"/>
    </row>
    <row r="126" ht="15.75" customHeight="1" s="1349">
      <c r="A126" s="1292" t="n"/>
      <c r="B126" s="904" t="n"/>
      <c r="C126" s="904" t="n"/>
      <c r="D126" s="1325" t="n"/>
      <c r="E126" s="1326">
        <f>G126+F126</f>
        <v/>
      </c>
      <c r="F126" s="1325">
        <f>G126*0.05</f>
        <v/>
      </c>
      <c r="G126" s="1312" t="n"/>
      <c r="H126" s="1301">
        <f>G126*12%</f>
        <v/>
      </c>
      <c r="I126" s="1321" t="n"/>
      <c r="J126" s="1322" t="n"/>
      <c r="K126" s="1318">
        <f>G126*18%</f>
        <v/>
      </c>
      <c r="L126" s="1318">
        <f>(G126-K126)*1.65%-(D126*1.65%)</f>
        <v/>
      </c>
      <c r="M126" s="1318" t="n"/>
      <c r="N126" s="863" t="n"/>
      <c r="O126" s="1320" t="n"/>
      <c r="P126" s="866" t="n"/>
      <c r="Q126" s="651">
        <f>(G126 - (D126+H126+K126+L126+M126+O126) + (N126)) / G126</f>
        <v/>
      </c>
      <c r="R126" s="651" t="n"/>
      <c r="S126" s="1206" t="n"/>
      <c r="T126" s="904" t="n"/>
      <c r="U126" s="569" t="n"/>
      <c r="V126" s="1317" t="n"/>
    </row>
    <row r="127" ht="15.75" customHeight="1" s="1349">
      <c r="A127" s="1292" t="n"/>
      <c r="B127" s="904" t="n"/>
      <c r="C127" s="904" t="n"/>
      <c r="D127" s="1325" t="n"/>
      <c r="E127" s="1326">
        <f>G127+F127</f>
        <v/>
      </c>
      <c r="F127" s="1325">
        <f>G127*0.05</f>
        <v/>
      </c>
      <c r="G127" s="1312" t="n"/>
      <c r="H127" s="1301">
        <f>G127*12%</f>
        <v/>
      </c>
      <c r="I127" s="1321" t="n"/>
      <c r="J127" s="1322" t="n"/>
      <c r="K127" s="1318">
        <f>G127*18%</f>
        <v/>
      </c>
      <c r="L127" s="1318">
        <f>(G127-K127)*1.65%-(D127*1.65%)</f>
        <v/>
      </c>
      <c r="M127" s="1318" t="n"/>
      <c r="N127" s="863" t="n"/>
      <c r="O127" s="1320" t="n"/>
      <c r="P127" s="866" t="n"/>
      <c r="Q127" s="651">
        <f>(G127 - (D127+H127+K127+L127+M127+O127) + (N127)) / G127</f>
        <v/>
      </c>
      <c r="R127" s="651" t="n"/>
      <c r="S127" s="1206" t="n"/>
      <c r="T127" s="904" t="n"/>
      <c r="U127" s="569" t="n"/>
      <c r="V127" s="1317" t="n"/>
    </row>
    <row r="128" ht="15.75" customHeight="1" s="1349">
      <c r="A128" s="1292" t="n"/>
      <c r="B128" s="904" t="n"/>
      <c r="C128" s="904" t="n"/>
      <c r="D128" s="1325" t="n"/>
      <c r="E128" s="1326">
        <f>G128+F128</f>
        <v/>
      </c>
      <c r="F128" s="1325">
        <f>G128*0.05</f>
        <v/>
      </c>
      <c r="G128" s="1312" t="n"/>
      <c r="H128" s="1301">
        <f>G128*12%</f>
        <v/>
      </c>
      <c r="I128" s="1321" t="n"/>
      <c r="J128" s="1322" t="n"/>
      <c r="K128" s="1318">
        <f>G128*18%</f>
        <v/>
      </c>
      <c r="L128" s="1318">
        <f>(G128-K128)*1.65%-(D128*1.65%)</f>
        <v/>
      </c>
      <c r="M128" s="1318" t="n"/>
      <c r="N128" s="863" t="n"/>
      <c r="O128" s="1320" t="n"/>
      <c r="P128" s="866" t="n"/>
      <c r="Q128" s="651">
        <f>(G128 - (D128+H128+K128+L128+M128+O128) + (N128)) / G128</f>
        <v/>
      </c>
      <c r="R128" s="651" t="n"/>
      <c r="S128" s="1206" t="n"/>
      <c r="T128" s="904" t="n"/>
      <c r="U128" s="569" t="n"/>
      <c r="V128" s="1317" t="n"/>
    </row>
    <row r="129" ht="15.75" customHeight="1" s="1349">
      <c r="A129" s="1292" t="n"/>
      <c r="B129" s="904" t="n"/>
      <c r="C129" s="904" t="n"/>
      <c r="D129" s="1325" t="n"/>
      <c r="E129" s="1326">
        <f>G129+F129</f>
        <v/>
      </c>
      <c r="F129" s="1325">
        <f>G129*0.05</f>
        <v/>
      </c>
      <c r="G129" s="1312" t="n"/>
      <c r="H129" s="1301" t="n"/>
      <c r="I129" s="1321" t="n"/>
      <c r="J129" s="1322" t="n"/>
      <c r="K129" s="1318">
        <f>G129*18%</f>
        <v/>
      </c>
      <c r="L129" s="1318">
        <f>(G129-K129)*1.65%-(D129*1.65%)</f>
        <v/>
      </c>
      <c r="M129" s="1318" t="n"/>
      <c r="N129" s="863" t="n"/>
      <c r="O129" s="1320" t="n"/>
      <c r="P129" s="866" t="n"/>
      <c r="Q129" s="651">
        <f>(G129 - (D129+H129+K129+L129+M129+O129) + (N129)) / G129</f>
        <v/>
      </c>
      <c r="R129" s="651" t="n"/>
      <c r="S129" s="1206" t="n"/>
      <c r="T129" s="904" t="n"/>
      <c r="U129" s="569" t="n"/>
      <c r="V129" s="1317" t="n"/>
    </row>
    <row r="130" ht="15.75" customHeight="1" s="1349">
      <c r="A130" s="1292" t="n"/>
      <c r="B130" s="904" t="n"/>
      <c r="C130" s="904" t="n"/>
      <c r="D130" s="1325" t="n"/>
      <c r="E130" s="1326">
        <f>G130+F130</f>
        <v/>
      </c>
      <c r="F130" s="1325">
        <f>G130*0.05</f>
        <v/>
      </c>
      <c r="G130" s="1312" t="n"/>
      <c r="H130" s="1301" t="n"/>
      <c r="I130" s="1321" t="n"/>
      <c r="J130" s="1322" t="n"/>
      <c r="K130" s="1318">
        <f>G130*18%</f>
        <v/>
      </c>
      <c r="L130" s="1318">
        <f>(G130-K130)*1.65%-(D130*1.65%)</f>
        <v/>
      </c>
      <c r="M130" s="1318" t="n"/>
      <c r="N130" s="863" t="n"/>
      <c r="O130" s="1320" t="n"/>
      <c r="P130" s="866" t="n"/>
      <c r="Q130" s="651">
        <f>(G130 - (D130+H130+K130+L130+M130+O130) + (N130)) / G130</f>
        <v/>
      </c>
      <c r="R130" s="651" t="n"/>
      <c r="S130" s="1206" t="n"/>
      <c r="T130" s="904" t="n"/>
      <c r="U130" s="569" t="n"/>
      <c r="V130" s="1317" t="n"/>
    </row>
    <row r="131" ht="15.75" customHeight="1" s="1349">
      <c r="A131" s="1292" t="n"/>
      <c r="B131" s="904" t="n"/>
      <c r="C131" s="904" t="n"/>
      <c r="D131" s="1325" t="n"/>
      <c r="E131" s="1326">
        <f>G131+F131</f>
        <v/>
      </c>
      <c r="F131" s="1325">
        <f>G131*0.05</f>
        <v/>
      </c>
      <c r="G131" s="1312" t="n"/>
      <c r="H131" s="1301" t="n"/>
      <c r="I131" s="1321" t="n"/>
      <c r="J131" s="1322" t="n"/>
      <c r="K131" s="1318">
        <f>G131*18%</f>
        <v/>
      </c>
      <c r="L131" s="1318">
        <f>(G131-K131)*1.65%-(D131*1.65%)</f>
        <v/>
      </c>
      <c r="M131" s="1318" t="n"/>
      <c r="N131" s="863" t="n"/>
      <c r="O131" s="1320" t="n"/>
      <c r="P131" s="866" t="n"/>
      <c r="Q131" s="651">
        <f>(G131 - (D131+H131+K131+L131+M131+O131) + (N131)) / G131</f>
        <v/>
      </c>
      <c r="R131" s="651" t="n"/>
      <c r="S131" s="1206" t="n"/>
      <c r="T131" s="904" t="n"/>
      <c r="U131" s="569" t="n"/>
      <c r="V131" s="1317" t="n"/>
    </row>
    <row r="132" ht="15.75" customHeight="1" s="1349">
      <c r="A132" s="1292" t="n"/>
      <c r="B132" s="904" t="n"/>
      <c r="C132" s="904" t="n"/>
      <c r="D132" s="1325" t="n"/>
      <c r="E132" s="1326">
        <f>G132+F132</f>
        <v/>
      </c>
      <c r="F132" s="1325">
        <f>G132*0.05</f>
        <v/>
      </c>
      <c r="G132" s="1312" t="n"/>
      <c r="H132" s="1301" t="n"/>
      <c r="I132" s="1321" t="n"/>
      <c r="J132" s="1322" t="n"/>
      <c r="K132" s="1318">
        <f>G132*18%</f>
        <v/>
      </c>
      <c r="L132" s="1318">
        <f>(G132-K132)*1.65%-(D132*1.65%)</f>
        <v/>
      </c>
      <c r="M132" s="1318" t="n"/>
      <c r="N132" s="863" t="n"/>
      <c r="O132" s="1320" t="n"/>
      <c r="P132" s="866" t="n"/>
      <c r="Q132" s="651">
        <f>(G132 - (D132+H132+K132+L132+M132+O132) + (N132)) / G132</f>
        <v/>
      </c>
      <c r="R132" s="651" t="n"/>
      <c r="S132" s="1206" t="n"/>
      <c r="T132" s="904" t="n"/>
      <c r="U132" s="569" t="n"/>
      <c r="V132" s="1317" t="n"/>
    </row>
    <row r="133" ht="15.75" customHeight="1" s="1349">
      <c r="A133" s="1292" t="n"/>
      <c r="B133" s="904" t="n"/>
      <c r="C133" s="904" t="n"/>
      <c r="D133" s="1325" t="n"/>
      <c r="E133" s="1326">
        <f>G133+F133</f>
        <v/>
      </c>
      <c r="F133" s="1325">
        <f>G133*0.05</f>
        <v/>
      </c>
      <c r="G133" s="1312" t="n"/>
      <c r="H133" s="1301" t="n"/>
      <c r="I133" s="1321" t="n"/>
      <c r="J133" s="1322" t="n"/>
      <c r="K133" s="1318">
        <f>G133*18%</f>
        <v/>
      </c>
      <c r="L133" s="1318">
        <f>(G133-K133)*1.65%-(D133*1.65%)</f>
        <v/>
      </c>
      <c r="M133" s="1318" t="n"/>
      <c r="N133" s="863" t="n"/>
      <c r="O133" s="1320" t="n"/>
      <c r="P133" s="866" t="n"/>
      <c r="Q133" s="651">
        <f>(G133 - (D133+H133+K133+L133+M133+O133) + (N133)) / G133</f>
        <v/>
      </c>
      <c r="R133" s="651" t="n"/>
      <c r="S133" s="1206" t="n"/>
      <c r="T133" s="904" t="n"/>
      <c r="U133" s="569" t="n"/>
      <c r="V133" s="1317" t="n"/>
    </row>
    <row r="134" ht="15.75" customHeight="1" s="1349">
      <c r="A134" s="1292" t="n"/>
      <c r="B134" s="904" t="n"/>
      <c r="C134" s="904" t="n"/>
      <c r="D134" s="1325" t="n"/>
      <c r="E134" s="1326">
        <f>G134+F134</f>
        <v/>
      </c>
      <c r="F134" s="1325">
        <f>G134*0.05</f>
        <v/>
      </c>
      <c r="G134" s="1312" t="n"/>
      <c r="H134" s="1301" t="n"/>
      <c r="I134" s="1321" t="n"/>
      <c r="J134" s="1322" t="n"/>
      <c r="K134" s="1318">
        <f>G134*18%</f>
        <v/>
      </c>
      <c r="L134" s="1318">
        <f>(G134-K134)*1.65%-(D134*1.65%)</f>
        <v/>
      </c>
      <c r="M134" s="1318" t="n"/>
      <c r="N134" s="863" t="n"/>
      <c r="O134" s="1320" t="n"/>
      <c r="P134" s="866" t="n"/>
      <c r="Q134" s="651">
        <f>(G134 - (D134+H134+K134+L134+M134+O134) + (N134)) / G134</f>
        <v/>
      </c>
      <c r="R134" s="651" t="n"/>
      <c r="S134" s="1206" t="n"/>
      <c r="T134" s="904" t="n"/>
      <c r="U134" s="569" t="n"/>
      <c r="V134" s="1317" t="n"/>
    </row>
    <row r="135" ht="15.75" customHeight="1" s="1349">
      <c r="A135" s="1292" t="n"/>
      <c r="B135" s="904" t="n"/>
      <c r="C135" s="904" t="n"/>
      <c r="D135" s="1325" t="n"/>
      <c r="E135" s="1326">
        <f>G135+F135</f>
        <v/>
      </c>
      <c r="F135" s="1325">
        <f>G135*0.05</f>
        <v/>
      </c>
      <c r="G135" s="1312" t="n"/>
      <c r="H135" s="1301" t="n"/>
      <c r="I135" s="1321" t="n"/>
      <c r="J135" s="1322" t="n"/>
      <c r="K135" s="1318">
        <f>G135*18%</f>
        <v/>
      </c>
      <c r="L135" s="1318">
        <f>(G135-K135)*1.65%-(D135*1.65%)</f>
        <v/>
      </c>
      <c r="M135" s="1318" t="n"/>
      <c r="N135" s="863" t="n"/>
      <c r="O135" s="1320" t="n"/>
      <c r="P135" s="866" t="n"/>
      <c r="Q135" s="651">
        <f>(G135 - (D135+H135+K135+L135+M135+O135) + (N135)) / G135</f>
        <v/>
      </c>
      <c r="R135" s="651" t="n"/>
      <c r="S135" s="1206" t="n"/>
      <c r="T135" s="904" t="n"/>
      <c r="U135" s="569" t="n"/>
      <c r="V135" s="1317" t="n"/>
    </row>
    <row r="136" ht="15.75" customHeight="1" s="1349">
      <c r="A136" s="1292" t="n"/>
      <c r="B136" s="904" t="n"/>
      <c r="C136" s="904" t="n"/>
      <c r="D136" s="1325" t="n"/>
      <c r="E136" s="1326">
        <f>G136+F136</f>
        <v/>
      </c>
      <c r="F136" s="1325">
        <f>G136*0.05</f>
        <v/>
      </c>
      <c r="G136" s="1312" t="n"/>
      <c r="H136" s="1301" t="n"/>
      <c r="I136" s="1321" t="n"/>
      <c r="J136" s="1322" t="n"/>
      <c r="K136" s="1318">
        <f>G136*18%</f>
        <v/>
      </c>
      <c r="L136" s="1318">
        <f>(G136-K136)*1.65%-(D136*1.65%)</f>
        <v/>
      </c>
      <c r="M136" s="1318" t="n"/>
      <c r="N136" s="863" t="n"/>
      <c r="O136" s="1320" t="n"/>
      <c r="P136" s="866" t="n"/>
      <c r="Q136" s="651">
        <f>(G136 - (D136+H136+K136+L136+M136+O136) + (N136)) / G136</f>
        <v/>
      </c>
      <c r="R136" s="651" t="n"/>
      <c r="S136" s="1206" t="n"/>
      <c r="T136" s="904" t="n"/>
      <c r="U136" s="569" t="n"/>
      <c r="V136" s="1317" t="n"/>
    </row>
    <row r="137" ht="15.75" customHeight="1" s="1349">
      <c r="A137" s="1292" t="n"/>
      <c r="B137" s="904" t="n"/>
      <c r="C137" s="904" t="n"/>
      <c r="D137" s="1325" t="n"/>
      <c r="E137" s="1326">
        <f>G137+F137</f>
        <v/>
      </c>
      <c r="F137" s="1325">
        <f>G137*0.05</f>
        <v/>
      </c>
      <c r="G137" s="1312" t="n"/>
      <c r="H137" s="1301" t="n"/>
      <c r="I137" s="1321" t="n"/>
      <c r="J137" s="1322" t="n"/>
      <c r="K137" s="1318">
        <f>G137*18%</f>
        <v/>
      </c>
      <c r="L137" s="1318">
        <f>(G137-K137)*1.65%-(D137*1.65%)</f>
        <v/>
      </c>
      <c r="M137" s="1318" t="n"/>
      <c r="N137" s="863" t="n"/>
      <c r="O137" s="1320" t="n"/>
      <c r="P137" s="866" t="n"/>
      <c r="Q137" s="651">
        <f>(G137 - (D137+H137+K137+L137+M137+O137) + (N137)) / G137</f>
        <v/>
      </c>
      <c r="R137" s="651" t="n"/>
      <c r="S137" s="1206" t="n"/>
      <c r="T137" s="904" t="n"/>
      <c r="U137" s="569" t="n"/>
      <c r="V137" s="1317" t="n"/>
    </row>
    <row r="138" ht="15.75" customHeight="1" s="1349">
      <c r="A138" s="1292" t="n"/>
      <c r="B138" s="904" t="n"/>
      <c r="C138" s="904" t="n"/>
      <c r="D138" s="1325" t="n"/>
      <c r="E138" s="1326">
        <f>G138+F138</f>
        <v/>
      </c>
      <c r="F138" s="1325">
        <f>G138*0.05</f>
        <v/>
      </c>
      <c r="G138" s="1312" t="n"/>
      <c r="H138" s="1301" t="n"/>
      <c r="I138" s="1321" t="n"/>
      <c r="J138" s="1322" t="n"/>
      <c r="K138" s="1318">
        <f>G138*18%</f>
        <v/>
      </c>
      <c r="L138" s="1318">
        <f>(G138-K138)*1.65%-(D138*1.65%)</f>
        <v/>
      </c>
      <c r="M138" s="1318" t="n"/>
      <c r="N138" s="863" t="n"/>
      <c r="O138" s="1320" t="n"/>
      <c r="P138" s="866" t="n"/>
      <c r="Q138" s="651">
        <f>(G138 - (D138+H138+K138+L138+M138+O138) + (N138)) / G138</f>
        <v/>
      </c>
      <c r="R138" s="651" t="n"/>
      <c r="S138" s="1206" t="n"/>
      <c r="T138" s="904" t="n"/>
      <c r="U138" s="569" t="n"/>
      <c r="V138" s="1317" t="n"/>
    </row>
    <row r="139" ht="15.75" customHeight="1" s="1349">
      <c r="A139" s="1292" t="n"/>
      <c r="B139" s="904" t="n"/>
      <c r="C139" s="904" t="n"/>
      <c r="D139" s="1325" t="n"/>
      <c r="E139" s="1326">
        <f>G139+F139</f>
        <v/>
      </c>
      <c r="F139" s="1325">
        <f>G139*0.05</f>
        <v/>
      </c>
      <c r="G139" s="1312" t="n"/>
      <c r="H139" s="1301" t="n"/>
      <c r="I139" s="1321" t="n"/>
      <c r="J139" s="1322" t="n"/>
      <c r="K139" s="1318">
        <f>G139*18%</f>
        <v/>
      </c>
      <c r="L139" s="1318">
        <f>(G139-K139)*1.65%-(D139*1.65%)</f>
        <v/>
      </c>
      <c r="M139" s="1318" t="n"/>
      <c r="N139" s="863" t="n"/>
      <c r="O139" s="1320" t="n"/>
      <c r="P139" s="866" t="n"/>
      <c r="Q139" s="651">
        <f>(G139 - (D139+H139+K139+L139+M139+O139) + (N139)) / G139</f>
        <v/>
      </c>
      <c r="R139" s="651" t="n"/>
      <c r="S139" s="1206" t="n"/>
      <c r="T139" s="904" t="n"/>
      <c r="U139" s="569" t="n"/>
      <c r="V139" s="1317" t="n"/>
    </row>
    <row r="140" ht="15.75" customHeight="1" s="1349">
      <c r="A140" s="1292" t="n"/>
      <c r="B140" s="904" t="n"/>
      <c r="C140" s="904" t="n"/>
      <c r="D140" s="1325" t="n"/>
      <c r="E140" s="1326">
        <f>G140+F140</f>
        <v/>
      </c>
      <c r="F140" s="1325">
        <f>G140*0.05</f>
        <v/>
      </c>
      <c r="G140" s="1312" t="n"/>
      <c r="H140" s="1301" t="n"/>
      <c r="I140" s="1321" t="n"/>
      <c r="J140" s="1322" t="n"/>
      <c r="K140" s="1318">
        <f>G140*18%</f>
        <v/>
      </c>
      <c r="L140" s="1318">
        <f>(G140-K140)*1.65%-(D140*1.65%)</f>
        <v/>
      </c>
      <c r="M140" s="1318" t="n"/>
      <c r="N140" s="863" t="n"/>
      <c r="O140" s="1320" t="n"/>
      <c r="P140" s="866" t="n"/>
      <c r="Q140" s="651">
        <f>(G140 - (D140+H140+K140+L140+M140+O140) + (N140)) / G140</f>
        <v/>
      </c>
      <c r="R140" s="651" t="n"/>
      <c r="S140" s="1206" t="n"/>
      <c r="T140" s="904" t="n"/>
      <c r="U140" s="569" t="n"/>
      <c r="V140" s="1317" t="n"/>
    </row>
    <row r="141" ht="15.75" customHeight="1" s="1349">
      <c r="A141" s="1292" t="n"/>
      <c r="B141" s="904" t="n"/>
      <c r="C141" s="904" t="n"/>
      <c r="D141" s="1325" t="n"/>
      <c r="E141" s="1326">
        <f>G141+F141</f>
        <v/>
      </c>
      <c r="F141" s="1325">
        <f>G141*0.05</f>
        <v/>
      </c>
      <c r="G141" s="1312" t="n"/>
      <c r="H141" s="1301" t="n"/>
      <c r="I141" s="1321" t="n"/>
      <c r="J141" s="1322" t="n"/>
      <c r="K141" s="1318">
        <f>G141*18%</f>
        <v/>
      </c>
      <c r="L141" s="1318">
        <f>(G141-K141)*1.65%-(D141*1.65%)</f>
        <v/>
      </c>
      <c r="M141" s="1318" t="n"/>
      <c r="N141" s="863" t="n"/>
      <c r="O141" s="1320" t="n"/>
      <c r="P141" s="866" t="n"/>
      <c r="Q141" s="651">
        <f>(G141 - (D141+H141+K141+L141+M141+O141) + (N141)) / G141</f>
        <v/>
      </c>
      <c r="R141" s="651" t="n"/>
      <c r="S141" s="1206" t="n"/>
      <c r="T141" s="904" t="n"/>
      <c r="U141" s="569" t="n"/>
      <c r="V141" s="1317" t="n"/>
    </row>
    <row r="142" ht="15.75" customHeight="1" s="1349">
      <c r="A142" s="1292" t="n"/>
      <c r="B142" s="904" t="n"/>
      <c r="C142" s="904" t="n"/>
      <c r="D142" s="1325" t="n"/>
      <c r="E142" s="1326">
        <f>G142+F142</f>
        <v/>
      </c>
      <c r="F142" s="1325">
        <f>G142*0.05</f>
        <v/>
      </c>
      <c r="G142" s="1312" t="n"/>
      <c r="H142" s="1301" t="n"/>
      <c r="I142" s="1321" t="n"/>
      <c r="J142" s="1322" t="n"/>
      <c r="K142" s="1318">
        <f>G142*18%</f>
        <v/>
      </c>
      <c r="L142" s="1318">
        <f>(G142-K142)*1.65%-(D142*1.65%)</f>
        <v/>
      </c>
      <c r="M142" s="1318" t="n"/>
      <c r="N142" s="863" t="n"/>
      <c r="O142" s="1320" t="n"/>
      <c r="P142" s="866" t="n"/>
      <c r="Q142" s="651">
        <f>(G142 - (D142+H142+K142+L142+M142+O142) + (N142)) / G142</f>
        <v/>
      </c>
      <c r="R142" s="651" t="n"/>
      <c r="S142" s="1206" t="n"/>
      <c r="T142" s="904" t="n"/>
      <c r="U142" s="569" t="n"/>
      <c r="V142" s="1317" t="n"/>
    </row>
    <row r="143" ht="15.75" customHeight="1" s="1349">
      <c r="A143" s="1292" t="n"/>
      <c r="B143" s="904" t="n"/>
      <c r="C143" s="904" t="n"/>
      <c r="D143" s="1325" t="n"/>
      <c r="E143" s="1326">
        <f>G143+F143</f>
        <v/>
      </c>
      <c r="F143" s="1325">
        <f>G143*0.05</f>
        <v/>
      </c>
      <c r="G143" s="1312" t="n"/>
      <c r="H143" s="1301" t="n"/>
      <c r="I143" s="1321" t="n"/>
      <c r="J143" s="1322" t="n"/>
      <c r="K143" s="1318">
        <f>G143*18%</f>
        <v/>
      </c>
      <c r="L143" s="1318">
        <f>(G143-K143)*1.65%-(D143*1.65%)</f>
        <v/>
      </c>
      <c r="M143" s="1318" t="n"/>
      <c r="N143" s="863" t="n"/>
      <c r="O143" s="1320" t="n"/>
      <c r="P143" s="866" t="n"/>
      <c r="Q143" s="651">
        <f>(G143 - (D143+H143+K143+L143+M143+O143) + (N143)) / G143</f>
        <v/>
      </c>
      <c r="R143" s="651" t="n"/>
      <c r="S143" s="1206" t="n"/>
      <c r="T143" s="904" t="n"/>
      <c r="U143" s="569" t="n"/>
      <c r="V143" s="1317" t="n"/>
    </row>
    <row r="144" ht="15.75" customHeight="1" s="1349">
      <c r="A144" s="1292" t="n"/>
      <c r="B144" s="904" t="n"/>
      <c r="C144" s="904" t="n"/>
      <c r="D144" s="1325" t="n"/>
      <c r="E144" s="1326">
        <f>G144+F144</f>
        <v/>
      </c>
      <c r="F144" s="1325">
        <f>G144*0.05</f>
        <v/>
      </c>
      <c r="G144" s="1312" t="n"/>
      <c r="H144" s="1301" t="n"/>
      <c r="I144" s="1321" t="n"/>
      <c r="J144" s="1322" t="n"/>
      <c r="K144" s="1318">
        <f>G144*18%</f>
        <v/>
      </c>
      <c r="L144" s="1318">
        <f>(G144-K144)*1.65%-(D144*1.65%)</f>
        <v/>
      </c>
      <c r="M144" s="1318" t="n"/>
      <c r="N144" s="863" t="n"/>
      <c r="O144" s="1320" t="n"/>
      <c r="P144" s="866" t="n"/>
      <c r="Q144" s="651">
        <f>(G144 - (D144+H144+K144+L144+M144+O144) + (N144)) / G144</f>
        <v/>
      </c>
      <c r="R144" s="651" t="n"/>
      <c r="S144" s="1206" t="n"/>
      <c r="T144" s="904" t="n"/>
      <c r="U144" s="569" t="n"/>
      <c r="V144" s="1317" t="n"/>
    </row>
    <row r="145" ht="15.75" customHeight="1" s="1349">
      <c r="A145" s="1292" t="n"/>
      <c r="B145" s="904" t="n"/>
      <c r="C145" s="904" t="n"/>
      <c r="D145" s="1325" t="n"/>
      <c r="E145" s="1326">
        <f>G145+F145</f>
        <v/>
      </c>
      <c r="F145" s="1325">
        <f>G145*0.05</f>
        <v/>
      </c>
      <c r="G145" s="1312" t="n"/>
      <c r="H145" s="1301" t="n"/>
      <c r="I145" s="1321" t="n"/>
      <c r="J145" s="1322" t="n"/>
      <c r="K145" s="1318">
        <f>G145*18%</f>
        <v/>
      </c>
      <c r="L145" s="1318">
        <f>(G145-K145)*1.65%-(D145*1.65%)</f>
        <v/>
      </c>
      <c r="M145" s="1318" t="n"/>
      <c r="N145" s="863" t="n"/>
      <c r="O145" s="1320" t="n"/>
      <c r="P145" s="866" t="n"/>
      <c r="Q145" s="651">
        <f>(G145 - (D145+H145+K145+L145+M145+O145) + (N145)) / G145</f>
        <v/>
      </c>
      <c r="R145" s="651" t="n"/>
      <c r="S145" s="1206" t="n"/>
      <c r="T145" s="904" t="n"/>
      <c r="U145" s="569" t="n"/>
      <c r="V145" s="1317" t="n"/>
    </row>
    <row r="146" ht="15.75" customHeight="1" s="1349">
      <c r="A146" s="1292" t="n"/>
      <c r="B146" s="904" t="n"/>
      <c r="C146" s="904" t="n"/>
      <c r="D146" s="1325" t="n"/>
      <c r="E146" s="1326">
        <f>G146+F146</f>
        <v/>
      </c>
      <c r="F146" s="1325">
        <f>G146*0.05</f>
        <v/>
      </c>
      <c r="G146" s="1312" t="n"/>
      <c r="H146" s="1301" t="n"/>
      <c r="I146" s="1321" t="n"/>
      <c r="J146" s="1322" t="n"/>
      <c r="K146" s="1318">
        <f>G146*18%</f>
        <v/>
      </c>
      <c r="L146" s="1318">
        <f>(G146-K146)*1.65%-(D146*1.65%)</f>
        <v/>
      </c>
      <c r="M146" s="1318" t="n"/>
      <c r="N146" s="863" t="n"/>
      <c r="O146" s="1320" t="n"/>
      <c r="P146" s="866" t="n"/>
      <c r="Q146" s="651">
        <f>(G146 - (D146+H146+K146+L146+M146+O146) + (N146)) / G146</f>
        <v/>
      </c>
      <c r="R146" s="651" t="n"/>
      <c r="S146" s="1206" t="n"/>
      <c r="T146" s="904" t="n"/>
      <c r="U146" s="569" t="n"/>
      <c r="V146" s="1317" t="n"/>
    </row>
    <row r="147" ht="15.75" customHeight="1" s="1349">
      <c r="A147" s="1292" t="n"/>
      <c r="B147" s="904" t="n"/>
      <c r="C147" s="904" t="n"/>
      <c r="D147" s="1325" t="n"/>
      <c r="E147" s="1326">
        <f>G147+F147</f>
        <v/>
      </c>
      <c r="F147" s="1325">
        <f>G147*0.05</f>
        <v/>
      </c>
      <c r="G147" s="1312" t="n"/>
      <c r="H147" s="1301" t="n"/>
      <c r="I147" s="1321" t="n"/>
      <c r="J147" s="1322" t="n"/>
      <c r="K147" s="1318">
        <f>G147*18%</f>
        <v/>
      </c>
      <c r="L147" s="1318">
        <f>(G147-K147)*1.65%-(D147*1.65%)</f>
        <v/>
      </c>
      <c r="M147" s="1318" t="n"/>
      <c r="N147" s="863" t="n"/>
      <c r="O147" s="1320" t="n"/>
      <c r="P147" s="866" t="n"/>
      <c r="Q147" s="651">
        <f>(G147 - (D147+H147+K147+L147+M147+O147) + (N147)) / G147</f>
        <v/>
      </c>
      <c r="R147" s="651" t="n"/>
      <c r="S147" s="1206" t="n"/>
      <c r="T147" s="904" t="n"/>
      <c r="U147" s="569" t="n"/>
      <c r="V147" s="1317" t="n"/>
    </row>
    <row r="148" ht="15.75" customHeight="1" s="1349">
      <c r="A148" s="1292" t="n"/>
      <c r="B148" s="904" t="n"/>
      <c r="C148" s="904" t="n"/>
      <c r="D148" s="1325" t="n"/>
      <c r="E148" s="1326">
        <f>G148+F148</f>
        <v/>
      </c>
      <c r="F148" s="1325">
        <f>G148*0.05</f>
        <v/>
      </c>
      <c r="G148" s="1312" t="n"/>
      <c r="H148" s="1301" t="n"/>
      <c r="I148" s="1321" t="n"/>
      <c r="J148" s="1322" t="n"/>
      <c r="K148" s="1318">
        <f>G148*18%</f>
        <v/>
      </c>
      <c r="L148" s="1318">
        <f>(G148-K148)*1.65%-(D148*1.65%)</f>
        <v/>
      </c>
      <c r="M148" s="1318" t="n"/>
      <c r="N148" s="863" t="n"/>
      <c r="O148" s="1320" t="n"/>
      <c r="P148" s="866" t="n"/>
      <c r="Q148" s="651">
        <f>(G148 - (D148+H148+K148+L148+M148+O148) + (N148)) / G148</f>
        <v/>
      </c>
      <c r="R148" s="651" t="n"/>
      <c r="S148" s="1206" t="n"/>
      <c r="T148" s="904" t="n"/>
      <c r="U148" s="569" t="n"/>
      <c r="V148" s="1317" t="n"/>
    </row>
    <row r="149" ht="15.75" customHeight="1" s="1349">
      <c r="A149" s="1292" t="n"/>
      <c r="B149" s="904" t="n"/>
      <c r="C149" s="904" t="n"/>
      <c r="D149" s="1325" t="n"/>
      <c r="E149" s="1326">
        <f>G149+F149</f>
        <v/>
      </c>
      <c r="F149" s="1325">
        <f>G149*0.05</f>
        <v/>
      </c>
      <c r="G149" s="1312" t="n"/>
      <c r="H149" s="1301" t="n"/>
      <c r="I149" s="1321" t="n"/>
      <c r="J149" s="1322" t="n"/>
      <c r="K149" s="1318">
        <f>G149*18%</f>
        <v/>
      </c>
      <c r="L149" s="1318">
        <f>(G149-K149)*1.65%-(D149*1.65%)</f>
        <v/>
      </c>
      <c r="M149" s="1318" t="n"/>
      <c r="N149" s="863" t="n"/>
      <c r="O149" s="1320" t="n"/>
      <c r="P149" s="866" t="n"/>
      <c r="Q149" s="651">
        <f>(G149 - (D149+H149+K149+L149+M149+O149) + (N149)) / G149</f>
        <v/>
      </c>
      <c r="R149" s="651" t="n"/>
      <c r="S149" s="1206" t="n"/>
      <c r="T149" s="904" t="n"/>
      <c r="U149" s="569" t="n"/>
      <c r="V149" s="1317" t="n"/>
    </row>
    <row r="150" ht="15.75" customHeight="1" s="1349">
      <c r="A150" s="1292" t="n"/>
      <c r="B150" s="904" t="n"/>
      <c r="C150" s="904" t="n"/>
      <c r="D150" s="1325" t="n"/>
      <c r="E150" s="1326">
        <f>G150+F150</f>
        <v/>
      </c>
      <c r="F150" s="1325">
        <f>G150*0.05</f>
        <v/>
      </c>
      <c r="G150" s="1312" t="n"/>
      <c r="H150" s="1301" t="n"/>
      <c r="I150" s="1321" t="n"/>
      <c r="J150" s="1322" t="n"/>
      <c r="K150" s="1318">
        <f>G150*18%</f>
        <v/>
      </c>
      <c r="L150" s="1318">
        <f>(G150-K150)*1.65%-(D150*1.65%)</f>
        <v/>
      </c>
      <c r="M150" s="1318" t="n"/>
      <c r="N150" s="863" t="n"/>
      <c r="O150" s="1320" t="n"/>
      <c r="P150" s="866" t="n"/>
      <c r="Q150" s="651">
        <f>(G150 - (D150+H150+K150+L150+M150+O150) + (N150)) / G150</f>
        <v/>
      </c>
      <c r="R150" s="651" t="n"/>
      <c r="S150" s="1206" t="n"/>
      <c r="T150" s="904" t="n"/>
      <c r="U150" s="569" t="n"/>
      <c r="V150" s="1317" t="n"/>
    </row>
    <row r="151" ht="15.75" customHeight="1" s="1349">
      <c r="A151" s="1292" t="n"/>
      <c r="B151" s="904" t="n"/>
      <c r="C151" s="904" t="n"/>
      <c r="D151" s="1325" t="n"/>
      <c r="E151" s="1326">
        <f>G151+F151</f>
        <v/>
      </c>
      <c r="F151" s="1325">
        <f>G151*0.05</f>
        <v/>
      </c>
      <c r="G151" s="1312" t="n"/>
      <c r="H151" s="1301" t="n"/>
      <c r="I151" s="1321" t="n"/>
      <c r="J151" s="1322" t="n"/>
      <c r="K151" s="1318">
        <f>G151*18%</f>
        <v/>
      </c>
      <c r="L151" s="1318">
        <f>(G151-K151)*1.65%-(D151*1.65%)</f>
        <v/>
      </c>
      <c r="M151" s="1318" t="n"/>
      <c r="N151" s="863" t="n"/>
      <c r="O151" s="1320" t="n"/>
      <c r="P151" s="866" t="n"/>
      <c r="Q151" s="651">
        <f>(G151 - (D151+H151+K151+L151+M151+O151) + (N151)) / G151</f>
        <v/>
      </c>
      <c r="R151" s="651" t="n"/>
      <c r="S151" s="1206" t="n"/>
      <c r="T151" s="904" t="n"/>
      <c r="U151" s="569" t="n"/>
      <c r="V151" s="1317" t="n"/>
    </row>
    <row r="152" ht="15.75" customHeight="1" s="1349">
      <c r="A152" s="1292" t="n"/>
      <c r="B152" s="904" t="n"/>
      <c r="C152" s="904" t="n"/>
      <c r="D152" s="1325" t="n"/>
      <c r="E152" s="1326">
        <f>G152+F152</f>
        <v/>
      </c>
      <c r="F152" s="1325">
        <f>G152*0.05</f>
        <v/>
      </c>
      <c r="G152" s="1312" t="n"/>
      <c r="H152" s="1301" t="n"/>
      <c r="I152" s="1321" t="n"/>
      <c r="J152" s="1322" t="n"/>
      <c r="K152" s="1318">
        <f>G152*18%</f>
        <v/>
      </c>
      <c r="L152" s="1318">
        <f>(G152-K152)*1.65%-(D152*1.65%)</f>
        <v/>
      </c>
      <c r="M152" s="1318" t="n"/>
      <c r="N152" s="863" t="n"/>
      <c r="O152" s="1320" t="n"/>
      <c r="P152" s="866" t="n"/>
      <c r="Q152" s="651">
        <f>(G152 - (D152+H152+K152+L152+M152+O152) + (N152)) / G152</f>
        <v/>
      </c>
      <c r="R152" s="651" t="n"/>
      <c r="S152" s="1206" t="n"/>
      <c r="T152" s="904" t="n"/>
      <c r="U152" s="569" t="n"/>
      <c r="V152" s="1317" t="n"/>
    </row>
    <row r="153" ht="15.75" customHeight="1" s="1349">
      <c r="A153" s="1292" t="n"/>
      <c r="B153" s="904" t="n"/>
      <c r="C153" s="904" t="n"/>
      <c r="D153" s="1325" t="n"/>
      <c r="E153" s="1326">
        <f>G153+F153</f>
        <v/>
      </c>
      <c r="F153" s="1325">
        <f>G153*0.05</f>
        <v/>
      </c>
      <c r="G153" s="1312" t="n"/>
      <c r="H153" s="1301" t="n"/>
      <c r="I153" s="1321" t="n"/>
      <c r="J153" s="1322" t="n"/>
      <c r="K153" s="1318">
        <f>G153*18%</f>
        <v/>
      </c>
      <c r="L153" s="1318">
        <f>(G153-K153)*1.65%-(D153*1.65%)</f>
        <v/>
      </c>
      <c r="M153" s="1318" t="n"/>
      <c r="N153" s="863" t="n"/>
      <c r="O153" s="1320" t="n"/>
      <c r="P153" s="866" t="n"/>
      <c r="Q153" s="651">
        <f>(G153 - (D153+H153+K153+L153+M153+O153) + (N153)) / G153</f>
        <v/>
      </c>
      <c r="R153" s="651" t="n"/>
      <c r="S153" s="1206" t="n"/>
      <c r="T153" s="904" t="n"/>
      <c r="U153" s="569" t="n"/>
      <c r="V153" s="1317" t="n"/>
    </row>
    <row r="154" ht="15.75" customHeight="1" s="1349">
      <c r="A154" s="1292" t="n"/>
      <c r="B154" s="904" t="n"/>
      <c r="C154" s="904" t="n"/>
      <c r="D154" s="1325" t="n"/>
      <c r="E154" s="1326">
        <f>G154+F154</f>
        <v/>
      </c>
      <c r="F154" s="1325">
        <f>G154*0.05</f>
        <v/>
      </c>
      <c r="G154" s="1312" t="n"/>
      <c r="H154" s="1301" t="n"/>
      <c r="I154" s="1321" t="n"/>
      <c r="J154" s="1322" t="n"/>
      <c r="K154" s="1318">
        <f>G154*18%</f>
        <v/>
      </c>
      <c r="L154" s="1318">
        <f>(G154-K154)*1.65%-(D154*1.65%)</f>
        <v/>
      </c>
      <c r="M154" s="1318" t="n"/>
      <c r="N154" s="863" t="n"/>
      <c r="O154" s="1320" t="n"/>
      <c r="P154" s="866" t="n"/>
      <c r="Q154" s="651">
        <f>(G154 - (D154+H154+K154+L154+M154+O154) + (N154)) / G154</f>
        <v/>
      </c>
      <c r="R154" s="651" t="n"/>
      <c r="S154" s="1206" t="n"/>
      <c r="T154" s="904" t="n"/>
      <c r="U154" s="569" t="n"/>
      <c r="V154" s="1317" t="n"/>
    </row>
    <row r="155" ht="15.75" customHeight="1" s="1349">
      <c r="A155" s="1292" t="n"/>
      <c r="B155" s="904" t="n"/>
      <c r="C155" s="904" t="n"/>
      <c r="D155" s="1325" t="n"/>
      <c r="E155" s="1326">
        <f>G155+F155</f>
        <v/>
      </c>
      <c r="F155" s="1325">
        <f>G155*0.05</f>
        <v/>
      </c>
      <c r="G155" s="1312" t="n"/>
      <c r="H155" s="1301" t="n"/>
      <c r="I155" s="1321" t="n"/>
      <c r="J155" s="1322" t="n"/>
      <c r="K155" s="1318">
        <f>G155*18%</f>
        <v/>
      </c>
      <c r="L155" s="1318">
        <f>(G155-K155)*1.65%-(D155*1.65%)</f>
        <v/>
      </c>
      <c r="M155" s="1318" t="n"/>
      <c r="N155" s="863" t="n"/>
      <c r="O155" s="1320" t="n"/>
      <c r="P155" s="866" t="n"/>
      <c r="Q155" s="651">
        <f>(G155 - (D155+H155+K155+L155+M155+O155) + (N155)) / G155</f>
        <v/>
      </c>
      <c r="R155" s="651" t="n"/>
      <c r="S155" s="1206" t="n"/>
      <c r="T155" s="904" t="n"/>
      <c r="U155" s="569" t="n"/>
      <c r="V155" s="1317" t="n"/>
    </row>
    <row r="156" ht="15.75" customHeight="1" s="1349">
      <c r="A156" s="1292" t="n"/>
      <c r="B156" s="904" t="n"/>
      <c r="C156" s="904" t="n"/>
      <c r="D156" s="1325" t="n"/>
      <c r="E156" s="1326">
        <f>G156+F156</f>
        <v/>
      </c>
      <c r="F156" s="1325">
        <f>G156*0.05</f>
        <v/>
      </c>
      <c r="G156" s="1312" t="n"/>
      <c r="H156" s="1301" t="n"/>
      <c r="I156" s="1321" t="n"/>
      <c r="J156" s="1322" t="n"/>
      <c r="K156" s="1318">
        <f>G156*18%</f>
        <v/>
      </c>
      <c r="L156" s="1318">
        <f>(G156-K156)*1.65%-(D156*1.65%)</f>
        <v/>
      </c>
      <c r="M156" s="1318" t="n"/>
      <c r="N156" s="863" t="n"/>
      <c r="O156" s="1320" t="n"/>
      <c r="P156" s="866" t="n"/>
      <c r="Q156" s="651">
        <f>(G156 - (D156+H156+K156+L156+M156+O156) + (N156)) / G156</f>
        <v/>
      </c>
      <c r="R156" s="651" t="n"/>
      <c r="S156" s="1206" t="n"/>
      <c r="T156" s="904" t="n"/>
      <c r="U156" s="569" t="n"/>
      <c r="V156" s="1317" t="n"/>
    </row>
    <row r="157" ht="15.75" customHeight="1" s="1349">
      <c r="A157" s="1292" t="n"/>
      <c r="B157" s="904" t="n"/>
      <c r="C157" s="904" t="n"/>
      <c r="D157" s="1325" t="n"/>
      <c r="E157" s="1326">
        <f>G157+F157</f>
        <v/>
      </c>
      <c r="F157" s="1325">
        <f>G157*0.05</f>
        <v/>
      </c>
      <c r="G157" s="1312" t="n"/>
      <c r="H157" s="1301" t="n"/>
      <c r="I157" s="1321" t="n"/>
      <c r="J157" s="1322" t="n"/>
      <c r="K157" s="1318">
        <f>G157*18%</f>
        <v/>
      </c>
      <c r="L157" s="1318">
        <f>(G157-K157)*1.65%-(D157*1.65%)</f>
        <v/>
      </c>
      <c r="M157" s="1318" t="n"/>
      <c r="N157" s="863" t="n"/>
      <c r="O157" s="1320" t="n"/>
      <c r="P157" s="866" t="n"/>
      <c r="Q157" s="651">
        <f>(G157 - (D157+H157+K157+L157+M157+O157) + (N157)) / G157</f>
        <v/>
      </c>
      <c r="R157" s="651" t="n"/>
      <c r="S157" s="1206" t="n"/>
      <c r="T157" s="904" t="n"/>
      <c r="U157" s="569" t="n"/>
      <c r="V157" s="1317" t="n"/>
    </row>
    <row r="158" ht="15.75" customHeight="1" s="1349">
      <c r="A158" s="1292" t="n"/>
      <c r="B158" s="904" t="n"/>
      <c r="C158" s="904" t="n"/>
      <c r="D158" s="1325" t="n"/>
      <c r="E158" s="1326">
        <f>G158+F158</f>
        <v/>
      </c>
      <c r="F158" s="1325">
        <f>G158*0.05</f>
        <v/>
      </c>
      <c r="G158" s="1312" t="n"/>
      <c r="H158" s="1301" t="n"/>
      <c r="I158" s="1321" t="n"/>
      <c r="J158" s="1322" t="n"/>
      <c r="K158" s="1318">
        <f>G158*18%</f>
        <v/>
      </c>
      <c r="L158" s="1318">
        <f>(G158-K158)*1.65%-(D158*1.65%)</f>
        <v/>
      </c>
      <c r="M158" s="1318" t="n"/>
      <c r="N158" s="863" t="n"/>
      <c r="O158" s="1320" t="n"/>
      <c r="P158" s="866" t="n"/>
      <c r="Q158" s="651">
        <f>(G158 - (D158+H158+K158+L158+M158+O158) + (N158)) / G158</f>
        <v/>
      </c>
      <c r="R158" s="651" t="n"/>
      <c r="S158" s="1206" t="n"/>
      <c r="T158" s="904" t="n"/>
      <c r="U158" s="569" t="n"/>
      <c r="V158" s="1317" t="n"/>
    </row>
    <row r="159" ht="15.75" customHeight="1" s="1349">
      <c r="A159" s="1292" t="n"/>
      <c r="B159" s="904" t="n"/>
      <c r="C159" s="904" t="n"/>
      <c r="D159" s="1325" t="n"/>
      <c r="E159" s="1326">
        <f>G159+F159</f>
        <v/>
      </c>
      <c r="F159" s="1325">
        <f>G159*0.05</f>
        <v/>
      </c>
      <c r="G159" s="1312" t="n"/>
      <c r="H159" s="1301" t="n"/>
      <c r="I159" s="1321" t="n"/>
      <c r="J159" s="1322" t="n"/>
      <c r="K159" s="1318">
        <f>G159*18%</f>
        <v/>
      </c>
      <c r="L159" s="1318">
        <f>(G159-K159)*1.65%-(D159*1.65%)</f>
        <v/>
      </c>
      <c r="M159" s="1318" t="n"/>
      <c r="N159" s="863" t="n"/>
      <c r="O159" s="1320" t="n"/>
      <c r="P159" s="866" t="n"/>
      <c r="Q159" s="651">
        <f>(G159 - (D159+H159+K159+L159+M159+O159) + (N159)) / G159</f>
        <v/>
      </c>
      <c r="R159" s="651" t="n"/>
      <c r="S159" s="1206" t="n"/>
      <c r="T159" s="904" t="n"/>
      <c r="U159" s="569" t="n"/>
      <c r="V159" s="1317" t="n"/>
    </row>
    <row r="160" ht="15.75" customHeight="1" s="1349">
      <c r="A160" s="1292" t="n"/>
      <c r="B160" s="904" t="n"/>
      <c r="C160" s="904" t="n"/>
      <c r="D160" s="1325" t="n"/>
      <c r="E160" s="1326">
        <f>G160+F160</f>
        <v/>
      </c>
      <c r="F160" s="1325">
        <f>G160*0.05</f>
        <v/>
      </c>
      <c r="G160" s="1312" t="n"/>
      <c r="H160" s="1301" t="n"/>
      <c r="I160" s="1321" t="n"/>
      <c r="J160" s="1322" t="n"/>
      <c r="K160" s="1318">
        <f>G160*18%</f>
        <v/>
      </c>
      <c r="L160" s="1318">
        <f>(G160-K160)*1.65%-(D160*1.65%)</f>
        <v/>
      </c>
      <c r="M160" s="1318" t="n"/>
      <c r="N160" s="863" t="n"/>
      <c r="O160" s="1320" t="n"/>
      <c r="P160" s="866" t="n"/>
      <c r="Q160" s="651">
        <f>(G160 - (D160+H160+K160+L160+M160+O160) + (N160)) / G160</f>
        <v/>
      </c>
      <c r="R160" s="651" t="n"/>
      <c r="S160" s="1206" t="n"/>
      <c r="T160" s="904" t="n"/>
      <c r="U160" s="569" t="n"/>
      <c r="V160" s="1317" t="n"/>
    </row>
    <row r="161" ht="15.75" customHeight="1" s="1349">
      <c r="A161" s="1292" t="n"/>
      <c r="B161" s="904" t="n"/>
      <c r="C161" s="904" t="n"/>
      <c r="D161" s="1325" t="n"/>
      <c r="E161" s="1326">
        <f>G161+F161</f>
        <v/>
      </c>
      <c r="F161" s="1325">
        <f>G161*0.05</f>
        <v/>
      </c>
      <c r="G161" s="1312" t="n"/>
      <c r="H161" s="1301" t="n"/>
      <c r="I161" s="1321" t="n"/>
      <c r="J161" s="1322" t="n"/>
      <c r="K161" s="1318">
        <f>G161*18%</f>
        <v/>
      </c>
      <c r="L161" s="1318">
        <f>(G161-K161)*1.65%-(D161*1.65%)</f>
        <v/>
      </c>
      <c r="M161" s="1318" t="n"/>
      <c r="N161" s="863" t="n"/>
      <c r="O161" s="1320" t="n"/>
      <c r="P161" s="866" t="n"/>
      <c r="Q161" s="651">
        <f>(G161 - (D161+H161+K161+L161+M161+O161) + (N161)) / G161</f>
        <v/>
      </c>
      <c r="R161" s="651" t="n"/>
      <c r="S161" s="1206" t="n"/>
      <c r="T161" s="904" t="n"/>
      <c r="U161" s="569" t="n"/>
      <c r="V161" s="1317" t="n"/>
    </row>
    <row r="162" ht="15.75" customHeight="1" s="1349">
      <c r="A162" s="1292" t="n"/>
      <c r="B162" s="904" t="n"/>
      <c r="C162" s="904" t="n"/>
      <c r="D162" s="1325" t="n"/>
      <c r="E162" s="1326">
        <f>G162+F162</f>
        <v/>
      </c>
      <c r="F162" s="1325">
        <f>G162*0.05</f>
        <v/>
      </c>
      <c r="G162" s="1312" t="n"/>
      <c r="H162" s="1301" t="n"/>
      <c r="I162" s="1321" t="n"/>
      <c r="J162" s="1322" t="n"/>
      <c r="K162" s="1318">
        <f>G162*18%</f>
        <v/>
      </c>
      <c r="L162" s="1318">
        <f>(G162-K162)*1.65%-(D162*1.65%)</f>
        <v/>
      </c>
      <c r="M162" s="1318" t="n"/>
      <c r="N162" s="863" t="n"/>
      <c r="O162" s="1320" t="n"/>
      <c r="P162" s="866" t="n"/>
      <c r="Q162" s="651">
        <f>(G162 - (D162+H162+K162+L162+M162+O162) + (N162)) / G162</f>
        <v/>
      </c>
      <c r="R162" s="651" t="n"/>
      <c r="S162" s="1206" t="n"/>
      <c r="T162" s="904" t="n"/>
      <c r="U162" s="569" t="n"/>
      <c r="V162" s="1317" t="n"/>
    </row>
    <row r="163" ht="15.75" customHeight="1" s="1349">
      <c r="A163" s="1292" t="n"/>
      <c r="B163" s="904" t="n"/>
      <c r="C163" s="904" t="n"/>
      <c r="D163" s="1325" t="n"/>
      <c r="E163" s="1326">
        <f>G163+F163</f>
        <v/>
      </c>
      <c r="F163" s="1325">
        <f>G163*0.05</f>
        <v/>
      </c>
      <c r="G163" s="1312" t="n"/>
      <c r="H163" s="1301" t="n"/>
      <c r="I163" s="1321" t="n"/>
      <c r="J163" s="1322" t="n"/>
      <c r="K163" s="1318">
        <f>G163*18%</f>
        <v/>
      </c>
      <c r="L163" s="1318">
        <f>(G163-K163)*1.65%-(D163*1.65%)</f>
        <v/>
      </c>
      <c r="M163" s="1318" t="n"/>
      <c r="N163" s="863" t="n"/>
      <c r="O163" s="1320" t="n"/>
      <c r="P163" s="866" t="n"/>
      <c r="Q163" s="651">
        <f>(G163 - (D163+H163+K163+L163+M163+O163) + (N163)) / G163</f>
        <v/>
      </c>
      <c r="R163" s="651" t="n"/>
      <c r="S163" s="1206" t="n"/>
      <c r="T163" s="904" t="n"/>
      <c r="U163" s="569" t="n"/>
      <c r="V163" s="1317" t="n"/>
    </row>
    <row r="164" ht="15.75" customHeight="1" s="1349">
      <c r="A164" s="1292" t="n"/>
      <c r="B164" s="904" t="n"/>
      <c r="C164" s="904" t="n"/>
      <c r="D164" s="1325" t="n"/>
      <c r="E164" s="1326">
        <f>G164+F164</f>
        <v/>
      </c>
      <c r="F164" s="1325">
        <f>G164*0.05</f>
        <v/>
      </c>
      <c r="G164" s="1312" t="n"/>
      <c r="H164" s="1301" t="n"/>
      <c r="I164" s="1321" t="n"/>
      <c r="J164" s="1322" t="n"/>
      <c r="K164" s="1318">
        <f>G164*18%</f>
        <v/>
      </c>
      <c r="L164" s="1318">
        <f>(G164-K164)*1.65%-(D164*1.65%)</f>
        <v/>
      </c>
      <c r="M164" s="1318" t="n"/>
      <c r="N164" s="863" t="n"/>
      <c r="O164" s="1320" t="n"/>
      <c r="P164" s="866" t="n"/>
      <c r="Q164" s="651">
        <f>(G164 - (D164+H164+K164+L164+M164+O164) + (N164)) / G164</f>
        <v/>
      </c>
      <c r="R164" s="651" t="n"/>
      <c r="S164" s="1206" t="n"/>
      <c r="T164" s="904" t="n"/>
      <c r="U164" s="569" t="n"/>
      <c r="V164" s="1317" t="n"/>
    </row>
    <row r="165" ht="15.75" customHeight="1" s="1349">
      <c r="A165" s="1292" t="n"/>
      <c r="B165" s="904" t="n"/>
      <c r="C165" s="904" t="n"/>
      <c r="D165" s="1325" t="n"/>
      <c r="E165" s="1326">
        <f>G165+F165</f>
        <v/>
      </c>
      <c r="F165" s="1325">
        <f>G165*0.05</f>
        <v/>
      </c>
      <c r="G165" s="1312" t="n"/>
      <c r="H165" s="1301" t="n"/>
      <c r="I165" s="1321" t="n"/>
      <c r="J165" s="1322" t="n"/>
      <c r="K165" s="1318">
        <f>G165*18%</f>
        <v/>
      </c>
      <c r="L165" s="1318">
        <f>(G165-K165)*1.65%-(D165*1.65%)</f>
        <v/>
      </c>
      <c r="M165" s="1318" t="n"/>
      <c r="N165" s="863" t="n"/>
      <c r="O165" s="1320" t="n"/>
      <c r="P165" s="866" t="n"/>
      <c r="Q165" s="651">
        <f>(G165 - (D165+H165+K165+L165+M165+O165) + (N165)) / G165</f>
        <v/>
      </c>
      <c r="R165" s="651" t="n"/>
      <c r="S165" s="1206" t="n"/>
      <c r="T165" s="904" t="n"/>
      <c r="U165" s="569" t="n"/>
      <c r="V165" s="1317" t="n"/>
    </row>
    <row r="166" ht="15.75" customHeight="1" s="1349">
      <c r="A166" s="1292" t="n"/>
      <c r="B166" s="904" t="n"/>
      <c r="C166" s="904" t="n"/>
      <c r="D166" s="1325" t="n"/>
      <c r="E166" s="1326">
        <f>G166+F166</f>
        <v/>
      </c>
      <c r="F166" s="1325">
        <f>G166*0.05</f>
        <v/>
      </c>
      <c r="G166" s="1312" t="n"/>
      <c r="H166" s="1301" t="n"/>
      <c r="I166" s="1321" t="n"/>
      <c r="J166" s="1322" t="n"/>
      <c r="K166" s="1318">
        <f>G166*18%</f>
        <v/>
      </c>
      <c r="L166" s="1318">
        <f>(G166-K166)*1.65%-(D166*1.65%)</f>
        <v/>
      </c>
      <c r="M166" s="1318" t="n"/>
      <c r="N166" s="863" t="n"/>
      <c r="O166" s="1320" t="n"/>
      <c r="P166" s="866" t="n"/>
      <c r="Q166" s="651">
        <f>(G166 - (D166+H166+K166+L166+M166+O166) + (N166)) / G166</f>
        <v/>
      </c>
      <c r="R166" s="651" t="n"/>
      <c r="S166" s="1206" t="n"/>
      <c r="T166" s="904" t="n"/>
      <c r="U166" s="569" t="n"/>
      <c r="V166" s="1317" t="n"/>
    </row>
    <row r="167" ht="15.75" customHeight="1" s="1349">
      <c r="A167" s="1292" t="n"/>
      <c r="B167" s="904" t="n"/>
      <c r="C167" s="904" t="n"/>
      <c r="D167" s="1325" t="n"/>
      <c r="E167" s="1326">
        <f>G167+F167</f>
        <v/>
      </c>
      <c r="F167" s="1325">
        <f>G167*0.05</f>
        <v/>
      </c>
      <c r="G167" s="1312" t="n"/>
      <c r="H167" s="1301" t="n"/>
      <c r="I167" s="1321" t="n"/>
      <c r="J167" s="1322" t="n"/>
      <c r="K167" s="1318">
        <f>G167*18%</f>
        <v/>
      </c>
      <c r="L167" s="1318">
        <f>(G167-K167)*1.65%-(D167*1.65%)</f>
        <v/>
      </c>
      <c r="M167" s="1318" t="n"/>
      <c r="N167" s="863" t="n"/>
      <c r="O167" s="1320" t="n"/>
      <c r="P167" s="866" t="n"/>
      <c r="Q167" s="651">
        <f>(G167 - (D167+H167+K167+L167+M167+O167) + (N167)) / G167</f>
        <v/>
      </c>
      <c r="R167" s="651" t="n"/>
      <c r="S167" s="1206" t="n"/>
      <c r="T167" s="904" t="n"/>
      <c r="U167" s="569" t="n"/>
      <c r="V167" s="1317" t="n"/>
    </row>
    <row r="168" ht="15.75" customHeight="1" s="1349">
      <c r="A168" s="1292" t="n"/>
      <c r="B168" s="904" t="n"/>
      <c r="C168" s="904" t="n"/>
      <c r="D168" s="1325" t="n"/>
      <c r="E168" s="1326">
        <f>G168+F168</f>
        <v/>
      </c>
      <c r="F168" s="1325">
        <f>G168*0.05</f>
        <v/>
      </c>
      <c r="G168" s="1312" t="n"/>
      <c r="H168" s="1301" t="n"/>
      <c r="I168" s="1321" t="n"/>
      <c r="J168" s="1322" t="n"/>
      <c r="K168" s="1318">
        <f>G168*18%</f>
        <v/>
      </c>
      <c r="L168" s="1318">
        <f>(G168-K168)*1.65%-(D168*1.65%)</f>
        <v/>
      </c>
      <c r="M168" s="1318" t="n"/>
      <c r="N168" s="863" t="n"/>
      <c r="O168" s="1320" t="n"/>
      <c r="P168" s="866" t="n"/>
      <c r="Q168" s="651">
        <f>(G168 - (D168+H168+K168+L168+M168+O168) + (N168)) / G168</f>
        <v/>
      </c>
      <c r="R168" s="651" t="n"/>
      <c r="S168" s="1206" t="n"/>
      <c r="T168" s="904" t="n"/>
      <c r="U168" s="569" t="n"/>
      <c r="V168" s="1317" t="n"/>
    </row>
    <row r="169" ht="15.75" customHeight="1" s="1349">
      <c r="A169" s="1292" t="n"/>
      <c r="B169" s="904" t="n"/>
      <c r="C169" s="904" t="n"/>
      <c r="D169" s="1325" t="n"/>
      <c r="E169" s="1326">
        <f>G169+F169</f>
        <v/>
      </c>
      <c r="F169" s="1325">
        <f>G169*0.05</f>
        <v/>
      </c>
      <c r="G169" s="1312" t="n"/>
      <c r="H169" s="1301" t="n"/>
      <c r="I169" s="1321" t="n"/>
      <c r="J169" s="1322" t="n"/>
      <c r="K169" s="1318">
        <f>G169*18%</f>
        <v/>
      </c>
      <c r="L169" s="1318">
        <f>(G169-K169)*1.65%-(D169*1.65%)</f>
        <v/>
      </c>
      <c r="M169" s="1318" t="n"/>
      <c r="N169" s="863" t="n"/>
      <c r="O169" s="1320" t="n"/>
      <c r="P169" s="866" t="n"/>
      <c r="Q169" s="651">
        <f>(G169 - (D169+H169+K169+L169+M169+O169) + (N169)) / G169</f>
        <v/>
      </c>
      <c r="R169" s="651" t="n"/>
      <c r="S169" s="1206" t="n"/>
      <c r="T169" s="904" t="n"/>
      <c r="U169" s="569" t="n"/>
      <c r="V169" s="1317" t="n"/>
    </row>
    <row r="170" ht="15.75" customHeight="1" s="1349">
      <c r="A170" s="1292" t="n"/>
      <c r="B170" s="904" t="n"/>
      <c r="C170" s="904" t="n"/>
      <c r="D170" s="1325" t="n"/>
      <c r="E170" s="1326">
        <f>G170+F170</f>
        <v/>
      </c>
      <c r="F170" s="1325">
        <f>G170*0.05</f>
        <v/>
      </c>
      <c r="G170" s="1312" t="n"/>
      <c r="H170" s="1301" t="n"/>
      <c r="I170" s="1321" t="n"/>
      <c r="J170" s="1322" t="n"/>
      <c r="K170" s="1318">
        <f>G170*18%</f>
        <v/>
      </c>
      <c r="L170" s="1318">
        <f>(G170-K170)*1.65%-(D170*1.65%)</f>
        <v/>
      </c>
      <c r="M170" s="1318" t="n"/>
      <c r="N170" s="863" t="n"/>
      <c r="O170" s="1320" t="n"/>
      <c r="P170" s="866" t="n"/>
      <c r="Q170" s="651">
        <f>(G170 - (D170+H170+K170+L170+M170+O170) + (N170)) / G170</f>
        <v/>
      </c>
      <c r="R170" s="651" t="n"/>
      <c r="S170" s="1206" t="n"/>
      <c r="T170" s="904" t="n"/>
      <c r="U170" s="569" t="n"/>
      <c r="V170" s="1317" t="n"/>
    </row>
    <row r="171" ht="15.75" customHeight="1" s="1349">
      <c r="A171" s="1292" t="n"/>
      <c r="B171" s="904" t="n"/>
      <c r="C171" s="904" t="n"/>
      <c r="D171" s="1325" t="n"/>
      <c r="E171" s="1326">
        <f>G171+F171</f>
        <v/>
      </c>
      <c r="F171" s="1325">
        <f>G171*0.05</f>
        <v/>
      </c>
      <c r="G171" s="1312" t="n"/>
      <c r="H171" s="1301" t="n"/>
      <c r="I171" s="1321" t="n"/>
      <c r="J171" s="1322" t="n"/>
      <c r="K171" s="1318">
        <f>G171*18%</f>
        <v/>
      </c>
      <c r="L171" s="1318">
        <f>(G171-K171)*1.65%-(D171*1.65%)</f>
        <v/>
      </c>
      <c r="M171" s="1318" t="n"/>
      <c r="N171" s="863" t="n"/>
      <c r="O171" s="1320" t="n"/>
      <c r="P171" s="866" t="n"/>
      <c r="Q171" s="651">
        <f>(G171 - (D171+H171+K171+L171+M171+O171) + (N171)) / G171</f>
        <v/>
      </c>
      <c r="R171" s="651" t="n"/>
      <c r="S171" s="1206" t="n"/>
      <c r="T171" s="904" t="n"/>
      <c r="U171" s="569" t="n"/>
      <c r="V171" s="1317" t="n"/>
    </row>
    <row r="172" ht="15.75" customHeight="1" s="1349">
      <c r="A172" s="1292" t="n"/>
      <c r="B172" s="904" t="n"/>
      <c r="C172" s="904" t="n"/>
      <c r="D172" s="1325" t="n"/>
      <c r="E172" s="1326">
        <f>G172+F172</f>
        <v/>
      </c>
      <c r="F172" s="1325">
        <f>G172*0.05</f>
        <v/>
      </c>
      <c r="G172" s="1312" t="n"/>
      <c r="H172" s="1301" t="n"/>
      <c r="I172" s="1321" t="n"/>
      <c r="J172" s="1322" t="n"/>
      <c r="K172" s="1318">
        <f>G172*18%</f>
        <v/>
      </c>
      <c r="L172" s="1318">
        <f>(G172-K172)*1.65%-(D172*1.65%)</f>
        <v/>
      </c>
      <c r="M172" s="1318" t="n"/>
      <c r="N172" s="863" t="n"/>
      <c r="O172" s="1320" t="n"/>
      <c r="P172" s="866" t="n"/>
      <c r="Q172" s="651">
        <f>(G172 - (D172+H172+K172+L172+M172+O172) + (N172)) / G172</f>
        <v/>
      </c>
      <c r="R172" s="651" t="n"/>
      <c r="S172" s="1206" t="n"/>
      <c r="T172" s="904" t="n"/>
      <c r="U172" s="569" t="n"/>
      <c r="V172" s="1317" t="n"/>
    </row>
    <row r="173" ht="15.75" customHeight="1" s="1349">
      <c r="A173" s="1292" t="n"/>
      <c r="B173" s="904" t="n"/>
      <c r="C173" s="904" t="n"/>
      <c r="D173" s="1325" t="n"/>
      <c r="E173" s="1326">
        <f>G173+F173</f>
        <v/>
      </c>
      <c r="F173" s="1325">
        <f>G173*0.05</f>
        <v/>
      </c>
      <c r="G173" s="1312" t="n"/>
      <c r="H173" s="1301" t="n"/>
      <c r="I173" s="1321" t="n"/>
      <c r="J173" s="1322" t="n"/>
      <c r="K173" s="1318">
        <f>G173*18%</f>
        <v/>
      </c>
      <c r="L173" s="1318">
        <f>(G173-K173)*1.65%-(D173*1.65%)</f>
        <v/>
      </c>
      <c r="M173" s="1318" t="n"/>
      <c r="N173" s="863" t="n"/>
      <c r="O173" s="1320" t="n"/>
      <c r="P173" s="866" t="n"/>
      <c r="Q173" s="651">
        <f>(G173 - (D173+H173+K173+L173+M173+O173) + (N173)) / G173</f>
        <v/>
      </c>
      <c r="R173" s="651" t="n"/>
      <c r="S173" s="1206" t="n"/>
      <c r="T173" s="904" t="n"/>
      <c r="U173" s="569" t="n"/>
      <c r="V173" s="1317" t="n"/>
    </row>
    <row r="174" ht="15.75" customHeight="1" s="1349">
      <c r="A174" s="1292" t="n"/>
      <c r="B174" s="904" t="n"/>
      <c r="C174" s="904" t="n"/>
      <c r="D174" s="1325" t="n"/>
      <c r="E174" s="1326">
        <f>G174+F174</f>
        <v/>
      </c>
      <c r="F174" s="1325">
        <f>G174*0.05</f>
        <v/>
      </c>
      <c r="G174" s="1312" t="n"/>
      <c r="H174" s="1301" t="n"/>
      <c r="I174" s="1321" t="n"/>
      <c r="J174" s="1322" t="n"/>
      <c r="K174" s="1318">
        <f>G174*18%</f>
        <v/>
      </c>
      <c r="L174" s="1318">
        <f>(G174-K174)*1.65%-(D174*1.65%)</f>
        <v/>
      </c>
      <c r="M174" s="1318" t="n"/>
      <c r="N174" s="863" t="n"/>
      <c r="O174" s="1320" t="n"/>
      <c r="P174" s="866" t="n"/>
      <c r="Q174" s="651">
        <f>(G174 - (D174+H174+K174+L174+M174+O174) + (N174)) / G174</f>
        <v/>
      </c>
      <c r="R174" s="651" t="n"/>
      <c r="S174" s="1206" t="n"/>
      <c r="T174" s="904" t="n"/>
      <c r="U174" s="569" t="n"/>
      <c r="V174" s="1317" t="n"/>
    </row>
    <row r="175" ht="15.75" customHeight="1" s="1349">
      <c r="A175" s="1292" t="n"/>
      <c r="B175" s="904" t="n"/>
      <c r="C175" s="904" t="n"/>
      <c r="D175" s="1325" t="n"/>
      <c r="E175" s="1326">
        <f>G175+F175</f>
        <v/>
      </c>
      <c r="F175" s="1325">
        <f>G175*0.05</f>
        <v/>
      </c>
      <c r="G175" s="1312" t="n"/>
      <c r="H175" s="1301" t="n"/>
      <c r="I175" s="1321" t="n"/>
      <c r="J175" s="1322" t="n"/>
      <c r="K175" s="1318">
        <f>G175*18%</f>
        <v/>
      </c>
      <c r="L175" s="1318">
        <f>(G175-K175)*1.65%-(D175*1.65%)</f>
        <v/>
      </c>
      <c r="M175" s="1318" t="n"/>
      <c r="N175" s="863" t="n"/>
      <c r="O175" s="1320" t="n"/>
      <c r="P175" s="866" t="n"/>
      <c r="Q175" s="651">
        <f>(G175 - (D175+H175+K175+L175+M175+O175) + (N175)) / G175</f>
        <v/>
      </c>
      <c r="R175" s="651" t="n"/>
      <c r="S175" s="1206" t="n"/>
      <c r="T175" s="904" t="n"/>
      <c r="U175" s="569" t="n"/>
      <c r="V175" s="1317" t="n"/>
    </row>
    <row r="176" ht="15.75" customHeight="1" s="1349">
      <c r="A176" s="1292" t="n"/>
      <c r="B176" s="904" t="n"/>
      <c r="C176" s="904" t="n"/>
      <c r="D176" s="1325" t="n"/>
      <c r="E176" s="1326">
        <f>G176+F176</f>
        <v/>
      </c>
      <c r="F176" s="1325">
        <f>G176*0.05</f>
        <v/>
      </c>
      <c r="G176" s="1312" t="n"/>
      <c r="H176" s="1301" t="n"/>
      <c r="I176" s="1321" t="n"/>
      <c r="J176" s="1322" t="n"/>
      <c r="K176" s="1318">
        <f>G176*18%</f>
        <v/>
      </c>
      <c r="L176" s="1318">
        <f>(G176-K176)*1.65%-(D176*1.65%)</f>
        <v/>
      </c>
      <c r="M176" s="1318" t="n"/>
      <c r="N176" s="863" t="n"/>
      <c r="O176" s="1320" t="n"/>
      <c r="P176" s="866" t="n"/>
      <c r="Q176" s="651">
        <f>(G176 - (D176+H176+K176+L176+M176+O176) + (N176)) / G176</f>
        <v/>
      </c>
      <c r="R176" s="651" t="n"/>
      <c r="S176" s="1206" t="n"/>
      <c r="T176" s="904" t="n"/>
      <c r="U176" s="569" t="n"/>
      <c r="V176" s="1317" t="n"/>
    </row>
    <row r="177" ht="15.75" customHeight="1" s="1349">
      <c r="A177" s="1292" t="n"/>
      <c r="B177" s="904" t="n"/>
      <c r="C177" s="904" t="n"/>
      <c r="D177" s="1325" t="n"/>
      <c r="E177" s="1326">
        <f>G177+F177</f>
        <v/>
      </c>
      <c r="F177" s="1325">
        <f>G177*0.05</f>
        <v/>
      </c>
      <c r="G177" s="1312" t="n"/>
      <c r="H177" s="1301" t="n"/>
      <c r="I177" s="1321" t="n"/>
      <c r="J177" s="1322" t="n"/>
      <c r="K177" s="1318">
        <f>G177*18%</f>
        <v/>
      </c>
      <c r="L177" s="1318">
        <f>(G177-K177)*1.65%-(D177*1.65%)</f>
        <v/>
      </c>
      <c r="M177" s="1318" t="n"/>
      <c r="N177" s="863" t="n"/>
      <c r="O177" s="1320" t="n"/>
      <c r="P177" s="866" t="n"/>
      <c r="Q177" s="651">
        <f>(G177 - (D177+H177+K177+L177+M177+O177) + (N177)) / G177</f>
        <v/>
      </c>
      <c r="R177" s="651" t="n"/>
      <c r="S177" s="1206" t="n"/>
      <c r="T177" s="904" t="n"/>
      <c r="U177" s="569" t="n"/>
      <c r="V177" s="1317" t="n"/>
    </row>
    <row r="178" ht="15.75" customHeight="1" s="1349">
      <c r="A178" s="1292" t="n"/>
      <c r="B178" s="904" t="n"/>
      <c r="C178" s="904" t="n"/>
      <c r="D178" s="1325" t="n"/>
      <c r="E178" s="1326">
        <f>G178+F178</f>
        <v/>
      </c>
      <c r="F178" s="1325">
        <f>G178*0.05</f>
        <v/>
      </c>
      <c r="G178" s="1312" t="n"/>
      <c r="H178" s="1301" t="n"/>
      <c r="I178" s="1321" t="n"/>
      <c r="J178" s="1322" t="n"/>
      <c r="K178" s="1318">
        <f>G178*18%</f>
        <v/>
      </c>
      <c r="L178" s="1318">
        <f>(G178-K178)*1.65%-(D178*1.65%)</f>
        <v/>
      </c>
      <c r="M178" s="1318" t="n"/>
      <c r="N178" s="863" t="n"/>
      <c r="O178" s="1320" t="n"/>
      <c r="P178" s="866" t="n"/>
      <c r="Q178" s="651">
        <f>(G178 - (D178+H178+K178+L178+M178+O178) + (N178)) / G178</f>
        <v/>
      </c>
      <c r="R178" s="651" t="n"/>
      <c r="S178" s="1206" t="n"/>
      <c r="T178" s="904" t="n"/>
      <c r="U178" s="569" t="n"/>
      <c r="V178" s="1317" t="n"/>
    </row>
    <row r="179" ht="15.75" customHeight="1" s="1349">
      <c r="A179" s="1292" t="n"/>
      <c r="B179" s="904" t="n"/>
      <c r="C179" s="904" t="n"/>
      <c r="D179" s="1325" t="n"/>
      <c r="E179" s="1326">
        <f>G179+F179</f>
        <v/>
      </c>
      <c r="F179" s="1325">
        <f>G179*0.05</f>
        <v/>
      </c>
      <c r="G179" s="1312" t="n"/>
      <c r="H179" s="1301" t="n"/>
      <c r="I179" s="1321" t="n"/>
      <c r="J179" s="1322" t="n"/>
      <c r="K179" s="1318">
        <f>G179*18%</f>
        <v/>
      </c>
      <c r="L179" s="1318">
        <f>(G179-K179)*1.65%-(D179*1.65%)</f>
        <v/>
      </c>
      <c r="M179" s="1318" t="n"/>
      <c r="N179" s="863" t="n"/>
      <c r="O179" s="1320" t="n"/>
      <c r="P179" s="866" t="n"/>
      <c r="Q179" s="651">
        <f>(G179 - (D179+H179+K179+L179+M179+O179) + (N179)) / G179</f>
        <v/>
      </c>
      <c r="R179" s="651" t="n"/>
      <c r="S179" s="1206" t="n"/>
      <c r="T179" s="904" t="n"/>
      <c r="U179" s="569" t="n"/>
      <c r="V179" s="1317" t="n"/>
    </row>
    <row r="180" ht="15.75" customHeight="1" s="1349">
      <c r="A180" s="1292" t="n"/>
      <c r="B180" s="904" t="n"/>
      <c r="C180" s="904" t="n"/>
      <c r="D180" s="1325" t="n"/>
      <c r="E180" s="1326">
        <f>G180+F180</f>
        <v/>
      </c>
      <c r="F180" s="1325">
        <f>G180*0.05</f>
        <v/>
      </c>
      <c r="G180" s="1312" t="n"/>
      <c r="H180" s="1301" t="n"/>
      <c r="I180" s="1321" t="n"/>
      <c r="J180" s="1322" t="n"/>
      <c r="K180" s="1318">
        <f>G180*18%</f>
        <v/>
      </c>
      <c r="L180" s="1318">
        <f>(G180-K180)*1.65%-(D180*1.65%)</f>
        <v/>
      </c>
      <c r="M180" s="1318" t="n"/>
      <c r="N180" s="863" t="n"/>
      <c r="O180" s="1320" t="n"/>
      <c r="P180" s="866" t="n"/>
      <c r="Q180" s="651">
        <f>(G180 - (D180+H180+K180+L180+M180+O180) + (N180)) / G180</f>
        <v/>
      </c>
      <c r="R180" s="651" t="n"/>
      <c r="S180" s="1206" t="n"/>
      <c r="T180" s="904" t="n"/>
      <c r="U180" s="569" t="n"/>
      <c r="V180" s="1317" t="n"/>
    </row>
    <row r="181" ht="15.75" customHeight="1" s="1349">
      <c r="A181" s="1292" t="n"/>
      <c r="B181" s="904" t="n"/>
      <c r="C181" s="904" t="n"/>
      <c r="D181" s="1325" t="n"/>
      <c r="E181" s="1326">
        <f>G181+F181</f>
        <v/>
      </c>
      <c r="F181" s="1325">
        <f>G181*0.05</f>
        <v/>
      </c>
      <c r="G181" s="1312" t="n"/>
      <c r="H181" s="1301" t="n"/>
      <c r="I181" s="1321" t="n"/>
      <c r="J181" s="1322" t="n"/>
      <c r="K181" s="1318">
        <f>G181*18%</f>
        <v/>
      </c>
      <c r="L181" s="1318">
        <f>(G181-K181)*1.65%-(D181*1.65%)</f>
        <v/>
      </c>
      <c r="M181" s="1318" t="n"/>
      <c r="N181" s="863" t="n"/>
      <c r="O181" s="1320" t="n"/>
      <c r="P181" s="866" t="n"/>
      <c r="Q181" s="651">
        <f>(G181 - (D181+H181+K181+L181+M181+O181) + (N181)) / G181</f>
        <v/>
      </c>
      <c r="R181" s="651" t="n"/>
      <c r="S181" s="1206" t="n"/>
      <c r="T181" s="904" t="n"/>
      <c r="U181" s="569" t="n"/>
      <c r="V181" s="1317" t="n"/>
    </row>
    <row r="182" ht="15.75" customHeight="1" s="1349">
      <c r="A182" s="1292" t="n"/>
      <c r="B182" s="904" t="n"/>
      <c r="C182" s="904" t="n"/>
      <c r="D182" s="1325" t="n"/>
      <c r="E182" s="1326">
        <f>G182+F182</f>
        <v/>
      </c>
      <c r="F182" s="1325">
        <f>G182*0.05</f>
        <v/>
      </c>
      <c r="G182" s="1312" t="n"/>
      <c r="H182" s="1301" t="n"/>
      <c r="I182" s="1321" t="n"/>
      <c r="J182" s="1322" t="n"/>
      <c r="K182" s="1318">
        <f>G182*18%</f>
        <v/>
      </c>
      <c r="L182" s="1318">
        <f>(G182-K182)*1.65%-(D182*1.65%)</f>
        <v/>
      </c>
      <c r="M182" s="1318" t="n"/>
      <c r="N182" s="863" t="n"/>
      <c r="O182" s="1320" t="n"/>
      <c r="P182" s="866" t="n"/>
      <c r="Q182" s="651">
        <f>(G182 - (D182+H182+K182+L182+M182+O182) + (N182)) / G182</f>
        <v/>
      </c>
      <c r="R182" s="651" t="n"/>
      <c r="S182" s="1206" t="n"/>
      <c r="T182" s="904" t="n"/>
      <c r="U182" s="569" t="n"/>
      <c r="V182" s="1317" t="n"/>
    </row>
    <row r="183" ht="15.75" customHeight="1" s="1349">
      <c r="A183" s="1292" t="n"/>
      <c r="B183" s="904" t="n"/>
      <c r="C183" s="904" t="n"/>
      <c r="D183" s="1325" t="n"/>
      <c r="E183" s="1326">
        <f>G183+F183</f>
        <v/>
      </c>
      <c r="F183" s="1325">
        <f>G183*0.05</f>
        <v/>
      </c>
      <c r="G183" s="1312" t="n"/>
      <c r="H183" s="1301" t="n"/>
      <c r="I183" s="1321" t="n"/>
      <c r="J183" s="1322" t="n"/>
      <c r="K183" s="1318">
        <f>G183*18%</f>
        <v/>
      </c>
      <c r="L183" s="1318">
        <f>(G183-K183)*1.65%-(D183*1.65%)</f>
        <v/>
      </c>
      <c r="M183" s="1318" t="n"/>
      <c r="N183" s="863" t="n"/>
      <c r="O183" s="1320" t="n"/>
      <c r="P183" s="866" t="n"/>
      <c r="Q183" s="651">
        <f>(G183 - (D183+H183+K183+L183+M183+O183) + (N183)) / G183</f>
        <v/>
      </c>
      <c r="R183" s="651" t="n"/>
      <c r="S183" s="1206" t="n"/>
      <c r="T183" s="904" t="n"/>
      <c r="U183" s="569" t="n"/>
      <c r="V183" s="1317" t="n"/>
    </row>
    <row r="184" ht="15.75" customHeight="1" s="1349">
      <c r="A184" s="1292" t="n"/>
      <c r="B184" s="904" t="n"/>
      <c r="C184" s="904" t="n"/>
      <c r="D184" s="1325" t="n"/>
      <c r="E184" s="1326">
        <f>G184+F184</f>
        <v/>
      </c>
      <c r="F184" s="1325">
        <f>G184*0.05</f>
        <v/>
      </c>
      <c r="G184" s="1312" t="n"/>
      <c r="H184" s="1301" t="n"/>
      <c r="I184" s="1321" t="n"/>
      <c r="J184" s="1322" t="n"/>
      <c r="K184" s="1318">
        <f>G184*18%</f>
        <v/>
      </c>
      <c r="L184" s="1318">
        <f>(G184-K184)*1.65%-(D184*1.65%)</f>
        <v/>
      </c>
      <c r="M184" s="1318" t="n"/>
      <c r="N184" s="863" t="n"/>
      <c r="O184" s="1320" t="n"/>
      <c r="P184" s="866" t="n"/>
      <c r="Q184" s="651">
        <f>(G184 - (D184+H184+K184+L184+M184+O184) + (N184)) / G184</f>
        <v/>
      </c>
      <c r="R184" s="651" t="n"/>
      <c r="S184" s="1206" t="n"/>
      <c r="T184" s="904" t="n"/>
      <c r="U184" s="569" t="n"/>
      <c r="V184" s="1317" t="n"/>
    </row>
    <row r="185" ht="15.75" customHeight="1" s="1349">
      <c r="A185" s="1292" t="n"/>
      <c r="B185" s="904" t="n"/>
      <c r="C185" s="904" t="n"/>
      <c r="D185" s="1325" t="n"/>
      <c r="E185" s="1326">
        <f>G185+F185</f>
        <v/>
      </c>
      <c r="F185" s="1325">
        <f>G185*0.05</f>
        <v/>
      </c>
      <c r="G185" s="1312" t="n"/>
      <c r="H185" s="1301" t="n"/>
      <c r="I185" s="1321" t="n"/>
      <c r="J185" s="1322" t="n"/>
      <c r="K185" s="1318">
        <f>G185*18%</f>
        <v/>
      </c>
      <c r="L185" s="1318">
        <f>(G185-K185)*1.65%-(D185*1.65%)</f>
        <v/>
      </c>
      <c r="M185" s="1318" t="n"/>
      <c r="N185" s="863" t="n"/>
      <c r="O185" s="1320" t="n"/>
      <c r="P185" s="866" t="n"/>
      <c r="Q185" s="651">
        <f>(G185 - (D185+H185+K185+L185+M185+O185) + (N185)) / G185</f>
        <v/>
      </c>
      <c r="R185" s="651" t="n"/>
      <c r="S185" s="1206" t="n"/>
      <c r="T185" s="904" t="n"/>
      <c r="U185" s="569" t="n"/>
      <c r="V185" s="1317" t="n"/>
    </row>
    <row r="186" ht="15.75" customHeight="1" s="1349">
      <c r="A186" s="1292" t="n"/>
      <c r="B186" s="904" t="n"/>
      <c r="C186" s="904" t="n"/>
      <c r="D186" s="1325" t="n"/>
      <c r="E186" s="1326">
        <f>G186+F186</f>
        <v/>
      </c>
      <c r="F186" s="1325">
        <f>G186*0.05</f>
        <v/>
      </c>
      <c r="G186" s="1312" t="n"/>
      <c r="H186" s="1301" t="n"/>
      <c r="I186" s="1321" t="n"/>
      <c r="J186" s="1322" t="n"/>
      <c r="K186" s="1318">
        <f>G186*18%</f>
        <v/>
      </c>
      <c r="L186" s="1318">
        <f>(G186-K186)*1.65%-(D186*1.65%)</f>
        <v/>
      </c>
      <c r="M186" s="1318" t="n"/>
      <c r="N186" s="863" t="n"/>
      <c r="O186" s="1320" t="n"/>
      <c r="P186" s="866" t="n"/>
      <c r="Q186" s="651">
        <f>(G186 - (D186+H186+K186+L186+M186+O186) + (N186)) / G186</f>
        <v/>
      </c>
      <c r="R186" s="651" t="n"/>
      <c r="S186" s="1206" t="n"/>
      <c r="T186" s="904" t="n"/>
      <c r="U186" s="569" t="n"/>
      <c r="V186" s="1317" t="n"/>
    </row>
    <row r="187" ht="15.75" customHeight="1" s="1349">
      <c r="A187" s="1292" t="n"/>
      <c r="B187" s="904" t="n"/>
      <c r="C187" s="904" t="n"/>
      <c r="D187" s="1325" t="n"/>
      <c r="E187" s="1326">
        <f>G187+F187</f>
        <v/>
      </c>
      <c r="F187" s="1325">
        <f>G187*0.05</f>
        <v/>
      </c>
      <c r="G187" s="1312" t="n"/>
      <c r="H187" s="1301" t="n"/>
      <c r="I187" s="1321" t="n"/>
      <c r="J187" s="1322" t="n"/>
      <c r="K187" s="1318">
        <f>G187*18%</f>
        <v/>
      </c>
      <c r="L187" s="1318">
        <f>(G187-K187)*1.65%-(D187*1.65%)</f>
        <v/>
      </c>
      <c r="M187" s="1318" t="n"/>
      <c r="N187" s="863" t="n"/>
      <c r="O187" s="1320" t="n"/>
      <c r="P187" s="866" t="n"/>
      <c r="Q187" s="651">
        <f>(G187 - (D187+H187+K187+L187+M187+O187) + (N187)) / G187</f>
        <v/>
      </c>
      <c r="R187" s="651" t="n"/>
      <c r="S187" s="1206" t="n"/>
      <c r="T187" s="904" t="n"/>
      <c r="U187" s="569" t="n"/>
      <c r="V187" s="1317" t="n"/>
    </row>
    <row r="188" ht="15.75" customHeight="1" s="1349">
      <c r="A188" s="1292" t="n"/>
      <c r="B188" s="904" t="n"/>
      <c r="C188" s="904" t="n"/>
      <c r="D188" s="1325" t="n"/>
      <c r="E188" s="1326">
        <f>G188+F188</f>
        <v/>
      </c>
      <c r="F188" s="1325">
        <f>G188*0.05</f>
        <v/>
      </c>
      <c r="G188" s="1312" t="n"/>
      <c r="H188" s="1301" t="n"/>
      <c r="I188" s="1321" t="n"/>
      <c r="J188" s="1322" t="n"/>
      <c r="K188" s="1318">
        <f>G188*18%</f>
        <v/>
      </c>
      <c r="L188" s="1318">
        <f>(G188-K188)*1.65%-(D188*1.65%)</f>
        <v/>
      </c>
      <c r="M188" s="1318" t="n"/>
      <c r="N188" s="863" t="n"/>
      <c r="O188" s="1320" t="n"/>
      <c r="P188" s="866" t="n"/>
      <c r="Q188" s="651">
        <f>(G188 - (D188+H188+K188+L188+M188+O188) + (N188)) / G188</f>
        <v/>
      </c>
      <c r="R188" s="651" t="n"/>
      <c r="S188" s="1206" t="n"/>
      <c r="T188" s="904" t="n"/>
      <c r="U188" s="569" t="n"/>
      <c r="V188" s="1317" t="n"/>
    </row>
    <row r="189" ht="15.75" customHeight="1" s="1349">
      <c r="A189" s="1292" t="n"/>
      <c r="B189" s="904" t="n"/>
      <c r="C189" s="904" t="n"/>
      <c r="D189" s="1325" t="n"/>
      <c r="E189" s="1326">
        <f>G189+F189</f>
        <v/>
      </c>
      <c r="F189" s="1325">
        <f>G189*0.05</f>
        <v/>
      </c>
      <c r="G189" s="1312" t="n"/>
      <c r="H189" s="1301" t="n"/>
      <c r="I189" s="1321" t="n"/>
      <c r="J189" s="1322" t="n"/>
      <c r="K189" s="1318">
        <f>G189*18%</f>
        <v/>
      </c>
      <c r="L189" s="1318">
        <f>(G189-K189)*1.65%-(D189*1.65%)</f>
        <v/>
      </c>
      <c r="M189" s="1318" t="n"/>
      <c r="N189" s="863" t="n"/>
      <c r="O189" s="1320" t="n"/>
      <c r="P189" s="866" t="n"/>
      <c r="Q189" s="651">
        <f>(G189 - (D189+H189+K189+L189+M189+O189) + (N189)) / G189</f>
        <v/>
      </c>
      <c r="R189" s="651" t="n"/>
      <c r="S189" s="1206" t="n"/>
      <c r="T189" s="904" t="n"/>
      <c r="U189" s="569" t="n"/>
      <c r="V189" s="1317" t="n"/>
    </row>
    <row r="190" ht="15.75" customHeight="1" s="1349">
      <c r="A190" s="1292" t="n"/>
      <c r="B190" s="904" t="n"/>
      <c r="C190" s="904" t="n"/>
      <c r="D190" s="1325" t="n"/>
      <c r="E190" s="1326">
        <f>G190+F190</f>
        <v/>
      </c>
      <c r="F190" s="1325">
        <f>G190*0.05</f>
        <v/>
      </c>
      <c r="G190" s="1312" t="n"/>
      <c r="H190" s="1301" t="n"/>
      <c r="I190" s="1321" t="n"/>
      <c r="J190" s="1322" t="n"/>
      <c r="K190" s="1318">
        <f>G190*18%</f>
        <v/>
      </c>
      <c r="L190" s="1318">
        <f>(G190-K190)*1.65%-(D190*1.65%)</f>
        <v/>
      </c>
      <c r="M190" s="1318" t="n"/>
      <c r="N190" s="863" t="n"/>
      <c r="O190" s="1320" t="n"/>
      <c r="P190" s="866" t="n"/>
      <c r="Q190" s="651">
        <f>(G190 - (D190+H190+K190+L190+M190+O190) + (N190)) / G190</f>
        <v/>
      </c>
      <c r="R190" s="651" t="n"/>
      <c r="S190" s="1206" t="n"/>
      <c r="T190" s="904" t="n"/>
      <c r="U190" s="569" t="n"/>
      <c r="V190" s="1317" t="n"/>
    </row>
    <row r="191" ht="15.75" customHeight="1" s="1349">
      <c r="A191" s="1292" t="n"/>
      <c r="B191" s="904" t="n"/>
      <c r="C191" s="904" t="n"/>
      <c r="D191" s="1325" t="n"/>
      <c r="E191" s="1326">
        <f>G191+F191</f>
        <v/>
      </c>
      <c r="F191" s="1325">
        <f>G191*0.05</f>
        <v/>
      </c>
      <c r="G191" s="1312" t="n"/>
      <c r="H191" s="1301" t="n"/>
      <c r="I191" s="1321" t="n"/>
      <c r="J191" s="1322" t="n"/>
      <c r="K191" s="1318">
        <f>G191*18%</f>
        <v/>
      </c>
      <c r="L191" s="1318">
        <f>(G191-K191)*1.65%-(D191*1.65%)</f>
        <v/>
      </c>
      <c r="M191" s="1318" t="n"/>
      <c r="N191" s="863" t="n"/>
      <c r="O191" s="1320" t="n"/>
      <c r="P191" s="866" t="n"/>
      <c r="Q191" s="651">
        <f>(G191 - (D191+H191+K191+L191+M191+O191) + (N191)) / G191</f>
        <v/>
      </c>
      <c r="R191" s="651" t="n"/>
      <c r="S191" s="1206" t="n"/>
      <c r="T191" s="904" t="n"/>
      <c r="U191" s="569" t="n"/>
      <c r="V191" s="1317" t="n"/>
    </row>
    <row r="192" ht="15.75" customHeight="1" s="1349">
      <c r="A192" s="1292" t="n"/>
      <c r="B192" s="904" t="n"/>
      <c r="C192" s="904" t="n"/>
      <c r="D192" s="1325" t="n"/>
      <c r="E192" s="1326">
        <f>G192+F192</f>
        <v/>
      </c>
      <c r="F192" s="1325">
        <f>G192*0.05</f>
        <v/>
      </c>
      <c r="G192" s="1312" t="n"/>
      <c r="H192" s="1301" t="n"/>
      <c r="I192" s="1321" t="n"/>
      <c r="J192" s="1322" t="n"/>
      <c r="K192" s="1318">
        <f>G192*18%</f>
        <v/>
      </c>
      <c r="L192" s="1318">
        <f>(G192-K192)*1.65%-(D192*1.65%)</f>
        <v/>
      </c>
      <c r="M192" s="1318" t="n"/>
      <c r="N192" s="863" t="n"/>
      <c r="O192" s="1320" t="n"/>
      <c r="P192" s="866" t="n"/>
      <c r="Q192" s="651">
        <f>(G192 - (D192+H192+K192+L192+M192+O192) + (N192)) / G192</f>
        <v/>
      </c>
      <c r="R192" s="651" t="n"/>
      <c r="S192" s="1206" t="n"/>
      <c r="T192" s="904" t="n"/>
      <c r="U192" s="569" t="n"/>
      <c r="V192" s="1317" t="n"/>
    </row>
    <row r="193" ht="15.75" customHeight="1" s="1349">
      <c r="A193" s="1292" t="n"/>
      <c r="B193" s="904" t="n"/>
      <c r="C193" s="904" t="n"/>
      <c r="D193" s="1325" t="n"/>
      <c r="E193" s="1326">
        <f>G193+F193</f>
        <v/>
      </c>
      <c r="F193" s="1325">
        <f>G193*0.05</f>
        <v/>
      </c>
      <c r="G193" s="1312" t="n"/>
      <c r="H193" s="1301" t="n"/>
      <c r="I193" s="1321" t="n"/>
      <c r="J193" s="1322" t="n"/>
      <c r="K193" s="1318">
        <f>G193*18%</f>
        <v/>
      </c>
      <c r="L193" s="1318">
        <f>(G193-K193)*1.65%-(D193*1.65%)</f>
        <v/>
      </c>
      <c r="M193" s="1318" t="n"/>
      <c r="N193" s="863" t="n"/>
      <c r="O193" s="1320" t="n"/>
      <c r="P193" s="866" t="n"/>
      <c r="Q193" s="651">
        <f>(G193 - (D193+H193+K193+L193+M193+O193) + (N193)) / G193</f>
        <v/>
      </c>
      <c r="R193" s="651" t="n"/>
      <c r="S193" s="1206" t="n"/>
      <c r="T193" s="904" t="n"/>
      <c r="U193" s="569" t="n"/>
      <c r="V193" s="1317" t="n"/>
    </row>
    <row r="194" ht="15.75" customHeight="1" s="1349">
      <c r="A194" s="1292" t="n"/>
      <c r="B194" s="904" t="n"/>
      <c r="C194" s="904" t="n"/>
      <c r="D194" s="1325" t="n"/>
      <c r="E194" s="1326">
        <f>G194+F194</f>
        <v/>
      </c>
      <c r="F194" s="1325">
        <f>G194*0.05</f>
        <v/>
      </c>
      <c r="G194" s="1312" t="n"/>
      <c r="H194" s="1301" t="n"/>
      <c r="I194" s="1321" t="n"/>
      <c r="J194" s="1322" t="n"/>
      <c r="K194" s="1318">
        <f>G194*18%</f>
        <v/>
      </c>
      <c r="L194" s="1318">
        <f>(G194-K194)*1.65%-(D194*1.65%)</f>
        <v/>
      </c>
      <c r="M194" s="1318" t="n"/>
      <c r="N194" s="863" t="n"/>
      <c r="O194" s="1320" t="n"/>
      <c r="P194" s="866" t="n"/>
      <c r="Q194" s="651">
        <f>(G194 - (D194+H194+K194+L194+M194+O194) + (N194)) / G194</f>
        <v/>
      </c>
      <c r="R194" s="651" t="n"/>
      <c r="S194" s="1206" t="n"/>
      <c r="T194" s="904" t="n"/>
      <c r="U194" s="569" t="n"/>
      <c r="V194" s="1317" t="n"/>
    </row>
    <row r="195" ht="15.75" customHeight="1" s="1349">
      <c r="A195" s="1292" t="n"/>
      <c r="B195" s="904" t="n"/>
      <c r="C195" s="904" t="n"/>
      <c r="D195" s="1325" t="n"/>
      <c r="E195" s="1326">
        <f>G195+F195</f>
        <v/>
      </c>
      <c r="F195" s="1325">
        <f>G195*0.05</f>
        <v/>
      </c>
      <c r="G195" s="1312" t="n"/>
      <c r="H195" s="1301" t="n"/>
      <c r="I195" s="1321" t="n"/>
      <c r="J195" s="1322" t="n"/>
      <c r="K195" s="1318">
        <f>G195*18%</f>
        <v/>
      </c>
      <c r="L195" s="1318">
        <f>(G195-K195)*1.65%-(D195*1.65%)</f>
        <v/>
      </c>
      <c r="M195" s="1318" t="n"/>
      <c r="N195" s="863" t="n"/>
      <c r="O195" s="1320" t="n"/>
      <c r="P195" s="866" t="n"/>
      <c r="Q195" s="651">
        <f>(G195 - (D195+H195+K195+L195+M195+O195) + (N195)) / G195</f>
        <v/>
      </c>
      <c r="R195" s="651" t="n"/>
      <c r="S195" s="1206" t="n"/>
      <c r="T195" s="904" t="n"/>
      <c r="U195" s="569" t="n"/>
      <c r="V195" s="1317" t="n"/>
    </row>
    <row r="196" ht="15.75" customHeight="1" s="1349">
      <c r="A196" s="1292" t="n"/>
      <c r="B196" s="904" t="n"/>
      <c r="C196" s="904" t="n"/>
      <c r="D196" s="1325" t="n"/>
      <c r="E196" s="1326">
        <f>G196+F196</f>
        <v/>
      </c>
      <c r="F196" s="1325">
        <f>G196*0.05</f>
        <v/>
      </c>
      <c r="G196" s="1312" t="n"/>
      <c r="H196" s="1301" t="n"/>
      <c r="I196" s="1321" t="n"/>
      <c r="J196" s="1322" t="n"/>
      <c r="K196" s="1318">
        <f>G196*18%</f>
        <v/>
      </c>
      <c r="L196" s="1318">
        <f>(G196-K196)*1.65%-(D196*1.65%)</f>
        <v/>
      </c>
      <c r="M196" s="1318" t="n"/>
      <c r="N196" s="863" t="n"/>
      <c r="O196" s="1320" t="n"/>
      <c r="P196" s="866" t="n"/>
      <c r="Q196" s="651">
        <f>(G196 - (D196+H196+K196+L196+M196+O196) + (N196)) / G196</f>
        <v/>
      </c>
      <c r="R196" s="651" t="n"/>
      <c r="S196" s="1206" t="n"/>
      <c r="T196" s="904" t="n"/>
      <c r="U196" s="569" t="n"/>
      <c r="V196" s="1317" t="n"/>
    </row>
    <row r="197" ht="15.75" customHeight="1" s="1349">
      <c r="A197" s="1292" t="n"/>
      <c r="B197" s="904" t="n"/>
      <c r="C197" s="904" t="n"/>
      <c r="D197" s="1325" t="n"/>
      <c r="E197" s="1326">
        <f>G197+F197</f>
        <v/>
      </c>
      <c r="F197" s="1325">
        <f>G197*0.05</f>
        <v/>
      </c>
      <c r="G197" s="1312" t="n"/>
      <c r="H197" s="1301" t="n"/>
      <c r="I197" s="1321" t="n"/>
      <c r="J197" s="1322" t="n"/>
      <c r="K197" s="1318">
        <f>G197*18%</f>
        <v/>
      </c>
      <c r="L197" s="1318">
        <f>(G197-K197)*1.65%-(D197*1.65%)</f>
        <v/>
      </c>
      <c r="M197" s="1318" t="n"/>
      <c r="N197" s="863" t="n"/>
      <c r="O197" s="1320" t="n"/>
      <c r="P197" s="866" t="n"/>
      <c r="Q197" s="651">
        <f>(G197 - (D197+H197+K197+L197+M197+O197) + (N197)) / G197</f>
        <v/>
      </c>
      <c r="R197" s="651" t="n"/>
      <c r="S197" s="1206" t="n"/>
      <c r="T197" s="904" t="n"/>
      <c r="U197" s="569" t="n"/>
      <c r="V197" s="1317" t="n"/>
    </row>
    <row r="198" ht="15.75" customHeight="1" s="1349">
      <c r="A198" s="1292" t="n"/>
      <c r="B198" s="904" t="n"/>
      <c r="C198" s="904" t="n"/>
      <c r="D198" s="1325" t="n"/>
      <c r="E198" s="1326">
        <f>G198+F198</f>
        <v/>
      </c>
      <c r="F198" s="1325">
        <f>G198*0.05</f>
        <v/>
      </c>
      <c r="G198" s="1312" t="n"/>
      <c r="H198" s="1301" t="n"/>
      <c r="I198" s="1321" t="n"/>
      <c r="J198" s="1322" t="n"/>
      <c r="K198" s="1318">
        <f>G198*18%</f>
        <v/>
      </c>
      <c r="L198" s="1318">
        <f>(G198-K198)*1.65%-(D198*1.65%)</f>
        <v/>
      </c>
      <c r="M198" s="1318" t="n"/>
      <c r="N198" s="863" t="n"/>
      <c r="O198" s="1320" t="n"/>
      <c r="P198" s="866" t="n"/>
      <c r="Q198" s="651">
        <f>(G198 - (D198+H198+K198+L198+M198+O198) + (N198)) / G198</f>
        <v/>
      </c>
      <c r="R198" s="651" t="n"/>
      <c r="S198" s="1206" t="n"/>
      <c r="T198" s="904" t="n"/>
      <c r="U198" s="569" t="n"/>
      <c r="V198" s="1317" t="n"/>
    </row>
    <row r="199" ht="15.75" customHeight="1" s="1349">
      <c r="A199" s="1292" t="n"/>
      <c r="B199" s="904" t="n"/>
      <c r="C199" s="904" t="n"/>
      <c r="D199" s="1325" t="n"/>
      <c r="E199" s="1326">
        <f>G199+F199</f>
        <v/>
      </c>
      <c r="F199" s="1325">
        <f>G199*0.05</f>
        <v/>
      </c>
      <c r="G199" s="1312" t="n"/>
      <c r="H199" s="1301" t="n"/>
      <c r="I199" s="1321" t="n"/>
      <c r="J199" s="1322" t="n"/>
      <c r="K199" s="1318">
        <f>G199*18%</f>
        <v/>
      </c>
      <c r="L199" s="1318">
        <f>(G199-K199)*1.65%-(D199*1.65%)</f>
        <v/>
      </c>
      <c r="M199" s="1318" t="n"/>
      <c r="N199" s="863" t="n"/>
      <c r="O199" s="1320" t="n"/>
      <c r="P199" s="866" t="n"/>
      <c r="Q199" s="651">
        <f>(G199 - (D199+H199+K199+L199+M199+O199) + (N199)) / G199</f>
        <v/>
      </c>
      <c r="R199" s="651" t="n"/>
      <c r="S199" s="1206" t="n"/>
      <c r="T199" s="904" t="n"/>
      <c r="U199" s="569" t="n"/>
      <c r="V199" s="1317" t="n"/>
    </row>
    <row r="200" ht="15.75" customHeight="1" s="1349">
      <c r="A200" s="1292" t="n"/>
      <c r="B200" s="904" t="n"/>
      <c r="C200" s="904" t="n"/>
      <c r="D200" s="1325" t="n"/>
      <c r="E200" s="1326">
        <f>G200+F200</f>
        <v/>
      </c>
      <c r="F200" s="1325">
        <f>G200*0.05</f>
        <v/>
      </c>
      <c r="G200" s="1312" t="n"/>
      <c r="H200" s="1301" t="n"/>
      <c r="I200" s="1321" t="n"/>
      <c r="J200" s="1322" t="n"/>
      <c r="K200" s="1318">
        <f>G200*18%</f>
        <v/>
      </c>
      <c r="L200" s="1318">
        <f>(G200-K200)*1.65%-(D200*1.65%)</f>
        <v/>
      </c>
      <c r="M200" s="1318" t="n"/>
      <c r="N200" s="863" t="n"/>
      <c r="O200" s="1320" t="n"/>
      <c r="P200" s="866" t="n"/>
      <c r="Q200" s="651">
        <f>(G200 - (D200+H200+K200+L200+M200+O200) + (N200)) / G200</f>
        <v/>
      </c>
      <c r="R200" s="651" t="n"/>
      <c r="S200" s="1206" t="n"/>
      <c r="T200" s="904" t="n"/>
      <c r="U200" s="569" t="n"/>
      <c r="V200" s="1317" t="n"/>
    </row>
    <row r="201" ht="15.75" customHeight="1" s="1349">
      <c r="A201" s="1292" t="n"/>
      <c r="B201" s="904" t="n"/>
      <c r="C201" s="904" t="n"/>
      <c r="D201" s="1325" t="n"/>
      <c r="E201" s="1326">
        <f>G201+F201</f>
        <v/>
      </c>
      <c r="F201" s="1325">
        <f>G201*0.05</f>
        <v/>
      </c>
      <c r="G201" s="1312" t="n"/>
      <c r="H201" s="1301" t="n"/>
      <c r="I201" s="1321" t="n"/>
      <c r="J201" s="1322" t="n"/>
      <c r="K201" s="1318">
        <f>G201*18%</f>
        <v/>
      </c>
      <c r="L201" s="1318">
        <f>(G201-K201)*1.65%-(D201*1.65%)</f>
        <v/>
      </c>
      <c r="M201" s="1318" t="n"/>
      <c r="N201" s="863" t="n"/>
      <c r="O201" s="1320" t="n"/>
      <c r="P201" s="866" t="n"/>
      <c r="Q201" s="651">
        <f>(G201 - (D201+H201+K201+L201+M201+O201) + (N201)) / G201</f>
        <v/>
      </c>
      <c r="R201" s="651" t="n"/>
      <c r="S201" s="1206" t="n"/>
      <c r="T201" s="904" t="n"/>
      <c r="U201" s="569" t="n"/>
      <c r="V201" s="1317" t="n"/>
    </row>
    <row r="202" ht="15.75" customHeight="1" s="1349">
      <c r="A202" s="1292" t="n"/>
      <c r="B202" s="904" t="n"/>
      <c r="C202" s="904" t="n"/>
      <c r="D202" s="1325" t="n"/>
      <c r="E202" s="1326">
        <f>G202+F202</f>
        <v/>
      </c>
      <c r="F202" s="1325">
        <f>G202*0.05</f>
        <v/>
      </c>
      <c r="G202" s="1312" t="n"/>
      <c r="H202" s="1301" t="n"/>
      <c r="I202" s="1321" t="n"/>
      <c r="J202" s="1322" t="n"/>
      <c r="K202" s="1318">
        <f>G202*18%</f>
        <v/>
      </c>
      <c r="L202" s="1318">
        <f>(G202-K202)*1.65%-(D202*1.65%)</f>
        <v/>
      </c>
      <c r="M202" s="1318" t="n"/>
      <c r="N202" s="863" t="n"/>
      <c r="O202" s="1320" t="n"/>
      <c r="P202" s="866" t="n"/>
      <c r="Q202" s="651">
        <f>(G202 - (D202+H202+K202+L202+M202+O202) + (N202)) / G202</f>
        <v/>
      </c>
      <c r="R202" s="651" t="n"/>
      <c r="S202" s="1206" t="n"/>
      <c r="T202" s="904" t="n"/>
      <c r="U202" s="569" t="n"/>
      <c r="V202" s="1317" t="n"/>
    </row>
    <row r="203" ht="15.75" customHeight="1" s="1349">
      <c r="A203" s="1292" t="n"/>
      <c r="B203" s="904" t="n"/>
      <c r="C203" s="904" t="n"/>
      <c r="D203" s="1325" t="n"/>
      <c r="E203" s="1326">
        <f>G203+F203</f>
        <v/>
      </c>
      <c r="F203" s="1325">
        <f>G203*0.05</f>
        <v/>
      </c>
      <c r="G203" s="1312" t="n"/>
      <c r="H203" s="1301" t="n"/>
      <c r="I203" s="1321" t="n"/>
      <c r="J203" s="1322" t="n"/>
      <c r="K203" s="1318">
        <f>G203*18%</f>
        <v/>
      </c>
      <c r="L203" s="1318">
        <f>(G203-K203)*1.65%-(D203*1.65%)</f>
        <v/>
      </c>
      <c r="M203" s="1318" t="n"/>
      <c r="N203" s="863" t="n"/>
      <c r="O203" s="1320" t="n"/>
      <c r="P203" s="866" t="n"/>
      <c r="Q203" s="651">
        <f>(G203 - (D203+H203+K203+L203+M203+O203) + (N203)) / G203</f>
        <v/>
      </c>
      <c r="R203" s="651" t="n"/>
      <c r="S203" s="1206" t="n"/>
      <c r="T203" s="904" t="n"/>
      <c r="U203" s="569" t="n"/>
      <c r="V203" s="1317" t="n"/>
    </row>
    <row r="204" ht="15.75" customHeight="1" s="1349">
      <c r="A204" s="1292" t="n"/>
      <c r="B204" s="904" t="n"/>
      <c r="C204" s="904" t="n"/>
      <c r="D204" s="1325" t="n"/>
      <c r="E204" s="1326">
        <f>G204+F204</f>
        <v/>
      </c>
      <c r="F204" s="1325">
        <f>G204*0.05</f>
        <v/>
      </c>
      <c r="G204" s="1312" t="n"/>
      <c r="H204" s="1301" t="n"/>
      <c r="I204" s="1321" t="n"/>
      <c r="J204" s="1322" t="n"/>
      <c r="K204" s="1318">
        <f>G204*18%</f>
        <v/>
      </c>
      <c r="L204" s="1318">
        <f>(G204-K204)*1.65%-(D204*1.65%)</f>
        <v/>
      </c>
      <c r="M204" s="1318" t="n"/>
      <c r="N204" s="863" t="n"/>
      <c r="O204" s="1320" t="n"/>
      <c r="P204" s="866" t="n"/>
      <c r="Q204" s="651">
        <f>(G204 - (D204+H204+K204+L204+M204+O204) + (N204)) / G204</f>
        <v/>
      </c>
      <c r="R204" s="651" t="n"/>
      <c r="S204" s="1206" t="n"/>
      <c r="T204" s="904" t="n"/>
      <c r="U204" s="569" t="n"/>
      <c r="V204" s="1317" t="n"/>
    </row>
    <row r="205" ht="15.75" customHeight="1" s="1349">
      <c r="A205" s="1292" t="n"/>
      <c r="B205" s="904" t="n"/>
      <c r="C205" s="904" t="n"/>
      <c r="D205" s="1325" t="n"/>
      <c r="E205" s="1326">
        <f>G205+F205</f>
        <v/>
      </c>
      <c r="F205" s="1325">
        <f>G205*0.05</f>
        <v/>
      </c>
      <c r="G205" s="1312" t="n"/>
      <c r="H205" s="1301" t="n"/>
      <c r="I205" s="1321" t="n"/>
      <c r="J205" s="1322" t="n"/>
      <c r="K205" s="1318">
        <f>G205*18%</f>
        <v/>
      </c>
      <c r="L205" s="1318">
        <f>(G205-K205)*1.65%-(D205*1.65%)</f>
        <v/>
      </c>
      <c r="M205" s="1318" t="n"/>
      <c r="N205" s="863" t="n"/>
      <c r="O205" s="1320" t="n"/>
      <c r="P205" s="866" t="n"/>
      <c r="Q205" s="651">
        <f>(G205 - (D205+H205+K205+L205+M205+O205) + (N205)) / G205</f>
        <v/>
      </c>
      <c r="R205" s="651" t="n"/>
      <c r="S205" s="1206" t="n"/>
      <c r="T205" s="904" t="n"/>
      <c r="U205" s="569" t="n"/>
      <c r="V205" s="1317" t="n"/>
    </row>
    <row r="206" ht="15.75" customHeight="1" s="1349">
      <c r="A206" s="1292" t="n"/>
      <c r="B206" s="904" t="n"/>
      <c r="C206" s="904" t="n"/>
      <c r="D206" s="1325" t="n"/>
      <c r="E206" s="1326">
        <f>G206+F206</f>
        <v/>
      </c>
      <c r="F206" s="1325">
        <f>G206*0.05</f>
        <v/>
      </c>
      <c r="G206" s="1312" t="n"/>
      <c r="H206" s="1301" t="n"/>
      <c r="I206" s="1321" t="n"/>
      <c r="J206" s="1322" t="n"/>
      <c r="K206" s="1318">
        <f>G206*18%</f>
        <v/>
      </c>
      <c r="L206" s="1318">
        <f>(G206-K206)*1.65%-(D206*1.65%)</f>
        <v/>
      </c>
      <c r="M206" s="1318" t="n"/>
      <c r="N206" s="863" t="n"/>
      <c r="O206" s="1320" t="n"/>
      <c r="P206" s="866" t="n"/>
      <c r="Q206" s="651">
        <f>(G206 - (D206+H206+K206+L206+M206+O206) + (N206)) / G206</f>
        <v/>
      </c>
      <c r="R206" s="651" t="n"/>
      <c r="S206" s="1206" t="n"/>
      <c r="T206" s="904" t="n"/>
      <c r="U206" s="569" t="n"/>
      <c r="V206" s="1317" t="n"/>
    </row>
    <row r="207" ht="15.75" customHeight="1" s="1349">
      <c r="A207" s="1292" t="n"/>
      <c r="B207" s="904" t="n"/>
      <c r="C207" s="904" t="n"/>
      <c r="D207" s="1325" t="n"/>
      <c r="E207" s="1326">
        <f>G207+F207</f>
        <v/>
      </c>
      <c r="F207" s="1325">
        <f>G207*0.05</f>
        <v/>
      </c>
      <c r="G207" s="1312" t="n"/>
      <c r="H207" s="1301" t="n"/>
      <c r="I207" s="1321" t="n"/>
      <c r="J207" s="1322" t="n"/>
      <c r="K207" s="1318">
        <f>G207*18%</f>
        <v/>
      </c>
      <c r="L207" s="1318">
        <f>(G207-K207)*1.65%-(D207*1.65%)</f>
        <v/>
      </c>
      <c r="M207" s="1318" t="n"/>
      <c r="N207" s="863" t="n"/>
      <c r="O207" s="1320" t="n"/>
      <c r="P207" s="866" t="n"/>
      <c r="Q207" s="651">
        <f>(G207 - (D207+H207+K207+L207+M207+O207) + (N207)) / G207</f>
        <v/>
      </c>
      <c r="R207" s="651" t="n"/>
      <c r="S207" s="1206" t="n"/>
      <c r="T207" s="904" t="n"/>
      <c r="U207" s="569" t="n"/>
      <c r="V207" s="1317" t="n"/>
    </row>
    <row r="208" ht="15.75" customHeight="1" s="1349">
      <c r="A208" s="1292" t="n"/>
      <c r="B208" s="904" t="n"/>
      <c r="C208" s="904" t="n"/>
      <c r="D208" s="1325" t="n"/>
      <c r="E208" s="1326">
        <f>G208+F208</f>
        <v/>
      </c>
      <c r="F208" s="1325">
        <f>G208*0.05</f>
        <v/>
      </c>
      <c r="G208" s="1312" t="n"/>
      <c r="H208" s="1301" t="n"/>
      <c r="I208" s="1321" t="n"/>
      <c r="J208" s="1322" t="n"/>
      <c r="K208" s="1318">
        <f>G208*18%</f>
        <v/>
      </c>
      <c r="L208" s="1318">
        <f>(G208-K208)*1.65%-(D208*1.65%)</f>
        <v/>
      </c>
      <c r="M208" s="1318" t="n"/>
      <c r="N208" s="863" t="n"/>
      <c r="O208" s="1320" t="n"/>
      <c r="P208" s="866" t="n"/>
      <c r="Q208" s="651">
        <f>(G208 - (D208+H208+K208+L208+M208+O208) + (N208)) / G208</f>
        <v/>
      </c>
      <c r="R208" s="651" t="n"/>
      <c r="S208" s="1206" t="n"/>
      <c r="T208" s="904" t="n"/>
      <c r="U208" s="569" t="n"/>
      <c r="V208" s="1317" t="n"/>
    </row>
    <row r="209" ht="15.75" customHeight="1" s="1349">
      <c r="A209" s="1292" t="n"/>
      <c r="B209" s="904" t="n"/>
      <c r="C209" s="904" t="n"/>
      <c r="D209" s="1325" t="n"/>
      <c r="E209" s="1326">
        <f>G209+F209</f>
        <v/>
      </c>
      <c r="F209" s="1325">
        <f>G209*0.05</f>
        <v/>
      </c>
      <c r="G209" s="1312" t="n"/>
      <c r="H209" s="1301" t="n"/>
      <c r="I209" s="1321" t="n"/>
      <c r="J209" s="1322" t="n"/>
      <c r="K209" s="1318">
        <f>G209*18%</f>
        <v/>
      </c>
      <c r="L209" s="1318">
        <f>(G209-K209)*1.65%-(D209*1.65%)</f>
        <v/>
      </c>
      <c r="M209" s="1318" t="n"/>
      <c r="N209" s="863" t="n"/>
      <c r="O209" s="1320" t="n"/>
      <c r="P209" s="866" t="n"/>
      <c r="Q209" s="651">
        <f>(G209 - (D209+H209+K209+L209+M209+O209) + (N209)) / G209</f>
        <v/>
      </c>
      <c r="R209" s="651" t="n"/>
      <c r="S209" s="1206" t="n"/>
      <c r="T209" s="904" t="n"/>
      <c r="U209" s="569" t="n"/>
      <c r="V209" s="1317" t="n"/>
    </row>
    <row r="210" ht="15.75" customHeight="1" s="1349">
      <c r="A210" s="1292" t="n"/>
      <c r="B210" s="904" t="n"/>
      <c r="C210" s="904" t="n"/>
      <c r="D210" s="1325" t="n"/>
      <c r="E210" s="1326">
        <f>G210+F210</f>
        <v/>
      </c>
      <c r="F210" s="1325">
        <f>G210*0.05</f>
        <v/>
      </c>
      <c r="G210" s="1312" t="n"/>
      <c r="H210" s="1301" t="n"/>
      <c r="I210" s="1321" t="n"/>
      <c r="J210" s="1322" t="n"/>
      <c r="K210" s="1318">
        <f>G210*18%</f>
        <v/>
      </c>
      <c r="L210" s="1318">
        <f>(G210-K210)*1.65%-(D210*1.65%)</f>
        <v/>
      </c>
      <c r="M210" s="1318" t="n"/>
      <c r="N210" s="863" t="n"/>
      <c r="O210" s="1320" t="n"/>
      <c r="P210" s="866" t="n"/>
      <c r="Q210" s="651">
        <f>(G210 - (D210+H210+K210+L210+M210+O210) + (N210)) / G210</f>
        <v/>
      </c>
      <c r="R210" s="651" t="n"/>
      <c r="S210" s="1206" t="n"/>
      <c r="T210" s="904" t="n"/>
      <c r="U210" s="569" t="n"/>
      <c r="V210" s="1317" t="n"/>
    </row>
    <row r="211" ht="15.75" customHeight="1" s="1349">
      <c r="A211" s="1292" t="n"/>
      <c r="B211" s="904" t="n"/>
      <c r="C211" s="904" t="n"/>
      <c r="D211" s="1325" t="n"/>
      <c r="E211" s="1326">
        <f>G211+F211</f>
        <v/>
      </c>
      <c r="F211" s="1325">
        <f>G211*0.05</f>
        <v/>
      </c>
      <c r="G211" s="1312" t="n"/>
      <c r="H211" s="1301" t="n"/>
      <c r="I211" s="1321" t="n"/>
      <c r="J211" s="1322" t="n"/>
      <c r="K211" s="1318">
        <f>G211*18%</f>
        <v/>
      </c>
      <c r="L211" s="1318">
        <f>(G211-K211)*1.65%-(D211*1.65%)</f>
        <v/>
      </c>
      <c r="M211" s="1318" t="n"/>
      <c r="N211" s="863" t="n"/>
      <c r="O211" s="1320" t="n"/>
      <c r="P211" s="866" t="n"/>
      <c r="Q211" s="651">
        <f>(G211 - (D211+H211+K211+L211+M211+O211) + (N211)) / G211</f>
        <v/>
      </c>
      <c r="R211" s="651" t="n"/>
      <c r="S211" s="1206" t="n"/>
      <c r="T211" s="904" t="n"/>
      <c r="U211" s="569" t="n"/>
      <c r="V211" s="1317" t="n"/>
    </row>
    <row r="212" ht="15.75" customHeight="1" s="1349">
      <c r="A212" s="1292" t="n"/>
      <c r="B212" s="904" t="n"/>
      <c r="C212" s="904" t="n"/>
      <c r="D212" s="1325" t="n"/>
      <c r="E212" s="1326">
        <f>G212+F212</f>
        <v/>
      </c>
      <c r="F212" s="1325">
        <f>G212*0.05</f>
        <v/>
      </c>
      <c r="G212" s="1312" t="n"/>
      <c r="H212" s="1301" t="n"/>
      <c r="I212" s="1321" t="n"/>
      <c r="J212" s="1322" t="n"/>
      <c r="K212" s="1318">
        <f>G212*18%</f>
        <v/>
      </c>
      <c r="L212" s="1318">
        <f>(G212-K212)*1.65%-(D212*1.65%)</f>
        <v/>
      </c>
      <c r="M212" s="1318" t="n"/>
      <c r="N212" s="863" t="n"/>
      <c r="O212" s="1320" t="n"/>
      <c r="P212" s="866" t="n"/>
      <c r="Q212" s="651">
        <f>(G212 - (D212+H212+K212+L212+M212+O212) + (N212)) / G212</f>
        <v/>
      </c>
      <c r="R212" s="651" t="n"/>
      <c r="S212" s="1206" t="n"/>
      <c r="T212" s="904" t="n"/>
      <c r="U212" s="569" t="n"/>
      <c r="V212" s="1317" t="n"/>
    </row>
    <row r="213" ht="15.75" customHeight="1" s="1349">
      <c r="A213" s="1292" t="n"/>
      <c r="B213" s="904" t="n"/>
      <c r="C213" s="904" t="n"/>
      <c r="D213" s="1325" t="n"/>
      <c r="E213" s="1326">
        <f>G213+F213</f>
        <v/>
      </c>
      <c r="F213" s="1325">
        <f>G213*0.05</f>
        <v/>
      </c>
      <c r="G213" s="1312" t="n"/>
      <c r="H213" s="1301" t="n"/>
      <c r="I213" s="1321" t="n"/>
      <c r="J213" s="1322" t="n"/>
      <c r="K213" s="1318">
        <f>G213*18%</f>
        <v/>
      </c>
      <c r="L213" s="1318">
        <f>(G213-K213)*1.65%-(D213*1.65%)</f>
        <v/>
      </c>
      <c r="M213" s="1318" t="n"/>
      <c r="N213" s="863" t="n"/>
      <c r="O213" s="1320" t="n"/>
      <c r="P213" s="866" t="n"/>
      <c r="Q213" s="651">
        <f>(G213 - (D213+H213+K213+L213+M213+O213) + (N213)) / G213</f>
        <v/>
      </c>
      <c r="R213" s="651" t="n"/>
      <c r="S213" s="1206" t="n"/>
      <c r="T213" s="904" t="n"/>
      <c r="U213" s="569" t="n"/>
      <c r="V213" s="1317" t="n"/>
    </row>
    <row r="214" ht="15.75" customHeight="1" s="1349">
      <c r="A214" s="1292" t="n"/>
      <c r="B214" s="904" t="n"/>
      <c r="C214" s="904" t="n"/>
      <c r="D214" s="1325" t="n"/>
      <c r="E214" s="1326">
        <f>G214+F214</f>
        <v/>
      </c>
      <c r="F214" s="1325">
        <f>G214*0.05</f>
        <v/>
      </c>
      <c r="G214" s="1312" t="n"/>
      <c r="H214" s="1301" t="n"/>
      <c r="I214" s="1321" t="n"/>
      <c r="J214" s="1322" t="n"/>
      <c r="K214" s="1318">
        <f>G214*18%</f>
        <v/>
      </c>
      <c r="L214" s="1318">
        <f>(G214-K214)*1.65%-(D214*1.65%)</f>
        <v/>
      </c>
      <c r="M214" s="1318" t="n"/>
      <c r="N214" s="863" t="n"/>
      <c r="O214" s="1320" t="n"/>
      <c r="P214" s="866" t="n"/>
      <c r="Q214" s="651">
        <f>(G214 - (D214+H214+K214+L214+M214+O214) + (N214)) / G214</f>
        <v/>
      </c>
      <c r="R214" s="651" t="n"/>
      <c r="S214" s="1206" t="n"/>
      <c r="T214" s="904" t="n"/>
      <c r="U214" s="569" t="n"/>
      <c r="V214" s="1317" t="n"/>
    </row>
    <row r="215" ht="15.75" customHeight="1" s="1349">
      <c r="A215" s="1292" t="n"/>
      <c r="B215" s="904" t="n"/>
      <c r="C215" s="904" t="n"/>
      <c r="D215" s="1325" t="n"/>
      <c r="E215" s="1326">
        <f>G215+F215</f>
        <v/>
      </c>
      <c r="F215" s="1325">
        <f>G215*0.05</f>
        <v/>
      </c>
      <c r="G215" s="1312" t="n"/>
      <c r="H215" s="1301" t="n"/>
      <c r="I215" s="1321" t="n"/>
      <c r="J215" s="1322" t="n"/>
      <c r="K215" s="1318">
        <f>G215*18%</f>
        <v/>
      </c>
      <c r="L215" s="1318">
        <f>(G215-K215)*1.65%-(D215*1.65%)</f>
        <v/>
      </c>
      <c r="M215" s="1318" t="n"/>
      <c r="N215" s="863" t="n"/>
      <c r="O215" s="1320" t="n"/>
      <c r="P215" s="866" t="n"/>
      <c r="Q215" s="651">
        <f>(G215 - (D215+H215+K215+L215+M215+O215) + (N215)) / G215</f>
        <v/>
      </c>
      <c r="R215" s="651" t="n"/>
      <c r="S215" s="1206" t="n"/>
      <c r="T215" s="904" t="n"/>
      <c r="U215" s="569" t="n"/>
      <c r="V215" s="1317" t="n"/>
    </row>
    <row r="216" ht="15.75" customHeight="1" s="1349">
      <c r="A216" s="1292" t="n"/>
      <c r="B216" s="904" t="n"/>
      <c r="C216" s="904" t="n"/>
      <c r="D216" s="1325" t="n"/>
      <c r="E216" s="1326">
        <f>G216+F216</f>
        <v/>
      </c>
      <c r="F216" s="1325">
        <f>G216*0.05</f>
        <v/>
      </c>
      <c r="G216" s="1312" t="n"/>
      <c r="H216" s="1301" t="n"/>
      <c r="I216" s="1321" t="n"/>
      <c r="J216" s="1322" t="n"/>
      <c r="K216" s="1318">
        <f>G216*18%</f>
        <v/>
      </c>
      <c r="L216" s="1318">
        <f>(G216-K216)*1.65%-(D216*1.65%)</f>
        <v/>
      </c>
      <c r="M216" s="1318" t="n"/>
      <c r="N216" s="863" t="n"/>
      <c r="O216" s="1320" t="n"/>
      <c r="P216" s="866" t="n"/>
      <c r="Q216" s="651">
        <f>(G216 - (D216+H216+K216+L216+M216+O216) + (N216)) / G216</f>
        <v/>
      </c>
      <c r="R216" s="651" t="n"/>
      <c r="S216" s="1206" t="n"/>
      <c r="T216" s="904" t="n"/>
      <c r="U216" s="569" t="n"/>
      <c r="V216" s="1317" t="n"/>
    </row>
    <row r="217" ht="15.75" customHeight="1" s="1349">
      <c r="A217" s="1292" t="n"/>
      <c r="B217" s="904" t="n"/>
      <c r="C217" s="904" t="n"/>
      <c r="D217" s="1325" t="n"/>
      <c r="E217" s="1326">
        <f>G217+F217</f>
        <v/>
      </c>
      <c r="F217" s="1325">
        <f>G217*0.05</f>
        <v/>
      </c>
      <c r="G217" s="1312" t="n"/>
      <c r="H217" s="1301" t="n"/>
      <c r="I217" s="1321" t="n"/>
      <c r="J217" s="1322" t="n"/>
      <c r="K217" s="1318">
        <f>G217*18%</f>
        <v/>
      </c>
      <c r="L217" s="1318">
        <f>(G217-K217)*1.65%-(D217*1.65%)</f>
        <v/>
      </c>
      <c r="M217" s="1318" t="n"/>
      <c r="N217" s="863" t="n"/>
      <c r="O217" s="1320" t="n"/>
      <c r="P217" s="866" t="n"/>
      <c r="Q217" s="651">
        <f>(G217 - (D217+H217+K217+L217+M217+O217) + (N217)) / G217</f>
        <v/>
      </c>
      <c r="R217" s="651" t="n"/>
      <c r="S217" s="1206" t="n"/>
      <c r="T217" s="904" t="n"/>
      <c r="U217" s="569" t="n"/>
      <c r="V217" s="1317" t="n"/>
    </row>
    <row r="218" ht="15.75" customHeight="1" s="1349">
      <c r="A218" s="1292" t="n"/>
      <c r="B218" s="904" t="n"/>
      <c r="C218" s="904" t="n"/>
      <c r="D218" s="1325" t="n"/>
      <c r="E218" s="1326">
        <f>G218+F218</f>
        <v/>
      </c>
      <c r="F218" s="1325">
        <f>G218*0.05</f>
        <v/>
      </c>
      <c r="G218" s="1312" t="n"/>
      <c r="H218" s="1301" t="n"/>
      <c r="I218" s="1321" t="n"/>
      <c r="J218" s="1322" t="n"/>
      <c r="K218" s="1318">
        <f>G218*18%</f>
        <v/>
      </c>
      <c r="L218" s="1318">
        <f>(G218-K218)*1.65%-(D218*1.65%)</f>
        <v/>
      </c>
      <c r="M218" s="1318" t="n"/>
      <c r="N218" s="863" t="n"/>
      <c r="O218" s="1320" t="n"/>
      <c r="P218" s="866" t="n"/>
      <c r="Q218" s="651">
        <f>(G218 - (D218+H218+K218+L218+M218+O218) + (N218)) / G218</f>
        <v/>
      </c>
      <c r="R218" s="651" t="n"/>
      <c r="S218" s="1206" t="n"/>
      <c r="T218" s="904" t="n"/>
      <c r="U218" s="569" t="n"/>
      <c r="V218" s="1317" t="n"/>
    </row>
    <row r="219" ht="15.75" customHeight="1" s="1349">
      <c r="A219" s="1292" t="n"/>
      <c r="B219" s="904" t="n"/>
      <c r="C219" s="904" t="n"/>
      <c r="D219" s="1325" t="n"/>
      <c r="E219" s="1326">
        <f>G219+F219</f>
        <v/>
      </c>
      <c r="F219" s="1325">
        <f>G219*0.05</f>
        <v/>
      </c>
      <c r="G219" s="1312" t="n"/>
      <c r="H219" s="1301" t="n"/>
      <c r="I219" s="1321" t="n"/>
      <c r="J219" s="1322" t="n"/>
      <c r="K219" s="1318">
        <f>G219*18%</f>
        <v/>
      </c>
      <c r="L219" s="1318">
        <f>(G219-K219)*1.65%-(D219*1.65%)</f>
        <v/>
      </c>
      <c r="M219" s="1318" t="n"/>
      <c r="N219" s="863" t="n"/>
      <c r="O219" s="1320" t="n"/>
      <c r="P219" s="866" t="n"/>
      <c r="Q219" s="651">
        <f>(G219 - (D219+H219+K219+L219+M219+O219) + (N219)) / G219</f>
        <v/>
      </c>
      <c r="R219" s="651" t="n"/>
      <c r="S219" s="1206" t="n"/>
      <c r="T219" s="904" t="n"/>
      <c r="U219" s="569" t="n"/>
      <c r="V219" s="1317" t="n"/>
    </row>
    <row r="220" ht="15.75" customHeight="1" s="1349">
      <c r="A220" s="1292" t="n"/>
      <c r="B220" s="904" t="n"/>
      <c r="C220" s="904" t="n"/>
      <c r="D220" s="1325" t="n"/>
      <c r="E220" s="1326">
        <f>G220+F220</f>
        <v/>
      </c>
      <c r="F220" s="1325">
        <f>G220*0.05</f>
        <v/>
      </c>
      <c r="G220" s="1312" t="n"/>
      <c r="H220" s="1301" t="n"/>
      <c r="I220" s="1321" t="n"/>
      <c r="J220" s="1322" t="n"/>
      <c r="K220" s="1318">
        <f>G220*18%</f>
        <v/>
      </c>
      <c r="L220" s="1318">
        <f>(G220-K220)*1.65%-(D220*1.65%)</f>
        <v/>
      </c>
      <c r="M220" s="1318" t="n"/>
      <c r="N220" s="863" t="n"/>
      <c r="O220" s="1320" t="n"/>
      <c r="P220" s="866" t="n"/>
      <c r="Q220" s="651">
        <f>(G220 - (D220+H220+K220+L220+M220+O220) + (N220)) / G220</f>
        <v/>
      </c>
      <c r="R220" s="651" t="n"/>
      <c r="S220" s="1206" t="n"/>
      <c r="T220" s="904" t="n"/>
      <c r="U220" s="569" t="n"/>
      <c r="V220" s="1317" t="n"/>
    </row>
    <row r="221" ht="15.75" customHeight="1" s="1349">
      <c r="A221" s="1292" t="n"/>
      <c r="B221" s="904" t="n"/>
      <c r="C221" s="904" t="n"/>
      <c r="D221" s="1325" t="n"/>
      <c r="E221" s="1326">
        <f>G221+F221</f>
        <v/>
      </c>
      <c r="F221" s="1325">
        <f>G221*0.05</f>
        <v/>
      </c>
      <c r="G221" s="1312" t="n"/>
      <c r="H221" s="1301" t="n"/>
      <c r="I221" s="1321" t="n"/>
      <c r="J221" s="1322" t="n"/>
      <c r="K221" s="1318">
        <f>G221*18%</f>
        <v/>
      </c>
      <c r="L221" s="1318">
        <f>(G221-K221)*1.65%-(D221*1.65%)</f>
        <v/>
      </c>
      <c r="M221" s="1318" t="n"/>
      <c r="N221" s="863" t="n"/>
      <c r="O221" s="1320" t="n"/>
      <c r="P221" s="866" t="n"/>
      <c r="Q221" s="651">
        <f>(G221 - (D221+H221+K221+L221+M221+O221) + (N221)) / G221</f>
        <v/>
      </c>
      <c r="R221" s="651" t="n"/>
      <c r="S221" s="1206" t="n"/>
      <c r="T221" s="904" t="n"/>
      <c r="U221" s="569" t="n"/>
      <c r="V221" s="1317" t="n"/>
    </row>
    <row r="222" ht="15.75" customHeight="1" s="1349">
      <c r="A222" s="1292" t="n"/>
      <c r="B222" s="904" t="n"/>
      <c r="C222" s="904" t="n"/>
      <c r="D222" s="1325" t="n"/>
      <c r="E222" s="1326">
        <f>G222+F222</f>
        <v/>
      </c>
      <c r="F222" s="1325">
        <f>G222*0.05</f>
        <v/>
      </c>
      <c r="G222" s="1312" t="n"/>
      <c r="H222" s="1301" t="n"/>
      <c r="I222" s="1321" t="n"/>
      <c r="J222" s="1322" t="n"/>
      <c r="K222" s="1318">
        <f>G222*18%</f>
        <v/>
      </c>
      <c r="L222" s="1318">
        <f>(G222-K222)*1.65%-(D222*1.65%)</f>
        <v/>
      </c>
      <c r="M222" s="1318" t="n"/>
      <c r="N222" s="863" t="n"/>
      <c r="O222" s="1320" t="n"/>
      <c r="P222" s="866" t="n"/>
      <c r="Q222" s="651">
        <f>(G222 - (D222+H222+K222+L222+M222+O222) + (N222)) / G222</f>
        <v/>
      </c>
      <c r="R222" s="651" t="n"/>
      <c r="S222" s="1206" t="n"/>
      <c r="T222" s="904" t="n"/>
      <c r="U222" s="569" t="n"/>
      <c r="V222" s="1317" t="n"/>
    </row>
    <row r="223" ht="15.75" customHeight="1" s="1349">
      <c r="A223" s="1292" t="n"/>
      <c r="B223" s="904" t="n"/>
      <c r="C223" s="904" t="n"/>
      <c r="D223" s="1325" t="n"/>
      <c r="E223" s="1326">
        <f>G223+F223</f>
        <v/>
      </c>
      <c r="F223" s="1325">
        <f>G223*0.05</f>
        <v/>
      </c>
      <c r="G223" s="1312" t="n"/>
      <c r="H223" s="1301" t="n"/>
      <c r="I223" s="1321" t="n"/>
      <c r="J223" s="1322" t="n"/>
      <c r="K223" s="1318">
        <f>G223*18%</f>
        <v/>
      </c>
      <c r="L223" s="1318">
        <f>(G223-K223)*1.65%-(D223*1.65%)</f>
        <v/>
      </c>
      <c r="M223" s="1318" t="n"/>
      <c r="N223" s="863" t="n"/>
      <c r="O223" s="1320" t="n"/>
      <c r="P223" s="866" t="n"/>
      <c r="Q223" s="651">
        <f>(G223 - (D223+H223+K223+L223+M223+O223) + (N223)) / G223</f>
        <v/>
      </c>
      <c r="R223" s="651" t="n"/>
      <c r="S223" s="1206" t="n"/>
      <c r="T223" s="904" t="n"/>
      <c r="U223" s="569" t="n"/>
      <c r="V223" s="1317" t="n"/>
    </row>
    <row r="224" ht="15.75" customHeight="1" s="1349">
      <c r="A224" s="1292" t="n"/>
      <c r="B224" s="904" t="n"/>
      <c r="C224" s="904" t="n"/>
      <c r="D224" s="1325" t="n"/>
      <c r="E224" s="1326">
        <f>G224+F224</f>
        <v/>
      </c>
      <c r="F224" s="1325">
        <f>G224*0.05</f>
        <v/>
      </c>
      <c r="G224" s="1312" t="n"/>
      <c r="H224" s="1301" t="n"/>
      <c r="I224" s="1321" t="n"/>
      <c r="J224" s="1322" t="n"/>
      <c r="K224" s="1318">
        <f>G224*18%</f>
        <v/>
      </c>
      <c r="L224" s="1318">
        <f>(G224-K224)*1.65%-(D224*1.65%)</f>
        <v/>
      </c>
      <c r="M224" s="1318" t="n"/>
      <c r="N224" s="863" t="n"/>
      <c r="O224" s="1320" t="n"/>
      <c r="P224" s="866" t="n"/>
      <c r="Q224" s="651">
        <f>(G224 - (D224+H224+K224+L224+M224+O224) + (N224)) / G224</f>
        <v/>
      </c>
      <c r="R224" s="651" t="n"/>
      <c r="S224" s="1206" t="n"/>
      <c r="T224" s="904" t="n"/>
      <c r="U224" s="569" t="n"/>
      <c r="V224" s="1317" t="n"/>
    </row>
    <row r="225" ht="15.75" customHeight="1" s="1349">
      <c r="A225" s="1292" t="n"/>
      <c r="B225" s="904" t="n"/>
      <c r="C225" s="904" t="n"/>
      <c r="D225" s="1325" t="n"/>
      <c r="E225" s="1326">
        <f>G225+F225</f>
        <v/>
      </c>
      <c r="F225" s="1325">
        <f>G225*0.05</f>
        <v/>
      </c>
      <c r="G225" s="1312" t="n"/>
      <c r="H225" s="1301" t="n"/>
      <c r="I225" s="1321" t="n"/>
      <c r="J225" s="1322" t="n"/>
      <c r="K225" s="1318">
        <f>G225*18%</f>
        <v/>
      </c>
      <c r="L225" s="1318">
        <f>(G225-K225)*1.65%-(D225*1.65%)</f>
        <v/>
      </c>
      <c r="M225" s="1318" t="n"/>
      <c r="N225" s="863" t="n"/>
      <c r="O225" s="1320" t="n"/>
      <c r="P225" s="866" t="n"/>
      <c r="Q225" s="651">
        <f>(G225 - (D225+H225+K225+L225+M225+O225) + (N225)) / G225</f>
        <v/>
      </c>
      <c r="R225" s="651" t="n"/>
      <c r="S225" s="1206" t="n"/>
      <c r="T225" s="904" t="n"/>
      <c r="U225" s="569" t="n"/>
      <c r="V225" s="1317" t="n"/>
    </row>
    <row r="226" ht="15.75" customHeight="1" s="1349">
      <c r="A226" s="1292" t="n"/>
      <c r="B226" s="904" t="n"/>
      <c r="C226" s="904" t="n"/>
      <c r="D226" s="1325" t="n"/>
      <c r="E226" s="1326">
        <f>G226+F226</f>
        <v/>
      </c>
      <c r="F226" s="1325">
        <f>G226*0.05</f>
        <v/>
      </c>
      <c r="G226" s="1312" t="n"/>
      <c r="H226" s="1301" t="n"/>
      <c r="I226" s="1321" t="n"/>
      <c r="J226" s="1322" t="n"/>
      <c r="K226" s="1318">
        <f>G226*18%</f>
        <v/>
      </c>
      <c r="L226" s="1318">
        <f>(G226-K226)*1.65%-(D226*1.65%)</f>
        <v/>
      </c>
      <c r="M226" s="1318" t="n"/>
      <c r="N226" s="863" t="n"/>
      <c r="O226" s="1320" t="n"/>
      <c r="P226" s="866" t="n"/>
      <c r="Q226" s="651">
        <f>(G226 - (D226+H226+K226+L226+M226+O226) + (N226)) / G226</f>
        <v/>
      </c>
      <c r="R226" s="651" t="n"/>
      <c r="S226" s="1206" t="n"/>
      <c r="T226" s="904" t="n"/>
      <c r="U226" s="569" t="n"/>
      <c r="V226" s="1317" t="n"/>
    </row>
    <row r="227" ht="15.75" customHeight="1" s="1349">
      <c r="A227" s="1292" t="n"/>
      <c r="B227" s="904" t="n"/>
      <c r="C227" s="904" t="n"/>
      <c r="D227" s="1325" t="n"/>
      <c r="E227" s="1326">
        <f>G227+F227</f>
        <v/>
      </c>
      <c r="F227" s="1325">
        <f>G227*0.05</f>
        <v/>
      </c>
      <c r="G227" s="1312" t="n"/>
      <c r="H227" s="1301" t="n"/>
      <c r="I227" s="1321" t="n"/>
      <c r="J227" s="1322" t="n"/>
      <c r="K227" s="1318">
        <f>G227*18%</f>
        <v/>
      </c>
      <c r="L227" s="1318">
        <f>(G227-K227)*1.65%-(D227*1.65%)</f>
        <v/>
      </c>
      <c r="M227" s="1318" t="n"/>
      <c r="N227" s="863" t="n"/>
      <c r="O227" s="1320" t="n"/>
      <c r="P227" s="866" t="n"/>
      <c r="Q227" s="651">
        <f>(G227 - (D227+H227+K227+L227+M227+O227) + (N227)) / G227</f>
        <v/>
      </c>
      <c r="R227" s="651" t="n"/>
      <c r="S227" s="1206" t="n"/>
      <c r="T227" s="904" t="n"/>
      <c r="U227" s="569" t="n"/>
      <c r="V227" s="1317" t="n"/>
    </row>
    <row r="228" ht="15.75" customHeight="1" s="1349">
      <c r="A228" s="1292" t="n"/>
      <c r="B228" s="904" t="n"/>
      <c r="C228" s="904" t="n"/>
      <c r="D228" s="1325" t="n"/>
      <c r="E228" s="1326">
        <f>G228+F228</f>
        <v/>
      </c>
      <c r="F228" s="1325">
        <f>G228*0.05</f>
        <v/>
      </c>
      <c r="G228" s="1312" t="n"/>
      <c r="H228" s="1301" t="n"/>
      <c r="I228" s="1321" t="n"/>
      <c r="J228" s="1322" t="n"/>
      <c r="K228" s="1318">
        <f>G228*18%</f>
        <v/>
      </c>
      <c r="L228" s="1318">
        <f>(G228-K228)*1.65%-(D228*1.65%)</f>
        <v/>
      </c>
      <c r="M228" s="1318" t="n"/>
      <c r="N228" s="863" t="n"/>
      <c r="O228" s="1320" t="n"/>
      <c r="P228" s="866" t="n"/>
      <c r="Q228" s="651">
        <f>(G228 - (D228+H228+K228+L228+M228+O228) + (N228)) / G228</f>
        <v/>
      </c>
      <c r="R228" s="651" t="n"/>
      <c r="S228" s="1206" t="n"/>
      <c r="T228" s="904" t="n"/>
      <c r="U228" s="569" t="n"/>
      <c r="V228" s="1317" t="n"/>
    </row>
    <row r="229" ht="15.75" customHeight="1" s="1349">
      <c r="A229" s="1292" t="n"/>
      <c r="B229" s="904" t="n"/>
      <c r="C229" s="904" t="n"/>
      <c r="D229" s="1325" t="n"/>
      <c r="E229" s="1326">
        <f>G229+F229</f>
        <v/>
      </c>
      <c r="F229" s="1325">
        <f>G229*0.05</f>
        <v/>
      </c>
      <c r="G229" s="1312" t="n"/>
      <c r="H229" s="1301" t="n"/>
      <c r="I229" s="1321" t="n"/>
      <c r="J229" s="1322" t="n"/>
      <c r="K229" s="1318">
        <f>G229*18%</f>
        <v/>
      </c>
      <c r="L229" s="1318">
        <f>(G229-K229)*1.65%-(D229*1.65%)</f>
        <v/>
      </c>
      <c r="M229" s="1318" t="n"/>
      <c r="N229" s="863" t="n"/>
      <c r="O229" s="1320" t="n"/>
      <c r="P229" s="866" t="n"/>
      <c r="Q229" s="651">
        <f>(G229 - (D229+H229+K229+L229+M229+O229) + (N229)) / G229</f>
        <v/>
      </c>
      <c r="R229" s="651" t="n"/>
      <c r="S229" s="1206" t="n"/>
      <c r="T229" s="904" t="n"/>
      <c r="U229" s="569" t="n"/>
      <c r="V229" s="1317" t="n"/>
    </row>
    <row r="230" ht="15.75" customHeight="1" s="1349">
      <c r="A230" s="1292" t="n"/>
      <c r="B230" s="904" t="n"/>
      <c r="C230" s="904" t="n"/>
      <c r="D230" s="1325" t="n"/>
      <c r="E230" s="1326">
        <f>G230+F230</f>
        <v/>
      </c>
      <c r="F230" s="1325">
        <f>G230*0.05</f>
        <v/>
      </c>
      <c r="G230" s="1312" t="n"/>
      <c r="H230" s="1301" t="n"/>
      <c r="I230" s="1321" t="n"/>
      <c r="J230" s="1322" t="n"/>
      <c r="K230" s="1318">
        <f>G230*18%</f>
        <v/>
      </c>
      <c r="L230" s="1318">
        <f>(G230-K230)*1.65%-(D230*1.65%)</f>
        <v/>
      </c>
      <c r="M230" s="1318" t="n"/>
      <c r="N230" s="863" t="n"/>
      <c r="O230" s="1320" t="n"/>
      <c r="P230" s="866" t="n"/>
      <c r="Q230" s="651">
        <f>(G230 - (D230+H230+K230+L230+M230+O230) + (N230)) / G230</f>
        <v/>
      </c>
      <c r="R230" s="651" t="n"/>
      <c r="S230" s="1206" t="n"/>
      <c r="T230" s="904" t="n"/>
      <c r="U230" s="569" t="n"/>
      <c r="V230" s="1317" t="n"/>
    </row>
    <row r="231" ht="15.75" customHeight="1" s="1349">
      <c r="A231" s="1292" t="n"/>
      <c r="B231" s="904" t="n"/>
      <c r="C231" s="904" t="n"/>
      <c r="D231" s="1325" t="n"/>
      <c r="E231" s="1326">
        <f>G231+F231</f>
        <v/>
      </c>
      <c r="F231" s="1325">
        <f>G231*0.05</f>
        <v/>
      </c>
      <c r="G231" s="1312" t="n"/>
      <c r="H231" s="1301" t="n"/>
      <c r="I231" s="1321" t="n"/>
      <c r="J231" s="1322" t="n"/>
      <c r="K231" s="1318">
        <f>G231*18%</f>
        <v/>
      </c>
      <c r="L231" s="1318">
        <f>(G231-K231)*1.65%-(D231*1.65%)</f>
        <v/>
      </c>
      <c r="M231" s="1318" t="n"/>
      <c r="N231" s="863" t="n"/>
      <c r="O231" s="1320" t="n"/>
      <c r="P231" s="866" t="n"/>
      <c r="Q231" s="651">
        <f>(G231 - (D231+H231+K231+L231+M231+O231) + (N231)) / G231</f>
        <v/>
      </c>
      <c r="R231" s="651" t="n"/>
      <c r="S231" s="1206" t="n"/>
      <c r="T231" s="904" t="n"/>
      <c r="U231" s="569" t="n"/>
      <c r="V231" s="1317" t="n"/>
    </row>
    <row r="232" ht="15.75" customHeight="1" s="1349">
      <c r="A232" s="1292" t="n"/>
      <c r="B232" s="904" t="n"/>
      <c r="C232" s="904" t="n"/>
      <c r="D232" s="1325" t="n"/>
      <c r="E232" s="1326">
        <f>G232+F232</f>
        <v/>
      </c>
      <c r="F232" s="1325">
        <f>G232*0.05</f>
        <v/>
      </c>
      <c r="G232" s="1312" t="n"/>
      <c r="H232" s="1301" t="n"/>
      <c r="I232" s="1321" t="n"/>
      <c r="J232" s="1322" t="n"/>
      <c r="K232" s="1318">
        <f>G232*18%</f>
        <v/>
      </c>
      <c r="L232" s="1318">
        <f>(G232-K232)*1.65%-(D232*1.65%)</f>
        <v/>
      </c>
      <c r="M232" s="1318" t="n"/>
      <c r="N232" s="863" t="n"/>
      <c r="O232" s="1320" t="n"/>
      <c r="P232" s="866" t="n"/>
      <c r="Q232" s="651">
        <f>(G232 - (D232+H232+K232+L232+M232+O232) + (N232)) / G232</f>
        <v/>
      </c>
      <c r="R232" s="651" t="n"/>
      <c r="S232" s="1206" t="n"/>
      <c r="T232" s="904" t="n"/>
      <c r="U232" s="569" t="n"/>
      <c r="V232" s="1317" t="n"/>
    </row>
    <row r="233" ht="15.75" customHeight="1" s="1349">
      <c r="A233" s="1292" t="n"/>
      <c r="B233" s="904" t="n"/>
      <c r="C233" s="904" t="n"/>
      <c r="D233" s="1325" t="n"/>
      <c r="E233" s="1326">
        <f>G233+F233</f>
        <v/>
      </c>
      <c r="F233" s="1325">
        <f>G233*0.05</f>
        <v/>
      </c>
      <c r="G233" s="1312" t="n"/>
      <c r="H233" s="1301" t="n"/>
      <c r="I233" s="1321" t="n"/>
      <c r="J233" s="1322" t="n"/>
      <c r="K233" s="1318">
        <f>G233*18%</f>
        <v/>
      </c>
      <c r="L233" s="1318">
        <f>(G233-K233)*1.65%-(D233*1.65%)</f>
        <v/>
      </c>
      <c r="M233" s="1318" t="n"/>
      <c r="N233" s="863" t="n"/>
      <c r="O233" s="1320" t="n"/>
      <c r="P233" s="866" t="n"/>
      <c r="Q233" s="651">
        <f>(G233 - (D233+H233+K233+L233+M233+O233) + (N233)) / G233</f>
        <v/>
      </c>
      <c r="R233" s="651" t="n"/>
      <c r="S233" s="1206" t="n"/>
      <c r="T233" s="904" t="n"/>
      <c r="U233" s="569" t="n"/>
      <c r="V233" s="1317" t="n"/>
    </row>
    <row r="234" ht="15.75" customHeight="1" s="1349">
      <c r="A234" s="1292" t="n"/>
      <c r="B234" s="904" t="n"/>
      <c r="C234" s="904" t="n"/>
      <c r="D234" s="1325" t="n"/>
      <c r="E234" s="1326">
        <f>G234+F234</f>
        <v/>
      </c>
      <c r="F234" s="1325">
        <f>G234*0.05</f>
        <v/>
      </c>
      <c r="G234" s="1312" t="n"/>
      <c r="H234" s="1301" t="n"/>
      <c r="I234" s="1321" t="n"/>
      <c r="J234" s="1322" t="n"/>
      <c r="K234" s="1318">
        <f>G234*18%</f>
        <v/>
      </c>
      <c r="L234" s="1318">
        <f>(G234-K234)*1.65%-(D234*1.65%)</f>
        <v/>
      </c>
      <c r="M234" s="1318" t="n"/>
      <c r="N234" s="863" t="n"/>
      <c r="O234" s="1320" t="n"/>
      <c r="P234" s="866" t="n"/>
      <c r="Q234" s="651">
        <f>(G234 - (D234+H234+K234+L234+M234+O234) + (N234)) / G234</f>
        <v/>
      </c>
      <c r="R234" s="651" t="n"/>
      <c r="S234" s="1206" t="n"/>
      <c r="T234" s="904" t="n"/>
      <c r="U234" s="569" t="n"/>
      <c r="V234" s="1317" t="n"/>
    </row>
    <row r="235" ht="15.75" customHeight="1" s="1349">
      <c r="A235" s="1292" t="n"/>
      <c r="B235" s="904" t="n"/>
      <c r="C235" s="904" t="n"/>
      <c r="D235" s="1325" t="n"/>
      <c r="E235" s="1326">
        <f>G235+F235</f>
        <v/>
      </c>
      <c r="F235" s="1325">
        <f>G235*0.05</f>
        <v/>
      </c>
      <c r="G235" s="1312" t="n"/>
      <c r="H235" s="1301" t="n"/>
      <c r="I235" s="1321" t="n"/>
      <c r="J235" s="1322" t="n"/>
      <c r="K235" s="1318">
        <f>G235*18%</f>
        <v/>
      </c>
      <c r="L235" s="1318">
        <f>(G235-K235)*1.65%-(D235*1.65%)</f>
        <v/>
      </c>
      <c r="M235" s="1318" t="n"/>
      <c r="N235" s="863" t="n"/>
      <c r="O235" s="1320" t="n"/>
      <c r="P235" s="866" t="n"/>
      <c r="Q235" s="651">
        <f>(G235 - (D235+H235+K235+L235+M235+O235) + (N235)) / G235</f>
        <v/>
      </c>
      <c r="R235" s="651" t="n"/>
      <c r="S235" s="1206" t="n"/>
      <c r="T235" s="904" t="n"/>
      <c r="U235" s="569" t="n"/>
      <c r="V235" s="1317" t="n"/>
    </row>
    <row r="236" ht="15.75" customHeight="1" s="1349">
      <c r="A236" s="1292" t="n"/>
      <c r="B236" s="904" t="n"/>
      <c r="C236" s="904" t="n"/>
      <c r="D236" s="1325" t="n"/>
      <c r="E236" s="1326">
        <f>G236+F236</f>
        <v/>
      </c>
      <c r="F236" s="1325">
        <f>G236*0.05</f>
        <v/>
      </c>
      <c r="G236" s="1312" t="n"/>
      <c r="H236" s="1301" t="n"/>
      <c r="I236" s="1321" t="n"/>
      <c r="J236" s="1322" t="n"/>
      <c r="K236" s="1318">
        <f>G236*18%</f>
        <v/>
      </c>
      <c r="L236" s="1318">
        <f>(G236-K236)*1.65%-(D236*1.65%)</f>
        <v/>
      </c>
      <c r="M236" s="1318" t="n"/>
      <c r="N236" s="863" t="n"/>
      <c r="O236" s="1320" t="n"/>
      <c r="P236" s="866" t="n"/>
      <c r="Q236" s="651">
        <f>(G236 - (D236+H236+K236+L236+M236+O236) + (N236)) / G236</f>
        <v/>
      </c>
      <c r="R236" s="651" t="n"/>
      <c r="S236" s="1206" t="n"/>
      <c r="T236" s="904" t="n"/>
      <c r="U236" s="569" t="n"/>
      <c r="V236" s="1317" t="n"/>
    </row>
    <row r="237" ht="15.75" customHeight="1" s="1349">
      <c r="A237" s="1292" t="n"/>
      <c r="B237" s="904" t="n"/>
      <c r="C237" s="904" t="n"/>
      <c r="D237" s="1325" t="n"/>
      <c r="E237" s="1326">
        <f>G237+F237</f>
        <v/>
      </c>
      <c r="F237" s="1325">
        <f>G237*0.05</f>
        <v/>
      </c>
      <c r="G237" s="1312" t="n"/>
      <c r="H237" s="1301" t="n"/>
      <c r="I237" s="1321" t="n"/>
      <c r="J237" s="1322" t="n"/>
      <c r="K237" s="1318">
        <f>G237*18%</f>
        <v/>
      </c>
      <c r="L237" s="1318">
        <f>(G237-K237)*1.65%-(D237*1.65%)</f>
        <v/>
      </c>
      <c r="M237" s="1318" t="n"/>
      <c r="N237" s="863" t="n"/>
      <c r="O237" s="1320" t="n"/>
      <c r="P237" s="866" t="n"/>
      <c r="Q237" s="651">
        <f>(G237 - (D237+H237+K237+L237+M237+O237) + (N237)) / G237</f>
        <v/>
      </c>
      <c r="R237" s="651" t="n"/>
      <c r="S237" s="1206" t="n"/>
      <c r="T237" s="904" t="n"/>
      <c r="U237" s="569" t="n"/>
      <c r="V237" s="1317" t="n"/>
    </row>
    <row r="238" ht="15.75" customHeight="1" s="1349">
      <c r="A238" s="1292" t="n"/>
      <c r="B238" s="904" t="n"/>
      <c r="C238" s="904" t="n"/>
      <c r="D238" s="1325" t="n"/>
      <c r="E238" s="1326">
        <f>G238+F238</f>
        <v/>
      </c>
      <c r="F238" s="1325">
        <f>G238*0.05</f>
        <v/>
      </c>
      <c r="G238" s="1312" t="n"/>
      <c r="H238" s="1301" t="n"/>
      <c r="I238" s="1321" t="n"/>
      <c r="J238" s="1322" t="n"/>
      <c r="K238" s="1318">
        <f>G238*18%</f>
        <v/>
      </c>
      <c r="L238" s="1318">
        <f>(G238-K238)*1.65%-(D238*1.65%)</f>
        <v/>
      </c>
      <c r="M238" s="1318" t="n"/>
      <c r="N238" s="863" t="n"/>
      <c r="O238" s="1320" t="n"/>
      <c r="P238" s="866" t="n"/>
      <c r="Q238" s="651">
        <f>(G238 - (D238+H238+K238+L238+M238+O238) + (N238)) / G238</f>
        <v/>
      </c>
      <c r="R238" s="651" t="n"/>
      <c r="S238" s="1206" t="n"/>
      <c r="T238" s="904" t="n"/>
      <c r="U238" s="569" t="n"/>
      <c r="V238" s="1317" t="n"/>
    </row>
    <row r="239" ht="15.75" customHeight="1" s="1349">
      <c r="A239" s="1292" t="n"/>
      <c r="B239" s="904" t="n"/>
      <c r="C239" s="904" t="n"/>
      <c r="D239" s="1325" t="n"/>
      <c r="E239" s="1326">
        <f>G239+F239</f>
        <v/>
      </c>
      <c r="F239" s="1325">
        <f>G239*0.05</f>
        <v/>
      </c>
      <c r="G239" s="1312" t="n"/>
      <c r="H239" s="1301" t="n"/>
      <c r="I239" s="1321" t="n"/>
      <c r="J239" s="1322" t="n"/>
      <c r="K239" s="1318">
        <f>G239*18%</f>
        <v/>
      </c>
      <c r="L239" s="1318">
        <f>(G239-K239)*1.65%-(D239*1.65%)</f>
        <v/>
      </c>
      <c r="M239" s="1318" t="n"/>
      <c r="N239" s="863" t="n"/>
      <c r="O239" s="1320" t="n"/>
      <c r="P239" s="866" t="n"/>
      <c r="Q239" s="651">
        <f>(G239 - (D239+H239+K239+L239+M239+O239) + (N239)) / G239</f>
        <v/>
      </c>
      <c r="R239" s="651" t="n"/>
      <c r="S239" s="1206" t="n"/>
      <c r="T239" s="904" t="n"/>
      <c r="U239" s="569" t="n"/>
      <c r="V239" s="1317" t="n"/>
    </row>
    <row r="240" ht="15.75" customHeight="1" s="1349">
      <c r="A240" s="1292" t="n"/>
      <c r="B240" s="904" t="n"/>
      <c r="C240" s="904" t="n"/>
      <c r="D240" s="1325" t="n"/>
      <c r="E240" s="1326">
        <f>G240+F240</f>
        <v/>
      </c>
      <c r="F240" s="1325">
        <f>G240*0.05</f>
        <v/>
      </c>
      <c r="G240" s="1312" t="n"/>
      <c r="H240" s="1301" t="n"/>
      <c r="I240" s="1321" t="n"/>
      <c r="J240" s="1322" t="n"/>
      <c r="K240" s="1318">
        <f>G240*18%</f>
        <v/>
      </c>
      <c r="L240" s="1318">
        <f>(G240-K240)*1.65%-(D240*1.65%)</f>
        <v/>
      </c>
      <c r="M240" s="1318" t="n"/>
      <c r="N240" s="863" t="n"/>
      <c r="O240" s="1320" t="n"/>
      <c r="P240" s="866" t="n"/>
      <c r="Q240" s="651">
        <f>(G240 - (D240+H240+K240+L240+M240+O240) + (N240)) / G240</f>
        <v/>
      </c>
      <c r="R240" s="651" t="n"/>
      <c r="S240" s="1206" t="n"/>
      <c r="T240" s="904" t="n"/>
      <c r="U240" s="569" t="n"/>
      <c r="V240" s="1317" t="n"/>
    </row>
    <row r="241" ht="15.75" customHeight="1" s="1349">
      <c r="A241" s="1292" t="n"/>
      <c r="B241" s="904" t="n"/>
      <c r="C241" s="904" t="n"/>
      <c r="D241" s="1325" t="n"/>
      <c r="E241" s="1326">
        <f>G241+F241</f>
        <v/>
      </c>
      <c r="F241" s="1325">
        <f>G241*0.05</f>
        <v/>
      </c>
      <c r="G241" s="1312" t="n"/>
      <c r="H241" s="1301" t="n"/>
      <c r="I241" s="1321" t="n"/>
      <c r="J241" s="1322" t="n"/>
      <c r="K241" s="1318">
        <f>G241*18%</f>
        <v/>
      </c>
      <c r="L241" s="1318">
        <f>(G241-K241)*1.65%-(D241*1.65%)</f>
        <v/>
      </c>
      <c r="M241" s="1318" t="n"/>
      <c r="N241" s="863" t="n"/>
      <c r="O241" s="1320" t="n"/>
      <c r="P241" s="866" t="n"/>
      <c r="Q241" s="651">
        <f>(G241 - (D241+H241+K241+L241+M241+O241) + (N241)) / G241</f>
        <v/>
      </c>
      <c r="R241" s="651" t="n"/>
      <c r="S241" s="1206" t="n"/>
      <c r="T241" s="904" t="n"/>
      <c r="U241" s="569" t="n"/>
      <c r="V241" s="1317" t="n"/>
    </row>
    <row r="242" ht="15.75" customHeight="1" s="1349">
      <c r="A242" s="1292" t="n"/>
      <c r="B242" s="904" t="n"/>
      <c r="C242" s="904" t="n"/>
      <c r="D242" s="1325" t="n"/>
      <c r="E242" s="1326">
        <f>G242+F242</f>
        <v/>
      </c>
      <c r="F242" s="1325">
        <f>G242*0.05</f>
        <v/>
      </c>
      <c r="G242" s="1312" t="n"/>
      <c r="H242" s="1301" t="n"/>
      <c r="I242" s="1321" t="n"/>
      <c r="J242" s="1322" t="n"/>
      <c r="K242" s="1318">
        <f>G242*18%</f>
        <v/>
      </c>
      <c r="L242" s="1318">
        <f>(G242-K242)*1.65%-(D242*1.65%)</f>
        <v/>
      </c>
      <c r="M242" s="1318" t="n"/>
      <c r="N242" s="863" t="n"/>
      <c r="O242" s="1320" t="n"/>
      <c r="P242" s="866" t="n"/>
      <c r="Q242" s="651">
        <f>(G242 - (D242+H242+K242+L242+M242+O242) + (N242)) / G242</f>
        <v/>
      </c>
      <c r="R242" s="651" t="n"/>
      <c r="S242" s="1206" t="n"/>
      <c r="T242" s="904" t="n"/>
      <c r="U242" s="569" t="n"/>
      <c r="V242" s="1317" t="n"/>
    </row>
    <row r="243" ht="15.75" customHeight="1" s="1349">
      <c r="A243" s="1292" t="n"/>
      <c r="B243" s="904" t="n"/>
      <c r="C243" s="904" t="n"/>
      <c r="D243" s="1325" t="n"/>
      <c r="E243" s="1326">
        <f>G243+F243</f>
        <v/>
      </c>
      <c r="F243" s="1325">
        <f>G243*0.05</f>
        <v/>
      </c>
      <c r="G243" s="1312" t="n"/>
      <c r="H243" s="1301" t="n"/>
      <c r="I243" s="1321" t="n"/>
      <c r="J243" s="1322" t="n"/>
      <c r="K243" s="1318">
        <f>G243*18%</f>
        <v/>
      </c>
      <c r="L243" s="1318">
        <f>(G243-K243)*1.65%-(D243*1.65%)</f>
        <v/>
      </c>
      <c r="M243" s="1318" t="n"/>
      <c r="N243" s="863" t="n"/>
      <c r="O243" s="1320" t="n"/>
      <c r="P243" s="866" t="n"/>
      <c r="Q243" s="651">
        <f>(G243 - (D243+H243+K243+L243+M243+O243) + (N243)) / G243</f>
        <v/>
      </c>
      <c r="R243" s="651" t="n"/>
      <c r="S243" s="1206" t="n"/>
      <c r="T243" s="904" t="n"/>
      <c r="U243" s="569" t="n"/>
      <c r="V243" s="1317" t="n"/>
    </row>
    <row r="244" ht="15.75" customHeight="1" s="1349">
      <c r="A244" s="1292" t="n"/>
      <c r="B244" s="904" t="n"/>
      <c r="C244" s="904" t="n"/>
      <c r="D244" s="1325" t="n"/>
      <c r="E244" s="1326">
        <f>G244+F244</f>
        <v/>
      </c>
      <c r="F244" s="1325">
        <f>G244*0.05</f>
        <v/>
      </c>
      <c r="G244" s="1312" t="n"/>
      <c r="H244" s="1301" t="n"/>
      <c r="I244" s="1321" t="n"/>
      <c r="J244" s="1322" t="n"/>
      <c r="K244" s="1318">
        <f>G244*18%</f>
        <v/>
      </c>
      <c r="L244" s="1318">
        <f>(G244-K244)*1.65%-(D244*1.65%)</f>
        <v/>
      </c>
      <c r="M244" s="1318" t="n"/>
      <c r="N244" s="863" t="n"/>
      <c r="O244" s="1320" t="n"/>
      <c r="P244" s="866" t="n"/>
      <c r="Q244" s="651">
        <f>(G244 - (D244+H244+K244+L244+M244+O244) + (N244)) / G244</f>
        <v/>
      </c>
      <c r="R244" s="651" t="n"/>
      <c r="S244" s="1206" t="n"/>
      <c r="T244" s="904" t="n"/>
      <c r="U244" s="569" t="n"/>
      <c r="V244" s="1317" t="n"/>
    </row>
    <row r="245" ht="15.75" customHeight="1" s="1349">
      <c r="A245" s="1292" t="n"/>
      <c r="B245" s="904" t="n"/>
      <c r="C245" s="904" t="n"/>
      <c r="D245" s="1325" t="n"/>
      <c r="E245" s="1326">
        <f>G245+F245</f>
        <v/>
      </c>
      <c r="F245" s="1325">
        <f>G245*0.05</f>
        <v/>
      </c>
      <c r="G245" s="1312" t="n"/>
      <c r="H245" s="1301" t="n"/>
      <c r="I245" s="1321" t="n"/>
      <c r="J245" s="1322" t="n"/>
      <c r="K245" s="1318">
        <f>G245*18%</f>
        <v/>
      </c>
      <c r="L245" s="1318">
        <f>(G245-K245)*1.65%-(D245*1.65%)</f>
        <v/>
      </c>
      <c r="M245" s="1318" t="n"/>
      <c r="N245" s="863" t="n"/>
      <c r="O245" s="1320" t="n"/>
      <c r="P245" s="866" t="n"/>
      <c r="Q245" s="651">
        <f>(G245 - (D245+H245+K245+L245+M245+O245) + (N245)) / G245</f>
        <v/>
      </c>
      <c r="R245" s="651" t="n"/>
      <c r="S245" s="1206" t="n"/>
      <c r="T245" s="904" t="n"/>
      <c r="U245" s="569" t="n"/>
      <c r="V245" s="1317" t="n"/>
    </row>
    <row r="246" ht="15.75" customHeight="1" s="1349">
      <c r="A246" s="1292" t="n"/>
      <c r="B246" s="904" t="n"/>
      <c r="C246" s="904" t="n"/>
      <c r="D246" s="1325" t="n"/>
      <c r="E246" s="1326">
        <f>G246+F246</f>
        <v/>
      </c>
      <c r="F246" s="1325">
        <f>G246*0.05</f>
        <v/>
      </c>
      <c r="G246" s="1312" t="n"/>
      <c r="H246" s="1301" t="n"/>
      <c r="I246" s="1321" t="n"/>
      <c r="J246" s="1322" t="n"/>
      <c r="K246" s="1318">
        <f>G246*18%</f>
        <v/>
      </c>
      <c r="L246" s="1318">
        <f>(G246-K246)*1.65%-(D246*1.65%)</f>
        <v/>
      </c>
      <c r="M246" s="1318" t="n"/>
      <c r="N246" s="863" t="n"/>
      <c r="O246" s="1320" t="n"/>
      <c r="P246" s="866" t="n"/>
      <c r="Q246" s="651">
        <f>(G246 - (D246+H246+K246+L246+M246+O246) + (N246)) / G246</f>
        <v/>
      </c>
      <c r="R246" s="651" t="n"/>
      <c r="S246" s="1206" t="n"/>
      <c r="T246" s="904" t="n"/>
      <c r="U246" s="569" t="n"/>
      <c r="V246" s="1317" t="n"/>
    </row>
    <row r="247" ht="15.75" customHeight="1" s="1349">
      <c r="A247" s="1292" t="n"/>
      <c r="B247" s="904" t="n"/>
      <c r="C247" s="904" t="n"/>
      <c r="D247" s="1325" t="n"/>
      <c r="E247" s="1326">
        <f>G247+F247</f>
        <v/>
      </c>
      <c r="F247" s="1325">
        <f>G247*0.05</f>
        <v/>
      </c>
      <c r="G247" s="1312" t="n"/>
      <c r="H247" s="1301" t="n"/>
      <c r="I247" s="1321" t="n"/>
      <c r="J247" s="1322" t="n"/>
      <c r="K247" s="1318">
        <f>G247*18%</f>
        <v/>
      </c>
      <c r="L247" s="1318">
        <f>(G247-K247)*1.65%-(D247*1.65%)</f>
        <v/>
      </c>
      <c r="M247" s="1318" t="n"/>
      <c r="N247" s="863" t="n"/>
      <c r="O247" s="1320" t="n"/>
      <c r="P247" s="866" t="n"/>
      <c r="Q247" s="651">
        <f>(G247 - (D247+H247+K247+L247+M247+O247) + (N247)) / G247</f>
        <v/>
      </c>
      <c r="R247" s="651" t="n"/>
      <c r="S247" s="1206" t="n"/>
      <c r="T247" s="904" t="n"/>
      <c r="U247" s="569" t="n"/>
      <c r="V247" s="1317" t="n"/>
    </row>
    <row r="248" ht="15.75" customHeight="1" s="1349">
      <c r="A248" s="1292" t="n"/>
      <c r="B248" s="904" t="n"/>
      <c r="C248" s="904" t="n"/>
      <c r="D248" s="1325" t="n"/>
      <c r="E248" s="1326">
        <f>G248+F248</f>
        <v/>
      </c>
      <c r="F248" s="1325">
        <f>G248*0.05</f>
        <v/>
      </c>
      <c r="G248" s="1312" t="n"/>
      <c r="H248" s="1301" t="n"/>
      <c r="I248" s="1321" t="n"/>
      <c r="J248" s="1322" t="n"/>
      <c r="K248" s="1318">
        <f>G248*18%</f>
        <v/>
      </c>
      <c r="L248" s="1318">
        <f>(G248-K248)*1.65%-(D248*1.65%)</f>
        <v/>
      </c>
      <c r="M248" s="1318" t="n"/>
      <c r="N248" s="863" t="n"/>
      <c r="O248" s="1320" t="n"/>
      <c r="P248" s="866" t="n"/>
      <c r="Q248" s="651">
        <f>(G248 - (D248+H248+K248+L248+M248+O248) + (N248)) / G248</f>
        <v/>
      </c>
      <c r="R248" s="651" t="n"/>
      <c r="S248" s="1206" t="n"/>
      <c r="T248" s="904" t="n"/>
      <c r="U248" s="569" t="n"/>
      <c r="V248" s="1317" t="n"/>
    </row>
    <row r="249" ht="15.75" customHeight="1" s="1349">
      <c r="A249" s="1292" t="n"/>
      <c r="B249" s="904" t="n"/>
      <c r="C249" s="904" t="n"/>
      <c r="D249" s="1325" t="n"/>
      <c r="E249" s="1326">
        <f>G249+F249</f>
        <v/>
      </c>
      <c r="F249" s="1325">
        <f>G249*0.05</f>
        <v/>
      </c>
      <c r="G249" s="1312" t="n"/>
      <c r="H249" s="1301" t="n"/>
      <c r="I249" s="1321" t="n"/>
      <c r="J249" s="1322" t="n"/>
      <c r="K249" s="1318">
        <f>G249*18%</f>
        <v/>
      </c>
      <c r="L249" s="1318">
        <f>(G249-K249)*1.65%-(D249*1.65%)</f>
        <v/>
      </c>
      <c r="M249" s="1318" t="n"/>
      <c r="N249" s="863" t="n"/>
      <c r="O249" s="1320" t="n"/>
      <c r="P249" s="866" t="n"/>
      <c r="Q249" s="651">
        <f>(G249 - (D249+H249+K249+L249+M249+O249) + (N249)) / G249</f>
        <v/>
      </c>
      <c r="R249" s="651" t="n"/>
      <c r="S249" s="1206" t="n"/>
      <c r="T249" s="904" t="n"/>
      <c r="U249" s="569" t="n"/>
      <c r="V249" s="1317" t="n"/>
    </row>
    <row r="250" ht="15.75" customHeight="1" s="1349">
      <c r="A250" s="1292" t="n"/>
      <c r="B250" s="904" t="n"/>
      <c r="C250" s="904" t="n"/>
      <c r="D250" s="1325" t="n"/>
      <c r="E250" s="1326">
        <f>G250+F250</f>
        <v/>
      </c>
      <c r="F250" s="1325">
        <f>G250*0.05</f>
        <v/>
      </c>
      <c r="G250" s="1312" t="n"/>
      <c r="H250" s="1301" t="n"/>
      <c r="I250" s="1321" t="n"/>
      <c r="J250" s="1322" t="n"/>
      <c r="K250" s="1318">
        <f>G250*18%</f>
        <v/>
      </c>
      <c r="L250" s="1318">
        <f>(G250-K250)*1.65%-(D250*1.65%)</f>
        <v/>
      </c>
      <c r="M250" s="1318" t="n"/>
      <c r="N250" s="863" t="n"/>
      <c r="O250" s="1320" t="n"/>
      <c r="P250" s="866" t="n"/>
      <c r="Q250" s="651">
        <f>(G250 - (D250+H250+K250+L250+M250+O250) + (N250)) / G250</f>
        <v/>
      </c>
      <c r="R250" s="651" t="n"/>
      <c r="S250" s="1206" t="n"/>
      <c r="T250" s="904" t="n"/>
      <c r="U250" s="569" t="n"/>
      <c r="V250" s="1317" t="n"/>
    </row>
    <row r="251" ht="15.75" customHeight="1" s="1349">
      <c r="A251" s="1292" t="n"/>
      <c r="B251" s="904" t="n"/>
      <c r="C251" s="904" t="n"/>
      <c r="D251" s="1325" t="n"/>
      <c r="E251" s="1326">
        <f>G251+F251</f>
        <v/>
      </c>
      <c r="F251" s="1325">
        <f>G251*0.05</f>
        <v/>
      </c>
      <c r="G251" s="1312" t="n"/>
      <c r="H251" s="1301" t="n"/>
      <c r="I251" s="1321" t="n"/>
      <c r="J251" s="1322" t="n"/>
      <c r="K251" s="1318">
        <f>G251*18%</f>
        <v/>
      </c>
      <c r="L251" s="1318">
        <f>(G251-K251)*1.65%-(D251*1.65%)</f>
        <v/>
      </c>
      <c r="M251" s="1318" t="n"/>
      <c r="N251" s="863" t="n"/>
      <c r="O251" s="1320" t="n"/>
      <c r="P251" s="866" t="n"/>
      <c r="Q251" s="651">
        <f>(G251 - (D251+H251+K251+L251+M251+O251) + (N251)) / G251</f>
        <v/>
      </c>
      <c r="R251" s="651" t="n"/>
      <c r="S251" s="1206" t="n"/>
      <c r="T251" s="904" t="n"/>
      <c r="U251" s="569" t="n"/>
      <c r="V251" s="1317" t="n"/>
    </row>
    <row r="252" ht="15.75" customHeight="1" s="1349">
      <c r="A252" s="1292" t="n"/>
      <c r="B252" s="904" t="n"/>
      <c r="C252" s="904" t="n"/>
      <c r="D252" s="1325" t="n"/>
      <c r="E252" s="1326">
        <f>G252+F252</f>
        <v/>
      </c>
      <c r="F252" s="1325">
        <f>G252*0.05</f>
        <v/>
      </c>
      <c r="G252" s="1312" t="n"/>
      <c r="H252" s="1301" t="n"/>
      <c r="I252" s="1321" t="n"/>
      <c r="J252" s="1322" t="n"/>
      <c r="K252" s="1318">
        <f>G252*18%</f>
        <v/>
      </c>
      <c r="L252" s="1318">
        <f>(G252-K252)*1.65%-(D252*1.65%)</f>
        <v/>
      </c>
      <c r="M252" s="1318" t="n"/>
      <c r="N252" s="863" t="n"/>
      <c r="O252" s="1320" t="n"/>
      <c r="P252" s="866" t="n"/>
      <c r="Q252" s="651">
        <f>(G252 - (D252+H252+K252+L252+M252+O252) + (N252)) / G252</f>
        <v/>
      </c>
      <c r="R252" s="651" t="n"/>
      <c r="S252" s="1206" t="n"/>
      <c r="T252" s="904" t="n"/>
      <c r="U252" s="569" t="n"/>
      <c r="V252" s="1317" t="n"/>
    </row>
    <row r="253" ht="15.75" customHeight="1" s="1349">
      <c r="A253" s="1292" t="n"/>
      <c r="B253" s="904" t="n"/>
      <c r="C253" s="904" t="n"/>
      <c r="D253" s="1325" t="n"/>
      <c r="E253" s="1326">
        <f>G253+F253</f>
        <v/>
      </c>
      <c r="F253" s="1325">
        <f>G253*0.05</f>
        <v/>
      </c>
      <c r="G253" s="1312" t="n"/>
      <c r="H253" s="1301" t="n"/>
      <c r="I253" s="1321" t="n"/>
      <c r="J253" s="1322" t="n"/>
      <c r="K253" s="1318">
        <f>G253*18%</f>
        <v/>
      </c>
      <c r="L253" s="1318">
        <f>(G253-K253)*1.65%-(D253*1.65%)</f>
        <v/>
      </c>
      <c r="M253" s="1318" t="n"/>
      <c r="N253" s="863" t="n"/>
      <c r="O253" s="1320" t="n"/>
      <c r="P253" s="866" t="n"/>
      <c r="Q253" s="651">
        <f>(G253 - (D253+H253+K253+L253+M253+O253) + (N253)) / G253</f>
        <v/>
      </c>
      <c r="R253" s="651" t="n"/>
      <c r="S253" s="1206" t="n"/>
      <c r="T253" s="904" t="n"/>
      <c r="U253" s="569" t="n"/>
      <c r="V253" s="1317" t="n"/>
    </row>
    <row r="254" ht="15.75" customHeight="1" s="1349">
      <c r="A254" s="1292" t="n"/>
      <c r="B254" s="904" t="n"/>
      <c r="C254" s="904" t="n"/>
      <c r="D254" s="1325" t="n"/>
      <c r="E254" s="1326">
        <f>G254+F254</f>
        <v/>
      </c>
      <c r="F254" s="1325">
        <f>G254*0.05</f>
        <v/>
      </c>
      <c r="G254" s="1312" t="n"/>
      <c r="H254" s="1301" t="n"/>
      <c r="I254" s="1321" t="n"/>
      <c r="J254" s="1322" t="n"/>
      <c r="K254" s="1318">
        <f>G254*18%</f>
        <v/>
      </c>
      <c r="L254" s="1318">
        <f>(G254-K254)*1.65%-(D254*1.65%)</f>
        <v/>
      </c>
      <c r="M254" s="1318" t="n"/>
      <c r="N254" s="863" t="n"/>
      <c r="O254" s="1320" t="n"/>
      <c r="P254" s="866" t="n"/>
      <c r="Q254" s="651">
        <f>(G254 - (D254+H254+K254+L254+M254+O254) + (N254)) / G254</f>
        <v/>
      </c>
      <c r="R254" s="651" t="n"/>
      <c r="S254" s="1206" t="n"/>
      <c r="T254" s="904" t="n"/>
      <c r="U254" s="569" t="n"/>
      <c r="V254" s="1317" t="n"/>
    </row>
    <row r="255" ht="15.75" customHeight="1" s="1349">
      <c r="A255" s="1292" t="n"/>
      <c r="B255" s="904" t="n"/>
      <c r="C255" s="904" t="n"/>
      <c r="D255" s="1325" t="n"/>
      <c r="E255" s="1326">
        <f>G255+F255</f>
        <v/>
      </c>
      <c r="F255" s="1325">
        <f>G255*0.05</f>
        <v/>
      </c>
      <c r="G255" s="1312" t="n"/>
      <c r="H255" s="1301" t="n"/>
      <c r="I255" s="1321" t="n"/>
      <c r="J255" s="1322" t="n"/>
      <c r="K255" s="1318">
        <f>G255*18%</f>
        <v/>
      </c>
      <c r="L255" s="1318">
        <f>(G255-K255)*1.65%-(D255*1.65%)</f>
        <v/>
      </c>
      <c r="M255" s="1318" t="n"/>
      <c r="N255" s="863" t="n"/>
      <c r="O255" s="1320" t="n"/>
      <c r="P255" s="866" t="n"/>
      <c r="Q255" s="651">
        <f>(G255 - (D255+H255+K255+L255+M255+O255) + (N255)) / G255</f>
        <v/>
      </c>
      <c r="R255" s="651" t="n"/>
      <c r="S255" s="1206" t="n"/>
      <c r="T255" s="904" t="n"/>
      <c r="U255" s="569" t="n"/>
      <c r="V255" s="1317" t="n"/>
    </row>
    <row r="256" ht="15.75" customHeight="1" s="1349">
      <c r="A256" s="1292" t="n"/>
      <c r="B256" s="904" t="n"/>
      <c r="C256" s="904" t="n"/>
      <c r="D256" s="1325" t="n"/>
      <c r="E256" s="1326">
        <f>G256+F256</f>
        <v/>
      </c>
      <c r="F256" s="1325">
        <f>G256*0.05</f>
        <v/>
      </c>
      <c r="G256" s="1312" t="n"/>
      <c r="H256" s="1301" t="n"/>
      <c r="I256" s="1321" t="n"/>
      <c r="J256" s="1322" t="n"/>
      <c r="K256" s="1318">
        <f>G256*18%</f>
        <v/>
      </c>
      <c r="L256" s="1318">
        <f>(G256-K256)*1.65%-(D256*1.65%)</f>
        <v/>
      </c>
      <c r="M256" s="1318" t="n"/>
      <c r="N256" s="863" t="n"/>
      <c r="O256" s="1320" t="n"/>
      <c r="P256" s="866" t="n"/>
      <c r="Q256" s="651">
        <f>(G256 - (D256+H256+K256+L256+M256+O256) + (N256)) / G256</f>
        <v/>
      </c>
      <c r="R256" s="651" t="n"/>
      <c r="S256" s="1206" t="n"/>
      <c r="T256" s="904" t="n"/>
      <c r="U256" s="569" t="n"/>
      <c r="V256" s="1317" t="n"/>
    </row>
    <row r="257" ht="15.75" customHeight="1" s="1349">
      <c r="A257" s="1292" t="n"/>
      <c r="B257" s="904" t="n"/>
      <c r="C257" s="904" t="n"/>
      <c r="D257" s="1325" t="n"/>
      <c r="E257" s="1326">
        <f>G257+F257</f>
        <v/>
      </c>
      <c r="F257" s="1325">
        <f>G257*0.05</f>
        <v/>
      </c>
      <c r="G257" s="1312" t="n"/>
      <c r="H257" s="1301" t="n"/>
      <c r="I257" s="1321" t="n"/>
      <c r="J257" s="1322" t="n"/>
      <c r="K257" s="1318">
        <f>G257*18%</f>
        <v/>
      </c>
      <c r="L257" s="1318">
        <f>(G257-K257)*1.65%-(D257*1.65%)</f>
        <v/>
      </c>
      <c r="M257" s="1318" t="n"/>
      <c r="N257" s="863" t="n"/>
      <c r="O257" s="1320" t="n"/>
      <c r="P257" s="866" t="n"/>
      <c r="Q257" s="651">
        <f>(G257 - (D257+H257+K257+L257+M257+O257) + (N257)) / G257</f>
        <v/>
      </c>
      <c r="R257" s="651" t="n"/>
      <c r="S257" s="1206" t="n"/>
      <c r="T257" s="904" t="n"/>
      <c r="U257" s="569" t="n"/>
      <c r="V257" s="1317" t="n"/>
    </row>
    <row r="258" ht="15.75" customHeight="1" s="1349">
      <c r="A258" s="1292" t="n"/>
      <c r="B258" s="904" t="n"/>
      <c r="C258" s="904" t="n"/>
      <c r="D258" s="1325" t="n"/>
      <c r="E258" s="1326">
        <f>G258+F258</f>
        <v/>
      </c>
      <c r="F258" s="1325">
        <f>G258*0.05</f>
        <v/>
      </c>
      <c r="G258" s="1312" t="n"/>
      <c r="H258" s="1301" t="n"/>
      <c r="I258" s="1321" t="n"/>
      <c r="J258" s="1322" t="n"/>
      <c r="K258" s="1318">
        <f>G258*18%</f>
        <v/>
      </c>
      <c r="L258" s="1318">
        <f>(G258-K258)*1.65%-(D258*1.65%)</f>
        <v/>
      </c>
      <c r="M258" s="1318" t="n"/>
      <c r="N258" s="863" t="n"/>
      <c r="O258" s="1320" t="n"/>
      <c r="P258" s="866" t="n"/>
      <c r="Q258" s="651">
        <f>(G258 - (D258+H258+K258+L258+M258+O258) + (N258)) / G258</f>
        <v/>
      </c>
      <c r="R258" s="651" t="n"/>
      <c r="S258" s="1206" t="n"/>
      <c r="T258" s="904" t="n"/>
      <c r="U258" s="569" t="n"/>
      <c r="V258" s="1317" t="n"/>
    </row>
    <row r="259" ht="15.75" customHeight="1" s="1349">
      <c r="A259" s="1292" t="n"/>
      <c r="B259" s="904" t="n"/>
      <c r="C259" s="904" t="n"/>
      <c r="D259" s="1325" t="n"/>
      <c r="E259" s="1326">
        <f>G259+F259</f>
        <v/>
      </c>
      <c r="F259" s="1325">
        <f>G259*0.05</f>
        <v/>
      </c>
      <c r="G259" s="1312" t="n"/>
      <c r="H259" s="1301" t="n"/>
      <c r="I259" s="1321" t="n"/>
      <c r="J259" s="1322" t="n"/>
      <c r="K259" s="1318">
        <f>G259*18%</f>
        <v/>
      </c>
      <c r="L259" s="1318">
        <f>(G259-K259)*1.65%-(D259*1.65%)</f>
        <v/>
      </c>
      <c r="M259" s="1318" t="n"/>
      <c r="N259" s="863" t="n"/>
      <c r="O259" s="1320" t="n"/>
      <c r="P259" s="866" t="n"/>
      <c r="Q259" s="651">
        <f>(G259 - (D259+H259+K259+L259+M259+O259) + (N259)) / G259</f>
        <v/>
      </c>
      <c r="R259" s="651" t="n"/>
      <c r="S259" s="1206" t="n"/>
      <c r="T259" s="904" t="n"/>
      <c r="U259" s="569" t="n"/>
      <c r="V259" s="1317" t="n"/>
    </row>
    <row r="260" ht="15.75" customHeight="1" s="1349">
      <c r="A260" s="1292" t="n"/>
      <c r="B260" s="904" t="n"/>
      <c r="C260" s="904" t="n"/>
      <c r="D260" s="1325" t="n"/>
      <c r="E260" s="1326">
        <f>G260+F260</f>
        <v/>
      </c>
      <c r="F260" s="1325">
        <f>G260*0.05</f>
        <v/>
      </c>
      <c r="G260" s="1312" t="n"/>
      <c r="H260" s="1301" t="n"/>
      <c r="I260" s="1321" t="n"/>
      <c r="J260" s="1322" t="n"/>
      <c r="K260" s="1318">
        <f>G260*18%</f>
        <v/>
      </c>
      <c r="L260" s="1318">
        <f>(G260-K260)*1.65%-(D260*1.65%)</f>
        <v/>
      </c>
      <c r="M260" s="1318" t="n"/>
      <c r="N260" s="863" t="n"/>
      <c r="O260" s="1320" t="n"/>
      <c r="P260" s="866" t="n"/>
      <c r="Q260" s="651">
        <f>(G260 - (D260+H260+K260+L260+M260+O260) + (N260)) / G260</f>
        <v/>
      </c>
      <c r="R260" s="651" t="n"/>
      <c r="S260" s="1206" t="n"/>
      <c r="T260" s="904" t="n"/>
      <c r="U260" s="569" t="n"/>
      <c r="V260" s="1317" t="n"/>
    </row>
    <row r="261" ht="15.75" customHeight="1" s="1349">
      <c r="A261" s="1292" t="n"/>
      <c r="B261" s="904" t="n"/>
      <c r="C261" s="904" t="n"/>
      <c r="D261" s="1325" t="n"/>
      <c r="E261" s="1326">
        <f>G261+F261</f>
        <v/>
      </c>
      <c r="F261" s="1325">
        <f>G261*0.05</f>
        <v/>
      </c>
      <c r="G261" s="1312" t="n"/>
      <c r="H261" s="1301" t="n"/>
      <c r="I261" s="1321" t="n"/>
      <c r="J261" s="1322" t="n"/>
      <c r="K261" s="1318">
        <f>G261*18%</f>
        <v/>
      </c>
      <c r="L261" s="1318">
        <f>(G261-K261)*1.65%-(D261*1.65%)</f>
        <v/>
      </c>
      <c r="M261" s="1318" t="n"/>
      <c r="N261" s="863" t="n"/>
      <c r="O261" s="1320" t="n"/>
      <c r="P261" s="866" t="n"/>
      <c r="Q261" s="651">
        <f>(G261 - (D261+H261+K261+L261+M261+O261) + (N261)) / G261</f>
        <v/>
      </c>
      <c r="R261" s="651" t="n"/>
      <c r="S261" s="1206" t="n"/>
      <c r="T261" s="904" t="n"/>
      <c r="U261" s="569" t="n"/>
      <c r="V261" s="1317" t="n"/>
    </row>
    <row r="262" ht="15.75" customHeight="1" s="1349">
      <c r="A262" s="1292" t="n"/>
      <c r="B262" s="904" t="n"/>
      <c r="C262" s="904" t="n"/>
      <c r="D262" s="1325" t="n"/>
      <c r="E262" s="1326">
        <f>G262+F262</f>
        <v/>
      </c>
      <c r="F262" s="1325">
        <f>G262*0.05</f>
        <v/>
      </c>
      <c r="G262" s="1312" t="n"/>
      <c r="H262" s="1301" t="n"/>
      <c r="I262" s="1321" t="n"/>
      <c r="J262" s="1322" t="n"/>
      <c r="K262" s="1318">
        <f>G262*18%</f>
        <v/>
      </c>
      <c r="L262" s="1318">
        <f>(G262-K262)*1.65%-(D262*1.65%)</f>
        <v/>
      </c>
      <c r="M262" s="1318" t="n"/>
      <c r="N262" s="863" t="n"/>
      <c r="O262" s="1320" t="n"/>
      <c r="P262" s="866" t="n"/>
      <c r="Q262" s="651">
        <f>(G262 - (D262+H262+K262+L262+M262+O262) + (N262)) / G262</f>
        <v/>
      </c>
      <c r="R262" s="651" t="n"/>
      <c r="S262" s="1206" t="n"/>
      <c r="T262" s="904" t="n"/>
      <c r="U262" s="569" t="n"/>
      <c r="V262" s="1317" t="n"/>
    </row>
    <row r="263" ht="15.75" customHeight="1" s="1349">
      <c r="A263" s="1292" t="n"/>
      <c r="B263" s="904" t="n"/>
      <c r="C263" s="904" t="n"/>
      <c r="D263" s="1325" t="n"/>
      <c r="E263" s="1326">
        <f>G263+F263</f>
        <v/>
      </c>
      <c r="F263" s="1325">
        <f>G263*0.05</f>
        <v/>
      </c>
      <c r="G263" s="1312" t="n"/>
      <c r="H263" s="1301" t="n"/>
      <c r="I263" s="1321" t="n"/>
      <c r="J263" s="1322" t="n"/>
      <c r="K263" s="1318">
        <f>G263*18%</f>
        <v/>
      </c>
      <c r="L263" s="1318">
        <f>(G263-K263)*1.65%-(D263*1.65%)</f>
        <v/>
      </c>
      <c r="M263" s="1318" t="n"/>
      <c r="N263" s="863" t="n"/>
      <c r="O263" s="1320" t="n"/>
      <c r="P263" s="866" t="n"/>
      <c r="Q263" s="651">
        <f>(G263 - (D263+H263+K263+L263+M263+O263) + (N263)) / G263</f>
        <v/>
      </c>
      <c r="R263" s="651" t="n"/>
      <c r="S263" s="1206" t="n"/>
      <c r="T263" s="904" t="n"/>
      <c r="U263" s="569" t="n"/>
      <c r="V263" s="1317" t="n"/>
    </row>
    <row r="264" ht="15.75" customHeight="1" s="1349">
      <c r="A264" s="1292" t="n"/>
      <c r="B264" s="904" t="n"/>
      <c r="C264" s="904" t="n"/>
      <c r="D264" s="1325" t="n"/>
      <c r="E264" s="1326">
        <f>G264+F264</f>
        <v/>
      </c>
      <c r="F264" s="1325">
        <f>G264*0.05</f>
        <v/>
      </c>
      <c r="G264" s="1312" t="n"/>
      <c r="H264" s="1301" t="n"/>
      <c r="I264" s="1321" t="n"/>
      <c r="J264" s="1322" t="n"/>
      <c r="K264" s="1318">
        <f>G264*18%</f>
        <v/>
      </c>
      <c r="L264" s="1318">
        <f>(G264-K264)*1.65%-(D264*1.65%)</f>
        <v/>
      </c>
      <c r="M264" s="1318" t="n"/>
      <c r="N264" s="863" t="n"/>
      <c r="O264" s="1320" t="n"/>
      <c r="P264" s="866" t="n"/>
      <c r="Q264" s="651">
        <f>(G264 - (D264+H264+K264+L264+M264+O264) + (N264)) / G264</f>
        <v/>
      </c>
      <c r="R264" s="651" t="n"/>
      <c r="S264" s="1206" t="n"/>
      <c r="T264" s="904" t="n"/>
      <c r="U264" s="569" t="n"/>
      <c r="V264" s="1317" t="n"/>
    </row>
    <row r="265" ht="15.75" customHeight="1" s="1349">
      <c r="A265" s="1292" t="n"/>
      <c r="B265" s="904" t="n"/>
      <c r="C265" s="904" t="n"/>
      <c r="D265" s="1325" t="n"/>
      <c r="E265" s="1326">
        <f>G265+F265</f>
        <v/>
      </c>
      <c r="F265" s="1325">
        <f>G265*0.05</f>
        <v/>
      </c>
      <c r="G265" s="1312" t="n"/>
      <c r="H265" s="1301" t="n"/>
      <c r="I265" s="1321" t="n"/>
      <c r="J265" s="1322" t="n"/>
      <c r="K265" s="1318">
        <f>G265*18%</f>
        <v/>
      </c>
      <c r="L265" s="1318">
        <f>(G265-K265)*1.65%-(D265*1.65%)</f>
        <v/>
      </c>
      <c r="M265" s="1318" t="n"/>
      <c r="N265" s="863" t="n"/>
      <c r="O265" s="1320" t="n"/>
      <c r="P265" s="866" t="n"/>
      <c r="Q265" s="651">
        <f>(G265 - (D265+H265+K265+L265+M265+O265) + (N265)) / G265</f>
        <v/>
      </c>
      <c r="R265" s="651" t="n"/>
      <c r="S265" s="1206" t="n"/>
      <c r="T265" s="904" t="n"/>
      <c r="U265" s="569" t="n"/>
      <c r="V265" s="1317" t="n"/>
    </row>
    <row r="266" ht="15.75" customHeight="1" s="1349">
      <c r="A266" s="1292" t="n"/>
      <c r="B266" s="904" t="n"/>
      <c r="C266" s="904" t="n"/>
      <c r="D266" s="1325" t="n"/>
      <c r="E266" s="1326">
        <f>G266+F266</f>
        <v/>
      </c>
      <c r="F266" s="1325">
        <f>G266*0.05</f>
        <v/>
      </c>
      <c r="G266" s="1312" t="n"/>
      <c r="H266" s="1301" t="n"/>
      <c r="I266" s="1321" t="n"/>
      <c r="J266" s="1322" t="n"/>
      <c r="K266" s="1318">
        <f>G266*18%</f>
        <v/>
      </c>
      <c r="L266" s="1318">
        <f>(G266-K266)*1.65%-(D266*1.65%)</f>
        <v/>
      </c>
      <c r="M266" s="1318" t="n"/>
      <c r="N266" s="863" t="n"/>
      <c r="O266" s="1320" t="n"/>
      <c r="P266" s="866" t="n"/>
      <c r="Q266" s="651">
        <f>(G266 - (D266+H266+K266+L266+M266+O266) + (N266)) / G266</f>
        <v/>
      </c>
      <c r="R266" s="651" t="n"/>
      <c r="S266" s="1206" t="n"/>
      <c r="T266" s="904" t="n"/>
      <c r="U266" s="569" t="n"/>
      <c r="V266" s="1317" t="n"/>
    </row>
    <row r="267" ht="15.75" customHeight="1" s="1349">
      <c r="A267" s="1292" t="n"/>
      <c r="B267" s="904" t="n"/>
      <c r="C267" s="904" t="n"/>
      <c r="D267" s="1325" t="n"/>
      <c r="E267" s="1326">
        <f>G267+F267</f>
        <v/>
      </c>
      <c r="F267" s="1325">
        <f>G267*0.05</f>
        <v/>
      </c>
      <c r="G267" s="1312" t="n"/>
      <c r="H267" s="1301" t="n"/>
      <c r="I267" s="1321" t="n"/>
      <c r="J267" s="1322" t="n"/>
      <c r="K267" s="1318">
        <f>G267*18%</f>
        <v/>
      </c>
      <c r="L267" s="1318">
        <f>(G267-K267)*1.65%-(D267*1.65%)</f>
        <v/>
      </c>
      <c r="M267" s="1318" t="n"/>
      <c r="N267" s="863" t="n"/>
      <c r="O267" s="1320" t="n"/>
      <c r="P267" s="866" t="n"/>
      <c r="Q267" s="651">
        <f>(G267 - (D267+H267+K267+L267+M267+O267) + (N267)) / G267</f>
        <v/>
      </c>
      <c r="R267" s="651" t="n"/>
      <c r="S267" s="1206" t="n"/>
      <c r="T267" s="904" t="n"/>
      <c r="U267" s="569" t="n"/>
      <c r="V267" s="1317" t="n"/>
    </row>
    <row r="268" ht="15.75" customHeight="1" s="1349">
      <c r="A268" s="1292" t="n"/>
      <c r="B268" s="904" t="n"/>
      <c r="C268" s="904" t="n"/>
      <c r="D268" s="1325" t="n"/>
      <c r="E268" s="1326">
        <f>G268+F268</f>
        <v/>
      </c>
      <c r="F268" s="1325">
        <f>G268*0.05</f>
        <v/>
      </c>
      <c r="G268" s="1312" t="n"/>
      <c r="H268" s="1301" t="n"/>
      <c r="I268" s="1321" t="n"/>
      <c r="J268" s="1322" t="n"/>
      <c r="K268" s="1318">
        <f>G268*18%</f>
        <v/>
      </c>
      <c r="L268" s="1318">
        <f>(G268-K268)*1.65%-(D268*1.65%)</f>
        <v/>
      </c>
      <c r="M268" s="1318" t="n"/>
      <c r="N268" s="863" t="n"/>
      <c r="O268" s="1320" t="n"/>
      <c r="P268" s="866" t="n"/>
      <c r="Q268" s="651">
        <f>(G268 - (D268+H268+K268+L268+M268+O268) + (N268)) / G268</f>
        <v/>
      </c>
      <c r="R268" s="651" t="n"/>
      <c r="S268" s="1206" t="n"/>
      <c r="T268" s="904" t="n"/>
      <c r="U268" s="569" t="n"/>
      <c r="V268" s="1317" t="n"/>
    </row>
    <row r="269" ht="15.75" customHeight="1" s="1349">
      <c r="A269" s="1292" t="n"/>
      <c r="B269" s="904" t="n"/>
      <c r="C269" s="904" t="n"/>
      <c r="D269" s="1325" t="n"/>
      <c r="E269" s="1326">
        <f>G269+F269</f>
        <v/>
      </c>
      <c r="F269" s="1325">
        <f>G269*0.05</f>
        <v/>
      </c>
      <c r="G269" s="1312" t="n"/>
      <c r="H269" s="1301" t="n"/>
      <c r="I269" s="1321" t="n"/>
      <c r="J269" s="1322" t="n"/>
      <c r="K269" s="1318">
        <f>G269*18%</f>
        <v/>
      </c>
      <c r="L269" s="1318">
        <f>(G269-K269)*1.65%-(D269*1.65%)</f>
        <v/>
      </c>
      <c r="M269" s="1318" t="n"/>
      <c r="N269" s="863" t="n"/>
      <c r="O269" s="1320" t="n"/>
      <c r="P269" s="866" t="n"/>
      <c r="Q269" s="651">
        <f>(G269 - (D269+H269+K269+L269+M269+O269) + (N269)) / G269</f>
        <v/>
      </c>
      <c r="R269" s="651" t="n"/>
      <c r="S269" s="1206" t="n"/>
      <c r="T269" s="904" t="n"/>
      <c r="U269" s="569" t="n"/>
      <c r="V269" s="1317" t="n"/>
    </row>
    <row r="270" ht="15.75" customHeight="1" s="1349">
      <c r="A270" s="1292" t="n"/>
      <c r="B270" s="904" t="n"/>
      <c r="C270" s="904" t="n"/>
      <c r="D270" s="1325" t="n"/>
      <c r="E270" s="1326">
        <f>G270+F270</f>
        <v/>
      </c>
      <c r="F270" s="1325">
        <f>G270*0.05</f>
        <v/>
      </c>
      <c r="G270" s="1312" t="n"/>
      <c r="H270" s="1301" t="n"/>
      <c r="I270" s="1321" t="n"/>
      <c r="J270" s="1322" t="n"/>
      <c r="K270" s="1318">
        <f>G270*18%</f>
        <v/>
      </c>
      <c r="L270" s="1318">
        <f>(G270-K270)*1.65%-(D270*1.65%)</f>
        <v/>
      </c>
      <c r="M270" s="1318" t="n"/>
      <c r="N270" s="863" t="n"/>
      <c r="O270" s="1320" t="n"/>
      <c r="P270" s="866" t="n"/>
      <c r="Q270" s="651">
        <f>(G270 - (D270+H270+K270+L270+M270+O270) + (N270)) / G270</f>
        <v/>
      </c>
      <c r="R270" s="651" t="n"/>
      <c r="S270" s="1206" t="n"/>
      <c r="T270" s="904" t="n"/>
      <c r="U270" s="569" t="n"/>
      <c r="V270" s="1317" t="n"/>
    </row>
    <row r="271" ht="15.75" customHeight="1" s="1349">
      <c r="A271" s="1292" t="n"/>
      <c r="B271" s="904" t="n"/>
      <c r="C271" s="904" t="n"/>
      <c r="D271" s="1325" t="n"/>
      <c r="E271" s="1326">
        <f>G271+F271</f>
        <v/>
      </c>
      <c r="F271" s="1325">
        <f>G271*0.05</f>
        <v/>
      </c>
      <c r="G271" s="1312" t="n"/>
      <c r="H271" s="1301" t="n"/>
      <c r="I271" s="1321" t="n"/>
      <c r="J271" s="1322" t="n"/>
      <c r="K271" s="1318">
        <f>G271*18%</f>
        <v/>
      </c>
      <c r="L271" s="1318">
        <f>(G271-K271)*1.65%-(D271*1.65%)</f>
        <v/>
      </c>
      <c r="M271" s="1318" t="n"/>
      <c r="N271" s="863" t="n"/>
      <c r="O271" s="1320" t="n"/>
      <c r="P271" s="866" t="n"/>
      <c r="Q271" s="651">
        <f>(G271 - (D271+H271+K271+L271+M271+O271) + (N271)) / G271</f>
        <v/>
      </c>
      <c r="R271" s="651" t="n"/>
      <c r="S271" s="1206" t="n"/>
      <c r="T271" s="904" t="n"/>
      <c r="U271" s="569" t="n"/>
      <c r="V271" s="1317" t="n"/>
    </row>
    <row r="272" ht="15.75" customHeight="1" s="1349">
      <c r="A272" s="1292" t="n"/>
      <c r="B272" s="904" t="n"/>
      <c r="C272" s="904" t="n"/>
      <c r="D272" s="1325" t="n"/>
      <c r="E272" s="1326">
        <f>G272+F272</f>
        <v/>
      </c>
      <c r="F272" s="1325">
        <f>G272*0.05</f>
        <v/>
      </c>
      <c r="G272" s="1312" t="n"/>
      <c r="H272" s="1301" t="n"/>
      <c r="I272" s="1321" t="n"/>
      <c r="J272" s="1322" t="n"/>
      <c r="K272" s="1318">
        <f>G272*18%</f>
        <v/>
      </c>
      <c r="L272" s="1318">
        <f>(G272-K272)*1.65%-(D272*1.65%)</f>
        <v/>
      </c>
      <c r="M272" s="1318" t="n"/>
      <c r="N272" s="863" t="n"/>
      <c r="O272" s="1320" t="n"/>
      <c r="P272" s="866" t="n"/>
      <c r="Q272" s="651">
        <f>(G272 - (D272+H272+K272+L272+M272+O272) + (N272)) / G272</f>
        <v/>
      </c>
      <c r="R272" s="651" t="n"/>
      <c r="S272" s="1206" t="n"/>
      <c r="T272" s="904" t="n"/>
      <c r="U272" s="569" t="n"/>
      <c r="V272" s="1317" t="n"/>
    </row>
    <row r="273" ht="15.75" customHeight="1" s="1349">
      <c r="A273" s="1292" t="n"/>
      <c r="B273" s="904" t="n"/>
      <c r="C273" s="904" t="n"/>
      <c r="D273" s="1325" t="n"/>
      <c r="E273" s="1326">
        <f>G273+F273</f>
        <v/>
      </c>
      <c r="F273" s="1325">
        <f>G273*0.05</f>
        <v/>
      </c>
      <c r="G273" s="1312" t="n"/>
      <c r="H273" s="1301" t="n"/>
      <c r="I273" s="1321" t="n"/>
      <c r="J273" s="1322" t="n"/>
      <c r="K273" s="1318">
        <f>G273*18%</f>
        <v/>
      </c>
      <c r="L273" s="1318">
        <f>(G273-K273)*1.65%-(D273*1.65%)</f>
        <v/>
      </c>
      <c r="M273" s="1318" t="n"/>
      <c r="N273" s="863" t="n"/>
      <c r="O273" s="1320" t="n"/>
      <c r="P273" s="866" t="n"/>
      <c r="Q273" s="651">
        <f>(G273 - (D273+H273+K273+L273+M273+O273) + (N273)) / G273</f>
        <v/>
      </c>
      <c r="R273" s="651" t="n"/>
      <c r="S273" s="1206" t="n"/>
      <c r="T273" s="904" t="n"/>
      <c r="U273" s="569" t="n"/>
      <c r="V273" s="1317" t="n"/>
    </row>
    <row r="274" ht="15.75" customHeight="1" s="1349">
      <c r="A274" s="1292" t="n"/>
      <c r="B274" s="904" t="n"/>
      <c r="C274" s="904" t="n"/>
      <c r="D274" s="1325" t="n"/>
      <c r="E274" s="1326">
        <f>G274+F274</f>
        <v/>
      </c>
      <c r="F274" s="1325">
        <f>G274*0.05</f>
        <v/>
      </c>
      <c r="G274" s="1312" t="n"/>
      <c r="H274" s="1301" t="n"/>
      <c r="I274" s="1321" t="n"/>
      <c r="J274" s="1322" t="n"/>
      <c r="K274" s="1318">
        <f>G274*18%</f>
        <v/>
      </c>
      <c r="L274" s="1318">
        <f>(G274-K274)*1.65%-(D274*1.65%)</f>
        <v/>
      </c>
      <c r="M274" s="1318" t="n"/>
      <c r="N274" s="863" t="n"/>
      <c r="O274" s="1320" t="n"/>
      <c r="P274" s="866" t="n"/>
      <c r="Q274" s="651">
        <f>(G274 - (D274+H274+K274+L274+M274+O274) + (N274)) / G274</f>
        <v/>
      </c>
      <c r="R274" s="651" t="n"/>
      <c r="S274" s="1206" t="n"/>
      <c r="T274" s="904" t="n"/>
      <c r="U274" s="569" t="n"/>
      <c r="V274" s="1317" t="n"/>
    </row>
    <row r="275" ht="15.75" customHeight="1" s="1349">
      <c r="A275" s="1292" t="n"/>
      <c r="B275" s="904" t="n"/>
      <c r="C275" s="904" t="n"/>
      <c r="D275" s="1325" t="n"/>
      <c r="E275" s="1326">
        <f>G275+F275</f>
        <v/>
      </c>
      <c r="F275" s="1325">
        <f>G275*0.05</f>
        <v/>
      </c>
      <c r="G275" s="1312" t="n"/>
      <c r="H275" s="1301" t="n"/>
      <c r="I275" s="1321" t="n"/>
      <c r="J275" s="1322" t="n"/>
      <c r="K275" s="1318">
        <f>G275*18%</f>
        <v/>
      </c>
      <c r="L275" s="1318">
        <f>(G275-K275)*1.65%-(D275*1.65%)</f>
        <v/>
      </c>
      <c r="M275" s="1318" t="n"/>
      <c r="N275" s="863" t="n"/>
      <c r="O275" s="1320" t="n"/>
      <c r="P275" s="866" t="n"/>
      <c r="Q275" s="651">
        <f>(G275 - (D275+H275+K275+L275+M275+O275) + (N275)) / G275</f>
        <v/>
      </c>
      <c r="R275" s="651" t="n"/>
      <c r="S275" s="1206" t="n"/>
      <c r="T275" s="904" t="n"/>
      <c r="U275" s="569" t="n"/>
      <c r="V275" s="1317" t="n"/>
    </row>
    <row r="276" ht="15.75" customHeight="1" s="1349">
      <c r="A276" s="1292" t="n"/>
      <c r="B276" s="904" t="n"/>
      <c r="C276" s="904" t="n"/>
      <c r="D276" s="1325" t="n"/>
      <c r="E276" s="1326">
        <f>G276+F276</f>
        <v/>
      </c>
      <c r="F276" s="1325">
        <f>G276*0.05</f>
        <v/>
      </c>
      <c r="G276" s="1312" t="n"/>
      <c r="H276" s="1301" t="n"/>
      <c r="I276" s="1321" t="n"/>
      <c r="J276" s="1322" t="n"/>
      <c r="K276" s="1318">
        <f>G276*18%</f>
        <v/>
      </c>
      <c r="L276" s="1318">
        <f>(G276-K276)*1.65%-(D276*1.65%)</f>
        <v/>
      </c>
      <c r="M276" s="1318" t="n"/>
      <c r="N276" s="863" t="n"/>
      <c r="O276" s="1320" t="n"/>
      <c r="P276" s="866" t="n"/>
      <c r="Q276" s="651">
        <f>(G276 - (D276+H276+K276+L276+M276+O276) + (N276)) / G276</f>
        <v/>
      </c>
      <c r="R276" s="651" t="n"/>
      <c r="S276" s="1206" t="n"/>
      <c r="T276" s="904" t="n"/>
      <c r="U276" s="569" t="n"/>
      <c r="V276" s="1317" t="n"/>
    </row>
    <row r="277" ht="15.75" customHeight="1" s="1349">
      <c r="A277" s="1292" t="n"/>
      <c r="B277" s="904" t="n"/>
      <c r="C277" s="904" t="n"/>
      <c r="D277" s="1325" t="n"/>
      <c r="E277" s="1326">
        <f>G277+F277</f>
        <v/>
      </c>
      <c r="F277" s="1325">
        <f>G277*0.05</f>
        <v/>
      </c>
      <c r="G277" s="1312" t="n"/>
      <c r="H277" s="1301" t="n"/>
      <c r="I277" s="1321" t="n"/>
      <c r="J277" s="1322" t="n"/>
      <c r="K277" s="1318">
        <f>G277*18%</f>
        <v/>
      </c>
      <c r="L277" s="1318">
        <f>(G277-K277)*1.65%-(D277*1.65%)</f>
        <v/>
      </c>
      <c r="M277" s="1318" t="n"/>
      <c r="N277" s="863" t="n"/>
      <c r="O277" s="1320" t="n"/>
      <c r="P277" s="866" t="n"/>
      <c r="Q277" s="651">
        <f>(G277 - (D277+H277+K277+L277+M277+O277) + (N277)) / G277</f>
        <v/>
      </c>
      <c r="R277" s="651" t="n"/>
      <c r="S277" s="1206" t="n"/>
      <c r="T277" s="904" t="n"/>
      <c r="U277" s="569" t="n"/>
      <c r="V277" s="1317" t="n"/>
    </row>
    <row r="278" ht="15.75" customHeight="1" s="1349">
      <c r="A278" s="1292" t="n"/>
      <c r="B278" s="904" t="n"/>
      <c r="C278" s="904" t="n"/>
      <c r="D278" s="1325" t="n"/>
      <c r="E278" s="1326">
        <f>G278+F278</f>
        <v/>
      </c>
      <c r="F278" s="1325">
        <f>G278*0.05</f>
        <v/>
      </c>
      <c r="G278" s="1312" t="n"/>
      <c r="H278" s="1301" t="n"/>
      <c r="I278" s="1321" t="n"/>
      <c r="J278" s="1322" t="n"/>
      <c r="K278" s="1318">
        <f>G278*18%</f>
        <v/>
      </c>
      <c r="L278" s="1318">
        <f>(G278-K278)*1.65%-(D278*1.65%)</f>
        <v/>
      </c>
      <c r="M278" s="1318" t="n"/>
      <c r="N278" s="863" t="n"/>
      <c r="O278" s="1320" t="n"/>
      <c r="P278" s="866" t="n"/>
      <c r="Q278" s="651">
        <f>(G278 - (D278+H278+K278+L278+M278+O278) + (N278)) / G278</f>
        <v/>
      </c>
      <c r="R278" s="651" t="n"/>
      <c r="S278" s="1206" t="n"/>
      <c r="T278" s="904" t="n"/>
      <c r="U278" s="569" t="n"/>
      <c r="V278" s="1317" t="n"/>
    </row>
    <row r="279" ht="15.75" customHeight="1" s="1349">
      <c r="A279" s="1292" t="n"/>
      <c r="B279" s="904" t="n"/>
      <c r="C279" s="904" t="n"/>
      <c r="D279" s="1325" t="n"/>
      <c r="E279" s="1326">
        <f>G279+F279</f>
        <v/>
      </c>
      <c r="F279" s="1325">
        <f>G279*0.05</f>
        <v/>
      </c>
      <c r="G279" s="1312" t="n"/>
      <c r="H279" s="1301" t="n"/>
      <c r="I279" s="1321" t="n"/>
      <c r="J279" s="1322" t="n"/>
      <c r="K279" s="1318">
        <f>G279*18%</f>
        <v/>
      </c>
      <c r="L279" s="1318">
        <f>(G279-K279)*1.65%-(D279*1.65%)</f>
        <v/>
      </c>
      <c r="M279" s="1318" t="n"/>
      <c r="N279" s="863" t="n"/>
      <c r="O279" s="1320" t="n"/>
      <c r="P279" s="866" t="n"/>
      <c r="Q279" s="651">
        <f>(G279 - (D279+H279+K279+L279+M279+O279) + (N279)) / G279</f>
        <v/>
      </c>
      <c r="R279" s="651" t="n"/>
      <c r="S279" s="1206" t="n"/>
      <c r="T279" s="904" t="n"/>
      <c r="U279" s="569" t="n"/>
      <c r="V279" s="1317" t="n"/>
    </row>
    <row r="280" ht="15.75" customHeight="1" s="1349">
      <c r="A280" s="1292" t="n"/>
      <c r="B280" s="904" t="n"/>
      <c r="C280" s="904" t="n"/>
      <c r="D280" s="1325" t="n"/>
      <c r="E280" s="1326">
        <f>G280+F280</f>
        <v/>
      </c>
      <c r="F280" s="1325">
        <f>G280*0.05</f>
        <v/>
      </c>
      <c r="G280" s="1312" t="n"/>
      <c r="H280" s="1301" t="n"/>
      <c r="I280" s="1321" t="n"/>
      <c r="J280" s="1322" t="n"/>
      <c r="K280" s="1318">
        <f>G280*18%</f>
        <v/>
      </c>
      <c r="L280" s="1318">
        <f>(G280-K280)*1.65%-(D280*1.65%)</f>
        <v/>
      </c>
      <c r="M280" s="1318" t="n"/>
      <c r="N280" s="863" t="n"/>
      <c r="O280" s="1320" t="n"/>
      <c r="P280" s="866" t="n"/>
      <c r="Q280" s="651">
        <f>(G280 - (D280+H280+K280+L280+M280+O280) + (N280)) / G280</f>
        <v/>
      </c>
      <c r="R280" s="651" t="n"/>
      <c r="S280" s="1206" t="n"/>
      <c r="T280" s="904" t="n"/>
      <c r="U280" s="569" t="n"/>
      <c r="V280" s="1317" t="n"/>
    </row>
    <row r="281" ht="15.75" customHeight="1" s="1349">
      <c r="A281" s="1292" t="n"/>
      <c r="B281" s="904" t="n"/>
      <c r="C281" s="904" t="n"/>
      <c r="D281" s="1325" t="n"/>
      <c r="E281" s="1326">
        <f>G281+F281</f>
        <v/>
      </c>
      <c r="F281" s="1325">
        <f>G281*0.05</f>
        <v/>
      </c>
      <c r="G281" s="1312" t="n"/>
      <c r="H281" s="1301" t="n"/>
      <c r="I281" s="1321" t="n"/>
      <c r="J281" s="1322" t="n"/>
      <c r="K281" s="1318">
        <f>G281*18%</f>
        <v/>
      </c>
      <c r="L281" s="1318">
        <f>(G281-K281)*1.65%-(D281*1.65%)</f>
        <v/>
      </c>
      <c r="M281" s="1318" t="n"/>
      <c r="N281" s="863" t="n"/>
      <c r="O281" s="1320" t="n"/>
      <c r="P281" s="866" t="n"/>
      <c r="Q281" s="651">
        <f>(G281 - (D281+H281+K281+L281+M281+O281) + (N281)) / G281</f>
        <v/>
      </c>
      <c r="R281" s="651" t="n"/>
      <c r="S281" s="1206" t="n"/>
      <c r="T281" s="904" t="n"/>
      <c r="U281" s="569" t="n"/>
      <c r="V281" s="1317" t="n"/>
    </row>
    <row r="282" ht="15.75" customHeight="1" s="1349">
      <c r="A282" s="1292" t="n"/>
      <c r="B282" s="904" t="n"/>
      <c r="C282" s="904" t="n"/>
      <c r="D282" s="1325" t="n"/>
      <c r="E282" s="1326">
        <f>G282+F282</f>
        <v/>
      </c>
      <c r="F282" s="1325">
        <f>G282*0.05</f>
        <v/>
      </c>
      <c r="G282" s="1312" t="n"/>
      <c r="H282" s="1301" t="n"/>
      <c r="I282" s="1321" t="n"/>
      <c r="J282" s="1322" t="n"/>
      <c r="K282" s="1318">
        <f>G282*18%</f>
        <v/>
      </c>
      <c r="L282" s="1318">
        <f>(G282-K282)*1.65%-(D282*1.65%)</f>
        <v/>
      </c>
      <c r="M282" s="1318" t="n"/>
      <c r="N282" s="863" t="n"/>
      <c r="O282" s="1320" t="n"/>
      <c r="P282" s="866" t="n"/>
      <c r="Q282" s="651">
        <f>(G282 - (D282+H282+K282+L282+M282+O282) + (N282)) / G282</f>
        <v/>
      </c>
      <c r="R282" s="651" t="n"/>
      <c r="S282" s="1206" t="n"/>
      <c r="T282" s="904" t="n"/>
      <c r="U282" s="569" t="n"/>
      <c r="V282" s="1317" t="n"/>
    </row>
    <row r="283" ht="15.75" customHeight="1" s="1349">
      <c r="A283" s="1292" t="n"/>
      <c r="B283" s="904" t="n"/>
      <c r="C283" s="904" t="n"/>
      <c r="D283" s="1325" t="n"/>
      <c r="E283" s="1326">
        <f>G283+F283</f>
        <v/>
      </c>
      <c r="F283" s="1325">
        <f>G283*0.05</f>
        <v/>
      </c>
      <c r="G283" s="1312" t="n"/>
      <c r="H283" s="1301" t="n"/>
      <c r="I283" s="1321" t="n"/>
      <c r="J283" s="1322" t="n"/>
      <c r="K283" s="1318">
        <f>G283*18%</f>
        <v/>
      </c>
      <c r="L283" s="1318">
        <f>(G283-K283)*1.65%-(D283*1.65%)</f>
        <v/>
      </c>
      <c r="M283" s="1318" t="n"/>
      <c r="N283" s="863" t="n"/>
      <c r="O283" s="1320" t="n"/>
      <c r="P283" s="866" t="n"/>
      <c r="Q283" s="651">
        <f>(G283 - (D283+H283+K283+L283+M283+O283) + (N283)) / G283</f>
        <v/>
      </c>
      <c r="R283" s="651" t="n"/>
      <c r="S283" s="1206" t="n"/>
      <c r="T283" s="904" t="n"/>
      <c r="U283" s="569" t="n"/>
      <c r="V283" s="1317" t="n"/>
    </row>
    <row r="284" ht="15.75" customHeight="1" s="1349">
      <c r="A284" s="1292" t="n"/>
      <c r="B284" s="904" t="n"/>
      <c r="C284" s="904" t="n"/>
      <c r="D284" s="1325" t="n"/>
      <c r="E284" s="1326">
        <f>G284+F284</f>
        <v/>
      </c>
      <c r="F284" s="1325">
        <f>G284*0.05</f>
        <v/>
      </c>
      <c r="G284" s="1312" t="n"/>
      <c r="H284" s="1301" t="n"/>
      <c r="I284" s="1321" t="n"/>
      <c r="J284" s="1322" t="n"/>
      <c r="K284" s="1318">
        <f>G284*18%</f>
        <v/>
      </c>
      <c r="L284" s="1318">
        <f>(G284-K284)*1.65%-(D284*1.65%)</f>
        <v/>
      </c>
      <c r="M284" s="1318" t="n"/>
      <c r="N284" s="863" t="n"/>
      <c r="O284" s="1320" t="n"/>
      <c r="P284" s="866" t="n"/>
      <c r="Q284" s="651">
        <f>(G284 - (D284+H284+K284+L284+M284+O284) + (N284)) / G284</f>
        <v/>
      </c>
      <c r="R284" s="651" t="n"/>
      <c r="S284" s="1206" t="n"/>
      <c r="T284" s="904" t="n"/>
      <c r="U284" s="569" t="n"/>
      <c r="V284" s="1317" t="n"/>
    </row>
    <row r="285" ht="15.75" customHeight="1" s="1349">
      <c r="A285" s="1292" t="n"/>
      <c r="B285" s="904" t="n"/>
      <c r="C285" s="904" t="n"/>
      <c r="D285" s="1325" t="n"/>
      <c r="E285" s="1326">
        <f>G285+F285</f>
        <v/>
      </c>
      <c r="F285" s="1325">
        <f>G285*0.05</f>
        <v/>
      </c>
      <c r="G285" s="1312" t="n"/>
      <c r="H285" s="1301" t="n"/>
      <c r="I285" s="1321" t="n"/>
      <c r="J285" s="1322" t="n"/>
      <c r="K285" s="1318">
        <f>G285*18%</f>
        <v/>
      </c>
      <c r="L285" s="1318">
        <f>(G285-K285)*1.65%-(D285*1.65%)</f>
        <v/>
      </c>
      <c r="M285" s="1318" t="n"/>
      <c r="N285" s="863" t="n"/>
      <c r="O285" s="1320" t="n"/>
      <c r="P285" s="866" t="n"/>
      <c r="Q285" s="651">
        <f>(G285 - (D285+H285+K285+L285+M285+O285) + (N285)) / G285</f>
        <v/>
      </c>
      <c r="R285" s="651" t="n"/>
      <c r="S285" s="1206" t="n"/>
      <c r="T285" s="904" t="n"/>
      <c r="U285" s="569" t="n"/>
      <c r="V285" s="1317" t="n"/>
    </row>
    <row r="286" ht="15.75" customHeight="1" s="1349">
      <c r="A286" s="1292" t="n"/>
      <c r="B286" s="904" t="n"/>
      <c r="C286" s="904" t="n"/>
      <c r="D286" s="1325" t="n"/>
      <c r="E286" s="1326">
        <f>G286+F286</f>
        <v/>
      </c>
      <c r="F286" s="1325">
        <f>G286*0.05</f>
        <v/>
      </c>
      <c r="G286" s="1312" t="n"/>
      <c r="H286" s="1301" t="n"/>
      <c r="I286" s="1321" t="n"/>
      <c r="J286" s="1322" t="n"/>
      <c r="K286" s="1318">
        <f>G286*18%</f>
        <v/>
      </c>
      <c r="L286" s="1318">
        <f>(G286-K286)*1.65%-(D286*1.65%)</f>
        <v/>
      </c>
      <c r="M286" s="1318" t="n"/>
      <c r="N286" s="863" t="n"/>
      <c r="O286" s="1320" t="n"/>
      <c r="P286" s="866" t="n"/>
      <c r="Q286" s="651">
        <f>(G286 - (D286+H286+K286+L286+M286+O286) + (N286)) / G286</f>
        <v/>
      </c>
      <c r="R286" s="651" t="n"/>
      <c r="S286" s="1206" t="n"/>
      <c r="T286" s="904" t="n"/>
      <c r="U286" s="569" t="n"/>
      <c r="V286" s="1317" t="n"/>
    </row>
    <row r="287" ht="15.75" customHeight="1" s="1349">
      <c r="A287" s="1292" t="n"/>
      <c r="B287" s="904" t="n"/>
      <c r="C287" s="904" t="n"/>
      <c r="D287" s="1325" t="n"/>
      <c r="E287" s="1326">
        <f>G287+F287</f>
        <v/>
      </c>
      <c r="F287" s="1325">
        <f>G287*0.05</f>
        <v/>
      </c>
      <c r="G287" s="1312" t="n"/>
      <c r="H287" s="1301" t="n"/>
      <c r="I287" s="1321" t="n"/>
      <c r="J287" s="1322" t="n"/>
      <c r="K287" s="1318">
        <f>G287*18%</f>
        <v/>
      </c>
      <c r="L287" s="1318">
        <f>(G287-K287)*1.65%-(D287*1.65%)</f>
        <v/>
      </c>
      <c r="M287" s="1318" t="n"/>
      <c r="N287" s="863" t="n"/>
      <c r="O287" s="1320" t="n"/>
      <c r="P287" s="866" t="n"/>
      <c r="Q287" s="651">
        <f>(G287 - (D287+H287+K287+L287+M287+O287) + (N287)) / G287</f>
        <v/>
      </c>
      <c r="R287" s="651" t="n"/>
      <c r="S287" s="1206" t="n"/>
      <c r="T287" s="904" t="n"/>
      <c r="U287" s="569" t="n"/>
      <c r="V287" s="1317" t="n"/>
    </row>
    <row r="288" ht="15.75" customHeight="1" s="1349">
      <c r="A288" s="1292" t="n"/>
      <c r="B288" s="904" t="n"/>
      <c r="C288" s="904" t="n"/>
      <c r="D288" s="1325" t="n"/>
      <c r="E288" s="1326">
        <f>G288+F288</f>
        <v/>
      </c>
      <c r="F288" s="1325">
        <f>G288*0.05</f>
        <v/>
      </c>
      <c r="G288" s="1312" t="n"/>
      <c r="H288" s="1301" t="n"/>
      <c r="I288" s="1321" t="n"/>
      <c r="J288" s="1322" t="n"/>
      <c r="K288" s="1318">
        <f>G288*18%</f>
        <v/>
      </c>
      <c r="L288" s="1318">
        <f>(G288-K288)*1.65%-(D288*1.65%)</f>
        <v/>
      </c>
      <c r="M288" s="1318" t="n"/>
      <c r="N288" s="863" t="n"/>
      <c r="O288" s="1320" t="n"/>
      <c r="P288" s="866" t="n"/>
      <c r="Q288" s="651">
        <f>(G288 - (D288+H288+K288+L288+M288+O288) + (N288)) / G288</f>
        <v/>
      </c>
      <c r="R288" s="651" t="n"/>
      <c r="S288" s="1206" t="n"/>
      <c r="T288" s="904" t="n"/>
      <c r="U288" s="569" t="n"/>
      <c r="V288" s="1317" t="n"/>
    </row>
    <row r="289" ht="15.75" customHeight="1" s="1349">
      <c r="A289" s="1292" t="n"/>
      <c r="B289" s="904" t="n"/>
      <c r="C289" s="904" t="n"/>
      <c r="D289" s="1325" t="n"/>
      <c r="E289" s="1326">
        <f>G289+F289</f>
        <v/>
      </c>
      <c r="F289" s="1325">
        <f>G289*0.05</f>
        <v/>
      </c>
      <c r="G289" s="1312" t="n"/>
      <c r="H289" s="1301" t="n"/>
      <c r="I289" s="1321" t="n"/>
      <c r="J289" s="1322" t="n"/>
      <c r="K289" s="1318">
        <f>G289*18%</f>
        <v/>
      </c>
      <c r="L289" s="1318">
        <f>(G289-K289)*1.65%-(D289*1.65%)</f>
        <v/>
      </c>
      <c r="M289" s="1318" t="n"/>
      <c r="N289" s="863" t="n"/>
      <c r="O289" s="1320" t="n"/>
      <c r="P289" s="866" t="n"/>
      <c r="Q289" s="651">
        <f>(G289 - (D289+H289+K289+L289+M289+O289) + (N289)) / G289</f>
        <v/>
      </c>
      <c r="R289" s="651" t="n"/>
      <c r="S289" s="1206" t="n"/>
      <c r="T289" s="904" t="n"/>
      <c r="U289" s="569" t="n"/>
      <c r="V289" s="1317" t="n"/>
    </row>
    <row r="290" ht="15.75" customHeight="1" s="1349">
      <c r="A290" s="1292" t="n"/>
      <c r="B290" s="904" t="n"/>
      <c r="C290" s="904" t="n"/>
      <c r="D290" s="1325" t="n"/>
      <c r="E290" s="1326">
        <f>G290+F290</f>
        <v/>
      </c>
      <c r="F290" s="1325">
        <f>G290*0.05</f>
        <v/>
      </c>
      <c r="G290" s="1312" t="n"/>
      <c r="H290" s="1301" t="n"/>
      <c r="I290" s="1321" t="n"/>
      <c r="J290" s="1322" t="n"/>
      <c r="K290" s="1318">
        <f>G290*18%</f>
        <v/>
      </c>
      <c r="L290" s="1318">
        <f>(G290-K290)*1.65%-(D290*1.65%)</f>
        <v/>
      </c>
      <c r="M290" s="1318" t="n"/>
      <c r="N290" s="863" t="n"/>
      <c r="O290" s="1320" t="n"/>
      <c r="P290" s="866" t="n"/>
      <c r="Q290" s="651">
        <f>(G290 - (D290+H290+K290+L290+M290+O290) + (N290)) / G290</f>
        <v/>
      </c>
      <c r="R290" s="651" t="n"/>
      <c r="S290" s="1206" t="n"/>
      <c r="T290" s="904" t="n"/>
      <c r="U290" s="569" t="n"/>
      <c r="V290" s="1317" t="n"/>
    </row>
    <row r="291" ht="15.75" customHeight="1" s="1349">
      <c r="A291" s="1292" t="n"/>
      <c r="B291" s="904" t="n"/>
      <c r="C291" s="904" t="n"/>
      <c r="D291" s="1325" t="n"/>
      <c r="E291" s="1326">
        <f>G291+F291</f>
        <v/>
      </c>
      <c r="F291" s="1325">
        <f>G291*0.05</f>
        <v/>
      </c>
      <c r="G291" s="1312" t="n"/>
      <c r="H291" s="1301" t="n"/>
      <c r="I291" s="1321" t="n"/>
      <c r="J291" s="1322" t="n"/>
      <c r="K291" s="1318">
        <f>G291*18%</f>
        <v/>
      </c>
      <c r="L291" s="1318">
        <f>(G291-K291)*1.65%-(D291*1.65%)</f>
        <v/>
      </c>
      <c r="M291" s="1318" t="n"/>
      <c r="N291" s="863" t="n"/>
      <c r="O291" s="1320" t="n"/>
      <c r="P291" s="866" t="n"/>
      <c r="Q291" s="651">
        <f>(G291 - (D291+H291+K291+L291+M291+O291) + (N291)) / G291</f>
        <v/>
      </c>
      <c r="R291" s="651" t="n"/>
      <c r="S291" s="1206" t="n"/>
      <c r="T291" s="904" t="n"/>
      <c r="U291" s="569" t="n"/>
      <c r="V291" s="1317" t="n"/>
    </row>
    <row r="292" ht="15.75" customHeight="1" s="1349">
      <c r="A292" s="1292" t="n"/>
      <c r="B292" s="904" t="n"/>
      <c r="C292" s="904" t="n"/>
      <c r="D292" s="1325" t="n"/>
      <c r="E292" s="1326">
        <f>G292+F292</f>
        <v/>
      </c>
      <c r="F292" s="1325">
        <f>G292*0.05</f>
        <v/>
      </c>
      <c r="G292" s="1312" t="n"/>
      <c r="H292" s="1301" t="n"/>
      <c r="I292" s="1321" t="n"/>
      <c r="J292" s="1322" t="n"/>
      <c r="K292" s="1318">
        <f>G292*18%</f>
        <v/>
      </c>
      <c r="L292" s="1318">
        <f>(G292-K292)*1.65%-(D292*1.65%)</f>
        <v/>
      </c>
      <c r="M292" s="1318" t="n"/>
      <c r="N292" s="863" t="n"/>
      <c r="O292" s="1320" t="n"/>
      <c r="P292" s="866" t="n"/>
      <c r="Q292" s="651">
        <f>(G292 - (D292+H292+K292+L292+M292+O292) + (N292)) / G292</f>
        <v/>
      </c>
      <c r="R292" s="651" t="n"/>
      <c r="S292" s="1206" t="n"/>
      <c r="T292" s="904" t="n"/>
      <c r="U292" s="569" t="n"/>
      <c r="V292" s="1317" t="n"/>
    </row>
    <row r="293" ht="15.75" customHeight="1" s="1349">
      <c r="A293" s="1292" t="n"/>
      <c r="B293" s="904" t="n"/>
      <c r="C293" s="904" t="n"/>
      <c r="D293" s="1325" t="n"/>
      <c r="E293" s="1326">
        <f>G293+F293</f>
        <v/>
      </c>
      <c r="F293" s="1325">
        <f>G293*0.05</f>
        <v/>
      </c>
      <c r="G293" s="1312" t="n"/>
      <c r="H293" s="1301" t="n"/>
      <c r="I293" s="1321" t="n"/>
      <c r="J293" s="1322" t="n"/>
      <c r="K293" s="1318">
        <f>G293*18%</f>
        <v/>
      </c>
      <c r="L293" s="1318">
        <f>(G293-K293)*1.65%-(D293*1.65%)</f>
        <v/>
      </c>
      <c r="M293" s="1318" t="n"/>
      <c r="N293" s="863" t="n"/>
      <c r="O293" s="1320" t="n"/>
      <c r="P293" s="866" t="n"/>
      <c r="Q293" s="651">
        <f>(G293 - (D293+H293+K293+L293+M293+O293) + (N293)) / G293</f>
        <v/>
      </c>
      <c r="R293" s="651" t="n"/>
      <c r="S293" s="1206" t="n"/>
      <c r="T293" s="904" t="n"/>
      <c r="U293" s="569" t="n"/>
      <c r="V293" s="1317" t="n"/>
    </row>
    <row r="294" ht="15.75" customHeight="1" s="1349">
      <c r="A294" s="1292" t="n"/>
      <c r="B294" s="904" t="n"/>
      <c r="C294" s="904" t="n"/>
      <c r="D294" s="1325" t="n"/>
      <c r="E294" s="1326">
        <f>G294+F294</f>
        <v/>
      </c>
      <c r="F294" s="1325">
        <f>G294*0.05</f>
        <v/>
      </c>
      <c r="G294" s="1312" t="n"/>
      <c r="H294" s="1301" t="n"/>
      <c r="I294" s="1321" t="n"/>
      <c r="J294" s="1322" t="n"/>
      <c r="K294" s="1318">
        <f>G294*18%</f>
        <v/>
      </c>
      <c r="L294" s="1318">
        <f>(G294-K294)*1.65%-(D294*1.65%)</f>
        <v/>
      </c>
      <c r="M294" s="1318" t="n"/>
      <c r="N294" s="863" t="n"/>
      <c r="O294" s="1320" t="n"/>
      <c r="P294" s="866" t="n"/>
      <c r="Q294" s="651">
        <f>(G294 - (D294+H294+K294+L294+M294+O294) + (N294)) / G294</f>
        <v/>
      </c>
      <c r="R294" s="651" t="n"/>
      <c r="S294" s="1206" t="n"/>
      <c r="T294" s="904" t="n"/>
      <c r="U294" s="569" t="n"/>
      <c r="V294" s="1317" t="n"/>
    </row>
    <row r="295" ht="15.75" customHeight="1" s="1349">
      <c r="A295" s="1292" t="n"/>
      <c r="B295" s="904" t="n"/>
      <c r="C295" s="904" t="n"/>
      <c r="D295" s="1325" t="n"/>
      <c r="E295" s="1326">
        <f>G295+F295</f>
        <v/>
      </c>
      <c r="F295" s="1325">
        <f>G295*0.05</f>
        <v/>
      </c>
      <c r="G295" s="1312" t="n"/>
      <c r="H295" s="1301" t="n"/>
      <c r="I295" s="1321" t="n"/>
      <c r="J295" s="1322" t="n"/>
      <c r="K295" s="1318">
        <f>G295*18%</f>
        <v/>
      </c>
      <c r="L295" s="1318">
        <f>(G295-K295)*1.65%-(D295*1.65%)</f>
        <v/>
      </c>
      <c r="M295" s="1318" t="n"/>
      <c r="N295" s="863" t="n"/>
      <c r="O295" s="1320" t="n"/>
      <c r="P295" s="866" t="n"/>
      <c r="Q295" s="651">
        <f>(G295 - (D295+H295+K295+L295+M295+O295) + (N295)) / G295</f>
        <v/>
      </c>
      <c r="R295" s="651" t="n"/>
      <c r="S295" s="1206" t="n"/>
      <c r="T295" s="904" t="n"/>
      <c r="U295" s="569" t="n"/>
      <c r="V295" s="1317" t="n"/>
    </row>
    <row r="296" ht="15.75" customHeight="1" s="1349">
      <c r="A296" s="1292" t="n"/>
      <c r="B296" s="904" t="n"/>
      <c r="C296" s="904" t="n"/>
      <c r="D296" s="1325" t="n"/>
      <c r="E296" s="1326">
        <f>G296+F296</f>
        <v/>
      </c>
      <c r="F296" s="1325">
        <f>G296*0.05</f>
        <v/>
      </c>
      <c r="G296" s="1312" t="n"/>
      <c r="H296" s="1301" t="n"/>
      <c r="I296" s="1321" t="n"/>
      <c r="J296" s="1322" t="n"/>
      <c r="K296" s="1318">
        <f>G296*18%</f>
        <v/>
      </c>
      <c r="L296" s="1318">
        <f>(G296-K296)*1.65%-(D296*1.65%)</f>
        <v/>
      </c>
      <c r="M296" s="1318" t="n"/>
      <c r="N296" s="863" t="n"/>
      <c r="O296" s="1320" t="n"/>
      <c r="P296" s="866" t="n"/>
      <c r="Q296" s="651">
        <f>(G296 - (D296+H296+K296+L296+M296+O296) + (N296)) / G296</f>
        <v/>
      </c>
      <c r="R296" s="651" t="n"/>
      <c r="S296" s="1206" t="n"/>
      <c r="T296" s="904" t="n"/>
      <c r="U296" s="569" t="n"/>
      <c r="V296" s="1317" t="n"/>
    </row>
    <row r="297" ht="15.75" customHeight="1" s="1349">
      <c r="A297" s="1292" t="n"/>
      <c r="B297" s="904" t="n"/>
      <c r="C297" s="904" t="n"/>
      <c r="D297" s="1325" t="n"/>
      <c r="E297" s="1326">
        <f>G297+F297</f>
        <v/>
      </c>
      <c r="F297" s="1325">
        <f>G297*0.05</f>
        <v/>
      </c>
      <c r="G297" s="1312" t="n"/>
      <c r="H297" s="1301" t="n"/>
      <c r="I297" s="1321" t="n"/>
      <c r="J297" s="1322" t="n"/>
      <c r="K297" s="1318">
        <f>G297*18%</f>
        <v/>
      </c>
      <c r="L297" s="1318">
        <f>(G297-K297)*1.65%-(D297*1.65%)</f>
        <v/>
      </c>
      <c r="M297" s="1318" t="n"/>
      <c r="N297" s="863" t="n"/>
      <c r="O297" s="1320" t="n"/>
      <c r="P297" s="866" t="n"/>
      <c r="Q297" s="651">
        <f>(G297 - (D297+H297+K297+L297+M297+O297) + (N297)) / G297</f>
        <v/>
      </c>
      <c r="R297" s="651" t="n"/>
      <c r="S297" s="1206" t="n"/>
      <c r="T297" s="904" t="n"/>
      <c r="U297" s="569" t="n"/>
      <c r="V297" s="1317" t="n"/>
    </row>
    <row r="298" ht="15.75" customHeight="1" s="1349">
      <c r="A298" s="1292" t="n"/>
      <c r="B298" s="904" t="n"/>
      <c r="C298" s="904" t="n"/>
      <c r="D298" s="1325" t="n"/>
      <c r="E298" s="1326">
        <f>G298+F298</f>
        <v/>
      </c>
      <c r="F298" s="1325">
        <f>G298*0.05</f>
        <v/>
      </c>
      <c r="G298" s="1312" t="n"/>
      <c r="H298" s="1301" t="n"/>
      <c r="I298" s="1321" t="n"/>
      <c r="J298" s="1322" t="n"/>
      <c r="K298" s="1318">
        <f>G298*18%</f>
        <v/>
      </c>
      <c r="L298" s="1318">
        <f>(G298-K298)*1.65%-(D298*1.65%)</f>
        <v/>
      </c>
      <c r="M298" s="1318" t="n"/>
      <c r="N298" s="863" t="n"/>
      <c r="O298" s="1320" t="n"/>
      <c r="P298" s="866" t="n"/>
      <c r="Q298" s="651">
        <f>(G298 - (D298+H298+K298+L298+M298+O298) + (N298)) / G298</f>
        <v/>
      </c>
      <c r="R298" s="651" t="n"/>
      <c r="S298" s="1206" t="n"/>
      <c r="T298" s="904" t="n"/>
      <c r="U298" s="569" t="n"/>
      <c r="V298" s="1317" t="n"/>
    </row>
    <row r="299" ht="15.75" customHeight="1" s="1349">
      <c r="A299" s="1292" t="n"/>
      <c r="B299" s="904" t="n"/>
      <c r="C299" s="904" t="n"/>
      <c r="D299" s="1325" t="n"/>
      <c r="E299" s="1326">
        <f>G299+F299</f>
        <v/>
      </c>
      <c r="F299" s="1325">
        <f>G299*0.05</f>
        <v/>
      </c>
      <c r="G299" s="1312" t="n"/>
      <c r="H299" s="1301" t="n"/>
      <c r="I299" s="1321" t="n"/>
      <c r="J299" s="1322" t="n"/>
      <c r="K299" s="1318">
        <f>G299*18%</f>
        <v/>
      </c>
      <c r="L299" s="1318">
        <f>(G299-K299)*1.65%-(D299*1.65%)</f>
        <v/>
      </c>
      <c r="M299" s="1318" t="n"/>
      <c r="N299" s="863" t="n"/>
      <c r="O299" s="1320" t="n"/>
      <c r="P299" s="866" t="n"/>
      <c r="Q299" s="651">
        <f>(G299 - (D299+H299+K299+L299+M299+O299) + (N299)) / G299</f>
        <v/>
      </c>
      <c r="R299" s="651" t="n"/>
      <c r="S299" s="1206" t="n"/>
      <c r="T299" s="904" t="n"/>
      <c r="U299" s="569" t="n"/>
      <c r="V299" s="1317" t="n"/>
    </row>
    <row r="300" ht="15.75" customHeight="1" s="1349">
      <c r="A300" s="1292" t="n"/>
      <c r="B300" s="904" t="n"/>
      <c r="C300" s="904" t="n"/>
      <c r="D300" s="1325" t="n"/>
      <c r="E300" s="1326">
        <f>G300+F300</f>
        <v/>
      </c>
      <c r="F300" s="1325">
        <f>G300*0.05</f>
        <v/>
      </c>
      <c r="G300" s="1312" t="n"/>
      <c r="H300" s="1301" t="n"/>
      <c r="I300" s="1321" t="n"/>
      <c r="J300" s="1322" t="n"/>
      <c r="K300" s="1318">
        <f>G300*18%</f>
        <v/>
      </c>
      <c r="L300" s="1318">
        <f>(G300-K300)*1.65%-(D300*1.65%)</f>
        <v/>
      </c>
      <c r="M300" s="1318" t="n"/>
      <c r="N300" s="863" t="n"/>
      <c r="O300" s="1320" t="n"/>
      <c r="P300" s="866" t="n"/>
      <c r="Q300" s="651">
        <f>(G300 - (D300+H300+K300+L300+M300+O300) + (N300)) / G300</f>
        <v/>
      </c>
      <c r="R300" s="651" t="n"/>
      <c r="S300" s="1206" t="n"/>
      <c r="T300" s="904" t="n"/>
      <c r="U300" s="569" t="n"/>
      <c r="V300" s="1317" t="n"/>
    </row>
    <row r="301" ht="15.75" customHeight="1" s="1349">
      <c r="A301" s="1292" t="n"/>
      <c r="B301" s="904" t="n"/>
      <c r="C301" s="904" t="n"/>
      <c r="D301" s="1325" t="n"/>
      <c r="E301" s="1326">
        <f>G301+F301</f>
        <v/>
      </c>
      <c r="F301" s="1325">
        <f>G301*0.05</f>
        <v/>
      </c>
      <c r="G301" s="1312" t="n"/>
      <c r="H301" s="1301" t="n"/>
      <c r="I301" s="1321" t="n"/>
      <c r="J301" s="1322" t="n"/>
      <c r="K301" s="1318">
        <f>G301*18%</f>
        <v/>
      </c>
      <c r="L301" s="1318">
        <f>(G301-K301)*1.65%-(D301*1.65%)</f>
        <v/>
      </c>
      <c r="M301" s="1318" t="n"/>
      <c r="N301" s="863" t="n"/>
      <c r="O301" s="1320" t="n"/>
      <c r="P301" s="866" t="n"/>
      <c r="Q301" s="651">
        <f>(G301 - (D301+H301+K301+L301+M301+O301) + (N301)) / G301</f>
        <v/>
      </c>
      <c r="R301" s="651" t="n"/>
      <c r="S301" s="1206" t="n"/>
      <c r="T301" s="904" t="n"/>
      <c r="U301" s="569" t="n"/>
      <c r="V301" s="1317" t="n"/>
    </row>
    <row r="302" ht="15.75" customHeight="1" s="1349">
      <c r="A302" s="1292" t="n"/>
      <c r="B302" s="904" t="n"/>
      <c r="C302" s="904" t="n"/>
      <c r="D302" s="1325" t="n"/>
      <c r="E302" s="1326">
        <f>G302+F302</f>
        <v/>
      </c>
      <c r="F302" s="1325">
        <f>G302*0.05</f>
        <v/>
      </c>
      <c r="G302" s="1312" t="n"/>
      <c r="H302" s="1301" t="n"/>
      <c r="I302" s="1321" t="n"/>
      <c r="J302" s="1322" t="n"/>
      <c r="K302" s="1318">
        <f>G302*18%</f>
        <v/>
      </c>
      <c r="L302" s="1318">
        <f>(G302-K302)*1.65%-(D302*1.65%)</f>
        <v/>
      </c>
      <c r="M302" s="1318" t="n"/>
      <c r="N302" s="863" t="n"/>
      <c r="O302" s="1320" t="n"/>
      <c r="P302" s="866" t="n"/>
      <c r="Q302" s="651">
        <f>(G302 - (D302+H302+K302+L302+M302+O302) + (N302)) / G302</f>
        <v/>
      </c>
      <c r="R302" s="651" t="n"/>
      <c r="S302" s="1206" t="n"/>
      <c r="T302" s="904" t="n"/>
      <c r="U302" s="569" t="n"/>
      <c r="V302" s="1317" t="n"/>
    </row>
    <row r="303" ht="15.75" customHeight="1" s="1349">
      <c r="A303" s="1292" t="n"/>
      <c r="B303" s="904" t="n"/>
      <c r="C303" s="904" t="n"/>
      <c r="D303" s="1325" t="n"/>
      <c r="E303" s="1326">
        <f>G303+F303</f>
        <v/>
      </c>
      <c r="F303" s="1325">
        <f>G303*0.05</f>
        <v/>
      </c>
      <c r="G303" s="1312" t="n"/>
      <c r="H303" s="1301" t="n"/>
      <c r="I303" s="1321" t="n"/>
      <c r="J303" s="1322" t="n"/>
      <c r="K303" s="1318">
        <f>G303*18%</f>
        <v/>
      </c>
      <c r="L303" s="1318">
        <f>(G303-K303)*1.65%-(D303*1.65%)</f>
        <v/>
      </c>
      <c r="M303" s="1318" t="n"/>
      <c r="N303" s="863" t="n"/>
      <c r="O303" s="1320" t="n"/>
      <c r="P303" s="866" t="n"/>
      <c r="Q303" s="651">
        <f>(G303 - (D303+H303+K303+L303+M303+O303) + (N303)) / G303</f>
        <v/>
      </c>
      <c r="R303" s="651" t="n"/>
      <c r="S303" s="1206" t="n"/>
      <c r="T303" s="904" t="n"/>
      <c r="U303" s="569" t="n"/>
      <c r="V303" s="1317" t="n"/>
    </row>
    <row r="304" ht="15.75" customHeight="1" s="1349">
      <c r="A304" s="1292" t="n"/>
      <c r="B304" s="904" t="n"/>
      <c r="C304" s="904" t="n"/>
      <c r="D304" s="1325" t="n"/>
      <c r="E304" s="1326">
        <f>G304+F304</f>
        <v/>
      </c>
      <c r="F304" s="1325">
        <f>G304*0.05</f>
        <v/>
      </c>
      <c r="G304" s="1312" t="n"/>
      <c r="H304" s="1301" t="n"/>
      <c r="I304" s="1321" t="n"/>
      <c r="J304" s="1322" t="n"/>
      <c r="K304" s="1318">
        <f>G304*18%</f>
        <v/>
      </c>
      <c r="L304" s="1318">
        <f>(G304-K304)*1.65%-(D304*1.65%)</f>
        <v/>
      </c>
      <c r="M304" s="1318" t="n"/>
      <c r="N304" s="863" t="n"/>
      <c r="O304" s="1320" t="n"/>
      <c r="P304" s="866" t="n"/>
      <c r="Q304" s="651">
        <f>(G304 - (D304+H304+K304+L304+M304+O304) + (N304)) / G304</f>
        <v/>
      </c>
      <c r="R304" s="651" t="n"/>
      <c r="S304" s="1206" t="n"/>
      <c r="T304" s="904" t="n"/>
      <c r="U304" s="569" t="n"/>
      <c r="V304" s="1317" t="n"/>
    </row>
    <row r="305" ht="15.75" customHeight="1" s="1349">
      <c r="A305" s="1292" t="n"/>
      <c r="B305" s="904" t="n"/>
      <c r="C305" s="904" t="n"/>
      <c r="D305" s="1325" t="n"/>
      <c r="E305" s="1326">
        <f>G305+F305</f>
        <v/>
      </c>
      <c r="F305" s="1325">
        <f>G305*0.05</f>
        <v/>
      </c>
      <c r="G305" s="1312" t="n"/>
      <c r="H305" s="1301" t="n"/>
      <c r="I305" s="1321" t="n"/>
      <c r="J305" s="1322" t="n"/>
      <c r="K305" s="1318">
        <f>G305*18%</f>
        <v/>
      </c>
      <c r="L305" s="1318">
        <f>(G305-K305)*1.65%-(D305*1.65%)</f>
        <v/>
      </c>
      <c r="M305" s="1318" t="n"/>
      <c r="N305" s="863" t="n"/>
      <c r="O305" s="1320" t="n"/>
      <c r="P305" s="866" t="n"/>
      <c r="Q305" s="651">
        <f>(G305 - (D305+H305+K305+L305+M305+O305) + (N305)) / G305</f>
        <v/>
      </c>
      <c r="R305" s="651" t="n"/>
      <c r="S305" s="1206" t="n"/>
      <c r="T305" s="904" t="n"/>
      <c r="U305" s="569" t="n"/>
      <c r="V305" s="1317" t="n"/>
    </row>
    <row r="306" ht="15.75" customHeight="1" s="1349">
      <c r="A306" s="1292" t="n"/>
      <c r="B306" s="904" t="n"/>
      <c r="C306" s="904" t="n"/>
      <c r="D306" s="1325" t="n"/>
      <c r="E306" s="1326">
        <f>G306+F306</f>
        <v/>
      </c>
      <c r="F306" s="1325">
        <f>G306*0.05</f>
        <v/>
      </c>
      <c r="G306" s="1312" t="n"/>
      <c r="H306" s="1301" t="n"/>
      <c r="I306" s="1321" t="n"/>
      <c r="J306" s="1322" t="n"/>
      <c r="K306" s="1318">
        <f>G306*18%</f>
        <v/>
      </c>
      <c r="L306" s="1318">
        <f>(G306-K306)*1.65%-(D306*1.65%)</f>
        <v/>
      </c>
      <c r="M306" s="1318" t="n"/>
      <c r="N306" s="863" t="n"/>
      <c r="O306" s="1320" t="n"/>
      <c r="P306" s="866" t="n"/>
      <c r="Q306" s="651">
        <f>(G306 - (D306+H306+K306+L306+M306+O306) + (N306)) / G306</f>
        <v/>
      </c>
      <c r="R306" s="651" t="n"/>
      <c r="S306" s="1206" t="n"/>
      <c r="T306" s="904" t="n"/>
      <c r="U306" s="569" t="n"/>
      <c r="V306" s="1317" t="n"/>
    </row>
    <row r="307" ht="15.75" customHeight="1" s="1349">
      <c r="A307" s="1292" t="n"/>
      <c r="B307" s="904" t="n"/>
      <c r="C307" s="904" t="n"/>
      <c r="D307" s="1325" t="n"/>
      <c r="E307" s="1326">
        <f>G307+F307</f>
        <v/>
      </c>
      <c r="F307" s="1325">
        <f>G307*0.05</f>
        <v/>
      </c>
      <c r="G307" s="1312" t="n"/>
      <c r="H307" s="1301" t="n"/>
      <c r="I307" s="1321" t="n"/>
      <c r="J307" s="1322" t="n"/>
      <c r="K307" s="1318">
        <f>G307*18%</f>
        <v/>
      </c>
      <c r="L307" s="1318">
        <f>(G307-K307)*1.65%-(D307*1.65%)</f>
        <v/>
      </c>
      <c r="M307" s="1318" t="n"/>
      <c r="N307" s="863" t="n"/>
      <c r="O307" s="1320" t="n"/>
      <c r="P307" s="866" t="n"/>
      <c r="Q307" s="651">
        <f>(G307 - (D307+H307+K307+L307+M307+O307) + (N307)) / G307</f>
        <v/>
      </c>
      <c r="R307" s="651" t="n"/>
      <c r="S307" s="1206" t="n"/>
      <c r="T307" s="904" t="n"/>
      <c r="U307" s="569" t="n"/>
      <c r="V307" s="1317" t="n"/>
    </row>
    <row r="308" ht="15.75" customHeight="1" s="1349">
      <c r="A308" s="1292" t="n"/>
      <c r="B308" s="904" t="n"/>
      <c r="C308" s="904" t="n"/>
      <c r="D308" s="1325" t="n"/>
      <c r="E308" s="1326">
        <f>G308+F308</f>
        <v/>
      </c>
      <c r="F308" s="1325">
        <f>G308*0.05</f>
        <v/>
      </c>
      <c r="G308" s="1312" t="n"/>
      <c r="H308" s="1301" t="n"/>
      <c r="I308" s="1321" t="n"/>
      <c r="J308" s="1322" t="n"/>
      <c r="K308" s="1318">
        <f>G308*18%</f>
        <v/>
      </c>
      <c r="L308" s="1318">
        <f>(G308-K308)*1.65%-(D308*1.65%)</f>
        <v/>
      </c>
      <c r="M308" s="1318" t="n"/>
      <c r="N308" s="863" t="n"/>
      <c r="O308" s="1320" t="n"/>
      <c r="P308" s="866" t="n"/>
      <c r="Q308" s="651">
        <f>(G308 - (D308+H308+K308+L308+M308+O308) + (N308)) / G308</f>
        <v/>
      </c>
      <c r="R308" s="651" t="n"/>
      <c r="S308" s="1206" t="n"/>
      <c r="T308" s="904" t="n"/>
      <c r="U308" s="569" t="n"/>
      <c r="V308" s="1317" t="n"/>
    </row>
    <row r="309" ht="15.75" customHeight="1" s="1349">
      <c r="A309" s="1292" t="n"/>
      <c r="B309" s="904" t="n"/>
      <c r="C309" s="904" t="n"/>
      <c r="D309" s="1325" t="n"/>
      <c r="E309" s="1326">
        <f>G309+F309</f>
        <v/>
      </c>
      <c r="F309" s="1325">
        <f>G309*0.05</f>
        <v/>
      </c>
      <c r="G309" s="1312" t="n"/>
      <c r="H309" s="1301" t="n"/>
      <c r="I309" s="1321" t="n"/>
      <c r="J309" s="1322" t="n"/>
      <c r="K309" s="1318">
        <f>G309*18%</f>
        <v/>
      </c>
      <c r="L309" s="1318">
        <f>(G309-K309)*1.65%-(D309*1.65%)</f>
        <v/>
      </c>
      <c r="M309" s="1318" t="n"/>
      <c r="N309" s="863" t="n"/>
      <c r="O309" s="1320" t="n"/>
      <c r="P309" s="866" t="n"/>
      <c r="Q309" s="651">
        <f>(G309 - (D309+H309+K309+L309+M309+O309) + (N309)) / G309</f>
        <v/>
      </c>
      <c r="R309" s="651" t="n"/>
      <c r="S309" s="1206" t="n"/>
      <c r="T309" s="904" t="n"/>
      <c r="U309" s="569" t="n"/>
      <c r="V309" s="1317" t="n"/>
    </row>
    <row r="310" ht="15.75" customHeight="1" s="1349">
      <c r="A310" s="1292" t="n"/>
      <c r="B310" s="904" t="n"/>
      <c r="C310" s="904" t="n"/>
      <c r="D310" s="1325" t="n"/>
      <c r="E310" s="1326">
        <f>G310+F310</f>
        <v/>
      </c>
      <c r="F310" s="1325">
        <f>G310*0.05</f>
        <v/>
      </c>
      <c r="G310" s="1312" t="n"/>
      <c r="H310" s="1301" t="n"/>
      <c r="I310" s="1321" t="n"/>
      <c r="J310" s="1322" t="n"/>
      <c r="K310" s="1318">
        <f>G310*18%</f>
        <v/>
      </c>
      <c r="L310" s="1318">
        <f>(G310-K310)*1.65%-(D310*1.65%)</f>
        <v/>
      </c>
      <c r="M310" s="1318" t="n"/>
      <c r="N310" s="863" t="n"/>
      <c r="O310" s="1320" t="n"/>
      <c r="P310" s="866" t="n"/>
      <c r="Q310" s="651">
        <f>(G310 - (D310+H310+K310+L310+M310+O310) + (N310)) / G310</f>
        <v/>
      </c>
      <c r="R310" s="651" t="n"/>
      <c r="S310" s="1206" t="n"/>
      <c r="T310" s="904" t="n"/>
      <c r="U310" s="569" t="n"/>
      <c r="V310" s="1317" t="n"/>
    </row>
    <row r="311" ht="15.75" customHeight="1" s="1349">
      <c r="A311" s="1292" t="n"/>
      <c r="B311" s="904" t="n"/>
      <c r="C311" s="904" t="n"/>
      <c r="D311" s="1325" t="n"/>
      <c r="E311" s="1326">
        <f>G311+F311</f>
        <v/>
      </c>
      <c r="F311" s="1325">
        <f>G311*0.05</f>
        <v/>
      </c>
      <c r="G311" s="1312" t="n"/>
      <c r="H311" s="1301" t="n"/>
      <c r="I311" s="1321" t="n"/>
      <c r="J311" s="1322" t="n"/>
      <c r="K311" s="1318">
        <f>G311*18%</f>
        <v/>
      </c>
      <c r="L311" s="1318">
        <f>(G311-K311)*1.65%-(D311*1.65%)</f>
        <v/>
      </c>
      <c r="M311" s="1318" t="n"/>
      <c r="N311" s="863" t="n"/>
      <c r="O311" s="1320" t="n"/>
      <c r="P311" s="866" t="n"/>
      <c r="Q311" s="651">
        <f>(G311 - (D311+H311+K311+L311+M311+O311) + (N311)) / G311</f>
        <v/>
      </c>
      <c r="R311" s="651" t="n"/>
      <c r="S311" s="1206" t="n"/>
      <c r="T311" s="904" t="n"/>
      <c r="U311" s="569" t="n"/>
      <c r="V311" s="1317" t="n"/>
    </row>
    <row r="312" ht="15.75" customHeight="1" s="1349">
      <c r="A312" s="1292" t="n"/>
      <c r="B312" s="904" t="n"/>
      <c r="C312" s="904" t="n"/>
      <c r="D312" s="1325" t="n"/>
      <c r="E312" s="1326">
        <f>G312+F312</f>
        <v/>
      </c>
      <c r="F312" s="1325">
        <f>G312*0.05</f>
        <v/>
      </c>
      <c r="G312" s="1312" t="n"/>
      <c r="H312" s="1301" t="n"/>
      <c r="I312" s="1321" t="n"/>
      <c r="J312" s="1322" t="n"/>
      <c r="K312" s="1318">
        <f>G312*18%</f>
        <v/>
      </c>
      <c r="L312" s="1318">
        <f>(G312-K312)*1.65%-(D312*1.65%)</f>
        <v/>
      </c>
      <c r="M312" s="1318" t="n"/>
      <c r="N312" s="863" t="n"/>
      <c r="O312" s="1320" t="n"/>
      <c r="P312" s="866" t="n"/>
      <c r="Q312" s="651">
        <f>(G312 - (D312+H312+K312+L312+M312+O312) + (N312)) / G312</f>
        <v/>
      </c>
      <c r="R312" s="651" t="n"/>
      <c r="S312" s="1206" t="n"/>
      <c r="T312" s="904" t="n"/>
      <c r="U312" s="569" t="n"/>
      <c r="V312" s="1317" t="n"/>
    </row>
    <row r="313" ht="15.75" customHeight="1" s="1349">
      <c r="A313" s="1292" t="n"/>
      <c r="B313" s="904" t="n"/>
      <c r="C313" s="904" t="n"/>
      <c r="D313" s="1325" t="n"/>
      <c r="E313" s="1326">
        <f>G313+F313</f>
        <v/>
      </c>
      <c r="F313" s="1325">
        <f>G313*0.05</f>
        <v/>
      </c>
      <c r="G313" s="1312" t="n"/>
      <c r="H313" s="1301" t="n"/>
      <c r="I313" s="1321" t="n"/>
      <c r="J313" s="1322" t="n"/>
      <c r="K313" s="1318">
        <f>G313*18%</f>
        <v/>
      </c>
      <c r="L313" s="1318">
        <f>(G313-K313)*1.65%-(D313*1.65%)</f>
        <v/>
      </c>
      <c r="M313" s="1318" t="n"/>
      <c r="N313" s="863" t="n"/>
      <c r="O313" s="1320" t="n"/>
      <c r="P313" s="866" t="n"/>
      <c r="Q313" s="651">
        <f>(G313 - (D313+H313+K313+L313+M313+O313) + (N313)) / G313</f>
        <v/>
      </c>
      <c r="R313" s="651" t="n"/>
      <c r="S313" s="1206" t="n"/>
      <c r="T313" s="904" t="n"/>
      <c r="U313" s="569" t="n"/>
      <c r="V313" s="1317" t="n"/>
    </row>
    <row r="314" ht="15.75" customHeight="1" s="1349">
      <c r="A314" s="1292" t="n"/>
      <c r="B314" s="904" t="n"/>
      <c r="C314" s="904" t="n"/>
      <c r="D314" s="1325" t="n"/>
      <c r="E314" s="1326">
        <f>G314+F314</f>
        <v/>
      </c>
      <c r="F314" s="1325">
        <f>G314*0.05</f>
        <v/>
      </c>
      <c r="G314" s="1312" t="n"/>
      <c r="H314" s="1301" t="n"/>
      <c r="I314" s="1321" t="n"/>
      <c r="J314" s="1322" t="n"/>
      <c r="K314" s="1318">
        <f>G314*18%</f>
        <v/>
      </c>
      <c r="L314" s="1318">
        <f>(G314-K314)*1.65%-(D314*1.65%)</f>
        <v/>
      </c>
      <c r="M314" s="1318" t="n"/>
      <c r="N314" s="863" t="n"/>
      <c r="O314" s="1320" t="n"/>
      <c r="P314" s="866" t="n"/>
      <c r="Q314" s="651">
        <f>(G314 - (D314+H314+K314+L314+M314+O314) + (N314)) / G314</f>
        <v/>
      </c>
      <c r="R314" s="651" t="n"/>
      <c r="S314" s="1206" t="n"/>
      <c r="T314" s="904" t="n"/>
      <c r="U314" s="569" t="n"/>
      <c r="V314" s="1317" t="n"/>
    </row>
    <row r="315" ht="15.75" customHeight="1" s="1349">
      <c r="A315" s="1292" t="n"/>
      <c r="B315" s="904" t="n"/>
      <c r="C315" s="904" t="n"/>
      <c r="D315" s="1325" t="n"/>
      <c r="E315" s="1326">
        <f>G315+F315</f>
        <v/>
      </c>
      <c r="F315" s="1325">
        <f>G315*0.05</f>
        <v/>
      </c>
      <c r="G315" s="1312" t="n"/>
      <c r="H315" s="1301" t="n"/>
      <c r="I315" s="1321" t="n"/>
      <c r="J315" s="1322" t="n"/>
      <c r="K315" s="1318">
        <f>G315*18%</f>
        <v/>
      </c>
      <c r="L315" s="1318">
        <f>(G315-K315)*1.65%-(D315*1.65%)</f>
        <v/>
      </c>
      <c r="M315" s="1318" t="n"/>
      <c r="N315" s="863" t="n"/>
      <c r="O315" s="1320" t="n"/>
      <c r="P315" s="866" t="n"/>
      <c r="Q315" s="651">
        <f>(G315 - (D315+H315+K315+L315+M315+O315) + (N315)) / G315</f>
        <v/>
      </c>
      <c r="R315" s="651" t="n"/>
      <c r="S315" s="1206" t="n"/>
      <c r="T315" s="904" t="n"/>
      <c r="U315" s="569" t="n"/>
      <c r="V315" s="1317" t="n"/>
    </row>
    <row r="316" ht="15.75" customHeight="1" s="1349">
      <c r="A316" s="1292" t="n"/>
      <c r="B316" s="904" t="n"/>
      <c r="C316" s="904" t="n"/>
      <c r="D316" s="1325" t="n"/>
      <c r="E316" s="1326">
        <f>G316+F316</f>
        <v/>
      </c>
      <c r="F316" s="1325">
        <f>G316*0.05</f>
        <v/>
      </c>
      <c r="G316" s="1312" t="n"/>
      <c r="H316" s="1301" t="n"/>
      <c r="I316" s="1321" t="n"/>
      <c r="J316" s="1322" t="n"/>
      <c r="K316" s="1318">
        <f>G316*18%</f>
        <v/>
      </c>
      <c r="L316" s="1318">
        <f>(G316-K316)*1.65%-(D316*1.65%)</f>
        <v/>
      </c>
      <c r="M316" s="1318" t="n"/>
      <c r="N316" s="863" t="n"/>
      <c r="O316" s="1320" t="n"/>
      <c r="P316" s="866" t="n"/>
      <c r="Q316" s="651">
        <f>(G316 - (D316+H316+K316+L316+M316+O316) + (N316)) / G316</f>
        <v/>
      </c>
      <c r="R316" s="651" t="n"/>
      <c r="S316" s="1206" t="n"/>
      <c r="T316" s="904" t="n"/>
      <c r="U316" s="569" t="n"/>
      <c r="V316" s="1317" t="n"/>
    </row>
    <row r="317" ht="15.75" customHeight="1" s="1349">
      <c r="A317" s="1292" t="n"/>
      <c r="B317" s="904" t="n"/>
      <c r="C317" s="904" t="n"/>
      <c r="D317" s="1325" t="n"/>
      <c r="E317" s="1326">
        <f>G317+F317</f>
        <v/>
      </c>
      <c r="F317" s="1325">
        <f>G317*0.05</f>
        <v/>
      </c>
      <c r="G317" s="1312" t="n"/>
      <c r="H317" s="1301" t="n"/>
      <c r="I317" s="1321" t="n"/>
      <c r="J317" s="1322" t="n"/>
      <c r="K317" s="1318">
        <f>G317*18%</f>
        <v/>
      </c>
      <c r="L317" s="1318">
        <f>(G317-K317)*1.65%-(D317*1.65%)</f>
        <v/>
      </c>
      <c r="M317" s="1318" t="n"/>
      <c r="N317" s="863" t="n"/>
      <c r="O317" s="1320" t="n"/>
      <c r="P317" s="866" t="n"/>
      <c r="Q317" s="651">
        <f>(G317 - (D317+H317+K317+L317+M317+O317) + (N317)) / G317</f>
        <v/>
      </c>
      <c r="R317" s="651" t="n"/>
      <c r="S317" s="1206" t="n"/>
      <c r="T317" s="904" t="n"/>
      <c r="U317" s="569" t="n"/>
      <c r="V317" s="1317" t="n"/>
    </row>
    <row r="318" ht="15.75" customHeight="1" s="1349">
      <c r="A318" s="1292" t="n"/>
      <c r="B318" s="904" t="n"/>
      <c r="C318" s="904" t="n"/>
      <c r="D318" s="1325" t="n"/>
      <c r="E318" s="1326">
        <f>G318+F318</f>
        <v/>
      </c>
      <c r="F318" s="1325">
        <f>G318*0.05</f>
        <v/>
      </c>
      <c r="G318" s="1312" t="n"/>
      <c r="H318" s="1301" t="n"/>
      <c r="I318" s="1321" t="n"/>
      <c r="J318" s="1322" t="n"/>
      <c r="K318" s="1318">
        <f>G318*18%</f>
        <v/>
      </c>
      <c r="L318" s="1318">
        <f>(G318-K318)*1.65%-(D318*1.65%)</f>
        <v/>
      </c>
      <c r="M318" s="1318" t="n"/>
      <c r="N318" s="863" t="n"/>
      <c r="O318" s="1320" t="n"/>
      <c r="P318" s="866" t="n"/>
      <c r="Q318" s="651">
        <f>(G318 - (D318+H318+K318+L318+M318+O318) + (N318)) / G318</f>
        <v/>
      </c>
      <c r="R318" s="651" t="n"/>
      <c r="S318" s="1206" t="n"/>
      <c r="T318" s="904" t="n"/>
      <c r="U318" s="569" t="n"/>
      <c r="V318" s="1317" t="n"/>
    </row>
    <row r="319" ht="15.75" customHeight="1" s="1349">
      <c r="A319" s="1292" t="n"/>
      <c r="B319" s="904" t="n"/>
      <c r="C319" s="904" t="n"/>
      <c r="D319" s="1325" t="n"/>
      <c r="E319" s="1326">
        <f>G319+F319</f>
        <v/>
      </c>
      <c r="F319" s="1325">
        <f>G319*0.05</f>
        <v/>
      </c>
      <c r="G319" s="1312" t="n"/>
      <c r="H319" s="1301" t="n"/>
      <c r="I319" s="1321" t="n"/>
      <c r="J319" s="1322" t="n"/>
      <c r="K319" s="1318">
        <f>G319*18%</f>
        <v/>
      </c>
      <c r="L319" s="1318">
        <f>(G319-K319)*1.65%-(D319*1.65%)</f>
        <v/>
      </c>
      <c r="M319" s="1318" t="n"/>
      <c r="N319" s="863" t="n"/>
      <c r="O319" s="1320" t="n"/>
      <c r="P319" s="866" t="n"/>
      <c r="Q319" s="651">
        <f>(G319 - (D319+H319+K319+L319+M319+O319) + (N319)) / G319</f>
        <v/>
      </c>
      <c r="R319" s="651" t="n"/>
      <c r="S319" s="1206" t="n"/>
      <c r="T319" s="904" t="n"/>
      <c r="U319" s="569" t="n"/>
      <c r="V319" s="1317" t="n"/>
    </row>
    <row r="320" ht="15.75" customHeight="1" s="1349">
      <c r="A320" s="1292" t="n"/>
      <c r="B320" s="904" t="n"/>
      <c r="C320" s="904" t="n"/>
      <c r="D320" s="1325" t="n"/>
      <c r="E320" s="1326">
        <f>G320+F320</f>
        <v/>
      </c>
      <c r="F320" s="1325">
        <f>G320*0.05</f>
        <v/>
      </c>
      <c r="G320" s="1312" t="n"/>
      <c r="H320" s="1301" t="n"/>
      <c r="I320" s="1321" t="n"/>
      <c r="J320" s="1322" t="n"/>
      <c r="K320" s="1318">
        <f>G320*18%</f>
        <v/>
      </c>
      <c r="L320" s="1318">
        <f>(G320-K320)*1.65%-(D320*1.65%)</f>
        <v/>
      </c>
      <c r="M320" s="1318" t="n"/>
      <c r="N320" s="863" t="n"/>
      <c r="O320" s="1320" t="n"/>
      <c r="P320" s="866" t="n"/>
      <c r="Q320" s="651">
        <f>(G320 - (D320+H320+K320+L320+M320+O320) + (N320)) / G320</f>
        <v/>
      </c>
      <c r="R320" s="651" t="n"/>
      <c r="S320" s="1206" t="n"/>
      <c r="T320" s="904" t="n"/>
      <c r="U320" s="569" t="n"/>
      <c r="V320" s="1317" t="n"/>
    </row>
    <row r="321" ht="15.75" customHeight="1" s="1349">
      <c r="A321" s="1292" t="n"/>
      <c r="B321" s="904" t="n"/>
      <c r="C321" s="904" t="n"/>
      <c r="D321" s="1325" t="n"/>
      <c r="E321" s="1326">
        <f>G321+F321</f>
        <v/>
      </c>
      <c r="F321" s="1325">
        <f>G321*0.05</f>
        <v/>
      </c>
      <c r="G321" s="1312" t="n"/>
      <c r="H321" s="1301" t="n"/>
      <c r="I321" s="1321" t="n"/>
      <c r="J321" s="1322" t="n"/>
      <c r="K321" s="1318">
        <f>G321*18%</f>
        <v/>
      </c>
      <c r="L321" s="1318">
        <f>(G321-K321)*1.65%-(D321*1.65%)</f>
        <v/>
      </c>
      <c r="M321" s="1318" t="n"/>
      <c r="N321" s="863" t="n"/>
      <c r="O321" s="1320" t="n"/>
      <c r="P321" s="866" t="n"/>
      <c r="Q321" s="651">
        <f>(G321 - (D321+H321+K321+L321+M321+O321) + (N321)) / G321</f>
        <v/>
      </c>
      <c r="R321" s="651" t="n"/>
      <c r="S321" s="1206" t="n"/>
      <c r="T321" s="904" t="n"/>
      <c r="U321" s="569" t="n"/>
      <c r="V321" s="1317" t="n"/>
    </row>
    <row r="322" ht="15.75" customHeight="1" s="1349">
      <c r="A322" s="1292" t="n"/>
      <c r="B322" s="904" t="n"/>
      <c r="C322" s="904" t="n"/>
      <c r="D322" s="1325" t="n"/>
      <c r="E322" s="1326">
        <f>G322+F322</f>
        <v/>
      </c>
      <c r="F322" s="1325">
        <f>G322*0.05</f>
        <v/>
      </c>
      <c r="G322" s="1312" t="n"/>
      <c r="H322" s="1301" t="n"/>
      <c r="I322" s="1321" t="n"/>
      <c r="J322" s="1322" t="n"/>
      <c r="K322" s="1318">
        <f>G322*18%</f>
        <v/>
      </c>
      <c r="L322" s="1318">
        <f>(G322-K322)*1.65%-(D322*1.65%)</f>
        <v/>
      </c>
      <c r="M322" s="1318" t="n"/>
      <c r="N322" s="863" t="n"/>
      <c r="O322" s="1320" t="n"/>
      <c r="P322" s="866" t="n"/>
      <c r="Q322" s="651">
        <f>(G322 - (D322+H322+K322+L322+M322+O322) + (N322)) / G322</f>
        <v/>
      </c>
      <c r="R322" s="651" t="n"/>
      <c r="S322" s="1206" t="n"/>
      <c r="T322" s="904" t="n"/>
      <c r="U322" s="569" t="n"/>
      <c r="V322" s="1317" t="n"/>
    </row>
    <row r="323" ht="15.75" customHeight="1" s="1349">
      <c r="A323" s="1292" t="n"/>
      <c r="B323" s="904" t="n"/>
      <c r="C323" s="904" t="n"/>
      <c r="D323" s="1325" t="n"/>
      <c r="E323" s="1326">
        <f>G323+F323</f>
        <v/>
      </c>
      <c r="F323" s="1325">
        <f>G323*0.05</f>
        <v/>
      </c>
      <c r="G323" s="1312" t="n"/>
      <c r="H323" s="1301" t="n"/>
      <c r="I323" s="1321" t="n"/>
      <c r="J323" s="1322" t="n"/>
      <c r="K323" s="1318">
        <f>G323*18%</f>
        <v/>
      </c>
      <c r="L323" s="1318">
        <f>(G323-K323)*1.65%-(D323*1.65%)</f>
        <v/>
      </c>
      <c r="M323" s="1318" t="n"/>
      <c r="N323" s="863" t="n"/>
      <c r="O323" s="1320" t="n"/>
      <c r="P323" s="866" t="n"/>
      <c r="Q323" s="651">
        <f>(G323 - (D323+H323+K323+L323+M323+O323) + (N323)) / G323</f>
        <v/>
      </c>
      <c r="R323" s="651" t="n"/>
      <c r="S323" s="1206" t="n"/>
      <c r="T323" s="904" t="n"/>
      <c r="U323" s="569" t="n"/>
      <c r="V323" s="1317" t="n"/>
    </row>
    <row r="324" ht="15.75" customHeight="1" s="1349">
      <c r="A324" s="1292" t="n"/>
      <c r="B324" s="904" t="n"/>
      <c r="C324" s="904" t="n"/>
      <c r="D324" s="1325" t="n"/>
      <c r="E324" s="1326">
        <f>G324+F324</f>
        <v/>
      </c>
      <c r="F324" s="1325">
        <f>G324*0.05</f>
        <v/>
      </c>
      <c r="G324" s="1312" t="n"/>
      <c r="H324" s="1301" t="n"/>
      <c r="I324" s="1321" t="n"/>
      <c r="J324" s="1322" t="n"/>
      <c r="K324" s="1318">
        <f>G324*18%</f>
        <v/>
      </c>
      <c r="L324" s="1318">
        <f>(G324-K324)*1.65%-(D324*1.65%)</f>
        <v/>
      </c>
      <c r="M324" s="1318" t="n"/>
      <c r="N324" s="863" t="n"/>
      <c r="O324" s="1320" t="n"/>
      <c r="P324" s="866" t="n"/>
      <c r="Q324" s="651">
        <f>(G324 - (D324+H324+K324+L324+M324+O324) + (N324)) / G324</f>
        <v/>
      </c>
      <c r="R324" s="651" t="n"/>
      <c r="S324" s="1206" t="n"/>
      <c r="T324" s="904" t="n"/>
      <c r="U324" s="569" t="n"/>
      <c r="V324" s="1317" t="n"/>
    </row>
    <row r="325" ht="15.75" customHeight="1" s="1349">
      <c r="A325" s="1292" t="n"/>
      <c r="B325" s="904" t="n"/>
      <c r="C325" s="904" t="n"/>
      <c r="D325" s="1325" t="n"/>
      <c r="E325" s="1326">
        <f>G325+F325</f>
        <v/>
      </c>
      <c r="F325" s="1325">
        <f>G325*0.05</f>
        <v/>
      </c>
      <c r="G325" s="1312" t="n"/>
      <c r="H325" s="1301" t="n"/>
      <c r="I325" s="1321" t="n"/>
      <c r="J325" s="1322" t="n"/>
      <c r="K325" s="1318">
        <f>G325*18%</f>
        <v/>
      </c>
      <c r="L325" s="1318">
        <f>(G325-K325)*1.65%-(D325*1.65%)</f>
        <v/>
      </c>
      <c r="M325" s="1318" t="n"/>
      <c r="N325" s="863" t="n"/>
      <c r="O325" s="1320" t="n"/>
      <c r="P325" s="866" t="n"/>
      <c r="Q325" s="651">
        <f>(G325 - (D325+H325+K325+L325+M325+O325) + (N325)) / G325</f>
        <v/>
      </c>
      <c r="R325" s="651" t="n"/>
      <c r="S325" s="1206" t="n"/>
      <c r="T325" s="904" t="n"/>
      <c r="U325" s="569" t="n"/>
      <c r="V325" s="1317" t="n"/>
    </row>
    <row r="326" ht="15.75" customHeight="1" s="1349">
      <c r="A326" s="1292" t="n"/>
      <c r="B326" s="904" t="n"/>
      <c r="C326" s="904" t="n"/>
      <c r="D326" s="1325" t="n"/>
      <c r="E326" s="1326">
        <f>G326+F326</f>
        <v/>
      </c>
      <c r="F326" s="1325">
        <f>G326*0.05</f>
        <v/>
      </c>
      <c r="G326" s="1312" t="n"/>
      <c r="H326" s="1301" t="n"/>
      <c r="I326" s="1321" t="n"/>
      <c r="J326" s="1322" t="n"/>
      <c r="K326" s="1318">
        <f>G326*18%</f>
        <v/>
      </c>
      <c r="L326" s="1318">
        <f>(G326-K326)*1.65%-(D326*1.65%)</f>
        <v/>
      </c>
      <c r="M326" s="1318" t="n"/>
      <c r="N326" s="863" t="n"/>
      <c r="O326" s="1320" t="n"/>
      <c r="P326" s="866" t="n"/>
      <c r="Q326" s="651">
        <f>(G326 - (D326+H326+K326+L326+M326+O326) + (N326)) / G326</f>
        <v/>
      </c>
      <c r="R326" s="651" t="n"/>
      <c r="S326" s="1206" t="n"/>
      <c r="T326" s="904" t="n"/>
      <c r="U326" s="569" t="n"/>
      <c r="V326" s="1317" t="n"/>
    </row>
    <row r="327" ht="15.75" customHeight="1" s="1349">
      <c r="A327" s="1292" t="n"/>
      <c r="B327" s="904" t="n"/>
      <c r="C327" s="904" t="n"/>
      <c r="D327" s="1325" t="n"/>
      <c r="E327" s="1326">
        <f>G327+F327</f>
        <v/>
      </c>
      <c r="F327" s="1325">
        <f>G327*0.05</f>
        <v/>
      </c>
      <c r="G327" s="1312" t="n"/>
      <c r="H327" s="1301" t="n"/>
      <c r="I327" s="1321" t="n"/>
      <c r="J327" s="1322" t="n"/>
      <c r="K327" s="1318">
        <f>G327*18%</f>
        <v/>
      </c>
      <c r="L327" s="1318">
        <f>(G327-K327)*1.65%-(D327*1.65%)</f>
        <v/>
      </c>
      <c r="M327" s="1318" t="n"/>
      <c r="N327" s="863" t="n"/>
      <c r="O327" s="1320" t="n"/>
      <c r="P327" s="866" t="n"/>
      <c r="Q327" s="651">
        <f>(G327 - (D327+H327+K327+L327+M327+O327) + (N327)) / G327</f>
        <v/>
      </c>
      <c r="R327" s="651" t="n"/>
      <c r="S327" s="1206" t="n"/>
      <c r="T327" s="904" t="n"/>
      <c r="U327" s="569" t="n"/>
      <c r="V327" s="1317" t="n"/>
    </row>
    <row r="328" ht="15.75" customHeight="1" s="1349">
      <c r="A328" s="1292" t="n"/>
      <c r="B328" s="904" t="n"/>
      <c r="C328" s="904" t="n"/>
      <c r="D328" s="1325" t="n"/>
      <c r="E328" s="1326">
        <f>G328+F328</f>
        <v/>
      </c>
      <c r="F328" s="1325">
        <f>G328*0.05</f>
        <v/>
      </c>
      <c r="G328" s="1312" t="n"/>
      <c r="H328" s="1301" t="n"/>
      <c r="I328" s="1321" t="n"/>
      <c r="J328" s="1322" t="n"/>
      <c r="K328" s="1318">
        <f>G328*18%</f>
        <v/>
      </c>
      <c r="L328" s="1318">
        <f>(G328-K328)*1.65%-(D328*1.65%)</f>
        <v/>
      </c>
      <c r="M328" s="1318" t="n"/>
      <c r="N328" s="863" t="n"/>
      <c r="O328" s="1320" t="n"/>
      <c r="P328" s="866" t="n"/>
      <c r="Q328" s="651">
        <f>(G328 - (D328+H328+K328+L328+M328+O328) + (N328)) / G328</f>
        <v/>
      </c>
      <c r="R328" s="651" t="n"/>
      <c r="S328" s="1206" t="n"/>
      <c r="T328" s="904" t="n"/>
      <c r="U328" s="569" t="n"/>
      <c r="V328" s="1317" t="n"/>
    </row>
    <row r="329" ht="15.75" customHeight="1" s="1349">
      <c r="A329" s="1292" t="n"/>
      <c r="B329" s="904" t="n"/>
      <c r="C329" s="904" t="n"/>
      <c r="D329" s="1325" t="n"/>
      <c r="E329" s="1326">
        <f>G329+F329</f>
        <v/>
      </c>
      <c r="F329" s="1325">
        <f>G329*0.05</f>
        <v/>
      </c>
      <c r="G329" s="1312" t="n"/>
      <c r="H329" s="1301" t="n"/>
      <c r="I329" s="1321" t="n"/>
      <c r="J329" s="1322" t="n"/>
      <c r="K329" s="1318">
        <f>G329*18%</f>
        <v/>
      </c>
      <c r="L329" s="1318">
        <f>(G329-K329)*1.65%-(D329*1.65%)</f>
        <v/>
      </c>
      <c r="M329" s="1318" t="n"/>
      <c r="N329" s="863" t="n"/>
      <c r="O329" s="1320" t="n"/>
      <c r="P329" s="866" t="n"/>
      <c r="Q329" s="651">
        <f>(G329 - (D329+H329+K329+L329+M329+O329) + (N329)) / G329</f>
        <v/>
      </c>
      <c r="R329" s="651" t="n"/>
      <c r="S329" s="1206" t="n"/>
      <c r="T329" s="904" t="n"/>
      <c r="U329" s="569" t="n"/>
      <c r="V329" s="1317" t="n"/>
    </row>
    <row r="330" ht="15.75" customHeight="1" s="1349">
      <c r="A330" s="1292" t="n"/>
      <c r="B330" s="904" t="n"/>
      <c r="C330" s="904" t="n"/>
      <c r="D330" s="1325" t="n"/>
      <c r="E330" s="1326">
        <f>G330+F330</f>
        <v/>
      </c>
      <c r="F330" s="1325">
        <f>G330*0.05</f>
        <v/>
      </c>
      <c r="G330" s="1312" t="n"/>
      <c r="H330" s="1301" t="n"/>
      <c r="I330" s="1321" t="n"/>
      <c r="J330" s="1322" t="n"/>
      <c r="K330" s="1318">
        <f>G330*18%</f>
        <v/>
      </c>
      <c r="L330" s="1318">
        <f>(G330-K330)*1.65%-(D330*1.65%)</f>
        <v/>
      </c>
      <c r="M330" s="1318" t="n"/>
      <c r="N330" s="863" t="n"/>
      <c r="O330" s="1320" t="n"/>
      <c r="P330" s="866" t="n"/>
      <c r="Q330" s="651">
        <f>(G330 - (D330+H330+K330+L330+M330+O330) + (N330)) / G330</f>
        <v/>
      </c>
      <c r="R330" s="651" t="n"/>
      <c r="S330" s="1206" t="n"/>
      <c r="T330" s="904" t="n"/>
      <c r="U330" s="569" t="n"/>
      <c r="V330" s="1317" t="n"/>
    </row>
    <row r="331" ht="15.75" customHeight="1" s="1349">
      <c r="A331" s="1292" t="n"/>
      <c r="B331" s="904" t="n"/>
      <c r="C331" s="904" t="n"/>
      <c r="D331" s="1325" t="n"/>
      <c r="E331" s="1326">
        <f>G331+F331</f>
        <v/>
      </c>
      <c r="F331" s="1325">
        <f>G331*0.05</f>
        <v/>
      </c>
      <c r="G331" s="1312" t="n"/>
      <c r="H331" s="1301" t="n"/>
      <c r="I331" s="1321" t="n"/>
      <c r="J331" s="1322" t="n"/>
      <c r="K331" s="1318">
        <f>G331*18%</f>
        <v/>
      </c>
      <c r="L331" s="1318">
        <f>(G331-K331)*1.65%-(D331*1.65%)</f>
        <v/>
      </c>
      <c r="M331" s="1318" t="n"/>
      <c r="N331" s="863" t="n"/>
      <c r="O331" s="1320" t="n"/>
      <c r="P331" s="866" t="n"/>
      <c r="Q331" s="651">
        <f>(G331 - (D331+H331+K331+L331+M331+O331) + (N331)) / G331</f>
        <v/>
      </c>
      <c r="R331" s="651" t="n"/>
      <c r="S331" s="1206" t="n"/>
      <c r="T331" s="904" t="n"/>
      <c r="U331" s="569" t="n"/>
      <c r="V331" s="1317" t="n"/>
    </row>
    <row r="332" ht="15.75" customHeight="1" s="1349">
      <c r="A332" s="1292" t="n"/>
      <c r="B332" s="904" t="n"/>
      <c r="C332" s="904" t="n"/>
      <c r="D332" s="1325" t="n"/>
      <c r="E332" s="1326">
        <f>G332+F332</f>
        <v/>
      </c>
      <c r="F332" s="1325">
        <f>G332*0.05</f>
        <v/>
      </c>
      <c r="G332" s="1312" t="n"/>
      <c r="H332" s="1301" t="n"/>
      <c r="I332" s="1321" t="n"/>
      <c r="J332" s="1322" t="n"/>
      <c r="K332" s="1318">
        <f>G332*18%</f>
        <v/>
      </c>
      <c r="L332" s="1318">
        <f>(G332-K332)*1.65%-(D332*1.65%)</f>
        <v/>
      </c>
      <c r="M332" s="1318" t="n"/>
      <c r="N332" s="863" t="n"/>
      <c r="O332" s="1320" t="n"/>
      <c r="P332" s="866" t="n"/>
      <c r="Q332" s="651">
        <f>(G332 - (D332+H332+K332+L332+M332+O332) + (N332)) / G332</f>
        <v/>
      </c>
      <c r="R332" s="651" t="n"/>
      <c r="S332" s="1206" t="n"/>
      <c r="T332" s="904" t="n"/>
      <c r="U332" s="569" t="n"/>
      <c r="V332" s="1317" t="n"/>
    </row>
    <row r="333" ht="15.75" customHeight="1" s="1349">
      <c r="A333" s="1292" t="n"/>
      <c r="B333" s="904" t="n"/>
      <c r="C333" s="904" t="n"/>
      <c r="D333" s="1325" t="n"/>
      <c r="E333" s="1326">
        <f>G333+F333</f>
        <v/>
      </c>
      <c r="F333" s="1325">
        <f>G333*0.05</f>
        <v/>
      </c>
      <c r="G333" s="1312" t="n"/>
      <c r="H333" s="1301" t="n"/>
      <c r="I333" s="1321" t="n"/>
      <c r="J333" s="1322" t="n"/>
      <c r="K333" s="1318">
        <f>G333*18%</f>
        <v/>
      </c>
      <c r="L333" s="1318">
        <f>(G333-K333)*1.65%-(D333*1.65%)</f>
        <v/>
      </c>
      <c r="M333" s="1318" t="n"/>
      <c r="N333" s="863" t="n"/>
      <c r="O333" s="1320" t="n"/>
      <c r="P333" s="866" t="n"/>
      <c r="Q333" s="651">
        <f>(G333 - (D333+H333+K333+L333+M333+O333) + (N333)) / G333</f>
        <v/>
      </c>
      <c r="R333" s="651" t="n"/>
      <c r="S333" s="1206" t="n"/>
      <c r="T333" s="904" t="n"/>
      <c r="U333" s="569" t="n"/>
      <c r="V333" s="1317" t="n"/>
    </row>
    <row r="334" ht="15.75" customHeight="1" s="1349">
      <c r="A334" s="1292" t="n"/>
      <c r="B334" s="904" t="n"/>
      <c r="C334" s="904" t="n"/>
      <c r="D334" s="1325" t="n"/>
      <c r="E334" s="1326">
        <f>G334+F334</f>
        <v/>
      </c>
      <c r="F334" s="1325">
        <f>G334*0.05</f>
        <v/>
      </c>
      <c r="G334" s="1312" t="n"/>
      <c r="H334" s="1301" t="n"/>
      <c r="I334" s="1321" t="n"/>
      <c r="J334" s="1322" t="n"/>
      <c r="K334" s="1318">
        <f>G334*18%</f>
        <v/>
      </c>
      <c r="L334" s="1318">
        <f>(G334-K334)*1.65%-(D334*1.65%)</f>
        <v/>
      </c>
      <c r="M334" s="1318" t="n"/>
      <c r="N334" s="863" t="n"/>
      <c r="O334" s="1320" t="n"/>
      <c r="P334" s="866" t="n"/>
      <c r="Q334" s="651">
        <f>(G334 - (D334+H334+K334+L334+M334+O334) + (N334)) / G334</f>
        <v/>
      </c>
      <c r="R334" s="651" t="n"/>
      <c r="S334" s="1206" t="n"/>
      <c r="T334" s="904" t="n"/>
      <c r="U334" s="569" t="n"/>
      <c r="V334" s="1317" t="n"/>
    </row>
    <row r="335" ht="15.75" customHeight="1" s="1349">
      <c r="A335" s="1292" t="n"/>
      <c r="B335" s="904" t="n"/>
      <c r="C335" s="904" t="n"/>
      <c r="D335" s="1325" t="n"/>
      <c r="E335" s="1326">
        <f>G335+F335</f>
        <v/>
      </c>
      <c r="F335" s="1325">
        <f>G335*0.05</f>
        <v/>
      </c>
      <c r="G335" s="1312" t="n"/>
      <c r="H335" s="1301" t="n"/>
      <c r="I335" s="1321" t="n"/>
      <c r="J335" s="1322" t="n"/>
      <c r="K335" s="1318">
        <f>G335*18%</f>
        <v/>
      </c>
      <c r="L335" s="1318">
        <f>(G335-K335)*1.65%-(D335*1.65%)</f>
        <v/>
      </c>
      <c r="M335" s="1318" t="n"/>
      <c r="N335" s="863" t="n"/>
      <c r="O335" s="1320" t="n"/>
      <c r="P335" s="866" t="n"/>
      <c r="Q335" s="651">
        <f>(G335 - (D335+H335+K335+L335+M335+O335) + (N335)) / G335</f>
        <v/>
      </c>
      <c r="R335" s="651" t="n"/>
      <c r="S335" s="1206" t="n"/>
      <c r="T335" s="904" t="n"/>
      <c r="U335" s="569" t="n"/>
      <c r="V335" s="1317" t="n"/>
    </row>
    <row r="336" ht="15.75" customHeight="1" s="1349">
      <c r="A336" s="1292" t="n"/>
      <c r="B336" s="904" t="n"/>
      <c r="C336" s="904" t="n"/>
      <c r="D336" s="1325" t="n"/>
      <c r="E336" s="1326">
        <f>G336+F336</f>
        <v/>
      </c>
      <c r="F336" s="1325">
        <f>G336*0.05</f>
        <v/>
      </c>
      <c r="G336" s="1312" t="n"/>
      <c r="H336" s="1301" t="n"/>
      <c r="I336" s="1321" t="n"/>
      <c r="J336" s="1322" t="n"/>
      <c r="K336" s="1318">
        <f>G336*18%</f>
        <v/>
      </c>
      <c r="L336" s="1318">
        <f>(G336-K336)*1.65%-(D336*1.65%)</f>
        <v/>
      </c>
      <c r="M336" s="1318" t="n"/>
      <c r="N336" s="863" t="n"/>
      <c r="O336" s="1320" t="n"/>
      <c r="P336" s="866" t="n"/>
      <c r="Q336" s="651">
        <f>(G336 - (D336+H336+K336+L336+M336+O336) + (N336)) / G336</f>
        <v/>
      </c>
      <c r="R336" s="651" t="n"/>
      <c r="S336" s="1206" t="n"/>
      <c r="T336" s="904" t="n"/>
      <c r="U336" s="569" t="n"/>
      <c r="V336" s="1317" t="n"/>
    </row>
    <row r="337" ht="15.75" customHeight="1" s="1349">
      <c r="A337" s="1292" t="n"/>
      <c r="B337" s="904" t="n"/>
      <c r="C337" s="904" t="n"/>
      <c r="D337" s="1325" t="n"/>
      <c r="E337" s="1326">
        <f>G337+F337</f>
        <v/>
      </c>
      <c r="F337" s="1325">
        <f>G337*0.05</f>
        <v/>
      </c>
      <c r="G337" s="1312" t="n"/>
      <c r="H337" s="1301" t="n"/>
      <c r="I337" s="1321" t="n"/>
      <c r="J337" s="1322" t="n"/>
      <c r="K337" s="1318">
        <f>G337*18%</f>
        <v/>
      </c>
      <c r="L337" s="1318">
        <f>(G337-K337)*1.65%-(D337*1.65%)</f>
        <v/>
      </c>
      <c r="M337" s="1318" t="n"/>
      <c r="N337" s="863" t="n"/>
      <c r="O337" s="1320" t="n"/>
      <c r="P337" s="866" t="n"/>
      <c r="Q337" s="651">
        <f>(G337 - (D337+H337+K337+L337+M337+O337) + (N337)) / G337</f>
        <v/>
      </c>
      <c r="R337" s="651" t="n"/>
      <c r="S337" s="1206" t="n"/>
      <c r="T337" s="904" t="n"/>
      <c r="U337" s="569" t="n"/>
      <c r="V337" s="1317" t="n"/>
    </row>
    <row r="338" ht="15.75" customHeight="1" s="1349">
      <c r="A338" s="1292" t="n"/>
      <c r="B338" s="904" t="n"/>
      <c r="C338" s="904" t="n"/>
      <c r="D338" s="1325" t="n"/>
      <c r="E338" s="1326">
        <f>G338+F338</f>
        <v/>
      </c>
      <c r="F338" s="1325">
        <f>G338*0.05</f>
        <v/>
      </c>
      <c r="G338" s="1312" t="n"/>
      <c r="H338" s="1301" t="n"/>
      <c r="I338" s="1321" t="n"/>
      <c r="J338" s="1322" t="n"/>
      <c r="K338" s="1318">
        <f>G338*18%</f>
        <v/>
      </c>
      <c r="L338" s="1318">
        <f>(G338-K338)*1.65%-(D338*1.65%)</f>
        <v/>
      </c>
      <c r="M338" s="1318" t="n"/>
      <c r="N338" s="863" t="n"/>
      <c r="O338" s="1320" t="n"/>
      <c r="P338" s="866" t="n"/>
      <c r="Q338" s="651">
        <f>(G338 - (D338+H338+K338+L338+M338+O338) + (N338)) / G338</f>
        <v/>
      </c>
      <c r="R338" s="651" t="n"/>
      <c r="S338" s="1206" t="n"/>
      <c r="T338" s="904" t="n"/>
      <c r="U338" s="569" t="n"/>
      <c r="V338" s="1317" t="n"/>
    </row>
    <row r="339" ht="15.75" customHeight="1" s="1349">
      <c r="A339" s="1292" t="n"/>
      <c r="B339" s="904" t="n"/>
      <c r="C339" s="904" t="n"/>
      <c r="D339" s="1325" t="n"/>
      <c r="E339" s="1326">
        <f>G339+F339</f>
        <v/>
      </c>
      <c r="F339" s="1325">
        <f>G339*0.05</f>
        <v/>
      </c>
      <c r="G339" s="1312" t="n"/>
      <c r="H339" s="1301" t="n"/>
      <c r="I339" s="1321" t="n"/>
      <c r="J339" s="1322" t="n"/>
      <c r="K339" s="1318">
        <f>G339*18%</f>
        <v/>
      </c>
      <c r="L339" s="1318">
        <f>(G339-K339)*1.65%-(D339*1.65%)</f>
        <v/>
      </c>
      <c r="M339" s="1318" t="n"/>
      <c r="N339" s="863" t="n"/>
      <c r="O339" s="1320" t="n"/>
      <c r="P339" s="866" t="n"/>
      <c r="Q339" s="651">
        <f>(G339 - (D339+H339+K339+L339+M339+O339) + (N339)) / G339</f>
        <v/>
      </c>
      <c r="R339" s="651" t="n"/>
      <c r="S339" s="1206" t="n"/>
      <c r="T339" s="904" t="n"/>
      <c r="U339" s="569" t="n"/>
      <c r="V339" s="1317" t="n"/>
    </row>
    <row r="340" ht="15.75" customHeight="1" s="1349">
      <c r="A340" s="1292" t="n"/>
      <c r="B340" s="904" t="n"/>
      <c r="C340" s="904" t="n"/>
      <c r="D340" s="1325" t="n"/>
      <c r="E340" s="1326">
        <f>G340+F340</f>
        <v/>
      </c>
      <c r="F340" s="1325">
        <f>G340*0.05</f>
        <v/>
      </c>
      <c r="G340" s="1312" t="n"/>
      <c r="H340" s="1301" t="n"/>
      <c r="I340" s="1321" t="n"/>
      <c r="J340" s="1322" t="n"/>
      <c r="K340" s="1318">
        <f>G340*18%</f>
        <v/>
      </c>
      <c r="L340" s="1318">
        <f>(G340-K340)*1.65%-(D340*1.65%)</f>
        <v/>
      </c>
      <c r="M340" s="1318" t="n"/>
      <c r="N340" s="863" t="n"/>
      <c r="O340" s="1320" t="n"/>
      <c r="P340" s="866" t="n"/>
      <c r="Q340" s="651">
        <f>(G340 - (D340+H340+K340+L340+M340+O340) + (N340)) / G340</f>
        <v/>
      </c>
      <c r="R340" s="651" t="n"/>
      <c r="S340" s="1206" t="n"/>
      <c r="T340" s="904" t="n"/>
      <c r="U340" s="569" t="n"/>
      <c r="V340" s="1317" t="n"/>
    </row>
    <row r="341" ht="15.75" customHeight="1" s="1349">
      <c r="A341" s="1292" t="n"/>
      <c r="B341" s="904" t="n"/>
      <c r="C341" s="904" t="n"/>
      <c r="D341" s="1325" t="n"/>
      <c r="E341" s="1326">
        <f>G341+F341</f>
        <v/>
      </c>
      <c r="F341" s="1325">
        <f>G341*0.05</f>
        <v/>
      </c>
      <c r="G341" s="1312" t="n"/>
      <c r="H341" s="1301" t="n"/>
      <c r="I341" s="1321" t="n"/>
      <c r="J341" s="1322" t="n"/>
      <c r="K341" s="1318">
        <f>G341*18%</f>
        <v/>
      </c>
      <c r="L341" s="1318">
        <f>(G341-K341)*1.65%-(D341*1.65%)</f>
        <v/>
      </c>
      <c r="M341" s="1318" t="n"/>
      <c r="N341" s="863" t="n"/>
      <c r="O341" s="1320" t="n"/>
      <c r="P341" s="866" t="n"/>
      <c r="Q341" s="651">
        <f>(G341 - (D341+H341+K341+L341+M341+O341) + (N341)) / G341</f>
        <v/>
      </c>
      <c r="R341" s="651" t="n"/>
      <c r="S341" s="1206" t="n"/>
      <c r="T341" s="904" t="n"/>
      <c r="U341" s="569" t="n"/>
      <c r="V341" s="1317" t="n"/>
    </row>
    <row r="342" ht="15.75" customHeight="1" s="1349">
      <c r="A342" s="1292" t="n"/>
      <c r="B342" s="904" t="n"/>
      <c r="C342" s="904" t="n"/>
      <c r="D342" s="1325" t="n"/>
      <c r="E342" s="1326">
        <f>G342+F342</f>
        <v/>
      </c>
      <c r="F342" s="1325">
        <f>G342*0.05</f>
        <v/>
      </c>
      <c r="G342" s="1312" t="n"/>
      <c r="H342" s="1301" t="n"/>
      <c r="I342" s="1321" t="n"/>
      <c r="J342" s="1322" t="n"/>
      <c r="K342" s="1318">
        <f>G342*18%</f>
        <v/>
      </c>
      <c r="L342" s="1318">
        <f>(G342-K342)*1.65%-(D342*1.65%)</f>
        <v/>
      </c>
      <c r="M342" s="1318" t="n"/>
      <c r="N342" s="863" t="n"/>
      <c r="O342" s="1320" t="n"/>
      <c r="P342" s="866" t="n"/>
      <c r="Q342" s="651">
        <f>(G342 - (D342+H342+K342+L342+M342+O342) + (N342)) / G342</f>
        <v/>
      </c>
      <c r="R342" s="651" t="n"/>
      <c r="S342" s="1206" t="n"/>
      <c r="T342" s="904" t="n"/>
      <c r="U342" s="569" t="n"/>
      <c r="V342" s="1317" t="n"/>
    </row>
    <row r="343" ht="15.75" customHeight="1" s="1349">
      <c r="A343" s="1292" t="n"/>
      <c r="B343" s="904" t="n"/>
      <c r="C343" s="904" t="n"/>
      <c r="D343" s="1325" t="n"/>
      <c r="E343" s="1326">
        <f>G343+F343</f>
        <v/>
      </c>
      <c r="F343" s="1325">
        <f>G343*0.05</f>
        <v/>
      </c>
      <c r="G343" s="1312" t="n"/>
      <c r="H343" s="1301" t="n"/>
      <c r="I343" s="1321" t="n"/>
      <c r="J343" s="1322" t="n"/>
      <c r="K343" s="1318">
        <f>G343*18%</f>
        <v/>
      </c>
      <c r="L343" s="1318">
        <f>(G343-K343)*1.65%-(D343*1.65%)</f>
        <v/>
      </c>
      <c r="M343" s="1318" t="n"/>
      <c r="N343" s="863" t="n"/>
      <c r="O343" s="1320" t="n"/>
      <c r="P343" s="866" t="n"/>
      <c r="Q343" s="651">
        <f>(G343 - (D343+H343+K343+L343+M343+O343) + (N343)) / G343</f>
        <v/>
      </c>
      <c r="R343" s="651" t="n"/>
      <c r="S343" s="1206" t="n"/>
      <c r="T343" s="904" t="n"/>
      <c r="U343" s="569" t="n"/>
      <c r="V343" s="1317" t="n"/>
    </row>
    <row r="344" ht="15.75" customHeight="1" s="1349">
      <c r="A344" s="1292" t="n"/>
      <c r="B344" s="904" t="n"/>
      <c r="C344" s="904" t="n"/>
      <c r="D344" s="1325" t="n"/>
      <c r="E344" s="1326">
        <f>G344+F344</f>
        <v/>
      </c>
      <c r="F344" s="1325">
        <f>G344*0.05</f>
        <v/>
      </c>
      <c r="G344" s="1312" t="n"/>
      <c r="H344" s="1301" t="n"/>
      <c r="I344" s="1321" t="n"/>
      <c r="J344" s="1322" t="n"/>
      <c r="K344" s="1318">
        <f>G344*18%</f>
        <v/>
      </c>
      <c r="L344" s="1318">
        <f>(G344-K344)*1.65%-(D344*1.65%)</f>
        <v/>
      </c>
      <c r="M344" s="1318" t="n"/>
      <c r="N344" s="863" t="n"/>
      <c r="O344" s="1320" t="n"/>
      <c r="P344" s="866" t="n"/>
      <c r="Q344" s="651">
        <f>(G344 - (D344+H344+K344+L344+M344+O344) + (N344)) / G344</f>
        <v/>
      </c>
      <c r="R344" s="651" t="n"/>
      <c r="S344" s="1206" t="n"/>
      <c r="T344" s="904" t="n"/>
      <c r="U344" s="569" t="n"/>
      <c r="V344" s="1317" t="n"/>
    </row>
    <row r="345" ht="15.75" customHeight="1" s="1349">
      <c r="A345" s="1292" t="n"/>
      <c r="B345" s="904" t="n"/>
      <c r="C345" s="904" t="n"/>
      <c r="D345" s="1325" t="n"/>
      <c r="E345" s="1326">
        <f>G345+F345</f>
        <v/>
      </c>
      <c r="F345" s="1325">
        <f>G345*0.05</f>
        <v/>
      </c>
      <c r="G345" s="1312" t="n"/>
      <c r="H345" s="1301" t="n"/>
      <c r="I345" s="1321" t="n"/>
      <c r="J345" s="1322" t="n"/>
      <c r="K345" s="1318">
        <f>G345*18%</f>
        <v/>
      </c>
      <c r="L345" s="1318">
        <f>(G345-K345)*1.65%-(D345*1.65%)</f>
        <v/>
      </c>
      <c r="M345" s="1318" t="n"/>
      <c r="N345" s="863" t="n"/>
      <c r="O345" s="1320" t="n"/>
      <c r="P345" s="866" t="n"/>
      <c r="Q345" s="651">
        <f>(G345 - (D345+H345+K345+L345+M345+O345) + (N345)) / G345</f>
        <v/>
      </c>
      <c r="R345" s="651" t="n"/>
      <c r="S345" s="1206" t="n"/>
      <c r="T345" s="904" t="n"/>
      <c r="U345" s="569" t="n"/>
      <c r="V345" s="1317" t="n"/>
    </row>
    <row r="346" ht="15.75" customHeight="1" s="1349">
      <c r="A346" s="1292" t="n"/>
      <c r="B346" s="904" t="n"/>
      <c r="C346" s="904" t="n"/>
      <c r="D346" s="1325" t="n"/>
      <c r="E346" s="1326">
        <f>G346+F346</f>
        <v/>
      </c>
      <c r="F346" s="1325">
        <f>G346*0.05</f>
        <v/>
      </c>
      <c r="G346" s="1312" t="n"/>
      <c r="H346" s="1301" t="n"/>
      <c r="I346" s="1321" t="n"/>
      <c r="J346" s="1322" t="n"/>
      <c r="K346" s="1318">
        <f>G346*18%</f>
        <v/>
      </c>
      <c r="L346" s="1318">
        <f>(G346-K346)*1.65%-(D346*1.65%)</f>
        <v/>
      </c>
      <c r="M346" s="1318" t="n"/>
      <c r="N346" s="863" t="n"/>
      <c r="O346" s="1320" t="n"/>
      <c r="P346" s="866" t="n"/>
      <c r="Q346" s="651">
        <f>(G346 - (D346+H346+K346+L346+M346+O346) + (N346)) / G346</f>
        <v/>
      </c>
      <c r="R346" s="651" t="n"/>
      <c r="S346" s="1206" t="n"/>
      <c r="T346" s="904" t="n"/>
      <c r="U346" s="569" t="n"/>
      <c r="V346" s="1317" t="n"/>
    </row>
    <row r="347" ht="15.75" customHeight="1" s="1349">
      <c r="A347" s="1292" t="n"/>
      <c r="B347" s="904" t="n"/>
      <c r="C347" s="904" t="n"/>
      <c r="D347" s="1325" t="n"/>
      <c r="E347" s="1326">
        <f>G347+F347</f>
        <v/>
      </c>
      <c r="F347" s="1325">
        <f>G347*0.05</f>
        <v/>
      </c>
      <c r="G347" s="1312" t="n"/>
      <c r="H347" s="1301" t="n"/>
      <c r="I347" s="1321" t="n"/>
      <c r="J347" s="1322" t="n"/>
      <c r="K347" s="1318">
        <f>G347*18%</f>
        <v/>
      </c>
      <c r="L347" s="1318">
        <f>(G347-K347)*1.65%-(D347*1.65%)</f>
        <v/>
      </c>
      <c r="M347" s="1318" t="n"/>
      <c r="N347" s="863" t="n"/>
      <c r="O347" s="1320" t="n"/>
      <c r="P347" s="866" t="n"/>
      <c r="Q347" s="651">
        <f>(G347 - (D347+H347+K347+L347+M347+O347) + (N347)) / G347</f>
        <v/>
      </c>
      <c r="R347" s="651" t="n"/>
      <c r="S347" s="1206" t="n"/>
      <c r="T347" s="904" t="n"/>
      <c r="U347" s="569" t="n"/>
      <c r="V347" s="1317" t="n"/>
    </row>
    <row r="348" ht="15.75" customHeight="1" s="1349">
      <c r="A348" s="1292" t="n"/>
      <c r="B348" s="904" t="n"/>
      <c r="C348" s="904" t="n"/>
      <c r="D348" s="1325" t="n"/>
      <c r="E348" s="1326">
        <f>G348+F348</f>
        <v/>
      </c>
      <c r="F348" s="1325">
        <f>G348*0.05</f>
        <v/>
      </c>
      <c r="G348" s="1312" t="n"/>
      <c r="H348" s="1301" t="n"/>
      <c r="I348" s="1321" t="n"/>
      <c r="J348" s="1322" t="n"/>
      <c r="K348" s="1318">
        <f>G348*18%</f>
        <v/>
      </c>
      <c r="L348" s="1318">
        <f>(G348-K348)*1.65%-(D348*1.65%)</f>
        <v/>
      </c>
      <c r="M348" s="1318" t="n"/>
      <c r="N348" s="863" t="n"/>
      <c r="O348" s="1320" t="n"/>
      <c r="P348" s="866" t="n"/>
      <c r="Q348" s="651">
        <f>(G348 - (D348+H348+K348+L348+M348+O348) + (N348)) / G348</f>
        <v/>
      </c>
      <c r="R348" s="651" t="n"/>
      <c r="S348" s="1206" t="n"/>
      <c r="T348" s="904" t="n"/>
      <c r="U348" s="569" t="n"/>
      <c r="V348" s="1317" t="n"/>
    </row>
    <row r="349" ht="15.75" customHeight="1" s="1349">
      <c r="A349" s="1292" t="n"/>
      <c r="B349" s="904" t="n"/>
      <c r="C349" s="904" t="n"/>
      <c r="D349" s="1325" t="n"/>
      <c r="E349" s="1326">
        <f>G349+F349</f>
        <v/>
      </c>
      <c r="F349" s="1325">
        <f>G349*0.05</f>
        <v/>
      </c>
      <c r="G349" s="1312" t="n"/>
      <c r="H349" s="1301" t="n"/>
      <c r="I349" s="1321" t="n"/>
      <c r="J349" s="1322" t="n"/>
      <c r="K349" s="1318">
        <f>G349*18%</f>
        <v/>
      </c>
      <c r="L349" s="1318">
        <f>(G349-K349)*1.65%-(D349*1.65%)</f>
        <v/>
      </c>
      <c r="M349" s="1318" t="n"/>
      <c r="N349" s="863" t="n"/>
      <c r="O349" s="1320" t="n"/>
      <c r="P349" s="866" t="n"/>
      <c r="Q349" s="651">
        <f>(G349 - (D349+H349+K349+L349+M349+O349) + (N349)) / G349</f>
        <v/>
      </c>
      <c r="R349" s="651" t="n"/>
      <c r="S349" s="1206" t="n"/>
      <c r="T349" s="904" t="n"/>
      <c r="U349" s="569" t="n"/>
      <c r="V349" s="1317" t="n"/>
    </row>
    <row r="350" ht="15.75" customHeight="1" s="1349">
      <c r="A350" s="1292" t="n"/>
      <c r="B350" s="904" t="n"/>
      <c r="C350" s="904" t="n"/>
      <c r="D350" s="1325" t="n"/>
      <c r="E350" s="1326">
        <f>G350+F350</f>
        <v/>
      </c>
      <c r="F350" s="1325">
        <f>G350*0.05</f>
        <v/>
      </c>
      <c r="G350" s="1312" t="n"/>
      <c r="H350" s="1301" t="n"/>
      <c r="I350" s="1321" t="n"/>
      <c r="J350" s="1322" t="n"/>
      <c r="K350" s="1318">
        <f>G350*18%</f>
        <v/>
      </c>
      <c r="L350" s="1318">
        <f>(G350-K350)*1.65%-(D350*1.65%)</f>
        <v/>
      </c>
      <c r="M350" s="1318" t="n"/>
      <c r="N350" s="863" t="n"/>
      <c r="O350" s="1320" t="n"/>
      <c r="P350" s="866" t="n"/>
      <c r="Q350" s="651">
        <f>(G350 - (D350+H350+K350+L350+M350+O350) + (N350)) / G350</f>
        <v/>
      </c>
      <c r="R350" s="651" t="n"/>
      <c r="S350" s="1206" t="n"/>
      <c r="T350" s="904" t="n"/>
      <c r="U350" s="569" t="n"/>
      <c r="V350" s="1317" t="n"/>
    </row>
    <row r="351" ht="15.75" customHeight="1" s="1349">
      <c r="A351" s="1292" t="n"/>
      <c r="B351" s="904" t="n"/>
      <c r="C351" s="904" t="n"/>
      <c r="D351" s="1325" t="n"/>
      <c r="E351" s="1326">
        <f>G351+F351</f>
        <v/>
      </c>
      <c r="F351" s="1325">
        <f>G351*0.05</f>
        <v/>
      </c>
      <c r="G351" s="1312" t="n"/>
      <c r="H351" s="1301" t="n"/>
      <c r="I351" s="1321" t="n"/>
      <c r="J351" s="1322" t="n"/>
      <c r="K351" s="1318">
        <f>G351*18%</f>
        <v/>
      </c>
      <c r="L351" s="1318">
        <f>(G351-K351)*1.65%-(D351*1.65%)</f>
        <v/>
      </c>
      <c r="M351" s="1318" t="n"/>
      <c r="N351" s="863" t="n"/>
      <c r="O351" s="1320" t="n"/>
      <c r="P351" s="866" t="n"/>
      <c r="Q351" s="651">
        <f>(G351 - (D351+H351+K351+L351+M351+O351) + (N351)) / G351</f>
        <v/>
      </c>
      <c r="R351" s="651" t="n"/>
      <c r="S351" s="1206" t="n"/>
      <c r="T351" s="904" t="n"/>
      <c r="U351" s="569" t="n"/>
      <c r="V351" s="1317" t="n"/>
    </row>
    <row r="352" ht="15.75" customHeight="1" s="1349">
      <c r="A352" s="1292" t="n"/>
      <c r="B352" s="904" t="n"/>
      <c r="C352" s="904" t="n"/>
      <c r="D352" s="1325" t="n"/>
      <c r="E352" s="1326">
        <f>G352+F352</f>
        <v/>
      </c>
      <c r="F352" s="1325">
        <f>G352*0.05</f>
        <v/>
      </c>
      <c r="G352" s="1312" t="n"/>
      <c r="H352" s="1301" t="n"/>
      <c r="I352" s="1321" t="n"/>
      <c r="J352" s="1322" t="n"/>
      <c r="K352" s="1318">
        <f>G352*18%</f>
        <v/>
      </c>
      <c r="L352" s="1318">
        <f>(G352-K352)*1.65%-(D352*1.65%)</f>
        <v/>
      </c>
      <c r="M352" s="1318" t="n"/>
      <c r="N352" s="863" t="n"/>
      <c r="O352" s="1320" t="n"/>
      <c r="P352" s="866" t="n"/>
      <c r="Q352" s="651">
        <f>(G352 - (D352+H352+K352+L352+M352+O352) + (N352)) / G352</f>
        <v/>
      </c>
      <c r="R352" s="651" t="n"/>
      <c r="S352" s="1206" t="n"/>
      <c r="T352" s="904" t="n"/>
      <c r="U352" s="569" t="n"/>
      <c r="V352" s="1317" t="n"/>
    </row>
    <row r="353" ht="15.75" customHeight="1" s="1349">
      <c r="A353" s="1292" t="n"/>
      <c r="B353" s="904" t="n"/>
      <c r="C353" s="904" t="n"/>
      <c r="D353" s="1325" t="n"/>
      <c r="E353" s="1326">
        <f>G353+F353</f>
        <v/>
      </c>
      <c r="F353" s="1325">
        <f>G353*0.05</f>
        <v/>
      </c>
      <c r="G353" s="1312" t="n"/>
      <c r="H353" s="1301" t="n"/>
      <c r="I353" s="1321" t="n"/>
      <c r="J353" s="1322" t="n"/>
      <c r="K353" s="1318">
        <f>G353*18%</f>
        <v/>
      </c>
      <c r="L353" s="1318">
        <f>(G353-K353)*1.65%-(D353*1.65%)</f>
        <v/>
      </c>
      <c r="M353" s="1318" t="n"/>
      <c r="N353" s="863" t="n"/>
      <c r="O353" s="1320" t="n"/>
      <c r="P353" s="866" t="n"/>
      <c r="Q353" s="651">
        <f>(G353 - (D353+H353+K353+L353+M353+O353) + (N353)) / G353</f>
        <v/>
      </c>
      <c r="R353" s="651" t="n"/>
      <c r="S353" s="1206" t="n"/>
      <c r="T353" s="904" t="n"/>
      <c r="U353" s="569" t="n"/>
      <c r="V353" s="1317" t="n"/>
    </row>
    <row r="354" ht="15.75" customHeight="1" s="1349">
      <c r="A354" s="1292" t="n"/>
      <c r="B354" s="904" t="n"/>
      <c r="C354" s="904" t="n"/>
      <c r="D354" s="1325" t="n"/>
      <c r="E354" s="1326">
        <f>G354+F354</f>
        <v/>
      </c>
      <c r="F354" s="1325">
        <f>G354*0.05</f>
        <v/>
      </c>
      <c r="G354" s="1312" t="n"/>
      <c r="H354" s="1301" t="n"/>
      <c r="I354" s="1321" t="n"/>
      <c r="J354" s="1322" t="n"/>
      <c r="K354" s="1318">
        <f>G354*18%</f>
        <v/>
      </c>
      <c r="L354" s="1318">
        <f>(G354-K354)*1.65%-(D354*1.65%)</f>
        <v/>
      </c>
      <c r="M354" s="1318" t="n"/>
      <c r="N354" s="863" t="n"/>
      <c r="O354" s="1320" t="n"/>
      <c r="P354" s="866" t="n"/>
      <c r="Q354" s="651">
        <f>(G354 - (D354+H354+K354+L354+M354+O354) + (N354)) / G354</f>
        <v/>
      </c>
      <c r="R354" s="651" t="n"/>
      <c r="S354" s="1206" t="n"/>
      <c r="T354" s="904" t="n"/>
      <c r="U354" s="569" t="n"/>
      <c r="V354" s="1317" t="n"/>
    </row>
    <row r="355" ht="15.75" customHeight="1" s="1349">
      <c r="A355" s="1292" t="n"/>
      <c r="B355" s="904" t="n"/>
      <c r="C355" s="904" t="n"/>
      <c r="D355" s="1325" t="n"/>
      <c r="E355" s="1326">
        <f>G355+F355</f>
        <v/>
      </c>
      <c r="F355" s="1325">
        <f>G355*0.05</f>
        <v/>
      </c>
      <c r="G355" s="1312" t="n"/>
      <c r="H355" s="1301" t="n"/>
      <c r="I355" s="1321" t="n"/>
      <c r="J355" s="1322" t="n"/>
      <c r="K355" s="1318">
        <f>G355*18%</f>
        <v/>
      </c>
      <c r="L355" s="1318">
        <f>(G355-K355)*1.65%-(D355*1.65%)</f>
        <v/>
      </c>
      <c r="M355" s="1318" t="n"/>
      <c r="N355" s="863" t="n"/>
      <c r="O355" s="1320" t="n"/>
      <c r="P355" s="866" t="n"/>
      <c r="Q355" s="651">
        <f>(G355 - (D355+H355+K355+L355+M355+O355) + (N355)) / G355</f>
        <v/>
      </c>
      <c r="R355" s="651" t="n"/>
      <c r="S355" s="1206" t="n"/>
      <c r="T355" s="904" t="n"/>
      <c r="U355" s="569" t="n"/>
      <c r="V355" s="1317" t="n"/>
    </row>
    <row r="356" ht="15.75" customHeight="1" s="1349">
      <c r="A356" s="1292" t="n"/>
      <c r="B356" s="904" t="n"/>
      <c r="C356" s="904" t="n"/>
      <c r="D356" s="1325" t="n"/>
      <c r="E356" s="1326">
        <f>G356+F356</f>
        <v/>
      </c>
      <c r="F356" s="1325">
        <f>G356*0.05</f>
        <v/>
      </c>
      <c r="G356" s="1312" t="n"/>
      <c r="H356" s="1301" t="n"/>
      <c r="I356" s="1321" t="n"/>
      <c r="J356" s="1322" t="n"/>
      <c r="K356" s="1318">
        <f>G356*18%</f>
        <v/>
      </c>
      <c r="L356" s="1318">
        <f>(G356-K356)*1.65%-(D356*1.65%)</f>
        <v/>
      </c>
      <c r="M356" s="1318" t="n"/>
      <c r="N356" s="863" t="n"/>
      <c r="O356" s="1320" t="n"/>
      <c r="P356" s="866" t="n"/>
      <c r="Q356" s="651">
        <f>(G356 - (D356+H356+K356+L356+M356+O356) + (N356)) / G356</f>
        <v/>
      </c>
      <c r="R356" s="651" t="n"/>
      <c r="S356" s="1206" t="n"/>
      <c r="T356" s="904" t="n"/>
      <c r="U356" s="569" t="n"/>
      <c r="V356" s="1317" t="n"/>
    </row>
    <row r="357" ht="15.75" customHeight="1" s="1349">
      <c r="A357" s="1292" t="n"/>
      <c r="B357" s="904" t="n"/>
      <c r="C357" s="904" t="n"/>
      <c r="D357" s="1325" t="n"/>
      <c r="E357" s="1326">
        <f>G357+F357</f>
        <v/>
      </c>
      <c r="F357" s="1325">
        <f>G357*0.05</f>
        <v/>
      </c>
      <c r="G357" s="1312" t="n"/>
      <c r="H357" s="1301" t="n"/>
      <c r="I357" s="1321" t="n"/>
      <c r="J357" s="1322" t="n"/>
      <c r="K357" s="1318">
        <f>G357*18%</f>
        <v/>
      </c>
      <c r="L357" s="1318">
        <f>(G357-K357)*1.65%-(D357*1.65%)</f>
        <v/>
      </c>
      <c r="M357" s="1318" t="n"/>
      <c r="N357" s="863" t="n"/>
      <c r="O357" s="1320" t="n"/>
      <c r="P357" s="866" t="n"/>
      <c r="Q357" s="651">
        <f>(G357 - (D357+H357+K357+L357+M357+O357) + (N357)) / G357</f>
        <v/>
      </c>
      <c r="R357" s="651" t="n"/>
      <c r="S357" s="1206" t="n"/>
      <c r="T357" s="904" t="n"/>
      <c r="U357" s="569" t="n"/>
      <c r="V357" s="1317" t="n"/>
    </row>
    <row r="358" ht="15.75" customHeight="1" s="1349">
      <c r="A358" s="1292" t="n"/>
      <c r="B358" s="904" t="n"/>
      <c r="C358" s="904" t="n"/>
      <c r="D358" s="1325" t="n"/>
      <c r="E358" s="1326">
        <f>G358+F358</f>
        <v/>
      </c>
      <c r="F358" s="1325">
        <f>G358*0.05</f>
        <v/>
      </c>
      <c r="G358" s="1312" t="n"/>
      <c r="H358" s="1301" t="n"/>
      <c r="I358" s="1321" t="n"/>
      <c r="J358" s="1322" t="n"/>
      <c r="K358" s="1318">
        <f>G358*18%</f>
        <v/>
      </c>
      <c r="L358" s="1318">
        <f>(G358-K358)*1.65%-(D358*1.65%)</f>
        <v/>
      </c>
      <c r="M358" s="1318" t="n"/>
      <c r="N358" s="863" t="n"/>
      <c r="O358" s="1320" t="n"/>
      <c r="P358" s="866" t="n"/>
      <c r="Q358" s="651">
        <f>(G358 - (D358+H358+K358+L358+M358+O358) + (N358)) / G358</f>
        <v/>
      </c>
      <c r="R358" s="651" t="n"/>
      <c r="S358" s="1206" t="n"/>
      <c r="T358" s="904" t="n"/>
      <c r="U358" s="569" t="n"/>
      <c r="V358" s="1317" t="n"/>
    </row>
    <row r="359" ht="15.75" customHeight="1" s="1349">
      <c r="A359" s="1292" t="n"/>
      <c r="B359" s="904" t="n"/>
      <c r="C359" s="904" t="n"/>
      <c r="D359" s="1325" t="n"/>
      <c r="E359" s="1326">
        <f>G359+F359</f>
        <v/>
      </c>
      <c r="F359" s="1325">
        <f>G359*0.05</f>
        <v/>
      </c>
      <c r="G359" s="1312" t="n"/>
      <c r="H359" s="1301" t="n"/>
      <c r="I359" s="1321" t="n"/>
      <c r="J359" s="1322" t="n"/>
      <c r="K359" s="1318">
        <f>G359*18%</f>
        <v/>
      </c>
      <c r="L359" s="1318">
        <f>(G359-K359)*1.65%-(D359*1.65%)</f>
        <v/>
      </c>
      <c r="M359" s="1318" t="n"/>
      <c r="N359" s="863" t="n"/>
      <c r="O359" s="1320" t="n"/>
      <c r="P359" s="866" t="n"/>
      <c r="Q359" s="651">
        <f>(G359 - (D359+H359+K359+L359+M359+O359) + (N359)) / G359</f>
        <v/>
      </c>
      <c r="R359" s="651" t="n"/>
      <c r="S359" s="1206" t="n"/>
      <c r="T359" s="904" t="n"/>
      <c r="U359" s="569" t="n"/>
      <c r="V359" s="1317" t="n"/>
    </row>
    <row r="360" ht="15.75" customHeight="1" s="1349">
      <c r="A360" s="1292" t="n"/>
      <c r="B360" s="904" t="n"/>
      <c r="C360" s="904" t="n"/>
      <c r="D360" s="1325" t="n"/>
      <c r="E360" s="1326">
        <f>G360+F360</f>
        <v/>
      </c>
      <c r="F360" s="1325">
        <f>G360*0.05</f>
        <v/>
      </c>
      <c r="G360" s="1312" t="n"/>
      <c r="H360" s="1301" t="n"/>
      <c r="I360" s="1321" t="n"/>
      <c r="J360" s="1322" t="n"/>
      <c r="K360" s="1318">
        <f>G360*18%</f>
        <v/>
      </c>
      <c r="L360" s="1318">
        <f>(G360-K360)*1.65%-(D360*1.65%)</f>
        <v/>
      </c>
      <c r="M360" s="1318" t="n"/>
      <c r="N360" s="863" t="n"/>
      <c r="O360" s="1320" t="n"/>
      <c r="P360" s="866" t="n"/>
      <c r="Q360" s="651">
        <f>(G360 - (D360+H360+K360+L360+M360+O360) + (N360)) / G360</f>
        <v/>
      </c>
      <c r="R360" s="651" t="n"/>
      <c r="S360" s="1206" t="n"/>
      <c r="T360" s="904" t="n"/>
      <c r="U360" s="569" t="n"/>
      <c r="V360" s="1317" t="n"/>
    </row>
    <row r="361" ht="15.75" customHeight="1" s="1349">
      <c r="A361" s="1292" t="n"/>
      <c r="B361" s="904" t="n"/>
      <c r="C361" s="904" t="n"/>
      <c r="D361" s="1325" t="n"/>
      <c r="E361" s="1326">
        <f>G361+F361</f>
        <v/>
      </c>
      <c r="F361" s="1325">
        <f>G361*0.05</f>
        <v/>
      </c>
      <c r="G361" s="1312" t="n"/>
      <c r="H361" s="1301" t="n"/>
      <c r="I361" s="1321" t="n"/>
      <c r="J361" s="1322" t="n"/>
      <c r="K361" s="1318">
        <f>G361*18%</f>
        <v/>
      </c>
      <c r="L361" s="1318">
        <f>(G361-K361)*1.65%-(D361*1.65%)</f>
        <v/>
      </c>
      <c r="M361" s="1318" t="n"/>
      <c r="N361" s="863" t="n"/>
      <c r="O361" s="1320" t="n"/>
      <c r="P361" s="866" t="n"/>
      <c r="Q361" s="651">
        <f>(G361 - (D361+H361+K361+L361+M361+O361) + (N361)) / G361</f>
        <v/>
      </c>
      <c r="R361" s="651" t="n"/>
      <c r="S361" s="1206" t="n"/>
      <c r="T361" s="904" t="n"/>
      <c r="U361" s="569" t="n"/>
      <c r="V361" s="1317" t="n"/>
    </row>
    <row r="362" ht="15.75" customHeight="1" s="1349">
      <c r="A362" s="1292" t="n"/>
      <c r="B362" s="904" t="n"/>
      <c r="C362" s="904" t="n"/>
      <c r="D362" s="1325" t="n"/>
      <c r="E362" s="1326">
        <f>G362+F362</f>
        <v/>
      </c>
      <c r="F362" s="1325">
        <f>G362*0.05</f>
        <v/>
      </c>
      <c r="G362" s="1312" t="n"/>
      <c r="H362" s="1301" t="n"/>
      <c r="I362" s="1321" t="n"/>
      <c r="J362" s="1322" t="n"/>
      <c r="K362" s="1318">
        <f>G362*18%</f>
        <v/>
      </c>
      <c r="L362" s="1318">
        <f>(G362-K362)*1.65%-(D362*1.65%)</f>
        <v/>
      </c>
      <c r="M362" s="1318" t="n"/>
      <c r="N362" s="863" t="n"/>
      <c r="O362" s="1320" t="n"/>
      <c r="P362" s="866" t="n"/>
      <c r="Q362" s="651">
        <f>(G362 - (D362+H362+K362+L362+M362+O362) + (N362)) / G362</f>
        <v/>
      </c>
      <c r="R362" s="651" t="n"/>
      <c r="S362" s="1206" t="n"/>
      <c r="T362" s="904" t="n"/>
      <c r="U362" s="569" t="n"/>
      <c r="V362" s="1317" t="n"/>
    </row>
    <row r="363" ht="15.75" customHeight="1" s="1349">
      <c r="A363" s="1292" t="n"/>
      <c r="B363" s="904" t="n"/>
      <c r="C363" s="904" t="n"/>
      <c r="D363" s="1325" t="n"/>
      <c r="E363" s="1326">
        <f>G363+F363</f>
        <v/>
      </c>
      <c r="F363" s="1325">
        <f>G363*0.05</f>
        <v/>
      </c>
      <c r="G363" s="1312" t="n"/>
      <c r="H363" s="1301" t="n"/>
      <c r="I363" s="1321" t="n"/>
      <c r="J363" s="1322" t="n"/>
      <c r="K363" s="1318">
        <f>G363*18%</f>
        <v/>
      </c>
      <c r="L363" s="1318">
        <f>(G363-K363)*1.65%-(D363*1.65%)</f>
        <v/>
      </c>
      <c r="M363" s="1318" t="n"/>
      <c r="N363" s="863" t="n"/>
      <c r="O363" s="1320" t="n"/>
      <c r="P363" s="866" t="n"/>
      <c r="Q363" s="651">
        <f>(G363 - (D363+H363+K363+L363+M363+O363) + (N363)) / G363</f>
        <v/>
      </c>
      <c r="R363" s="651" t="n"/>
      <c r="S363" s="1206" t="n"/>
      <c r="T363" s="904" t="n"/>
      <c r="U363" s="569" t="n"/>
      <c r="V363" s="1317" t="n"/>
    </row>
    <row r="364" ht="15.75" customHeight="1" s="1349">
      <c r="A364" s="1292" t="n"/>
      <c r="B364" s="904" t="n"/>
      <c r="C364" s="904" t="n"/>
      <c r="D364" s="1325" t="n"/>
      <c r="E364" s="1326">
        <f>G364+F364</f>
        <v/>
      </c>
      <c r="F364" s="1325">
        <f>G364*0.05</f>
        <v/>
      </c>
      <c r="G364" s="1312" t="n"/>
      <c r="H364" s="1301" t="n"/>
      <c r="I364" s="1321" t="n"/>
      <c r="J364" s="1322" t="n"/>
      <c r="K364" s="1318">
        <f>G364*18%</f>
        <v/>
      </c>
      <c r="L364" s="1318">
        <f>(G364-K364)*1.65%-(D364*1.65%)</f>
        <v/>
      </c>
      <c r="M364" s="1318" t="n"/>
      <c r="N364" s="863" t="n"/>
      <c r="O364" s="1320" t="n"/>
      <c r="P364" s="866" t="n"/>
      <c r="Q364" s="651">
        <f>(G364 - (D364+H364+K364+L364+M364+O364) + (N364)) / G364</f>
        <v/>
      </c>
      <c r="R364" s="651" t="n"/>
      <c r="S364" s="1206" t="n"/>
      <c r="T364" s="904" t="n"/>
      <c r="U364" s="569" t="n"/>
      <c r="V364" s="1317" t="n"/>
    </row>
    <row r="365" ht="15.75" customHeight="1" s="1349">
      <c r="A365" s="1292" t="n"/>
      <c r="B365" s="904" t="n"/>
      <c r="C365" s="904" t="n"/>
      <c r="D365" s="1325" t="n"/>
      <c r="E365" s="1326">
        <f>G365+F365</f>
        <v/>
      </c>
      <c r="F365" s="1325">
        <f>G365*0.05</f>
        <v/>
      </c>
      <c r="G365" s="1312" t="n"/>
      <c r="H365" s="1301" t="n"/>
      <c r="I365" s="1321" t="n"/>
      <c r="J365" s="1322" t="n"/>
      <c r="K365" s="1318">
        <f>G365*18%</f>
        <v/>
      </c>
      <c r="L365" s="1318">
        <f>(G365-K365)*1.65%-(D365*1.65%)</f>
        <v/>
      </c>
      <c r="M365" s="1318" t="n"/>
      <c r="N365" s="863" t="n"/>
      <c r="O365" s="1320" t="n"/>
      <c r="P365" s="866" t="n"/>
      <c r="Q365" s="651">
        <f>(G365 - (D365+H365+K365+L365+M365+O365) + (N365)) / G365</f>
        <v/>
      </c>
      <c r="R365" s="651" t="n"/>
      <c r="S365" s="1206" t="n"/>
      <c r="T365" s="904" t="n"/>
      <c r="U365" s="569" t="n"/>
      <c r="V365" s="1317" t="n"/>
    </row>
    <row r="366" ht="15.75" customHeight="1" s="1349">
      <c r="A366" s="1292" t="n"/>
      <c r="B366" s="904" t="n"/>
      <c r="C366" s="904" t="n"/>
      <c r="D366" s="1325" t="n"/>
      <c r="E366" s="1326">
        <f>G366+F366</f>
        <v/>
      </c>
      <c r="F366" s="1325">
        <f>G366*0.05</f>
        <v/>
      </c>
      <c r="G366" s="1312" t="n"/>
      <c r="H366" s="1301" t="n"/>
      <c r="I366" s="1321" t="n"/>
      <c r="J366" s="1322" t="n"/>
      <c r="K366" s="1318">
        <f>G366*18%</f>
        <v/>
      </c>
      <c r="L366" s="1318">
        <f>(G366-K366)*1.65%-(D366*1.65%)</f>
        <v/>
      </c>
      <c r="M366" s="1318" t="n"/>
      <c r="N366" s="863" t="n"/>
      <c r="O366" s="1320" t="n"/>
      <c r="P366" s="866" t="n"/>
      <c r="Q366" s="651">
        <f>(G366 - (D366+H366+K366+L366+M366+O366) + (N366)) / G366</f>
        <v/>
      </c>
      <c r="R366" s="651" t="n"/>
      <c r="S366" s="1206" t="n"/>
      <c r="T366" s="904" t="n"/>
      <c r="U366" s="569" t="n"/>
      <c r="V366" s="1317" t="n"/>
    </row>
    <row r="367" ht="15.75" customHeight="1" s="1349">
      <c r="A367" s="1292" t="n"/>
      <c r="B367" s="904" t="n"/>
      <c r="C367" s="904" t="n"/>
      <c r="D367" s="1325" t="n"/>
      <c r="E367" s="1326">
        <f>G367+F367</f>
        <v/>
      </c>
      <c r="F367" s="1325">
        <f>G367*0.05</f>
        <v/>
      </c>
      <c r="G367" s="1312" t="n"/>
      <c r="H367" s="1301" t="n"/>
      <c r="I367" s="1321" t="n"/>
      <c r="J367" s="1322" t="n"/>
      <c r="K367" s="1318">
        <f>G367*18%</f>
        <v/>
      </c>
      <c r="L367" s="1318">
        <f>(G367-K367)*1.65%-(D367*1.65%)</f>
        <v/>
      </c>
      <c r="M367" s="1318" t="n"/>
      <c r="N367" s="863" t="n"/>
      <c r="O367" s="1320" t="n"/>
      <c r="P367" s="866" t="n"/>
      <c r="Q367" s="651">
        <f>(G367 - (D367+H367+K367+L367+M367+O367) + (N367)) / G367</f>
        <v/>
      </c>
      <c r="R367" s="651" t="n"/>
      <c r="S367" s="1206" t="n"/>
      <c r="T367" s="904" t="n"/>
      <c r="U367" s="569" t="n"/>
      <c r="V367" s="1317" t="n"/>
    </row>
    <row r="368" ht="15.75" customHeight="1" s="1349">
      <c r="A368" s="1292" t="n"/>
      <c r="B368" s="904" t="n"/>
      <c r="C368" s="904" t="n"/>
      <c r="D368" s="1325" t="n"/>
      <c r="E368" s="1326">
        <f>G368+F368</f>
        <v/>
      </c>
      <c r="F368" s="1325">
        <f>G368*0.05</f>
        <v/>
      </c>
      <c r="G368" s="1312" t="n"/>
      <c r="H368" s="1301" t="n"/>
      <c r="I368" s="1321" t="n"/>
      <c r="J368" s="1322" t="n"/>
      <c r="K368" s="1318">
        <f>G368*18%</f>
        <v/>
      </c>
      <c r="L368" s="1318">
        <f>(G368-K368)*1.65%-(D368*1.65%)</f>
        <v/>
      </c>
      <c r="M368" s="1318" t="n"/>
      <c r="N368" s="863" t="n"/>
      <c r="O368" s="1320" t="n"/>
      <c r="P368" s="866" t="n"/>
      <c r="Q368" s="651">
        <f>(G368 - (D368+H368+K368+L368+M368+O368) + (N368)) / G368</f>
        <v/>
      </c>
      <c r="R368" s="651" t="n"/>
      <c r="S368" s="1206" t="n"/>
      <c r="T368" s="904" t="n"/>
      <c r="U368" s="569" t="n"/>
      <c r="V368" s="1317" t="n"/>
    </row>
    <row r="369" ht="15.75" customHeight="1" s="1349">
      <c r="A369" s="1292" t="n"/>
      <c r="B369" s="904" t="n"/>
      <c r="C369" s="904" t="n"/>
      <c r="D369" s="1325" t="n"/>
      <c r="E369" s="1326">
        <f>G369+F369</f>
        <v/>
      </c>
      <c r="F369" s="1325">
        <f>G369*0.05</f>
        <v/>
      </c>
      <c r="G369" s="1312" t="n"/>
      <c r="H369" s="1301" t="n"/>
      <c r="I369" s="1321" t="n"/>
      <c r="J369" s="1322" t="n"/>
      <c r="K369" s="1318">
        <f>G369*18%</f>
        <v/>
      </c>
      <c r="L369" s="1318">
        <f>(G369-K369)*1.65%-(D369*1.65%)</f>
        <v/>
      </c>
      <c r="M369" s="1318" t="n"/>
      <c r="N369" s="863" t="n"/>
      <c r="O369" s="1320" t="n"/>
      <c r="P369" s="866" t="n"/>
      <c r="Q369" s="651">
        <f>(G369 - (D369+H369+K369+L369+M369+O369) + (N369)) / G369</f>
        <v/>
      </c>
      <c r="R369" s="651" t="n"/>
      <c r="S369" s="1206" t="n"/>
      <c r="T369" s="904" t="n"/>
      <c r="U369" s="569" t="n"/>
      <c r="V369" s="1317" t="n"/>
    </row>
    <row r="370" ht="15.75" customHeight="1" s="1349">
      <c r="A370" s="1292" t="n"/>
      <c r="B370" s="904" t="n"/>
      <c r="C370" s="904" t="n"/>
      <c r="D370" s="1325" t="n"/>
      <c r="E370" s="1326">
        <f>G370+F370</f>
        <v/>
      </c>
      <c r="F370" s="1325">
        <f>G370*0.05</f>
        <v/>
      </c>
      <c r="G370" s="1312" t="n"/>
      <c r="H370" s="1301" t="n"/>
      <c r="I370" s="1321" t="n"/>
      <c r="J370" s="1322" t="n"/>
      <c r="K370" s="1318">
        <f>G370*18%</f>
        <v/>
      </c>
      <c r="L370" s="1318">
        <f>(G370-K370)*1.65%-(D370*1.65%)</f>
        <v/>
      </c>
      <c r="M370" s="1318" t="n"/>
      <c r="N370" s="863" t="n"/>
      <c r="O370" s="1320" t="n"/>
      <c r="P370" s="866" t="n"/>
      <c r="Q370" s="651">
        <f>(G370 - (D370+H370+K370+L370+M370+O370) + (N370)) / G370</f>
        <v/>
      </c>
      <c r="R370" s="651" t="n"/>
      <c r="S370" s="1206" t="n"/>
      <c r="T370" s="904" t="n"/>
      <c r="U370" s="569" t="n"/>
      <c r="V370" s="1317" t="n"/>
    </row>
    <row r="371" ht="15.75" customHeight="1" s="1349">
      <c r="A371" s="1292" t="n"/>
      <c r="B371" s="904" t="n"/>
      <c r="C371" s="904" t="n"/>
      <c r="D371" s="1325" t="n"/>
      <c r="E371" s="1326">
        <f>G371+F371</f>
        <v/>
      </c>
      <c r="F371" s="1325">
        <f>G371*0.05</f>
        <v/>
      </c>
      <c r="G371" s="1312" t="n"/>
      <c r="H371" s="1301" t="n"/>
      <c r="I371" s="1321" t="n"/>
      <c r="J371" s="1322" t="n"/>
      <c r="K371" s="1318">
        <f>G371*18%</f>
        <v/>
      </c>
      <c r="L371" s="1318">
        <f>(G371-K371)*1.65%-(D371*1.65%)</f>
        <v/>
      </c>
      <c r="M371" s="1318" t="n"/>
      <c r="N371" s="863" t="n"/>
      <c r="O371" s="1320" t="n"/>
      <c r="P371" s="866" t="n"/>
      <c r="Q371" s="651">
        <f>(G371 - (D371+H371+K371+L371+M371+O371) + (N371)) / G371</f>
        <v/>
      </c>
      <c r="R371" s="651" t="n"/>
      <c r="S371" s="1206" t="n"/>
      <c r="T371" s="904" t="n"/>
      <c r="U371" s="569" t="n"/>
      <c r="V371" s="1317" t="n"/>
    </row>
    <row r="372" ht="15.75" customHeight="1" s="1349">
      <c r="A372" s="1292" t="n"/>
      <c r="B372" s="904" t="n"/>
      <c r="C372" s="904" t="n"/>
      <c r="D372" s="1325" t="n"/>
      <c r="E372" s="1326">
        <f>G372+F372</f>
        <v/>
      </c>
      <c r="F372" s="1325">
        <f>G372*0.05</f>
        <v/>
      </c>
      <c r="G372" s="1312" t="n"/>
      <c r="H372" s="1301" t="n"/>
      <c r="I372" s="1321" t="n"/>
      <c r="J372" s="1322" t="n"/>
      <c r="K372" s="1318">
        <f>G372*18%</f>
        <v/>
      </c>
      <c r="L372" s="1318">
        <f>(G372-K372)*1.65%-(D372*1.65%)</f>
        <v/>
      </c>
      <c r="M372" s="1318" t="n"/>
      <c r="N372" s="863" t="n"/>
      <c r="O372" s="1320" t="n"/>
      <c r="P372" s="866" t="n"/>
      <c r="Q372" s="651">
        <f>(G372 - (D372+H372+K372+L372+M372+O372) + (N372)) / G372</f>
        <v/>
      </c>
      <c r="R372" s="651" t="n"/>
      <c r="S372" s="1206" t="n"/>
      <c r="T372" s="904" t="n"/>
      <c r="U372" s="569" t="n"/>
      <c r="V372" s="1317" t="n"/>
    </row>
    <row r="373" ht="15.75" customHeight="1" s="1349">
      <c r="A373" s="1292" t="n"/>
      <c r="B373" s="904" t="n"/>
      <c r="C373" s="904" t="n"/>
      <c r="D373" s="1325" t="n"/>
      <c r="E373" s="1326">
        <f>G373+F373</f>
        <v/>
      </c>
      <c r="F373" s="1325">
        <f>G373*0.05</f>
        <v/>
      </c>
      <c r="G373" s="1312" t="n"/>
      <c r="H373" s="1301" t="n"/>
      <c r="I373" s="1321" t="n"/>
      <c r="J373" s="1322" t="n"/>
      <c r="K373" s="1318">
        <f>G373*18%</f>
        <v/>
      </c>
      <c r="L373" s="1318">
        <f>(G373-K373)*1.65%-(D373*1.65%)</f>
        <v/>
      </c>
      <c r="M373" s="1318" t="n"/>
      <c r="N373" s="863" t="n"/>
      <c r="O373" s="1320" t="n"/>
      <c r="P373" s="866" t="n"/>
      <c r="Q373" s="651">
        <f>(G373 - (D373+H373+K373+L373+M373+O373) + (N373)) / G373</f>
        <v/>
      </c>
      <c r="R373" s="651" t="n"/>
      <c r="S373" s="1206" t="n"/>
      <c r="T373" s="904" t="n"/>
      <c r="U373" s="569" t="n"/>
      <c r="V373" s="1317" t="n"/>
    </row>
    <row r="374" ht="15.75" customHeight="1" s="1349">
      <c r="A374" s="1292" t="n"/>
      <c r="B374" s="904" t="n"/>
      <c r="C374" s="904" t="n"/>
      <c r="D374" s="1325" t="n"/>
      <c r="E374" s="1326">
        <f>G374+F374</f>
        <v/>
      </c>
      <c r="F374" s="1325">
        <f>G374*0.05</f>
        <v/>
      </c>
      <c r="G374" s="1312" t="n"/>
      <c r="H374" s="1301" t="n"/>
      <c r="I374" s="1321" t="n"/>
      <c r="J374" s="1322" t="n"/>
      <c r="K374" s="1318">
        <f>G374*18%</f>
        <v/>
      </c>
      <c r="L374" s="1318">
        <f>(G374-K374)*1.65%-(D374*1.65%)</f>
        <v/>
      </c>
      <c r="M374" s="1318" t="n"/>
      <c r="N374" s="863" t="n"/>
      <c r="O374" s="1320" t="n"/>
      <c r="P374" s="866" t="n"/>
      <c r="Q374" s="651">
        <f>(G374 - (D374+H374+K374+L374+M374+O374) + (N374)) / G374</f>
        <v/>
      </c>
      <c r="R374" s="651" t="n"/>
      <c r="S374" s="1206" t="n"/>
      <c r="T374" s="904" t="n"/>
      <c r="U374" s="569" t="n"/>
      <c r="V374" s="1317" t="n"/>
    </row>
    <row r="375" ht="15.75" customHeight="1" s="1349">
      <c r="A375" s="1292" t="n"/>
      <c r="B375" s="904" t="n"/>
      <c r="C375" s="904" t="n"/>
      <c r="D375" s="1325" t="n"/>
      <c r="E375" s="1326">
        <f>G375+F375</f>
        <v/>
      </c>
      <c r="F375" s="1325">
        <f>G375*0.05</f>
        <v/>
      </c>
      <c r="G375" s="1312" t="n"/>
      <c r="H375" s="1301" t="n"/>
      <c r="I375" s="1321" t="n"/>
      <c r="J375" s="1322" t="n"/>
      <c r="K375" s="1318">
        <f>G375*18%</f>
        <v/>
      </c>
      <c r="L375" s="1318">
        <f>(G375-K375)*1.65%-(D375*1.65%)</f>
        <v/>
      </c>
      <c r="M375" s="1318" t="n"/>
      <c r="N375" s="863" t="n"/>
      <c r="O375" s="1320" t="n"/>
      <c r="P375" s="866" t="n"/>
      <c r="Q375" s="651">
        <f>(G375 - (D375+H375+K375+L375+M375+O375) + (N375)) / G375</f>
        <v/>
      </c>
      <c r="R375" s="651" t="n"/>
      <c r="S375" s="1206" t="n"/>
      <c r="T375" s="904" t="n"/>
      <c r="U375" s="569" t="n"/>
      <c r="V375" s="1317" t="n"/>
    </row>
    <row r="376" ht="15.75" customHeight="1" s="1349">
      <c r="A376" s="1292" t="n"/>
      <c r="B376" s="904" t="n"/>
      <c r="C376" s="904" t="n"/>
      <c r="D376" s="1325" t="n"/>
      <c r="E376" s="1326">
        <f>G376+F376</f>
        <v/>
      </c>
      <c r="F376" s="1325">
        <f>G376*0.05</f>
        <v/>
      </c>
      <c r="G376" s="1312" t="n"/>
      <c r="H376" s="1301" t="n"/>
      <c r="I376" s="1321" t="n"/>
      <c r="J376" s="1322" t="n"/>
      <c r="K376" s="1318">
        <f>G376*18%</f>
        <v/>
      </c>
      <c r="L376" s="1318">
        <f>(G376-K376)*1.65%-(D376*1.65%)</f>
        <v/>
      </c>
      <c r="M376" s="1318" t="n"/>
      <c r="N376" s="863" t="n"/>
      <c r="O376" s="1320" t="n"/>
      <c r="P376" s="866" t="n"/>
      <c r="Q376" s="651">
        <f>(G376 - (D376+H376+K376+L376+M376+O376) + (N376)) / G376</f>
        <v/>
      </c>
      <c r="R376" s="651" t="n"/>
      <c r="S376" s="1206" t="n"/>
      <c r="T376" s="904" t="n"/>
      <c r="U376" s="569" t="n"/>
      <c r="V376" s="1317" t="n"/>
    </row>
    <row r="377" ht="15.75" customHeight="1" s="1349">
      <c r="A377" s="1292" t="n"/>
      <c r="B377" s="904" t="n"/>
      <c r="C377" s="904" t="n"/>
      <c r="D377" s="1325" t="n"/>
      <c r="E377" s="1326">
        <f>G377+F377</f>
        <v/>
      </c>
      <c r="F377" s="1325">
        <f>G377*0.05</f>
        <v/>
      </c>
      <c r="G377" s="1312" t="n"/>
      <c r="H377" s="1301" t="n"/>
      <c r="I377" s="1321" t="n"/>
      <c r="J377" s="1322" t="n"/>
      <c r="K377" s="1318">
        <f>G377*18%</f>
        <v/>
      </c>
      <c r="L377" s="1318">
        <f>(G377-K377)*1.65%-(D377*1.65%)</f>
        <v/>
      </c>
      <c r="M377" s="1318" t="n"/>
      <c r="N377" s="863" t="n"/>
      <c r="O377" s="1320" t="n"/>
      <c r="P377" s="866" t="n"/>
      <c r="Q377" s="651">
        <f>(G377 - (D377+H377+K377+L377+M377+O377) + (N377)) / G377</f>
        <v/>
      </c>
      <c r="R377" s="651" t="n"/>
      <c r="S377" s="1206" t="n"/>
      <c r="T377" s="904" t="n"/>
      <c r="U377" s="569" t="n"/>
      <c r="V377" s="1317" t="n"/>
    </row>
    <row r="378" ht="15.75" customHeight="1" s="1349">
      <c r="A378" s="1292" t="n"/>
      <c r="B378" s="904" t="n"/>
      <c r="C378" s="904" t="n"/>
      <c r="D378" s="1325" t="n"/>
      <c r="E378" s="1326">
        <f>G378+F378</f>
        <v/>
      </c>
      <c r="F378" s="1325">
        <f>G378*0.05</f>
        <v/>
      </c>
      <c r="G378" s="1312" t="n"/>
      <c r="H378" s="1301" t="n"/>
      <c r="I378" s="1321" t="n"/>
      <c r="J378" s="1322" t="n"/>
      <c r="K378" s="1318">
        <f>G378*18%</f>
        <v/>
      </c>
      <c r="L378" s="1318">
        <f>(G378-K378)*1.65%-(D378*1.65%)</f>
        <v/>
      </c>
      <c r="M378" s="1318" t="n"/>
      <c r="N378" s="863" t="n"/>
      <c r="O378" s="1320" t="n"/>
      <c r="P378" s="866" t="n"/>
      <c r="Q378" s="651">
        <f>(G378 - (D378+H378+K378+L378+M378+O378) + (N378)) / G378</f>
        <v/>
      </c>
      <c r="R378" s="651" t="n"/>
      <c r="S378" s="1206" t="n"/>
      <c r="T378" s="904" t="n"/>
      <c r="U378" s="569" t="n"/>
      <c r="V378" s="1317" t="n"/>
    </row>
    <row r="379" ht="15.75" customHeight="1" s="1349">
      <c r="A379" s="1292" t="n"/>
      <c r="B379" s="904" t="n"/>
      <c r="C379" s="904" t="n"/>
      <c r="D379" s="1325" t="n"/>
      <c r="E379" s="1326">
        <f>G379+F379</f>
        <v/>
      </c>
      <c r="F379" s="1325">
        <f>G379*0.05</f>
        <v/>
      </c>
      <c r="G379" s="1312" t="n"/>
      <c r="H379" s="1301" t="n"/>
      <c r="I379" s="1321" t="n"/>
      <c r="J379" s="1322" t="n"/>
      <c r="K379" s="1318">
        <f>G379*18%</f>
        <v/>
      </c>
      <c r="L379" s="1318">
        <f>(G379-K379)*1.65%-(D379*1.65%)</f>
        <v/>
      </c>
      <c r="M379" s="1318" t="n"/>
      <c r="N379" s="863" t="n"/>
      <c r="O379" s="1320" t="n"/>
      <c r="P379" s="866" t="n"/>
      <c r="Q379" s="651">
        <f>(G379 - (D379+H379+K379+L379+M379+O379) + (N379)) / G379</f>
        <v/>
      </c>
      <c r="R379" s="651" t="n"/>
      <c r="S379" s="1206" t="n"/>
      <c r="T379" s="904" t="n"/>
      <c r="U379" s="569" t="n"/>
      <c r="V379" s="1317" t="n"/>
    </row>
    <row r="380" ht="15.75" customHeight="1" s="1349">
      <c r="A380" s="1292" t="n"/>
      <c r="B380" s="904" t="n"/>
      <c r="C380" s="904" t="n"/>
      <c r="D380" s="1325" t="n"/>
      <c r="E380" s="1326">
        <f>G380+F380</f>
        <v/>
      </c>
      <c r="F380" s="1325">
        <f>G380*0.05</f>
        <v/>
      </c>
      <c r="G380" s="1312" t="n"/>
      <c r="H380" s="1301" t="n"/>
      <c r="I380" s="1321" t="n"/>
      <c r="J380" s="1322" t="n"/>
      <c r="K380" s="1318">
        <f>G380*18%</f>
        <v/>
      </c>
      <c r="L380" s="1318">
        <f>(G380-K380)*1.65%-(D380*1.65%)</f>
        <v/>
      </c>
      <c r="M380" s="1318" t="n"/>
      <c r="N380" s="863" t="n"/>
      <c r="O380" s="1320" t="n"/>
      <c r="P380" s="866" t="n"/>
      <c r="Q380" s="651">
        <f>(G380 - (D380+H380+K380+L380+M380+O380) + (N380)) / G380</f>
        <v/>
      </c>
      <c r="R380" s="651" t="n"/>
      <c r="S380" s="1206" t="n"/>
      <c r="T380" s="904" t="n"/>
      <c r="U380" s="569" t="n"/>
      <c r="V380" s="1317" t="n"/>
    </row>
    <row r="381" ht="15.75" customHeight="1" s="1349">
      <c r="A381" s="1292" t="n"/>
      <c r="B381" s="904" t="n"/>
      <c r="C381" s="904" t="n"/>
      <c r="D381" s="1325" t="n"/>
      <c r="E381" s="1326">
        <f>G381+F381</f>
        <v/>
      </c>
      <c r="F381" s="1325">
        <f>G381*0.05</f>
        <v/>
      </c>
      <c r="G381" s="1312" t="n"/>
      <c r="H381" s="1301" t="n"/>
      <c r="I381" s="1321" t="n"/>
      <c r="J381" s="1322" t="n"/>
      <c r="K381" s="1318">
        <f>G381*18%</f>
        <v/>
      </c>
      <c r="L381" s="1318">
        <f>(G381-K381)*1.65%-(D381*1.65%)</f>
        <v/>
      </c>
      <c r="M381" s="1318" t="n"/>
      <c r="N381" s="863" t="n"/>
      <c r="O381" s="1320" t="n"/>
      <c r="P381" s="866" t="n"/>
      <c r="Q381" s="651">
        <f>(G381 - (D381+H381+K381+L381+M381+O381) + (N381)) / G381</f>
        <v/>
      </c>
      <c r="R381" s="651" t="n"/>
      <c r="S381" s="1206" t="n"/>
      <c r="T381" s="904" t="n"/>
      <c r="U381" s="569" t="n"/>
      <c r="V381" s="1317" t="n"/>
    </row>
    <row r="382" ht="15.75" customHeight="1" s="1349">
      <c r="A382" s="1292" t="n"/>
      <c r="B382" s="904" t="n"/>
      <c r="C382" s="904" t="n"/>
      <c r="D382" s="1325" t="n"/>
      <c r="E382" s="1326">
        <f>G382+F382</f>
        <v/>
      </c>
      <c r="F382" s="1325">
        <f>G382*0.05</f>
        <v/>
      </c>
      <c r="G382" s="1312" t="n"/>
      <c r="H382" s="1301" t="n"/>
      <c r="I382" s="1321" t="n"/>
      <c r="J382" s="1322" t="n"/>
      <c r="K382" s="1318">
        <f>G382*18%</f>
        <v/>
      </c>
      <c r="L382" s="1318">
        <f>(G382-K382)*1.65%-(D382*1.65%)</f>
        <v/>
      </c>
      <c r="M382" s="1318" t="n"/>
      <c r="N382" s="863" t="n"/>
      <c r="O382" s="1320" t="n"/>
      <c r="P382" s="866" t="n"/>
      <c r="Q382" s="651">
        <f>(G382 - (D382+H382+K382+L382+M382+O382) + (N382)) / G382</f>
        <v/>
      </c>
      <c r="R382" s="651" t="n"/>
      <c r="S382" s="1206" t="n"/>
      <c r="T382" s="904" t="n"/>
      <c r="U382" s="569" t="n"/>
      <c r="V382" s="1317" t="n"/>
    </row>
    <row r="383" ht="15.75" customHeight="1" s="1349">
      <c r="A383" s="1292" t="n"/>
      <c r="B383" s="904" t="n"/>
      <c r="C383" s="904" t="n"/>
      <c r="D383" s="1325" t="n"/>
      <c r="E383" s="1326">
        <f>G383+F383</f>
        <v/>
      </c>
      <c r="F383" s="1325">
        <f>G383*0.05</f>
        <v/>
      </c>
      <c r="G383" s="1312" t="n"/>
      <c r="H383" s="1301" t="n"/>
      <c r="I383" s="1321" t="n"/>
      <c r="J383" s="1322" t="n"/>
      <c r="K383" s="1318">
        <f>G383*18%</f>
        <v/>
      </c>
      <c r="L383" s="1318">
        <f>(G383-K383)*1.65%-(D383*1.65%)</f>
        <v/>
      </c>
      <c r="M383" s="1318" t="n"/>
      <c r="N383" s="863" t="n"/>
      <c r="O383" s="1320" t="n"/>
      <c r="P383" s="866" t="n"/>
      <c r="Q383" s="651">
        <f>(G383 - (D383+H383+K383+L383+M383+O383) + (N383)) / G383</f>
        <v/>
      </c>
      <c r="R383" s="651" t="n"/>
      <c r="S383" s="1206" t="n"/>
      <c r="T383" s="904" t="n"/>
      <c r="U383" s="569" t="n"/>
      <c r="V383" s="1317" t="n"/>
    </row>
    <row r="384" ht="15.75" customHeight="1" s="1349">
      <c r="A384" s="1292" t="n"/>
      <c r="B384" s="904" t="n"/>
      <c r="C384" s="904" t="n"/>
      <c r="D384" s="1325" t="n"/>
      <c r="E384" s="1326">
        <f>G384+F384</f>
        <v/>
      </c>
      <c r="F384" s="1325">
        <f>G384*0.05</f>
        <v/>
      </c>
      <c r="G384" s="1312" t="n"/>
      <c r="H384" s="1301" t="n"/>
      <c r="I384" s="1321" t="n"/>
      <c r="J384" s="1322" t="n"/>
      <c r="K384" s="1318">
        <f>G384*18%</f>
        <v/>
      </c>
      <c r="L384" s="1318">
        <f>(G384-K384)*1.65%-(D384*1.65%)</f>
        <v/>
      </c>
      <c r="M384" s="1318" t="n"/>
      <c r="N384" s="863" t="n"/>
      <c r="O384" s="1320" t="n"/>
      <c r="P384" s="866" t="n"/>
      <c r="Q384" s="651">
        <f>(G384 - (D384+H384+K384+L384+M384+O384) + (N384)) / G384</f>
        <v/>
      </c>
      <c r="R384" s="651" t="n"/>
      <c r="S384" s="1206" t="n"/>
      <c r="T384" s="904" t="n"/>
      <c r="U384" s="569" t="n"/>
      <c r="V384" s="1317" t="n"/>
    </row>
    <row r="385" ht="15.75" customHeight="1" s="1349">
      <c r="A385" s="1292" t="n"/>
      <c r="B385" s="904" t="n"/>
      <c r="C385" s="904" t="n"/>
      <c r="D385" s="1325" t="n"/>
      <c r="E385" s="1326">
        <f>G385+F385</f>
        <v/>
      </c>
      <c r="F385" s="1325">
        <f>G385*0.05</f>
        <v/>
      </c>
      <c r="G385" s="1312" t="n"/>
      <c r="H385" s="1301" t="n"/>
      <c r="I385" s="1321" t="n"/>
      <c r="J385" s="1322" t="n"/>
      <c r="K385" s="1318">
        <f>G385*18%</f>
        <v/>
      </c>
      <c r="L385" s="1318">
        <f>(G385-K385)*1.65%-(D385*1.65%)</f>
        <v/>
      </c>
      <c r="M385" s="1318" t="n"/>
      <c r="N385" s="863" t="n"/>
      <c r="O385" s="1320" t="n"/>
      <c r="P385" s="866" t="n"/>
      <c r="Q385" s="651">
        <f>(G385 - (D385+H385+K385+L385+M385+O385) + (N385)) / G385</f>
        <v/>
      </c>
      <c r="R385" s="651" t="n"/>
      <c r="S385" s="1206" t="n"/>
      <c r="T385" s="904" t="n"/>
      <c r="U385" s="569" t="n"/>
      <c r="V385" s="1317" t="n"/>
    </row>
    <row r="386" ht="15.75" customHeight="1" s="1349">
      <c r="A386" s="1292" t="n"/>
      <c r="B386" s="904" t="n"/>
      <c r="C386" s="904" t="n"/>
      <c r="D386" s="1325" t="n"/>
      <c r="E386" s="1326">
        <f>G386+F386</f>
        <v/>
      </c>
      <c r="F386" s="1325">
        <f>G386*0.05</f>
        <v/>
      </c>
      <c r="G386" s="1312" t="n"/>
      <c r="H386" s="1301" t="n"/>
      <c r="I386" s="1321" t="n"/>
      <c r="J386" s="1322" t="n"/>
      <c r="K386" s="1318">
        <f>G386*18%</f>
        <v/>
      </c>
      <c r="L386" s="1318">
        <f>(G386-K386)*1.65%-(D386*1.65%)</f>
        <v/>
      </c>
      <c r="M386" s="1318" t="n"/>
      <c r="N386" s="863" t="n"/>
      <c r="O386" s="1320" t="n"/>
      <c r="P386" s="866" t="n"/>
      <c r="Q386" s="651">
        <f>(G386 - (D386+H386+K386+L386+M386+O386) + (N386)) / G386</f>
        <v/>
      </c>
      <c r="R386" s="651" t="n"/>
      <c r="S386" s="1206" t="n"/>
      <c r="T386" s="904" t="n"/>
      <c r="U386" s="569" t="n"/>
      <c r="V386" s="1317" t="n"/>
    </row>
    <row r="387" ht="15.75" customHeight="1" s="1349">
      <c r="A387" s="1292" t="n"/>
      <c r="B387" s="904" t="n"/>
      <c r="C387" s="904" t="n"/>
      <c r="D387" s="1325" t="n"/>
      <c r="E387" s="1326">
        <f>G387+F387</f>
        <v/>
      </c>
      <c r="F387" s="1325">
        <f>G387*0.05</f>
        <v/>
      </c>
      <c r="G387" s="1312" t="n"/>
      <c r="H387" s="1301" t="n"/>
      <c r="I387" s="1321" t="n"/>
      <c r="J387" s="1322" t="n"/>
      <c r="K387" s="1318">
        <f>G387*18%</f>
        <v/>
      </c>
      <c r="L387" s="1318">
        <f>(G387-K387)*1.65%-(D387*1.65%)</f>
        <v/>
      </c>
      <c r="M387" s="1318" t="n"/>
      <c r="N387" s="863" t="n"/>
      <c r="O387" s="1320" t="n"/>
      <c r="P387" s="866" t="n"/>
      <c r="Q387" s="651">
        <f>(G387 - (D387+H387+K387+L387+M387+O387) + (N387)) / G387</f>
        <v/>
      </c>
      <c r="R387" s="651" t="n"/>
      <c r="S387" s="1206" t="n"/>
      <c r="T387" s="904" t="n"/>
      <c r="U387" s="569" t="n"/>
      <c r="V387" s="1317" t="n"/>
    </row>
    <row r="388" ht="15.75" customHeight="1" s="1349">
      <c r="A388" s="1292" t="n"/>
      <c r="B388" s="904" t="n"/>
      <c r="C388" s="904" t="n"/>
      <c r="D388" s="1325" t="n"/>
      <c r="E388" s="1326">
        <f>G388+F388</f>
        <v/>
      </c>
      <c r="F388" s="1325">
        <f>G388*0.05</f>
        <v/>
      </c>
      <c r="G388" s="1312" t="n"/>
      <c r="H388" s="1301" t="n"/>
      <c r="I388" s="1321" t="n"/>
      <c r="J388" s="1322" t="n"/>
      <c r="K388" s="1318">
        <f>G388*18%</f>
        <v/>
      </c>
      <c r="L388" s="1318">
        <f>(G388-K388)*1.65%-(D388*1.65%)</f>
        <v/>
      </c>
      <c r="M388" s="1318" t="n"/>
      <c r="N388" s="863" t="n"/>
      <c r="O388" s="1320" t="n"/>
      <c r="P388" s="866" t="n"/>
      <c r="Q388" s="651">
        <f>(G388 - (D388+H388+K388+L388+M388+O388) + (N388)) / G388</f>
        <v/>
      </c>
      <c r="R388" s="651" t="n"/>
      <c r="S388" s="1206" t="n"/>
      <c r="T388" s="904" t="n"/>
      <c r="U388" s="569" t="n"/>
      <c r="V388" s="1317" t="n"/>
    </row>
    <row r="389" ht="15.75" customHeight="1" s="1349">
      <c r="A389" s="1292" t="n"/>
      <c r="B389" s="904" t="n"/>
      <c r="C389" s="904" t="n"/>
      <c r="D389" s="1325" t="n"/>
      <c r="E389" s="1326">
        <f>G389+F389</f>
        <v/>
      </c>
      <c r="F389" s="1325">
        <f>G389*0.05</f>
        <v/>
      </c>
      <c r="G389" s="1312" t="n"/>
      <c r="H389" s="1301" t="n"/>
      <c r="I389" s="1321" t="n"/>
      <c r="J389" s="1322" t="n"/>
      <c r="K389" s="1318">
        <f>G389*18%</f>
        <v/>
      </c>
      <c r="L389" s="1318">
        <f>(G389-K389)*1.65%-(D389*1.65%)</f>
        <v/>
      </c>
      <c r="M389" s="1318" t="n"/>
      <c r="N389" s="863" t="n"/>
      <c r="O389" s="1320" t="n"/>
      <c r="P389" s="866" t="n"/>
      <c r="Q389" s="651">
        <f>(G389 - (D389+H389+K389+L389+M389+O389) + (N389)) / G389</f>
        <v/>
      </c>
      <c r="R389" s="651" t="n"/>
      <c r="S389" s="1206" t="n"/>
      <c r="T389" s="904" t="n"/>
      <c r="U389" s="569" t="n"/>
      <c r="V389" s="1317" t="n"/>
    </row>
    <row r="390" ht="15.75" customHeight="1" s="1349">
      <c r="A390" s="1292" t="n"/>
      <c r="B390" s="904" t="n"/>
      <c r="C390" s="904" t="n"/>
      <c r="D390" s="1325" t="n"/>
      <c r="E390" s="1326">
        <f>G390+F390</f>
        <v/>
      </c>
      <c r="F390" s="1325">
        <f>G390*0.05</f>
        <v/>
      </c>
      <c r="G390" s="1312" t="n"/>
      <c r="H390" s="1301" t="n"/>
      <c r="I390" s="1321" t="n"/>
      <c r="J390" s="1322" t="n"/>
      <c r="K390" s="1318">
        <f>G390*18%</f>
        <v/>
      </c>
      <c r="L390" s="1318">
        <f>(G390-K390)*1.65%-(D390*1.65%)</f>
        <v/>
      </c>
      <c r="M390" s="1318" t="n"/>
      <c r="N390" s="863" t="n"/>
      <c r="O390" s="1320" t="n"/>
      <c r="P390" s="866" t="n"/>
      <c r="Q390" s="651">
        <f>(G390 - (D390+H390+K390+L390+M390+O390) + (N390)) / G390</f>
        <v/>
      </c>
      <c r="R390" s="651" t="n"/>
      <c r="S390" s="1206" t="n"/>
      <c r="T390" s="904" t="n"/>
      <c r="U390" s="569" t="n"/>
      <c r="V390" s="1317" t="n"/>
    </row>
    <row r="391" ht="15.75" customHeight="1" s="1349">
      <c r="A391" s="1292" t="n"/>
      <c r="B391" s="904" t="n"/>
      <c r="C391" s="904" t="n"/>
      <c r="D391" s="1325" t="n"/>
      <c r="E391" s="1326">
        <f>G391+F391</f>
        <v/>
      </c>
      <c r="F391" s="1325">
        <f>G391*0.05</f>
        <v/>
      </c>
      <c r="G391" s="1312" t="n"/>
      <c r="H391" s="1301" t="n"/>
      <c r="I391" s="1321" t="n"/>
      <c r="J391" s="1322" t="n"/>
      <c r="K391" s="1318">
        <f>G391*18%</f>
        <v/>
      </c>
      <c r="L391" s="1318">
        <f>(G391-K391)*1.65%-(D391*1.65%)</f>
        <v/>
      </c>
      <c r="M391" s="1318" t="n"/>
      <c r="N391" s="863" t="n"/>
      <c r="O391" s="1320" t="n"/>
      <c r="P391" s="866" t="n"/>
      <c r="Q391" s="651">
        <f>(G391 - (D391+H391+K391+L391+M391+O391) + (N391)) / G391</f>
        <v/>
      </c>
      <c r="R391" s="651" t="n"/>
      <c r="S391" s="1206" t="n"/>
      <c r="T391" s="904" t="n"/>
      <c r="U391" s="569" t="n"/>
      <c r="V391" s="1317" t="n"/>
    </row>
    <row r="392" ht="15.75" customHeight="1" s="1349">
      <c r="A392" s="1292" t="n"/>
      <c r="B392" s="904" t="n"/>
      <c r="C392" s="904" t="n"/>
      <c r="D392" s="1325" t="n"/>
      <c r="E392" s="1326">
        <f>G392+F392</f>
        <v/>
      </c>
      <c r="F392" s="1325">
        <f>G392*0.05</f>
        <v/>
      </c>
      <c r="G392" s="1312" t="n"/>
      <c r="H392" s="1301" t="n"/>
      <c r="I392" s="1321" t="n"/>
      <c r="J392" s="1322" t="n"/>
      <c r="K392" s="1318">
        <f>G392*18%</f>
        <v/>
      </c>
      <c r="L392" s="1318">
        <f>(G392-K392)*1.65%-(D392*1.65%)</f>
        <v/>
      </c>
      <c r="M392" s="1318" t="n"/>
      <c r="N392" s="863" t="n"/>
      <c r="O392" s="1320" t="n"/>
      <c r="P392" s="866" t="n"/>
      <c r="Q392" s="651">
        <f>(G392 - (D392+H392+K392+L392+M392+O392) + (N392)) / G392</f>
        <v/>
      </c>
      <c r="R392" s="651" t="n"/>
      <c r="S392" s="1206" t="n"/>
      <c r="T392" s="904" t="n"/>
      <c r="U392" s="569" t="n"/>
      <c r="V392" s="1317" t="n"/>
    </row>
    <row r="393" ht="15.75" customHeight="1" s="1349">
      <c r="A393" s="1292" t="n"/>
      <c r="B393" s="904" t="n"/>
      <c r="C393" s="904" t="n"/>
      <c r="D393" s="1325" t="n"/>
      <c r="E393" s="1326">
        <f>G393+F393</f>
        <v/>
      </c>
      <c r="F393" s="1325">
        <f>G393*0.05</f>
        <v/>
      </c>
      <c r="G393" s="1312" t="n"/>
      <c r="H393" s="1301" t="n"/>
      <c r="I393" s="1321" t="n"/>
      <c r="J393" s="1322" t="n"/>
      <c r="K393" s="1318">
        <f>G393*18%</f>
        <v/>
      </c>
      <c r="L393" s="1318">
        <f>(G393-K393)*1.65%-(D393*1.65%)</f>
        <v/>
      </c>
      <c r="M393" s="1318" t="n"/>
      <c r="N393" s="863" t="n"/>
      <c r="O393" s="1320" t="n"/>
      <c r="P393" s="866" t="n"/>
      <c r="Q393" s="651">
        <f>(G393 - (D393+H393+K393+L393+M393+O393) + (N393)) / G393</f>
        <v/>
      </c>
      <c r="R393" s="651" t="n"/>
      <c r="S393" s="1206" t="n"/>
      <c r="T393" s="904" t="n"/>
      <c r="U393" s="569" t="n"/>
      <c r="V393" s="1317" t="n"/>
    </row>
    <row r="394" ht="15.75" customHeight="1" s="1349">
      <c r="A394" s="1292" t="n"/>
      <c r="B394" s="904" t="n"/>
      <c r="C394" s="904" t="n"/>
      <c r="D394" s="1325" t="n"/>
      <c r="E394" s="1326">
        <f>G394+F394</f>
        <v/>
      </c>
      <c r="F394" s="1325">
        <f>G394*0.05</f>
        <v/>
      </c>
      <c r="G394" s="1312" t="n"/>
      <c r="H394" s="1301" t="n"/>
      <c r="I394" s="1321" t="n"/>
      <c r="J394" s="1322" t="n"/>
      <c r="K394" s="1318">
        <f>G394*18%</f>
        <v/>
      </c>
      <c r="L394" s="1318">
        <f>(G394-K394)*1.65%-(D394*1.65%)</f>
        <v/>
      </c>
      <c r="M394" s="1318" t="n"/>
      <c r="N394" s="863" t="n"/>
      <c r="O394" s="1320" t="n"/>
      <c r="P394" s="866" t="n"/>
      <c r="Q394" s="651">
        <f>(G394 - (D394+H394+K394+L394+M394+O394) + (N394)) / G394</f>
        <v/>
      </c>
      <c r="R394" s="651" t="n"/>
      <c r="S394" s="1206" t="n"/>
      <c r="T394" s="904" t="n"/>
      <c r="U394" s="569" t="n"/>
      <c r="V394" s="1317" t="n"/>
    </row>
    <row r="395" ht="15.75" customHeight="1" s="1349">
      <c r="A395" s="1292" t="n"/>
      <c r="B395" s="904" t="n"/>
      <c r="C395" s="904" t="n"/>
      <c r="D395" s="1325" t="n"/>
      <c r="E395" s="1326">
        <f>G395+F395</f>
        <v/>
      </c>
      <c r="F395" s="1325">
        <f>G395*0.05</f>
        <v/>
      </c>
      <c r="G395" s="1312" t="n"/>
      <c r="H395" s="1301" t="n"/>
      <c r="I395" s="1321" t="n"/>
      <c r="J395" s="1322" t="n"/>
      <c r="K395" s="1318">
        <f>G395*18%</f>
        <v/>
      </c>
      <c r="L395" s="1318">
        <f>(G395-K395)*1.65%-(D395*1.65%)</f>
        <v/>
      </c>
      <c r="M395" s="1318" t="n"/>
      <c r="N395" s="863" t="n"/>
      <c r="O395" s="1320" t="n"/>
      <c r="P395" s="866" t="n"/>
      <c r="Q395" s="651">
        <f>(G395 - (D395+H395+K395+L395+M395+O395) + (N395)) / G395</f>
        <v/>
      </c>
      <c r="R395" s="651" t="n"/>
      <c r="S395" s="1206" t="n"/>
      <c r="T395" s="904" t="n"/>
      <c r="U395" s="569" t="n"/>
      <c r="V395" s="1317" t="n"/>
    </row>
    <row r="396" ht="15.75" customHeight="1" s="1349">
      <c r="A396" s="1292" t="n"/>
      <c r="B396" s="904" t="n"/>
      <c r="C396" s="904" t="n"/>
      <c r="D396" s="1325" t="n"/>
      <c r="E396" s="1326">
        <f>G396+F396</f>
        <v/>
      </c>
      <c r="F396" s="1325">
        <f>G396*0.05</f>
        <v/>
      </c>
      <c r="G396" s="1312" t="n"/>
      <c r="H396" s="1301" t="n"/>
      <c r="I396" s="1321" t="n"/>
      <c r="J396" s="1322" t="n"/>
      <c r="K396" s="1318">
        <f>G396*18%</f>
        <v/>
      </c>
      <c r="L396" s="1318">
        <f>(G396-K396)*1.65%-(D396*1.65%)</f>
        <v/>
      </c>
      <c r="M396" s="1318" t="n"/>
      <c r="N396" s="863" t="n"/>
      <c r="O396" s="1320" t="n"/>
      <c r="P396" s="866" t="n"/>
      <c r="Q396" s="651">
        <f>(G396 - (D396+H396+K396+L396+M396+O396) + (N396)) / G396</f>
        <v/>
      </c>
      <c r="R396" s="651" t="n"/>
      <c r="S396" s="1206" t="n"/>
      <c r="T396" s="904" t="n"/>
      <c r="U396" s="569" t="n"/>
      <c r="V396" s="1317" t="n"/>
    </row>
    <row r="397" ht="15.75" customHeight="1" s="1349">
      <c r="A397" s="1292" t="n"/>
      <c r="B397" s="904" t="n"/>
      <c r="C397" s="904" t="n"/>
      <c r="D397" s="1325" t="n"/>
      <c r="E397" s="1326">
        <f>G397+F397</f>
        <v/>
      </c>
      <c r="F397" s="1325">
        <f>G397*0.05</f>
        <v/>
      </c>
      <c r="G397" s="1312" t="n"/>
      <c r="H397" s="1301" t="n"/>
      <c r="I397" s="1321" t="n"/>
      <c r="J397" s="1322" t="n"/>
      <c r="K397" s="1318">
        <f>G397*18%</f>
        <v/>
      </c>
      <c r="L397" s="1318">
        <f>(G397-K397)*1.65%-(D397*1.65%)</f>
        <v/>
      </c>
      <c r="M397" s="1318" t="n"/>
      <c r="N397" s="863" t="n"/>
      <c r="O397" s="1320" t="n"/>
      <c r="P397" s="866" t="n"/>
      <c r="Q397" s="651">
        <f>(G397 - (D397+H397+K397+L397+M397+O397) + (N397)) / G397</f>
        <v/>
      </c>
      <c r="R397" s="651" t="n"/>
      <c r="S397" s="1206" t="n"/>
      <c r="T397" s="904" t="n"/>
      <c r="U397" s="569" t="n"/>
      <c r="V397" s="1317" t="n"/>
    </row>
    <row r="398" ht="15.75" customHeight="1" s="1349">
      <c r="A398" s="1292" t="n"/>
      <c r="B398" s="904" t="n"/>
      <c r="C398" s="904" t="n"/>
      <c r="D398" s="1325" t="n"/>
      <c r="E398" s="1326">
        <f>G398+F398</f>
        <v/>
      </c>
      <c r="F398" s="1325">
        <f>G398*0.05</f>
        <v/>
      </c>
      <c r="G398" s="1312" t="n"/>
      <c r="H398" s="1301" t="n"/>
      <c r="I398" s="1321" t="n"/>
      <c r="J398" s="1322" t="n"/>
      <c r="K398" s="1318">
        <f>G398*18%</f>
        <v/>
      </c>
      <c r="L398" s="1318">
        <f>(G398-K398)*1.65%-(D398*1.65%)</f>
        <v/>
      </c>
      <c r="M398" s="1318" t="n"/>
      <c r="N398" s="863" t="n"/>
      <c r="O398" s="1320" t="n"/>
      <c r="P398" s="866" t="n"/>
      <c r="Q398" s="651">
        <f>(G398 - (D398+H398+K398+L398+M398+O398) + (N398)) / G398</f>
        <v/>
      </c>
      <c r="R398" s="651" t="n"/>
      <c r="S398" s="1206" t="n"/>
      <c r="T398" s="904" t="n"/>
      <c r="U398" s="569" t="n"/>
      <c r="V398" s="1317" t="n"/>
    </row>
    <row r="399" ht="15.75" customHeight="1" s="1349">
      <c r="A399" s="1292" t="n"/>
      <c r="B399" s="904" t="n"/>
      <c r="C399" s="904" t="n"/>
      <c r="D399" s="1325" t="n"/>
      <c r="E399" s="1326">
        <f>G399+F399</f>
        <v/>
      </c>
      <c r="F399" s="1325">
        <f>G399*0.05</f>
        <v/>
      </c>
      <c r="G399" s="1312" t="n"/>
      <c r="H399" s="1301" t="n"/>
      <c r="I399" s="1321" t="n"/>
      <c r="J399" s="1322" t="n"/>
      <c r="K399" s="1318">
        <f>G399*18%</f>
        <v/>
      </c>
      <c r="L399" s="1318">
        <f>(G399-K399)*1.65%-(D399*1.65%)</f>
        <v/>
      </c>
      <c r="M399" s="1318" t="n"/>
      <c r="N399" s="863" t="n"/>
      <c r="O399" s="1320" t="n"/>
      <c r="P399" s="866" t="n"/>
      <c r="Q399" s="651">
        <f>(G399 - (D399+H399+K399+L399+M399+O399) + (N399)) / G399</f>
        <v/>
      </c>
      <c r="R399" s="651" t="n"/>
      <c r="S399" s="1206" t="n"/>
      <c r="T399" s="904" t="n"/>
      <c r="U399" s="569" t="n"/>
      <c r="V399" s="1317" t="n"/>
    </row>
    <row r="400" ht="15.75" customHeight="1" s="1349">
      <c r="A400" s="1292" t="n"/>
      <c r="B400" s="904" t="n"/>
      <c r="C400" s="904" t="n"/>
      <c r="D400" s="1325" t="n"/>
      <c r="E400" s="1326">
        <f>G400+F400</f>
        <v/>
      </c>
      <c r="F400" s="1325">
        <f>G400*0.05</f>
        <v/>
      </c>
      <c r="G400" s="1312" t="n"/>
      <c r="H400" s="1301" t="n"/>
      <c r="I400" s="1321" t="n"/>
      <c r="J400" s="1322" t="n"/>
      <c r="K400" s="1318">
        <f>G400*18%</f>
        <v/>
      </c>
      <c r="L400" s="1318">
        <f>(G400-K400)*1.65%-(D400*1.65%)</f>
        <v/>
      </c>
      <c r="M400" s="1318" t="n"/>
      <c r="N400" s="863" t="n"/>
      <c r="O400" s="1320" t="n"/>
      <c r="P400" s="866" t="n"/>
      <c r="Q400" s="651">
        <f>(G400 - (D400+H400+K400+L400+M400+O400) + (N400)) / G400</f>
        <v/>
      </c>
      <c r="R400" s="651" t="n"/>
      <c r="S400" s="1206" t="n"/>
      <c r="T400" s="904" t="n"/>
      <c r="U400" s="569" t="n"/>
      <c r="V400" s="1317" t="n"/>
    </row>
    <row r="401" ht="15.75" customHeight="1" s="1349">
      <c r="A401" s="1292" t="n"/>
      <c r="B401" s="904" t="n"/>
      <c r="C401" s="904" t="n"/>
      <c r="D401" s="1325" t="n"/>
      <c r="E401" s="1326">
        <f>G401+F401</f>
        <v/>
      </c>
      <c r="F401" s="1325">
        <f>G401*0.05</f>
        <v/>
      </c>
      <c r="G401" s="1312" t="n"/>
      <c r="H401" s="1301" t="n"/>
      <c r="I401" s="1321" t="n"/>
      <c r="J401" s="1322" t="n"/>
      <c r="K401" s="1318">
        <f>G401*18%</f>
        <v/>
      </c>
      <c r="L401" s="1318">
        <f>(G401-K401)*1.65%-(D401*1.65%)</f>
        <v/>
      </c>
      <c r="M401" s="1318" t="n"/>
      <c r="N401" s="863" t="n"/>
      <c r="O401" s="1320" t="n"/>
      <c r="P401" s="866" t="n"/>
      <c r="Q401" s="651">
        <f>(G401 - (D401+H401+K401+L401+M401+O401) + (N401)) / G401</f>
        <v/>
      </c>
      <c r="R401" s="651" t="n"/>
      <c r="S401" s="1206" t="n"/>
      <c r="T401" s="904" t="n"/>
      <c r="U401" s="569" t="n"/>
      <c r="V401" s="1317" t="n"/>
    </row>
    <row r="402" ht="15.75" customHeight="1" s="1349">
      <c r="A402" s="1292" t="n"/>
      <c r="B402" s="904" t="n"/>
      <c r="C402" s="904" t="n"/>
      <c r="D402" s="1325" t="n"/>
      <c r="E402" s="1326">
        <f>G402+F402</f>
        <v/>
      </c>
      <c r="F402" s="1325">
        <f>G402*0.05</f>
        <v/>
      </c>
      <c r="G402" s="1312" t="n"/>
      <c r="H402" s="1301" t="n"/>
      <c r="I402" s="1321" t="n"/>
      <c r="J402" s="1322" t="n"/>
      <c r="K402" s="1318">
        <f>G402*18%</f>
        <v/>
      </c>
      <c r="L402" s="1318">
        <f>(G402-K402)*1.65%-(D402*1.65%)</f>
        <v/>
      </c>
      <c r="M402" s="1318" t="n"/>
      <c r="N402" s="863" t="n"/>
      <c r="O402" s="1320" t="n"/>
      <c r="P402" s="866" t="n"/>
      <c r="Q402" s="651">
        <f>(G402 - (D402+H402+K402+L402+M402+O402) + (N402)) / G402</f>
        <v/>
      </c>
      <c r="R402" s="651" t="n"/>
      <c r="S402" s="1206" t="n"/>
      <c r="T402" s="904" t="n"/>
      <c r="U402" s="569" t="n"/>
      <c r="V402" s="1317" t="n"/>
    </row>
    <row r="403" ht="15.75" customHeight="1" s="1349">
      <c r="A403" s="1292" t="n"/>
      <c r="B403" s="904" t="n"/>
      <c r="C403" s="904" t="n"/>
      <c r="D403" s="1325" t="n"/>
      <c r="E403" s="1326">
        <f>G403+F403</f>
        <v/>
      </c>
      <c r="F403" s="1325">
        <f>G403*0.05</f>
        <v/>
      </c>
      <c r="G403" s="1312" t="n"/>
      <c r="H403" s="1301" t="n"/>
      <c r="I403" s="1321" t="n"/>
      <c r="J403" s="1322" t="n"/>
      <c r="K403" s="1318">
        <f>G403*18%</f>
        <v/>
      </c>
      <c r="L403" s="1318">
        <f>(G403-K403)*1.65%-(D403*1.65%)</f>
        <v/>
      </c>
      <c r="M403" s="1318" t="n"/>
      <c r="N403" s="863" t="n"/>
      <c r="O403" s="1320" t="n"/>
      <c r="P403" s="866" t="n"/>
      <c r="Q403" s="651">
        <f>(G403 - (D403+H403+K403+L403+M403+O403) + (N403)) / G403</f>
        <v/>
      </c>
      <c r="R403" s="651" t="n"/>
      <c r="S403" s="1206" t="n"/>
      <c r="T403" s="904" t="n"/>
      <c r="U403" s="569" t="n"/>
      <c r="V403" s="1317" t="n"/>
    </row>
    <row r="404" ht="15.75" customHeight="1" s="1349">
      <c r="A404" s="1292" t="n"/>
      <c r="B404" s="904" t="n"/>
      <c r="C404" s="904" t="n"/>
      <c r="D404" s="1325" t="n"/>
      <c r="E404" s="1326">
        <f>G404+F404</f>
        <v/>
      </c>
      <c r="F404" s="1325">
        <f>G404*0.05</f>
        <v/>
      </c>
      <c r="G404" s="1312" t="n"/>
      <c r="H404" s="1301" t="n"/>
      <c r="I404" s="1321" t="n"/>
      <c r="J404" s="1322" t="n"/>
      <c r="K404" s="1318">
        <f>G404*18%</f>
        <v/>
      </c>
      <c r="L404" s="1318">
        <f>(G404-K404)*1.65%-(D404*1.65%)</f>
        <v/>
      </c>
      <c r="M404" s="1318" t="n"/>
      <c r="N404" s="863" t="n"/>
      <c r="O404" s="1320" t="n"/>
      <c r="P404" s="866" t="n"/>
      <c r="Q404" s="651">
        <f>(G404 - (D404+H404+K404+L404+M404+O404) + (N404)) / G404</f>
        <v/>
      </c>
      <c r="R404" s="651" t="n"/>
      <c r="S404" s="1206" t="n"/>
      <c r="T404" s="904" t="n"/>
      <c r="U404" s="569" t="n"/>
      <c r="V404" s="1317" t="n"/>
    </row>
    <row r="405" ht="15.75" customHeight="1" s="1349">
      <c r="A405" s="1292" t="n"/>
      <c r="B405" s="904" t="n"/>
      <c r="C405" s="904" t="n"/>
      <c r="D405" s="1325" t="n"/>
      <c r="E405" s="1326">
        <f>G405+F405</f>
        <v/>
      </c>
      <c r="F405" s="1325">
        <f>G405*0.05</f>
        <v/>
      </c>
      <c r="G405" s="1312" t="n"/>
      <c r="H405" s="1301" t="n"/>
      <c r="I405" s="1321" t="n"/>
      <c r="J405" s="1322" t="n"/>
      <c r="K405" s="1318">
        <f>G405*18%</f>
        <v/>
      </c>
      <c r="L405" s="1318">
        <f>(G405-K405)*1.65%-(D405*1.65%)</f>
        <v/>
      </c>
      <c r="M405" s="1318" t="n"/>
      <c r="N405" s="863" t="n"/>
      <c r="O405" s="1320" t="n"/>
      <c r="P405" s="866" t="n"/>
      <c r="Q405" s="651">
        <f>(G405 - (D405+H405+K405+L405+M405+O405) + (N405)) / G405</f>
        <v/>
      </c>
      <c r="R405" s="651" t="n"/>
      <c r="S405" s="1206" t="n"/>
      <c r="T405" s="904" t="n"/>
      <c r="U405" s="569" t="n"/>
      <c r="V405" s="1317" t="n"/>
    </row>
    <row r="406" ht="15.75" customHeight="1" s="1349">
      <c r="A406" s="1292" t="n"/>
      <c r="B406" s="904" t="n"/>
      <c r="C406" s="904" t="n"/>
      <c r="D406" s="1325" t="n"/>
      <c r="E406" s="1326">
        <f>G406+F406</f>
        <v/>
      </c>
      <c r="F406" s="1325">
        <f>G406*0.05</f>
        <v/>
      </c>
      <c r="G406" s="1312" t="n"/>
      <c r="H406" s="1301" t="n"/>
      <c r="I406" s="1321" t="n"/>
      <c r="J406" s="1322" t="n"/>
      <c r="K406" s="1318">
        <f>G406*18%</f>
        <v/>
      </c>
      <c r="L406" s="1318">
        <f>(G406-K406)*1.65%-(D406*1.65%)</f>
        <v/>
      </c>
      <c r="M406" s="1318" t="n"/>
      <c r="N406" s="863" t="n"/>
      <c r="O406" s="1320" t="n"/>
      <c r="P406" s="866" t="n"/>
      <c r="Q406" s="651">
        <f>(G406 - (D406+H406+K406+L406+M406+O406) + (N406)) / G406</f>
        <v/>
      </c>
      <c r="R406" s="651" t="n"/>
      <c r="S406" s="1206" t="n"/>
      <c r="T406" s="904" t="n"/>
      <c r="U406" s="569" t="n"/>
      <c r="V406" s="1317" t="n"/>
    </row>
    <row r="407" ht="15.75" customHeight="1" s="1349">
      <c r="A407" s="1292" t="n"/>
      <c r="B407" s="904" t="n"/>
      <c r="C407" s="904" t="n"/>
      <c r="D407" s="1325" t="n"/>
      <c r="E407" s="1326">
        <f>G407+F407</f>
        <v/>
      </c>
      <c r="F407" s="1325">
        <f>G407*0.05</f>
        <v/>
      </c>
      <c r="G407" s="1312" t="n"/>
      <c r="H407" s="1301" t="n"/>
      <c r="I407" s="1321" t="n"/>
      <c r="J407" s="1322" t="n"/>
      <c r="K407" s="1318">
        <f>G407*18%</f>
        <v/>
      </c>
      <c r="L407" s="1318">
        <f>(G407-K407)*1.65%-(D407*1.65%)</f>
        <v/>
      </c>
      <c r="M407" s="1318" t="n"/>
      <c r="N407" s="863" t="n"/>
      <c r="O407" s="1320" t="n"/>
      <c r="P407" s="866" t="n"/>
      <c r="Q407" s="651">
        <f>(G407 - (D407+H407+K407+L407+M407+O407) + (N407)) / G407</f>
        <v/>
      </c>
      <c r="R407" s="651" t="n"/>
      <c r="S407" s="1206" t="n"/>
      <c r="T407" s="904" t="n"/>
      <c r="U407" s="569" t="n"/>
      <c r="V407" s="1317" t="n"/>
    </row>
    <row r="408" ht="15.75" customHeight="1" s="1349">
      <c r="A408" s="1292" t="n"/>
      <c r="B408" s="904" t="n"/>
      <c r="C408" s="904" t="n"/>
      <c r="D408" s="1325" t="n"/>
      <c r="E408" s="1326">
        <f>G408+F408</f>
        <v/>
      </c>
      <c r="F408" s="1325">
        <f>G408*0.05</f>
        <v/>
      </c>
      <c r="G408" s="1312" t="n"/>
      <c r="H408" s="1301" t="n"/>
      <c r="I408" s="1321" t="n"/>
      <c r="J408" s="1322" t="n"/>
      <c r="K408" s="1318">
        <f>G408*18%</f>
        <v/>
      </c>
      <c r="L408" s="1318">
        <f>(G408-K408)*1.65%-(D408*1.65%)</f>
        <v/>
      </c>
      <c r="M408" s="1318" t="n"/>
      <c r="N408" s="863" t="n"/>
      <c r="O408" s="1320" t="n"/>
      <c r="P408" s="866" t="n"/>
      <c r="Q408" s="651">
        <f>(G408 - (D408+H408+K408+L408+M408+O408) + (N408)) / G408</f>
        <v/>
      </c>
      <c r="R408" s="651" t="n"/>
      <c r="S408" s="1206" t="n"/>
      <c r="T408" s="904" t="n"/>
      <c r="U408" s="569" t="n"/>
      <c r="V408" s="1317" t="n"/>
    </row>
    <row r="409" ht="15.75" customHeight="1" s="1349">
      <c r="A409" s="1292" t="n"/>
      <c r="B409" s="904" t="n"/>
      <c r="C409" s="904" t="n"/>
      <c r="D409" s="1325" t="n"/>
      <c r="E409" s="1326">
        <f>G409+F409</f>
        <v/>
      </c>
      <c r="F409" s="1325">
        <f>G409*0.05</f>
        <v/>
      </c>
      <c r="G409" s="1312" t="n"/>
      <c r="H409" s="1301" t="n"/>
      <c r="I409" s="1321" t="n"/>
      <c r="J409" s="1322" t="n"/>
      <c r="K409" s="1318">
        <f>G409*18%</f>
        <v/>
      </c>
      <c r="L409" s="1318">
        <f>(G409-K409)*1.65%-(D409*1.65%)</f>
        <v/>
      </c>
      <c r="M409" s="1318" t="n"/>
      <c r="N409" s="863" t="n"/>
      <c r="O409" s="1320" t="n"/>
      <c r="P409" s="866" t="n"/>
      <c r="Q409" s="651">
        <f>(G409 - (D409+H409+K409+L409+M409+O409) + (N409)) / G409</f>
        <v/>
      </c>
      <c r="R409" s="651" t="n"/>
      <c r="S409" s="1206" t="n"/>
      <c r="T409" s="904" t="n"/>
      <c r="U409" s="569" t="n"/>
      <c r="V409" s="1317" t="n"/>
    </row>
    <row r="410" ht="15.75" customHeight="1" s="1349">
      <c r="A410" s="1292" t="n"/>
      <c r="B410" s="904" t="n"/>
      <c r="C410" s="904" t="n"/>
      <c r="D410" s="1325" t="n"/>
      <c r="E410" s="1326">
        <f>G410+F410</f>
        <v/>
      </c>
      <c r="F410" s="1325">
        <f>G410*0.05</f>
        <v/>
      </c>
      <c r="G410" s="1312" t="n"/>
      <c r="H410" s="1301" t="n"/>
      <c r="I410" s="1321" t="n"/>
      <c r="J410" s="1322" t="n"/>
      <c r="K410" s="1318">
        <f>G410*18%</f>
        <v/>
      </c>
      <c r="L410" s="1318">
        <f>(G410-K410)*1.65%-(D410*1.65%)</f>
        <v/>
      </c>
      <c r="M410" s="1318" t="n"/>
      <c r="N410" s="863" t="n"/>
      <c r="O410" s="1320" t="n"/>
      <c r="P410" s="866" t="n"/>
      <c r="Q410" s="651">
        <f>(G410 - (D410+H410+K410+L410+M410+O410) + (N410)) / G410</f>
        <v/>
      </c>
      <c r="R410" s="651" t="n"/>
      <c r="S410" s="1206" t="n"/>
      <c r="T410" s="904" t="n"/>
      <c r="U410" s="569" t="n"/>
      <c r="V410" s="1317" t="n"/>
    </row>
    <row r="411" ht="15.75" customHeight="1" s="1349">
      <c r="A411" s="1292" t="n"/>
      <c r="B411" s="904" t="n"/>
      <c r="C411" s="904" t="n"/>
      <c r="D411" s="1325" t="n"/>
      <c r="E411" s="1326">
        <f>G411+F411</f>
        <v/>
      </c>
      <c r="F411" s="1325">
        <f>G411*0.05</f>
        <v/>
      </c>
      <c r="G411" s="1312" t="n"/>
      <c r="H411" s="1301" t="n"/>
      <c r="I411" s="1321" t="n"/>
      <c r="J411" s="1322" t="n"/>
      <c r="K411" s="1318">
        <f>G411*18%</f>
        <v/>
      </c>
      <c r="L411" s="1318">
        <f>(G411-K411)*1.65%-(D411*1.65%)</f>
        <v/>
      </c>
      <c r="M411" s="1318" t="n"/>
      <c r="N411" s="863" t="n"/>
      <c r="O411" s="1320" t="n"/>
      <c r="P411" s="866" t="n"/>
      <c r="Q411" s="651">
        <f>(G411 - (D411+H411+K411+L411+M411+O411) + (N411)) / G411</f>
        <v/>
      </c>
      <c r="R411" s="651" t="n"/>
      <c r="S411" s="1206" t="n"/>
      <c r="T411" s="904" t="n"/>
      <c r="U411" s="569" t="n"/>
      <c r="V411" s="1317" t="n"/>
    </row>
    <row r="412" ht="15.75" customHeight="1" s="1349">
      <c r="A412" s="1292" t="n"/>
      <c r="B412" s="904" t="n"/>
      <c r="C412" s="904" t="n"/>
      <c r="D412" s="1325" t="n"/>
      <c r="E412" s="1326">
        <f>G412+F412</f>
        <v/>
      </c>
      <c r="F412" s="1325">
        <f>G412*0.05</f>
        <v/>
      </c>
      <c r="G412" s="1312" t="n"/>
      <c r="H412" s="1301" t="n"/>
      <c r="I412" s="1321" t="n"/>
      <c r="J412" s="1322" t="n"/>
      <c r="K412" s="1318">
        <f>G412*18%</f>
        <v/>
      </c>
      <c r="L412" s="1318">
        <f>(G412-K412)*1.65%-(D412*1.65%)</f>
        <v/>
      </c>
      <c r="M412" s="1318" t="n"/>
      <c r="N412" s="863" t="n"/>
      <c r="O412" s="1320" t="n"/>
      <c r="P412" s="866" t="n"/>
      <c r="Q412" s="651">
        <f>(G412 - (D412+H412+K412+L412+M412+O412) + (N412)) / G412</f>
        <v/>
      </c>
      <c r="R412" s="651" t="n"/>
      <c r="S412" s="1206" t="n"/>
      <c r="T412" s="904" t="n"/>
      <c r="U412" s="569" t="n"/>
      <c r="V412" s="1317" t="n"/>
    </row>
    <row r="413" ht="15.75" customHeight="1" s="1349">
      <c r="A413" s="1292" t="n"/>
      <c r="B413" s="904" t="n"/>
      <c r="C413" s="904" t="n"/>
      <c r="D413" s="1325" t="n"/>
      <c r="E413" s="1326">
        <f>G413+F413</f>
        <v/>
      </c>
      <c r="F413" s="1325">
        <f>G413*0.05</f>
        <v/>
      </c>
      <c r="G413" s="1312" t="n"/>
      <c r="H413" s="1301" t="n"/>
      <c r="I413" s="1321" t="n"/>
      <c r="J413" s="1322" t="n"/>
      <c r="K413" s="1318">
        <f>G413*18%</f>
        <v/>
      </c>
      <c r="L413" s="1318">
        <f>(G413-K413)*1.65%-(D413*1.65%)</f>
        <v/>
      </c>
      <c r="M413" s="1318" t="n"/>
      <c r="N413" s="863" t="n"/>
      <c r="O413" s="1320" t="n"/>
      <c r="P413" s="866" t="n"/>
      <c r="Q413" s="651">
        <f>(G413 - (D413+H413+K413+L413+M413+O413) + (N413)) / G413</f>
        <v/>
      </c>
      <c r="R413" s="651" t="n"/>
      <c r="S413" s="1206" t="n"/>
      <c r="T413" s="904" t="n"/>
      <c r="U413" s="569" t="n"/>
      <c r="V413" s="1317" t="n"/>
    </row>
    <row r="414" ht="15.75" customHeight="1" s="1349">
      <c r="A414" s="1292" t="n"/>
      <c r="B414" s="904" t="n"/>
      <c r="C414" s="904" t="n"/>
      <c r="D414" s="1325" t="n"/>
      <c r="E414" s="1326">
        <f>G414+F414</f>
        <v/>
      </c>
      <c r="F414" s="1325">
        <f>G414*0.05</f>
        <v/>
      </c>
      <c r="G414" s="1312" t="n"/>
      <c r="H414" s="1301" t="n"/>
      <c r="I414" s="1321" t="n"/>
      <c r="J414" s="1322" t="n"/>
      <c r="K414" s="1318">
        <f>G414*18%</f>
        <v/>
      </c>
      <c r="L414" s="1318">
        <f>(G414-K414)*1.65%-(D414*1.65%)</f>
        <v/>
      </c>
      <c r="M414" s="1318" t="n"/>
      <c r="N414" s="863" t="n"/>
      <c r="O414" s="1320" t="n"/>
      <c r="P414" s="866" t="n"/>
      <c r="Q414" s="651">
        <f>(G414 - (D414+H414+K414+L414+M414+O414) + (N414)) / G414</f>
        <v/>
      </c>
      <c r="R414" s="651" t="n"/>
      <c r="S414" s="1206" t="n"/>
      <c r="T414" s="904" t="n"/>
      <c r="U414" s="569" t="n"/>
      <c r="V414" s="1317" t="n"/>
    </row>
    <row r="415" ht="15.75" customHeight="1" s="1349">
      <c r="A415" s="1292" t="n"/>
      <c r="B415" s="904" t="n"/>
      <c r="C415" s="904" t="n"/>
      <c r="D415" s="1325" t="n"/>
      <c r="E415" s="1326">
        <f>G415+F415</f>
        <v/>
      </c>
      <c r="F415" s="1325">
        <f>G415*0.05</f>
        <v/>
      </c>
      <c r="G415" s="1312" t="n"/>
      <c r="H415" s="1301" t="n"/>
      <c r="I415" s="1321" t="n"/>
      <c r="J415" s="1322" t="n"/>
      <c r="K415" s="1318">
        <f>G415*18%</f>
        <v/>
      </c>
      <c r="L415" s="1318">
        <f>(G415-K415)*1.65%-(D415*1.65%)</f>
        <v/>
      </c>
      <c r="M415" s="1318" t="n"/>
      <c r="N415" s="863" t="n"/>
      <c r="O415" s="1320" t="n"/>
      <c r="P415" s="866" t="n"/>
      <c r="Q415" s="651">
        <f>(G415 - (D415+H415+K415+L415+M415+O415) + (N415)) / G415</f>
        <v/>
      </c>
      <c r="R415" s="651" t="n"/>
      <c r="S415" s="1206" t="n"/>
      <c r="T415" s="904" t="n"/>
      <c r="U415" s="569" t="n"/>
      <c r="V415" s="1317" t="n"/>
    </row>
    <row r="416" ht="15.75" customHeight="1" s="1349">
      <c r="A416" s="1292" t="n"/>
      <c r="B416" s="904" t="n"/>
      <c r="C416" s="904" t="n"/>
      <c r="D416" s="1325" t="n"/>
      <c r="E416" s="1326">
        <f>G416+F416</f>
        <v/>
      </c>
      <c r="F416" s="1325">
        <f>G416*0.05</f>
        <v/>
      </c>
      <c r="G416" s="1312" t="n"/>
      <c r="H416" s="1301" t="n"/>
      <c r="I416" s="1321" t="n"/>
      <c r="J416" s="1322" t="n"/>
      <c r="K416" s="1318">
        <f>G416*18%</f>
        <v/>
      </c>
      <c r="L416" s="1318">
        <f>(G416-K416)*1.65%-(D416*1.65%)</f>
        <v/>
      </c>
      <c r="M416" s="1318" t="n"/>
      <c r="N416" s="863" t="n"/>
      <c r="O416" s="1320" t="n"/>
      <c r="P416" s="866" t="n"/>
      <c r="Q416" s="651">
        <f>(G416 - (D416+H416+K416+L416+M416+O416) + (N416)) / G416</f>
        <v/>
      </c>
      <c r="R416" s="651" t="n"/>
      <c r="S416" s="1206" t="n"/>
      <c r="T416" s="904" t="n"/>
      <c r="U416" s="569" t="n"/>
      <c r="V416" s="1317" t="n"/>
    </row>
    <row r="417" ht="15.75" customHeight="1" s="1349">
      <c r="A417" s="1292" t="n"/>
      <c r="B417" s="904" t="n"/>
      <c r="C417" s="904" t="n"/>
      <c r="D417" s="1325" t="n"/>
      <c r="E417" s="1326">
        <f>G417+F417</f>
        <v/>
      </c>
      <c r="F417" s="1325">
        <f>G417*0.05</f>
        <v/>
      </c>
      <c r="G417" s="1312" t="n"/>
      <c r="H417" s="1301" t="n"/>
      <c r="I417" s="1321" t="n"/>
      <c r="J417" s="1322" t="n"/>
      <c r="K417" s="1318">
        <f>G417*18%</f>
        <v/>
      </c>
      <c r="L417" s="1318">
        <f>(G417-K417)*1.65%-(D417*1.65%)</f>
        <v/>
      </c>
      <c r="M417" s="1318" t="n"/>
      <c r="N417" s="863" t="n"/>
      <c r="O417" s="1320" t="n"/>
      <c r="P417" s="866" t="n"/>
      <c r="Q417" s="651">
        <f>(G417 - (D417+H417+K417+L417+M417+O417) + (N417)) / G417</f>
        <v/>
      </c>
      <c r="R417" s="651" t="n"/>
      <c r="S417" s="1206" t="n"/>
      <c r="T417" s="904" t="n"/>
      <c r="U417" s="569" t="n"/>
      <c r="V417" s="1317" t="n"/>
    </row>
    <row r="418" ht="15.75" customHeight="1" s="1349">
      <c r="A418" s="1292" t="n"/>
      <c r="B418" s="904" t="n"/>
      <c r="C418" s="904" t="n"/>
      <c r="D418" s="1325" t="n"/>
      <c r="E418" s="1326">
        <f>G418+F418</f>
        <v/>
      </c>
      <c r="F418" s="1325">
        <f>G418*0.05</f>
        <v/>
      </c>
      <c r="G418" s="1312" t="n"/>
      <c r="H418" s="1301" t="n"/>
      <c r="I418" s="1321" t="n"/>
      <c r="J418" s="1322" t="n"/>
      <c r="K418" s="1318">
        <f>G418*18%</f>
        <v/>
      </c>
      <c r="L418" s="1318">
        <f>(G418-K418)*1.65%-(D418*1.65%)</f>
        <v/>
      </c>
      <c r="M418" s="1318" t="n"/>
      <c r="N418" s="863" t="n"/>
      <c r="O418" s="1320" t="n"/>
      <c r="P418" s="866" t="n"/>
      <c r="Q418" s="651">
        <f>(G418 - (D418+H418+K418+L418+M418+O418) + (N418)) / G418</f>
        <v/>
      </c>
      <c r="R418" s="651" t="n"/>
      <c r="S418" s="1206" t="n"/>
      <c r="T418" s="904" t="n"/>
      <c r="U418" s="569" t="n"/>
      <c r="V418" s="1317" t="n"/>
    </row>
    <row r="419" ht="15.75" customHeight="1" s="1349">
      <c r="A419" s="1292" t="n"/>
      <c r="B419" s="904" t="n"/>
      <c r="C419" s="904" t="n"/>
      <c r="D419" s="1325" t="n"/>
      <c r="E419" s="1326">
        <f>G419+F419</f>
        <v/>
      </c>
      <c r="F419" s="1325">
        <f>G419*0.05</f>
        <v/>
      </c>
      <c r="G419" s="1312" t="n"/>
      <c r="H419" s="1301" t="n"/>
      <c r="I419" s="1321" t="n"/>
      <c r="J419" s="1322" t="n"/>
      <c r="K419" s="1318">
        <f>G419*18%</f>
        <v/>
      </c>
      <c r="L419" s="1318">
        <f>(G419-K419)*1.65%-(D419*1.65%)</f>
        <v/>
      </c>
      <c r="M419" s="1318" t="n"/>
      <c r="N419" s="863" t="n"/>
      <c r="O419" s="1320" t="n"/>
      <c r="P419" s="866" t="n"/>
      <c r="Q419" s="651">
        <f>(G419 - (D419+H419+K419+L419+M419+O419) + (N419)) / G419</f>
        <v/>
      </c>
      <c r="R419" s="651" t="n"/>
      <c r="S419" s="1206" t="n"/>
      <c r="T419" s="904" t="n"/>
      <c r="U419" s="569" t="n"/>
      <c r="V419" s="1317" t="n"/>
    </row>
    <row r="420" ht="15.75" customHeight="1" s="1349">
      <c r="A420" s="1292" t="n"/>
      <c r="B420" s="904" t="n"/>
      <c r="C420" s="904" t="n"/>
      <c r="D420" s="1325" t="n"/>
      <c r="E420" s="1326">
        <f>G420+F420</f>
        <v/>
      </c>
      <c r="F420" s="1325">
        <f>G420*0.05</f>
        <v/>
      </c>
      <c r="G420" s="1312" t="n"/>
      <c r="H420" s="1301" t="n"/>
      <c r="I420" s="1321" t="n"/>
      <c r="J420" s="1322" t="n"/>
      <c r="K420" s="1318">
        <f>G420*18%</f>
        <v/>
      </c>
      <c r="L420" s="1318">
        <f>(G420-K420)*1.65%-(D420*1.65%)</f>
        <v/>
      </c>
      <c r="M420" s="1318" t="n"/>
      <c r="N420" s="863" t="n"/>
      <c r="O420" s="1320" t="n"/>
      <c r="P420" s="866" t="n"/>
      <c r="Q420" s="651">
        <f>(G420 - (D420+H420+K420+L420+M420+O420) + (N420)) / G420</f>
        <v/>
      </c>
      <c r="R420" s="651" t="n"/>
      <c r="S420" s="1206" t="n"/>
      <c r="T420" s="904" t="n"/>
      <c r="U420" s="569" t="n"/>
      <c r="V420" s="1317" t="n"/>
    </row>
    <row r="421" ht="15.75" customHeight="1" s="1349">
      <c r="A421" s="1292" t="n"/>
      <c r="B421" s="904" t="n"/>
      <c r="C421" s="904" t="n"/>
      <c r="D421" s="1325" t="n"/>
      <c r="E421" s="1326">
        <f>G421+F421</f>
        <v/>
      </c>
      <c r="F421" s="1325">
        <f>G421*0.05</f>
        <v/>
      </c>
      <c r="G421" s="1312" t="n"/>
      <c r="H421" s="1301" t="n"/>
      <c r="I421" s="1321" t="n"/>
      <c r="J421" s="1322" t="n"/>
      <c r="K421" s="1318">
        <f>G421*18%</f>
        <v/>
      </c>
      <c r="L421" s="1318">
        <f>(G421-K421)*1.65%-(D421*1.65%)</f>
        <v/>
      </c>
      <c r="M421" s="1318" t="n"/>
      <c r="N421" s="863" t="n"/>
      <c r="O421" s="1320" t="n"/>
      <c r="P421" s="866" t="n"/>
      <c r="Q421" s="651">
        <f>(G421 - (D421+H421+K421+L421+M421+O421) + (N421)) / G421</f>
        <v/>
      </c>
      <c r="R421" s="651" t="n"/>
      <c r="S421" s="1206" t="n"/>
      <c r="T421" s="904" t="n"/>
      <c r="U421" s="569" t="n"/>
      <c r="V421" s="1317" t="n"/>
    </row>
    <row r="422" ht="15.75" customHeight="1" s="1349">
      <c r="A422" s="1292" t="n"/>
      <c r="B422" s="904" t="n"/>
      <c r="C422" s="904" t="n"/>
      <c r="D422" s="1325" t="n"/>
      <c r="E422" s="1326">
        <f>G422+F422</f>
        <v/>
      </c>
      <c r="F422" s="1325">
        <f>G422*0.05</f>
        <v/>
      </c>
      <c r="G422" s="1312" t="n"/>
      <c r="H422" s="1301" t="n"/>
      <c r="I422" s="1321" t="n"/>
      <c r="J422" s="1322" t="n"/>
      <c r="K422" s="1318">
        <f>G422*18%</f>
        <v/>
      </c>
      <c r="L422" s="1318">
        <f>(G422-K422)*1.65%-(D422*1.65%)</f>
        <v/>
      </c>
      <c r="M422" s="1318" t="n"/>
      <c r="N422" s="863" t="n"/>
      <c r="O422" s="1320" t="n"/>
      <c r="P422" s="866" t="n"/>
      <c r="Q422" s="651">
        <f>(G422 - (D422+H422+K422+L422+M422+O422) + (N422)) / G422</f>
        <v/>
      </c>
      <c r="R422" s="651" t="n"/>
      <c r="S422" s="1206" t="n"/>
      <c r="T422" s="904" t="n"/>
      <c r="U422" s="569" t="n"/>
      <c r="V422" s="1317" t="n"/>
    </row>
    <row r="423" ht="15.75" customHeight="1" s="1349">
      <c r="A423" s="1292" t="n"/>
      <c r="B423" s="904" t="n"/>
      <c r="C423" s="904" t="n"/>
      <c r="D423" s="1325" t="n"/>
      <c r="E423" s="1326">
        <f>G423+F423</f>
        <v/>
      </c>
      <c r="F423" s="1325">
        <f>G423*0.05</f>
        <v/>
      </c>
      <c r="G423" s="1312" t="n"/>
      <c r="H423" s="1301" t="n"/>
      <c r="I423" s="1321" t="n"/>
      <c r="J423" s="1322" t="n"/>
      <c r="K423" s="1318">
        <f>G423*18%</f>
        <v/>
      </c>
      <c r="L423" s="1318">
        <f>(G423-K423)*1.65%-(D423*1.65%)</f>
        <v/>
      </c>
      <c r="M423" s="1318" t="n"/>
      <c r="N423" s="863" t="n"/>
      <c r="O423" s="1320" t="n"/>
      <c r="P423" s="866" t="n"/>
      <c r="Q423" s="651">
        <f>(G423 - (D423+H423+K423+L423+M423+O423) + (N423)) / G423</f>
        <v/>
      </c>
      <c r="R423" s="651" t="n"/>
      <c r="S423" s="1206" t="n"/>
      <c r="T423" s="904" t="n"/>
      <c r="U423" s="569" t="n"/>
      <c r="V423" s="1317" t="n"/>
    </row>
    <row r="424" ht="15.75" customHeight="1" s="1349">
      <c r="A424" s="1292" t="n"/>
      <c r="B424" s="904" t="n"/>
      <c r="C424" s="904" t="n"/>
      <c r="D424" s="1325" t="n"/>
      <c r="E424" s="1326">
        <f>G424+F424</f>
        <v/>
      </c>
      <c r="F424" s="1325">
        <f>G424*0.05</f>
        <v/>
      </c>
      <c r="G424" s="1312" t="n"/>
      <c r="H424" s="1301" t="n"/>
      <c r="I424" s="1321" t="n"/>
      <c r="J424" s="1322" t="n"/>
      <c r="K424" s="1318">
        <f>G424*18%</f>
        <v/>
      </c>
      <c r="L424" s="1318">
        <f>(G424-K424)*1.65%-(D424*1.65%)</f>
        <v/>
      </c>
      <c r="M424" s="1318" t="n"/>
      <c r="N424" s="863" t="n"/>
      <c r="O424" s="1320" t="n"/>
      <c r="P424" s="866" t="n"/>
      <c r="Q424" s="651">
        <f>(G424 - (D424+H424+K424+L424+M424+O424) + (N424)) / G424</f>
        <v/>
      </c>
      <c r="R424" s="651" t="n"/>
      <c r="S424" s="1206" t="n"/>
      <c r="T424" s="904" t="n"/>
      <c r="U424" s="569" t="n"/>
      <c r="V424" s="1317" t="n"/>
    </row>
    <row r="425" ht="15.75" customHeight="1" s="1349">
      <c r="A425" s="1292" t="n"/>
      <c r="B425" s="904" t="n"/>
      <c r="C425" s="904" t="n"/>
      <c r="D425" s="1325" t="n"/>
      <c r="E425" s="1326">
        <f>G425+F425</f>
        <v/>
      </c>
      <c r="F425" s="1325">
        <f>G425*0.05</f>
        <v/>
      </c>
      <c r="G425" s="1312" t="n"/>
      <c r="H425" s="1301" t="n"/>
      <c r="I425" s="1321" t="n"/>
      <c r="J425" s="1322" t="n"/>
      <c r="K425" s="1318">
        <f>G425*18%</f>
        <v/>
      </c>
      <c r="L425" s="1318">
        <f>(G425-K425)*1.65%-(D425*1.65%)</f>
        <v/>
      </c>
      <c r="M425" s="1318" t="n"/>
      <c r="N425" s="863" t="n"/>
      <c r="O425" s="1320" t="n"/>
      <c r="P425" s="866" t="n"/>
      <c r="Q425" s="651">
        <f>(G425 - (D425+H425+K425+L425+M425+O425) + (N425)) / G425</f>
        <v/>
      </c>
      <c r="R425" s="651" t="n"/>
      <c r="S425" s="1206" t="n"/>
      <c r="T425" s="904" t="n"/>
      <c r="U425" s="569" t="n"/>
      <c r="V425" s="1317" t="n"/>
    </row>
    <row r="426" ht="15.75" customHeight="1" s="1349">
      <c r="A426" s="1292" t="n"/>
      <c r="B426" s="904" t="n"/>
      <c r="C426" s="904" t="n"/>
      <c r="D426" s="1325" t="n"/>
      <c r="E426" s="1326">
        <f>G426+F426</f>
        <v/>
      </c>
      <c r="F426" s="1325">
        <f>G426*0.05</f>
        <v/>
      </c>
      <c r="G426" s="1312" t="n"/>
      <c r="H426" s="1301" t="n"/>
      <c r="I426" s="1321" t="n"/>
      <c r="J426" s="1322" t="n"/>
      <c r="K426" s="1318">
        <f>G426*18%</f>
        <v/>
      </c>
      <c r="L426" s="1318">
        <f>(G426-K426)*1.65%-(D426*1.65%)</f>
        <v/>
      </c>
      <c r="M426" s="1318" t="n"/>
      <c r="N426" s="863" t="n"/>
      <c r="O426" s="1320" t="n"/>
      <c r="P426" s="866" t="n"/>
      <c r="Q426" s="651">
        <f>(G426 - (D426+H426+K426+L426+M426+O426) + (N426)) / G426</f>
        <v/>
      </c>
      <c r="R426" s="651" t="n"/>
      <c r="S426" s="1206" t="n"/>
      <c r="T426" s="904" t="n"/>
      <c r="U426" s="569" t="n"/>
      <c r="V426" s="1317" t="n"/>
    </row>
    <row r="427" ht="15.75" customHeight="1" s="1349">
      <c r="A427" s="1292" t="n"/>
      <c r="B427" s="904" t="n"/>
      <c r="C427" s="904" t="n"/>
      <c r="D427" s="1325" t="n"/>
      <c r="E427" s="1326">
        <f>G427+F427</f>
        <v/>
      </c>
      <c r="F427" s="1325">
        <f>G427*0.05</f>
        <v/>
      </c>
      <c r="G427" s="1312" t="n"/>
      <c r="H427" s="1301" t="n"/>
      <c r="I427" s="1321" t="n"/>
      <c r="J427" s="1322" t="n"/>
      <c r="K427" s="1318">
        <f>G427*18%</f>
        <v/>
      </c>
      <c r="L427" s="1318">
        <f>(G427-K427)*1.65%-(D427*1.65%)</f>
        <v/>
      </c>
      <c r="M427" s="1318" t="n"/>
      <c r="N427" s="863" t="n"/>
      <c r="O427" s="1320" t="n"/>
      <c r="P427" s="866" t="n"/>
      <c r="Q427" s="651">
        <f>(G427 - (D427+H427+K427+L427+M427+O427) + (N427)) / G427</f>
        <v/>
      </c>
      <c r="R427" s="651" t="n"/>
      <c r="S427" s="1206" t="n"/>
      <c r="T427" s="904" t="n"/>
      <c r="U427" s="569" t="n"/>
      <c r="V427" s="1317" t="n"/>
    </row>
    <row r="428" ht="15.75" customHeight="1" s="1349">
      <c r="A428" s="1292" t="n"/>
      <c r="B428" s="904" t="n"/>
      <c r="C428" s="904" t="n"/>
      <c r="D428" s="1325" t="n"/>
      <c r="E428" s="1326">
        <f>G428+F428</f>
        <v/>
      </c>
      <c r="F428" s="1325">
        <f>G428*0.05</f>
        <v/>
      </c>
      <c r="G428" s="1312" t="n"/>
      <c r="H428" s="1301" t="n"/>
      <c r="I428" s="1321" t="n"/>
      <c r="J428" s="1322" t="n"/>
      <c r="K428" s="1318">
        <f>G428*18%</f>
        <v/>
      </c>
      <c r="L428" s="1318">
        <f>(G428-K428)*1.65%-(D428*1.65%)</f>
        <v/>
      </c>
      <c r="M428" s="1318" t="n"/>
      <c r="N428" s="863" t="n"/>
      <c r="O428" s="1320" t="n"/>
      <c r="P428" s="866" t="n"/>
      <c r="Q428" s="651">
        <f>(G428 - (D428+H428+K428+L428+M428+O428) + (N428)) / G428</f>
        <v/>
      </c>
      <c r="R428" s="651" t="n"/>
      <c r="S428" s="1206" t="n"/>
      <c r="T428" s="904" t="n"/>
      <c r="U428" s="569" t="n"/>
      <c r="V428" s="1317" t="n"/>
    </row>
    <row r="429" ht="15.75" customHeight="1" s="1349">
      <c r="A429" s="1292" t="n"/>
      <c r="B429" s="904" t="n"/>
      <c r="C429" s="904" t="n"/>
      <c r="D429" s="1325" t="n"/>
      <c r="E429" s="1326">
        <f>G429+F429</f>
        <v/>
      </c>
      <c r="F429" s="1325">
        <f>G429*0.05</f>
        <v/>
      </c>
      <c r="G429" s="1312" t="n"/>
      <c r="H429" s="1301" t="n"/>
      <c r="I429" s="1321" t="n"/>
      <c r="J429" s="1322" t="n"/>
      <c r="K429" s="1318">
        <f>G429*18%</f>
        <v/>
      </c>
      <c r="L429" s="1318">
        <f>(G429-K429)*1.65%-(D429*1.65%)</f>
        <v/>
      </c>
      <c r="M429" s="1318" t="n"/>
      <c r="N429" s="863" t="n"/>
      <c r="O429" s="1320" t="n"/>
      <c r="P429" s="866" t="n"/>
      <c r="Q429" s="651">
        <f>(G429 - (D429+H429+K429+L429+M429+O429) + (N429)) / G429</f>
        <v/>
      </c>
      <c r="R429" s="651" t="n"/>
      <c r="S429" s="1206" t="n"/>
      <c r="T429" s="904" t="n"/>
      <c r="U429" s="569" t="n"/>
      <c r="V429" s="1317" t="n"/>
    </row>
    <row r="430" ht="15.75" customHeight="1" s="1349">
      <c r="A430" s="1292" t="n"/>
      <c r="B430" s="904" t="n"/>
      <c r="C430" s="904" t="n"/>
      <c r="D430" s="1325" t="n"/>
      <c r="E430" s="1326">
        <f>G430+F430</f>
        <v/>
      </c>
      <c r="F430" s="1325">
        <f>G430*0.05</f>
        <v/>
      </c>
      <c r="G430" s="1312" t="n"/>
      <c r="H430" s="1301" t="n"/>
      <c r="I430" s="1321" t="n"/>
      <c r="J430" s="1322" t="n"/>
      <c r="K430" s="1318">
        <f>G430*18%</f>
        <v/>
      </c>
      <c r="L430" s="1318">
        <f>(G430-K430)*1.65%-(D430*1.65%)</f>
        <v/>
      </c>
      <c r="M430" s="1318" t="n"/>
      <c r="N430" s="863" t="n"/>
      <c r="O430" s="1320" t="n"/>
      <c r="P430" s="866" t="n"/>
      <c r="Q430" s="651">
        <f>(G430 - (D430+H430+K430+L430+M430+O430) + (N430)) / G430</f>
        <v/>
      </c>
      <c r="R430" s="651" t="n"/>
      <c r="S430" s="1206" t="n"/>
      <c r="T430" s="904" t="n"/>
      <c r="U430" s="569" t="n"/>
      <c r="V430" s="1317" t="n"/>
    </row>
    <row r="431" ht="15.75" customHeight="1" s="1349">
      <c r="A431" s="1292" t="n"/>
      <c r="B431" s="904" t="n"/>
      <c r="C431" s="904" t="n"/>
      <c r="D431" s="1325" t="n"/>
      <c r="E431" s="1326">
        <f>G431+F431</f>
        <v/>
      </c>
      <c r="F431" s="1325">
        <f>G431*0.05</f>
        <v/>
      </c>
      <c r="G431" s="1312" t="n"/>
      <c r="H431" s="1301" t="n"/>
      <c r="I431" s="1321" t="n"/>
      <c r="J431" s="1322" t="n"/>
      <c r="K431" s="1318">
        <f>G431*18%</f>
        <v/>
      </c>
      <c r="L431" s="1318">
        <f>(G431-K431)*1.65%-(D431*1.65%)</f>
        <v/>
      </c>
      <c r="M431" s="1318" t="n"/>
      <c r="N431" s="863" t="n"/>
      <c r="O431" s="1320" t="n"/>
      <c r="P431" s="866" t="n"/>
      <c r="Q431" s="651">
        <f>(G431 - (D431+H431+K431+L431+M431+O431) + (N431)) / G431</f>
        <v/>
      </c>
      <c r="R431" s="651" t="n"/>
      <c r="S431" s="1206" t="n"/>
      <c r="T431" s="904" t="n"/>
      <c r="U431" s="569" t="n"/>
      <c r="V431" s="1317" t="n"/>
    </row>
    <row r="432" ht="15.75" customHeight="1" s="1349">
      <c r="A432" s="1292" t="n"/>
      <c r="B432" s="904" t="n"/>
      <c r="C432" s="904" t="n"/>
      <c r="D432" s="1325" t="n"/>
      <c r="E432" s="1326">
        <f>G432+F432</f>
        <v/>
      </c>
      <c r="F432" s="1325">
        <f>G432*0.05</f>
        <v/>
      </c>
      <c r="G432" s="1312" t="n"/>
      <c r="H432" s="1301" t="n"/>
      <c r="I432" s="1321" t="n"/>
      <c r="J432" s="1322" t="n"/>
      <c r="K432" s="1318">
        <f>G432*18%</f>
        <v/>
      </c>
      <c r="L432" s="1318">
        <f>(G432-K432)*1.65%-(D432*1.65%)</f>
        <v/>
      </c>
      <c r="M432" s="1318" t="n"/>
      <c r="N432" s="863" t="n"/>
      <c r="O432" s="1320" t="n"/>
      <c r="P432" s="866" t="n"/>
      <c r="Q432" s="651">
        <f>(G432 - (D432+H432+K432+L432+M432+O432) + (N432)) / G432</f>
        <v/>
      </c>
      <c r="R432" s="651" t="n"/>
      <c r="S432" s="1206" t="n"/>
      <c r="T432" s="904" t="n"/>
      <c r="U432" s="569" t="n"/>
      <c r="V432" s="1317" t="n"/>
    </row>
    <row r="433" ht="15.75" customHeight="1" s="1349">
      <c r="A433" s="1292" t="n"/>
      <c r="B433" s="904" t="n"/>
      <c r="C433" s="904" t="n"/>
      <c r="D433" s="1325" t="n"/>
      <c r="E433" s="1326">
        <f>G433+F433</f>
        <v/>
      </c>
      <c r="F433" s="1325">
        <f>G433*0.05</f>
        <v/>
      </c>
      <c r="G433" s="1312" t="n"/>
      <c r="H433" s="1301" t="n"/>
      <c r="I433" s="1321" t="n"/>
      <c r="J433" s="1322" t="n"/>
      <c r="K433" s="1318">
        <f>G433*18%</f>
        <v/>
      </c>
      <c r="L433" s="1318">
        <f>(G433-K433)*1.65%-(D433*1.65%)</f>
        <v/>
      </c>
      <c r="M433" s="1318" t="n"/>
      <c r="N433" s="863" t="n"/>
      <c r="O433" s="1320" t="n"/>
      <c r="P433" s="866" t="n"/>
      <c r="Q433" s="651">
        <f>(G433 - (D433+H433+K433+L433+M433+O433) + (N433)) / G433</f>
        <v/>
      </c>
      <c r="R433" s="651" t="n"/>
      <c r="S433" s="1206" t="n"/>
      <c r="T433" s="904" t="n"/>
      <c r="U433" s="569" t="n"/>
      <c r="V433" s="1317" t="n"/>
    </row>
    <row r="434" ht="15.75" customHeight="1" s="1349">
      <c r="A434" s="1292" t="n"/>
      <c r="B434" s="904" t="n"/>
      <c r="C434" s="904" t="n"/>
      <c r="D434" s="1325" t="n"/>
      <c r="E434" s="1326">
        <f>G434+F434</f>
        <v/>
      </c>
      <c r="F434" s="1325">
        <f>G434*0.05</f>
        <v/>
      </c>
      <c r="G434" s="1312" t="n"/>
      <c r="H434" s="1301" t="n"/>
      <c r="I434" s="1321" t="n"/>
      <c r="J434" s="1322" t="n"/>
      <c r="K434" s="1318">
        <f>G434*18%</f>
        <v/>
      </c>
      <c r="L434" s="1318">
        <f>(G434-K434)*1.65%-(D434*1.65%)</f>
        <v/>
      </c>
      <c r="M434" s="1318" t="n"/>
      <c r="N434" s="863" t="n"/>
      <c r="O434" s="1320" t="n"/>
      <c r="P434" s="866" t="n"/>
      <c r="Q434" s="651">
        <f>(G434 - (D434+H434+K434+L434+M434+O434) + (N434)) / G434</f>
        <v/>
      </c>
      <c r="R434" s="651" t="n"/>
      <c r="S434" s="1206" t="n"/>
      <c r="T434" s="904" t="n"/>
      <c r="U434" s="569" t="n"/>
      <c r="V434" s="1317" t="n"/>
    </row>
    <row r="435" ht="15.75" customHeight="1" s="1349">
      <c r="A435" s="1292" t="n"/>
      <c r="B435" s="904" t="n"/>
      <c r="C435" s="904" t="n"/>
      <c r="D435" s="1325" t="n"/>
      <c r="E435" s="1326">
        <f>G435+F435</f>
        <v/>
      </c>
      <c r="F435" s="1325">
        <f>G435*0.05</f>
        <v/>
      </c>
      <c r="G435" s="1312" t="n"/>
      <c r="H435" s="1301" t="n"/>
      <c r="I435" s="1321" t="n"/>
      <c r="J435" s="1322" t="n"/>
      <c r="K435" s="1318">
        <f>G435*18%</f>
        <v/>
      </c>
      <c r="L435" s="1318">
        <f>(G435-K435)*1.65%-(D435*1.65%)</f>
        <v/>
      </c>
      <c r="M435" s="1318" t="n"/>
      <c r="N435" s="863" t="n"/>
      <c r="O435" s="1320" t="n"/>
      <c r="P435" s="866" t="n"/>
      <c r="Q435" s="651">
        <f>(G435 - (D435+H435+K435+L435+M435+O435) + (N435)) / G435</f>
        <v/>
      </c>
      <c r="R435" s="651" t="n"/>
      <c r="S435" s="1206" t="n"/>
      <c r="T435" s="904" t="n"/>
      <c r="U435" s="569" t="n"/>
      <c r="V435" s="1317" t="n"/>
    </row>
    <row r="436" ht="15.75" customHeight="1" s="1349">
      <c r="A436" s="1292" t="n"/>
      <c r="B436" s="904" t="n"/>
      <c r="C436" s="904" t="n"/>
      <c r="D436" s="1325" t="n"/>
      <c r="E436" s="1326">
        <f>G436+F436</f>
        <v/>
      </c>
      <c r="F436" s="1325">
        <f>G436*0.05</f>
        <v/>
      </c>
      <c r="G436" s="1312" t="n"/>
      <c r="H436" s="1301" t="n"/>
      <c r="I436" s="1321" t="n"/>
      <c r="J436" s="1322" t="n"/>
      <c r="K436" s="1318">
        <f>G436*18%</f>
        <v/>
      </c>
      <c r="L436" s="1318">
        <f>(G436-K436)*1.65%-(D436*1.65%)</f>
        <v/>
      </c>
      <c r="M436" s="1318" t="n"/>
      <c r="N436" s="863" t="n"/>
      <c r="O436" s="1320" t="n"/>
      <c r="P436" s="866" t="n"/>
      <c r="Q436" s="651">
        <f>(G436 - (D436+H436+K436+L436+M436+O436) + (N436)) / G436</f>
        <v/>
      </c>
      <c r="R436" s="651" t="n"/>
      <c r="S436" s="1206" t="n"/>
      <c r="T436" s="904" t="n"/>
      <c r="U436" s="569" t="n"/>
      <c r="V436" s="1317" t="n"/>
    </row>
    <row r="437" ht="15.75" customHeight="1" s="1349">
      <c r="A437" s="1292" t="n"/>
      <c r="B437" s="904" t="n"/>
      <c r="C437" s="904" t="n"/>
      <c r="D437" s="1325" t="n"/>
      <c r="E437" s="1326">
        <f>G437+F437</f>
        <v/>
      </c>
      <c r="F437" s="1325">
        <f>G437*0.05</f>
        <v/>
      </c>
      <c r="G437" s="1312" t="n"/>
      <c r="H437" s="1301" t="n"/>
      <c r="I437" s="1321" t="n"/>
      <c r="J437" s="1322" t="n"/>
      <c r="K437" s="1318">
        <f>G437*18%</f>
        <v/>
      </c>
      <c r="L437" s="1318">
        <f>(G437-K437)*1.65%-(D437*1.65%)</f>
        <v/>
      </c>
      <c r="M437" s="1318" t="n"/>
      <c r="N437" s="863" t="n"/>
      <c r="O437" s="1320" t="n"/>
      <c r="P437" s="866" t="n"/>
      <c r="Q437" s="651">
        <f>(G437 - (D437+H437+K437+L437+M437+O437) + (N437)) / G437</f>
        <v/>
      </c>
      <c r="R437" s="651" t="n"/>
      <c r="S437" s="1206" t="n"/>
      <c r="T437" s="904" t="n"/>
      <c r="U437" s="569" t="n"/>
      <c r="V437" s="1317" t="n"/>
    </row>
    <row r="438" ht="15.75" customHeight="1" s="1349">
      <c r="A438" s="1292" t="n"/>
      <c r="B438" s="904" t="n"/>
      <c r="C438" s="904" t="n"/>
      <c r="D438" s="1325" t="n"/>
      <c r="E438" s="1326">
        <f>G438+F438</f>
        <v/>
      </c>
      <c r="F438" s="1325">
        <f>G438*0.05</f>
        <v/>
      </c>
      <c r="G438" s="1312" t="n"/>
      <c r="H438" s="1301" t="n"/>
      <c r="I438" s="1321" t="n"/>
      <c r="J438" s="1322" t="n"/>
      <c r="K438" s="1318">
        <f>G438*18%</f>
        <v/>
      </c>
      <c r="L438" s="1318">
        <f>(G438-K438)*1.65%-(D438*1.65%)</f>
        <v/>
      </c>
      <c r="M438" s="1318" t="n"/>
      <c r="N438" s="863" t="n"/>
      <c r="O438" s="1320" t="n"/>
      <c r="P438" s="866" t="n"/>
      <c r="Q438" s="651">
        <f>(G438 - (D438+H438+K438+L438+M438+O438) + (N438)) / G438</f>
        <v/>
      </c>
      <c r="R438" s="651" t="n"/>
      <c r="S438" s="1206" t="n"/>
      <c r="T438" s="904" t="n"/>
      <c r="U438" s="569" t="n"/>
      <c r="V438" s="1317" t="n"/>
    </row>
    <row r="439" ht="15.75" customHeight="1" s="1349">
      <c r="A439" s="1292" t="n"/>
      <c r="B439" s="904" t="n"/>
      <c r="C439" s="904" t="n"/>
      <c r="D439" s="1325" t="n"/>
      <c r="E439" s="1326">
        <f>G439+F439</f>
        <v/>
      </c>
      <c r="F439" s="1325">
        <f>G439*0.05</f>
        <v/>
      </c>
      <c r="G439" s="1312" t="n"/>
      <c r="H439" s="1301" t="n"/>
      <c r="I439" s="1321" t="n"/>
      <c r="J439" s="1322" t="n"/>
      <c r="K439" s="1318">
        <f>G439*18%</f>
        <v/>
      </c>
      <c r="L439" s="1318">
        <f>(G439-K439)*1.65%-(D439*1.65%)</f>
        <v/>
      </c>
      <c r="M439" s="1318" t="n"/>
      <c r="N439" s="863" t="n"/>
      <c r="O439" s="1320" t="n"/>
      <c r="P439" s="866" t="n"/>
      <c r="Q439" s="651">
        <f>(G439 - (D439+H439+K439+L439+M439+O439) + (N439)) / G439</f>
        <v/>
      </c>
      <c r="R439" s="651" t="n"/>
      <c r="S439" s="1206" t="n"/>
      <c r="T439" s="904" t="n"/>
      <c r="U439" s="569" t="n"/>
      <c r="V439" s="1317" t="n"/>
    </row>
    <row r="440" ht="15.75" customHeight="1" s="1349">
      <c r="A440" s="1292" t="n"/>
      <c r="B440" s="904" t="n"/>
      <c r="C440" s="904" t="n"/>
      <c r="D440" s="1325" t="n"/>
      <c r="E440" s="1326">
        <f>G440+F440</f>
        <v/>
      </c>
      <c r="F440" s="1325">
        <f>G440*0.05</f>
        <v/>
      </c>
      <c r="G440" s="1312" t="n"/>
      <c r="H440" s="1301" t="n"/>
      <c r="I440" s="1321" t="n"/>
      <c r="J440" s="1322" t="n"/>
      <c r="K440" s="1318">
        <f>G440*18%</f>
        <v/>
      </c>
      <c r="L440" s="1318">
        <f>(G440-K440)*1.65%-(D440*1.65%)</f>
        <v/>
      </c>
      <c r="M440" s="1318" t="n"/>
      <c r="N440" s="863" t="n"/>
      <c r="O440" s="1320" t="n"/>
      <c r="P440" s="866" t="n"/>
      <c r="Q440" s="651">
        <f>(G440 - (D440+H440+K440+L440+M440+O440) + (N440)) / G440</f>
        <v/>
      </c>
      <c r="R440" s="651" t="n"/>
      <c r="S440" s="1206" t="n"/>
      <c r="T440" s="904" t="n"/>
      <c r="U440" s="569" t="n"/>
      <c r="V440" s="1317" t="n"/>
    </row>
    <row r="441" ht="15.75" customHeight="1" s="1349">
      <c r="A441" s="1292" t="n"/>
      <c r="B441" s="904" t="n"/>
      <c r="C441" s="904" t="n"/>
      <c r="D441" s="1325" t="n"/>
      <c r="E441" s="1326">
        <f>G441+F441</f>
        <v/>
      </c>
      <c r="F441" s="1325">
        <f>G441*0.05</f>
        <v/>
      </c>
      <c r="G441" s="1312" t="n"/>
      <c r="H441" s="1301" t="n"/>
      <c r="I441" s="1321" t="n"/>
      <c r="J441" s="1322" t="n"/>
      <c r="K441" s="1318">
        <f>G441*18%</f>
        <v/>
      </c>
      <c r="L441" s="1318">
        <f>(G441-K441)*1.65%-(D441*1.65%)</f>
        <v/>
      </c>
      <c r="M441" s="1318" t="n"/>
      <c r="N441" s="863" t="n"/>
      <c r="O441" s="1320" t="n"/>
      <c r="P441" s="866" t="n"/>
      <c r="Q441" s="651">
        <f>(G441 - (D441+H441+K441+L441+M441+O441) + (N441)) / G441</f>
        <v/>
      </c>
      <c r="R441" s="651" t="n"/>
      <c r="S441" s="1206" t="n"/>
      <c r="T441" s="904" t="n"/>
      <c r="U441" s="569" t="n"/>
      <c r="V441" s="1317" t="n"/>
    </row>
    <row r="442" ht="15.75" customHeight="1" s="1349">
      <c r="A442" s="1292" t="n"/>
      <c r="B442" s="904" t="n"/>
      <c r="C442" s="904" t="n"/>
      <c r="D442" s="1325" t="n"/>
      <c r="E442" s="1326">
        <f>G442+F442</f>
        <v/>
      </c>
      <c r="F442" s="1325">
        <f>G442*0.05</f>
        <v/>
      </c>
      <c r="G442" s="1312" t="n"/>
      <c r="H442" s="1301" t="n"/>
      <c r="I442" s="1321" t="n"/>
      <c r="J442" s="1322" t="n"/>
      <c r="K442" s="1318">
        <f>G442*18%</f>
        <v/>
      </c>
      <c r="L442" s="1318">
        <f>(G442-K442)*1.65%-(D442*1.65%)</f>
        <v/>
      </c>
      <c r="M442" s="1318" t="n"/>
      <c r="N442" s="863" t="n"/>
      <c r="O442" s="1320" t="n"/>
      <c r="P442" s="866" t="n"/>
      <c r="Q442" s="651">
        <f>(G442 - (D442+H442+K442+L442+M442+O442) + (N442)) / G442</f>
        <v/>
      </c>
      <c r="R442" s="651" t="n"/>
      <c r="S442" s="1206" t="n"/>
      <c r="T442" s="904" t="n"/>
      <c r="U442" s="569" t="n"/>
      <c r="V442" s="1317" t="n"/>
    </row>
    <row r="443" ht="15.75" customHeight="1" s="1349">
      <c r="A443" s="1292" t="n"/>
      <c r="B443" s="904" t="n"/>
      <c r="C443" s="904" t="n"/>
      <c r="D443" s="1325" t="n"/>
      <c r="E443" s="1326">
        <f>G443+F443</f>
        <v/>
      </c>
      <c r="F443" s="1325">
        <f>G443*0.05</f>
        <v/>
      </c>
      <c r="G443" s="1312" t="n"/>
      <c r="H443" s="1301" t="n"/>
      <c r="I443" s="1321" t="n"/>
      <c r="J443" s="1322" t="n"/>
      <c r="K443" s="1318">
        <f>G443*18%</f>
        <v/>
      </c>
      <c r="L443" s="1318">
        <f>(G443-K443)*1.65%-(D443*1.65%)</f>
        <v/>
      </c>
      <c r="M443" s="1318" t="n"/>
      <c r="N443" s="863" t="n"/>
      <c r="O443" s="1320" t="n"/>
      <c r="P443" s="866" t="n"/>
      <c r="Q443" s="651">
        <f>(G443 - (D443+H443+K443+L443+M443+O443) + (N443)) / G443</f>
        <v/>
      </c>
      <c r="R443" s="651" t="n"/>
      <c r="S443" s="1206" t="n"/>
      <c r="T443" s="904" t="n"/>
      <c r="U443" s="569" t="n"/>
      <c r="V443" s="1317" t="n"/>
    </row>
    <row r="444" ht="15.75" customHeight="1" s="1349">
      <c r="A444" s="1292" t="n"/>
      <c r="B444" s="904" t="n"/>
      <c r="C444" s="904" t="n"/>
      <c r="D444" s="1325" t="n"/>
      <c r="E444" s="1326">
        <f>G444+F444</f>
        <v/>
      </c>
      <c r="F444" s="1325">
        <f>G444*0.05</f>
        <v/>
      </c>
      <c r="G444" s="1312" t="n"/>
      <c r="H444" s="1301" t="n"/>
      <c r="I444" s="1321" t="n"/>
      <c r="J444" s="1322" t="n"/>
      <c r="K444" s="1318">
        <f>G444*18%</f>
        <v/>
      </c>
      <c r="L444" s="1318">
        <f>(G444-K444)*1.65%-(D444*1.65%)</f>
        <v/>
      </c>
      <c r="M444" s="1318" t="n"/>
      <c r="N444" s="863" t="n"/>
      <c r="O444" s="1320" t="n"/>
      <c r="P444" s="866" t="n"/>
      <c r="Q444" s="651">
        <f>(G444 - (D444+H444+K444+L444+M444+O444) + (N444)) / G444</f>
        <v/>
      </c>
      <c r="R444" s="651" t="n"/>
      <c r="S444" s="1206" t="n"/>
      <c r="T444" s="904" t="n"/>
      <c r="U444" s="569" t="n"/>
      <c r="V444" s="1317" t="n"/>
    </row>
    <row r="445" ht="15.75" customHeight="1" s="1349">
      <c r="A445" s="1292" t="n"/>
      <c r="B445" s="904" t="n"/>
      <c r="C445" s="904" t="n"/>
      <c r="D445" s="1325" t="n"/>
      <c r="E445" s="1326">
        <f>G445+F445</f>
        <v/>
      </c>
      <c r="F445" s="1325">
        <f>G445*0.05</f>
        <v/>
      </c>
      <c r="G445" s="1312" t="n"/>
      <c r="H445" s="1301" t="n"/>
      <c r="I445" s="1321" t="n"/>
      <c r="J445" s="1322" t="n"/>
      <c r="K445" s="1318">
        <f>G445*18%</f>
        <v/>
      </c>
      <c r="L445" s="1318">
        <f>(G445-K445)*1.65%-(D445*1.65%)</f>
        <v/>
      </c>
      <c r="M445" s="1318" t="n"/>
      <c r="N445" s="863" t="n"/>
      <c r="O445" s="1320" t="n"/>
      <c r="P445" s="866" t="n"/>
      <c r="Q445" s="651">
        <f>(G445 - (D445+H445+K445+L445+M445+O445) + (N445)) / G445</f>
        <v/>
      </c>
      <c r="R445" s="651" t="n"/>
      <c r="S445" s="1206" t="n"/>
      <c r="T445" s="904" t="n"/>
      <c r="U445" s="569" t="n"/>
      <c r="V445" s="1317" t="n"/>
    </row>
    <row r="446" ht="15.75" customHeight="1" s="1349">
      <c r="A446" s="1292" t="n"/>
      <c r="B446" s="904" t="n"/>
      <c r="C446" s="904" t="n"/>
      <c r="D446" s="1325" t="n"/>
      <c r="E446" s="1326">
        <f>G446+F446</f>
        <v/>
      </c>
      <c r="F446" s="1325">
        <f>G446*0.05</f>
        <v/>
      </c>
      <c r="G446" s="1312" t="n"/>
      <c r="H446" s="1301" t="n"/>
      <c r="I446" s="1321" t="n"/>
      <c r="J446" s="1322" t="n"/>
      <c r="K446" s="1318">
        <f>G446*18%</f>
        <v/>
      </c>
      <c r="L446" s="1318">
        <f>(G446-K446)*1.65%-(D446*1.65%)</f>
        <v/>
      </c>
      <c r="M446" s="1318" t="n"/>
      <c r="N446" s="863" t="n"/>
      <c r="O446" s="1320" t="n"/>
      <c r="P446" s="866" t="n"/>
      <c r="Q446" s="651">
        <f>(G446 - (D446+H446+K446+L446+M446+O446) + (N446)) / G446</f>
        <v/>
      </c>
      <c r="R446" s="651" t="n"/>
      <c r="S446" s="1206" t="n"/>
      <c r="T446" s="904" t="n"/>
      <c r="U446" s="569" t="n"/>
      <c r="V446" s="1317" t="n"/>
    </row>
    <row r="447" ht="15.75" customHeight="1" s="1349">
      <c r="A447" s="1292" t="n"/>
      <c r="B447" s="904" t="n"/>
      <c r="C447" s="904" t="n"/>
      <c r="D447" s="1325" t="n"/>
      <c r="E447" s="1326">
        <f>G447+F447</f>
        <v/>
      </c>
      <c r="F447" s="1325">
        <f>G447*0.05</f>
        <v/>
      </c>
      <c r="G447" s="1312" t="n"/>
      <c r="H447" s="1301" t="n"/>
      <c r="I447" s="1321" t="n"/>
      <c r="J447" s="1322" t="n"/>
      <c r="K447" s="1318">
        <f>G447*18%</f>
        <v/>
      </c>
      <c r="L447" s="1318">
        <f>(G447-K447)*1.65%-(D447*1.65%)</f>
        <v/>
      </c>
      <c r="M447" s="1318" t="n"/>
      <c r="N447" s="863" t="n"/>
      <c r="O447" s="1320" t="n"/>
      <c r="P447" s="866" t="n"/>
      <c r="Q447" s="651">
        <f>(G447 - (D447+H447+K447+L447+M447+O447) + (N447)) / G447</f>
        <v/>
      </c>
      <c r="R447" s="651" t="n"/>
      <c r="S447" s="1206" t="n"/>
      <c r="T447" s="904" t="n"/>
      <c r="U447" s="569" t="n"/>
      <c r="V447" s="1317" t="n"/>
    </row>
    <row r="448" ht="15.75" customHeight="1" s="1349">
      <c r="A448" s="1292" t="n"/>
      <c r="B448" s="904" t="n"/>
      <c r="C448" s="904" t="n"/>
      <c r="D448" s="1325" t="n"/>
      <c r="E448" s="1326">
        <f>G448+F448</f>
        <v/>
      </c>
      <c r="F448" s="1325">
        <f>G448*0.05</f>
        <v/>
      </c>
      <c r="G448" s="1312" t="n"/>
      <c r="H448" s="1301" t="n"/>
      <c r="I448" s="1321" t="n"/>
      <c r="J448" s="1322" t="n"/>
      <c r="K448" s="1318">
        <f>G448*18%</f>
        <v/>
      </c>
      <c r="L448" s="1318">
        <f>(G448-K448)*1.65%-(D448*1.65%)</f>
        <v/>
      </c>
      <c r="M448" s="1318" t="n"/>
      <c r="N448" s="863" t="n"/>
      <c r="O448" s="1320" t="n"/>
      <c r="P448" s="866" t="n"/>
      <c r="Q448" s="651">
        <f>(G448 - (D448+H448+K448+L448+M448+O448) + (N448)) / G448</f>
        <v/>
      </c>
      <c r="R448" s="651" t="n"/>
      <c r="S448" s="1206" t="n"/>
      <c r="T448" s="904" t="n"/>
      <c r="U448" s="569" t="n"/>
      <c r="V448" s="1317" t="n"/>
    </row>
    <row r="449" ht="15.75" customHeight="1" s="1349">
      <c r="A449" s="1292" t="n"/>
      <c r="B449" s="904" t="n"/>
      <c r="C449" s="904" t="n"/>
      <c r="D449" s="1325" t="n"/>
      <c r="E449" s="1326">
        <f>G449+F449</f>
        <v/>
      </c>
      <c r="F449" s="1325">
        <f>G449*0.05</f>
        <v/>
      </c>
      <c r="G449" s="1312" t="n"/>
      <c r="H449" s="1301" t="n"/>
      <c r="I449" s="1321" t="n"/>
      <c r="J449" s="1322" t="n"/>
      <c r="K449" s="1318">
        <f>G449*18%</f>
        <v/>
      </c>
      <c r="L449" s="1318">
        <f>(G449-K449)*1.65%-(D449*1.65%)</f>
        <v/>
      </c>
      <c r="M449" s="1318" t="n"/>
      <c r="N449" s="863" t="n"/>
      <c r="O449" s="1320" t="n"/>
      <c r="P449" s="866" t="n"/>
      <c r="Q449" s="651">
        <f>(G449 - (D449+H449+K449+L449+M449+O449) + (N449)) / G449</f>
        <v/>
      </c>
      <c r="R449" s="651" t="n"/>
      <c r="S449" s="1206" t="n"/>
      <c r="T449" s="904" t="n"/>
      <c r="U449" s="569" t="n"/>
      <c r="V449" s="1317" t="n"/>
    </row>
    <row r="450" ht="15.75" customHeight="1" s="1349">
      <c r="A450" s="1292" t="n"/>
      <c r="B450" s="904" t="n"/>
      <c r="C450" s="904" t="n"/>
      <c r="D450" s="1325" t="n"/>
      <c r="E450" s="1326">
        <f>G450+F450</f>
        <v/>
      </c>
      <c r="F450" s="1325">
        <f>G450*0.05</f>
        <v/>
      </c>
      <c r="G450" s="1312" t="n"/>
      <c r="H450" s="1301" t="n"/>
      <c r="I450" s="1321" t="n"/>
      <c r="J450" s="1322" t="n"/>
      <c r="K450" s="1318">
        <f>G450*18%</f>
        <v/>
      </c>
      <c r="L450" s="1318">
        <f>(G450-K450)*1.65%-(D450*1.65%)</f>
        <v/>
      </c>
      <c r="M450" s="1318" t="n"/>
      <c r="N450" s="863" t="n"/>
      <c r="O450" s="1320" t="n"/>
      <c r="P450" s="866" t="n"/>
      <c r="Q450" s="651">
        <f>(G450 - (D450+H450+K450+L450+M450+O450) + (N450)) / G450</f>
        <v/>
      </c>
      <c r="R450" s="651" t="n"/>
      <c r="S450" s="1206" t="n"/>
      <c r="T450" s="904" t="n"/>
      <c r="U450" s="569" t="n"/>
      <c r="V450" s="1317" t="n"/>
    </row>
    <row r="451" ht="15.75" customHeight="1" s="1349">
      <c r="A451" s="1292" t="n"/>
      <c r="B451" s="904" t="n"/>
      <c r="C451" s="904" t="n"/>
      <c r="D451" s="1325" t="n"/>
      <c r="E451" s="1326">
        <f>G451+F451</f>
        <v/>
      </c>
      <c r="F451" s="1325">
        <f>G451*0.05</f>
        <v/>
      </c>
      <c r="G451" s="1312" t="n"/>
      <c r="H451" s="1301" t="n"/>
      <c r="I451" s="1321" t="n"/>
      <c r="J451" s="1322" t="n"/>
      <c r="K451" s="1318">
        <f>G451*18%</f>
        <v/>
      </c>
      <c r="L451" s="1318">
        <f>(G451-K451)*1.65%-(D451*1.65%)</f>
        <v/>
      </c>
      <c r="M451" s="1318" t="n"/>
      <c r="N451" s="863" t="n"/>
      <c r="O451" s="1320" t="n"/>
      <c r="P451" s="866" t="n"/>
      <c r="Q451" s="651">
        <f>(G451 - (D451+H451+K451+L451+M451+O451) + (N451)) / G451</f>
        <v/>
      </c>
      <c r="R451" s="651" t="n"/>
      <c r="S451" s="1206" t="n"/>
      <c r="T451" s="904" t="n"/>
      <c r="U451" s="569" t="n"/>
      <c r="V451" s="1317" t="n"/>
    </row>
    <row r="452" ht="15.75" customHeight="1" s="1349">
      <c r="A452" s="1292" t="n"/>
      <c r="B452" s="904" t="n"/>
      <c r="C452" s="904" t="n"/>
      <c r="D452" s="1325" t="n"/>
      <c r="E452" s="1326">
        <f>G452+F452</f>
        <v/>
      </c>
      <c r="F452" s="1325">
        <f>G452*0.05</f>
        <v/>
      </c>
      <c r="G452" s="1312" t="n"/>
      <c r="H452" s="1301" t="n"/>
      <c r="I452" s="1321" t="n"/>
      <c r="J452" s="1322" t="n"/>
      <c r="K452" s="1318">
        <f>G452*18%</f>
        <v/>
      </c>
      <c r="L452" s="1318">
        <f>(G452-K452)*1.65%-(D452*1.65%)</f>
        <v/>
      </c>
      <c r="M452" s="1318" t="n"/>
      <c r="N452" s="863" t="n"/>
      <c r="O452" s="1320" t="n"/>
      <c r="P452" s="866" t="n"/>
      <c r="Q452" s="651">
        <f>(G452 - (D452+H452+K452+L452+M452+O452) + (N452)) / G452</f>
        <v/>
      </c>
      <c r="R452" s="651" t="n"/>
      <c r="S452" s="1206" t="n"/>
      <c r="T452" s="904" t="n"/>
      <c r="U452" s="569" t="n"/>
      <c r="V452" s="1317" t="n"/>
    </row>
    <row r="453" ht="15.75" customHeight="1" s="1349">
      <c r="A453" s="1292" t="n"/>
      <c r="B453" s="904" t="n"/>
      <c r="C453" s="904" t="n"/>
      <c r="D453" s="1325" t="n"/>
      <c r="E453" s="1326">
        <f>G453+F453</f>
        <v/>
      </c>
      <c r="F453" s="1325">
        <f>G453*0.05</f>
        <v/>
      </c>
      <c r="G453" s="1312" t="n"/>
      <c r="H453" s="1301" t="n"/>
      <c r="I453" s="1321" t="n"/>
      <c r="J453" s="1322" t="n"/>
      <c r="K453" s="1318">
        <f>G453*18%</f>
        <v/>
      </c>
      <c r="L453" s="1318">
        <f>(G453-K453)*1.65%-(D453*1.65%)</f>
        <v/>
      </c>
      <c r="M453" s="1318" t="n"/>
      <c r="N453" s="863" t="n"/>
      <c r="O453" s="1320" t="n"/>
      <c r="P453" s="866" t="n"/>
      <c r="Q453" s="651">
        <f>(G453 - (D453+H453+K453+L453+M453+O453) + (N453)) / G453</f>
        <v/>
      </c>
      <c r="R453" s="651" t="n"/>
      <c r="S453" s="1206" t="n"/>
      <c r="T453" s="904" t="n"/>
      <c r="U453" s="569" t="n"/>
      <c r="V453" s="1317" t="n"/>
    </row>
    <row r="454" ht="15.75" customHeight="1" s="1349">
      <c r="A454" s="1292" t="n"/>
      <c r="B454" s="904" t="n"/>
      <c r="C454" s="904" t="n"/>
      <c r="D454" s="1325" t="n"/>
      <c r="E454" s="1326">
        <f>G454+F454</f>
        <v/>
      </c>
      <c r="F454" s="1325">
        <f>G454*0.05</f>
        <v/>
      </c>
      <c r="G454" s="1312" t="n"/>
      <c r="H454" s="1301" t="n"/>
      <c r="I454" s="1321" t="n"/>
      <c r="J454" s="1322" t="n"/>
      <c r="K454" s="1318">
        <f>G454*18%</f>
        <v/>
      </c>
      <c r="L454" s="1318">
        <f>(G454-K454)*1.65%-(D454*1.65%)</f>
        <v/>
      </c>
      <c r="M454" s="1318" t="n"/>
      <c r="N454" s="863" t="n"/>
      <c r="O454" s="1320" t="n"/>
      <c r="P454" s="866" t="n"/>
      <c r="Q454" s="651">
        <f>(G454 - (D454+H454+K454+L454+M454+O454) + (N454)) / G454</f>
        <v/>
      </c>
      <c r="R454" s="651" t="n"/>
      <c r="S454" s="1206" t="n"/>
      <c r="T454" s="904" t="n"/>
      <c r="U454" s="569" t="n"/>
      <c r="V454" s="1317" t="n"/>
    </row>
    <row r="455" ht="15.75" customHeight="1" s="1349">
      <c r="A455" s="1292" t="n"/>
      <c r="B455" s="904" t="n"/>
      <c r="C455" s="904" t="n"/>
      <c r="D455" s="1325" t="n"/>
      <c r="E455" s="1326">
        <f>G455+F455</f>
        <v/>
      </c>
      <c r="F455" s="1325">
        <f>G455*0.05</f>
        <v/>
      </c>
      <c r="G455" s="1312" t="n"/>
      <c r="H455" s="1301" t="n"/>
      <c r="I455" s="1321" t="n"/>
      <c r="J455" s="1322" t="n"/>
      <c r="K455" s="1318">
        <f>G455*18%</f>
        <v/>
      </c>
      <c r="L455" s="1318">
        <f>(G455-K455)*1.65%-(D455*1.65%)</f>
        <v/>
      </c>
      <c r="M455" s="1318" t="n"/>
      <c r="N455" s="863" t="n"/>
      <c r="O455" s="1320" t="n"/>
      <c r="P455" s="866" t="n"/>
      <c r="Q455" s="651">
        <f>(G455 - (D455+H455+K455+L455+M455+O455) + (N455)) / G455</f>
        <v/>
      </c>
      <c r="R455" s="651" t="n"/>
      <c r="S455" s="1206" t="n"/>
      <c r="T455" s="904" t="n"/>
      <c r="U455" s="569" t="n"/>
      <c r="V455" s="1317" t="n"/>
    </row>
    <row r="456" ht="15.75" customHeight="1" s="1349">
      <c r="A456" s="1292" t="n"/>
      <c r="B456" s="904" t="n"/>
      <c r="C456" s="904" t="n"/>
      <c r="D456" s="1325" t="n"/>
      <c r="E456" s="1326">
        <f>G456+F456</f>
        <v/>
      </c>
      <c r="F456" s="1325">
        <f>G456*0.05</f>
        <v/>
      </c>
      <c r="G456" s="1312" t="n"/>
      <c r="H456" s="1301" t="n"/>
      <c r="I456" s="1321" t="n"/>
      <c r="J456" s="1322" t="n"/>
      <c r="K456" s="1318">
        <f>G456*18%</f>
        <v/>
      </c>
      <c r="L456" s="1318">
        <f>(G456-K456)*1.65%-(D456*1.65%)</f>
        <v/>
      </c>
      <c r="M456" s="1318" t="n"/>
      <c r="N456" s="863" t="n"/>
      <c r="O456" s="1320" t="n"/>
      <c r="P456" s="866" t="n"/>
      <c r="Q456" s="651">
        <f>(G456 - (D456+H456+K456+L456+M456+O456) + (N456)) / G456</f>
        <v/>
      </c>
      <c r="R456" s="651" t="n"/>
      <c r="S456" s="1206" t="n"/>
      <c r="T456" s="904" t="n"/>
      <c r="U456" s="569" t="n"/>
      <c r="V456" s="1317" t="n"/>
    </row>
    <row r="457" ht="15.75" customHeight="1" s="1349">
      <c r="A457" s="1292" t="n"/>
      <c r="B457" s="904" t="n"/>
      <c r="C457" s="904" t="n"/>
      <c r="D457" s="1325" t="n"/>
      <c r="E457" s="1326">
        <f>G457+F457</f>
        <v/>
      </c>
      <c r="F457" s="1325">
        <f>G457*0.05</f>
        <v/>
      </c>
      <c r="G457" s="1312" t="n"/>
      <c r="H457" s="1301" t="n"/>
      <c r="I457" s="1321" t="n"/>
      <c r="J457" s="1322" t="n"/>
      <c r="K457" s="1318">
        <f>G457*18%</f>
        <v/>
      </c>
      <c r="L457" s="1318">
        <f>(G457-K457)*1.65%-(D457*1.65%)</f>
        <v/>
      </c>
      <c r="M457" s="1318" t="n"/>
      <c r="N457" s="863" t="n"/>
      <c r="O457" s="1320" t="n"/>
      <c r="P457" s="866" t="n"/>
      <c r="Q457" s="651">
        <f>(G457 - (D457+H457+K457+L457+M457+O457) + (N457)) / G457</f>
        <v/>
      </c>
      <c r="R457" s="651" t="n"/>
      <c r="S457" s="1206" t="n"/>
      <c r="T457" s="904" t="n"/>
      <c r="U457" s="569" t="n"/>
      <c r="V457" s="1317" t="n"/>
    </row>
    <row r="458" ht="15.75" customHeight="1" s="1349">
      <c r="A458" s="1292" t="n"/>
      <c r="B458" s="904" t="n"/>
      <c r="C458" s="904" t="n"/>
      <c r="D458" s="1325" t="n"/>
      <c r="E458" s="1326">
        <f>G458+F458</f>
        <v/>
      </c>
      <c r="F458" s="1325">
        <f>G458*0.05</f>
        <v/>
      </c>
      <c r="G458" s="1312" t="n"/>
      <c r="H458" s="1301" t="n"/>
      <c r="I458" s="1321" t="n"/>
      <c r="J458" s="1322" t="n"/>
      <c r="K458" s="1318">
        <f>G458*18%</f>
        <v/>
      </c>
      <c r="L458" s="1318">
        <f>(G458-K458)*1.65%-(D458*1.65%)</f>
        <v/>
      </c>
      <c r="M458" s="1318" t="n"/>
      <c r="N458" s="863" t="n"/>
      <c r="O458" s="1320" t="n"/>
      <c r="P458" s="866" t="n"/>
      <c r="Q458" s="651">
        <f>(G458 - (D458+H458+K458+L458+M458+O458) + (N458)) / G458</f>
        <v/>
      </c>
      <c r="R458" s="651" t="n"/>
      <c r="S458" s="1206" t="n"/>
      <c r="T458" s="904" t="n"/>
      <c r="U458" s="569" t="n"/>
      <c r="V458" s="1317" t="n"/>
    </row>
    <row r="459" ht="15.75" customHeight="1" s="1349">
      <c r="A459" s="1292" t="n"/>
      <c r="B459" s="904" t="n"/>
      <c r="C459" s="904" t="n"/>
      <c r="D459" s="1325" t="n"/>
      <c r="E459" s="1326">
        <f>G459+F459</f>
        <v/>
      </c>
      <c r="F459" s="1325">
        <f>G459*0.05</f>
        <v/>
      </c>
      <c r="G459" s="1312" t="n"/>
      <c r="H459" s="1301" t="n"/>
      <c r="I459" s="1321" t="n"/>
      <c r="J459" s="1322" t="n"/>
      <c r="K459" s="1318">
        <f>G459*18%</f>
        <v/>
      </c>
      <c r="L459" s="1318">
        <f>(G459-K459)*1.65%-(D459*1.65%)</f>
        <v/>
      </c>
      <c r="M459" s="1318" t="n"/>
      <c r="N459" s="863" t="n"/>
      <c r="O459" s="1320" t="n"/>
      <c r="P459" s="866" t="n"/>
      <c r="Q459" s="651">
        <f>(G459 - (D459+H459+K459+L459+M459+O459) + (N459)) / G459</f>
        <v/>
      </c>
      <c r="R459" s="651" t="n"/>
      <c r="S459" s="1206" t="n"/>
      <c r="T459" s="904" t="n"/>
      <c r="U459" s="569" t="n"/>
      <c r="V459" s="1317" t="n"/>
    </row>
    <row r="460" ht="15.75" customHeight="1" s="1349">
      <c r="A460" s="1292" t="n"/>
      <c r="B460" s="904" t="n"/>
      <c r="C460" s="904" t="n"/>
      <c r="D460" s="1325" t="n"/>
      <c r="E460" s="1326">
        <f>G460+F460</f>
        <v/>
      </c>
      <c r="F460" s="1325">
        <f>G460*0.05</f>
        <v/>
      </c>
      <c r="G460" s="1312" t="n"/>
      <c r="H460" s="1301" t="n"/>
      <c r="I460" s="1321" t="n"/>
      <c r="J460" s="1322" t="n"/>
      <c r="K460" s="1318">
        <f>G460*18%</f>
        <v/>
      </c>
      <c r="L460" s="1318">
        <f>(G460-K460)*1.65%-(D460*1.65%)</f>
        <v/>
      </c>
      <c r="M460" s="1318" t="n"/>
      <c r="N460" s="863" t="n"/>
      <c r="O460" s="1320" t="n"/>
      <c r="P460" s="866" t="n"/>
      <c r="Q460" s="651">
        <f>(G460 - (D460+H460+K460+L460+M460+O460) + (N460)) / G460</f>
        <v/>
      </c>
      <c r="R460" s="651" t="n"/>
      <c r="S460" s="1206" t="n"/>
      <c r="T460" s="904" t="n"/>
      <c r="U460" s="569" t="n"/>
      <c r="V460" s="1317" t="n"/>
    </row>
    <row r="461" ht="15.75" customHeight="1" s="1349">
      <c r="A461" s="1292" t="n"/>
      <c r="B461" s="904" t="n"/>
      <c r="C461" s="904" t="n"/>
      <c r="D461" s="1325" t="n"/>
      <c r="E461" s="1326">
        <f>G461+F461</f>
        <v/>
      </c>
      <c r="F461" s="1325">
        <f>G461*0.05</f>
        <v/>
      </c>
      <c r="G461" s="1312" t="n"/>
      <c r="H461" s="1301" t="n"/>
      <c r="I461" s="1321" t="n"/>
      <c r="J461" s="1322" t="n"/>
      <c r="K461" s="1318">
        <f>G461*18%</f>
        <v/>
      </c>
      <c r="L461" s="1318">
        <f>(G461-K461)*1.65%-(D461*1.65%)</f>
        <v/>
      </c>
      <c r="M461" s="1318" t="n"/>
      <c r="N461" s="863" t="n"/>
      <c r="O461" s="1320" t="n"/>
      <c r="P461" s="866" t="n"/>
      <c r="Q461" s="651">
        <f>(G461 - (D461+H461+K461+L461+M461+O461) + (N461)) / G461</f>
        <v/>
      </c>
      <c r="R461" s="651" t="n"/>
      <c r="S461" s="1206" t="n"/>
      <c r="T461" s="904" t="n"/>
      <c r="U461" s="569" t="n"/>
      <c r="V461" s="1317" t="n"/>
    </row>
    <row r="462" ht="15.75" customHeight="1" s="1349">
      <c r="A462" s="1292" t="n"/>
      <c r="B462" s="904" t="n"/>
      <c r="C462" s="904" t="n"/>
      <c r="D462" s="1325" t="n"/>
      <c r="E462" s="1326">
        <f>G462+F462</f>
        <v/>
      </c>
      <c r="F462" s="1325">
        <f>G462*0.05</f>
        <v/>
      </c>
      <c r="G462" s="1312" t="n"/>
      <c r="H462" s="1301" t="n"/>
      <c r="I462" s="1321" t="n"/>
      <c r="J462" s="1322" t="n"/>
      <c r="K462" s="1318">
        <f>G462*18%</f>
        <v/>
      </c>
      <c r="L462" s="1318">
        <f>(G462-K462)*1.65%-(D462*1.65%)</f>
        <v/>
      </c>
      <c r="M462" s="1318" t="n"/>
      <c r="N462" s="863" t="n"/>
      <c r="O462" s="1320" t="n"/>
      <c r="P462" s="866" t="n"/>
      <c r="Q462" s="651">
        <f>(G462 - (D462+H462+K462+L462+M462+O462) + (N462)) / G462</f>
        <v/>
      </c>
      <c r="R462" s="651" t="n"/>
      <c r="S462" s="1206" t="n"/>
      <c r="T462" s="904" t="n"/>
      <c r="U462" s="569" t="n"/>
      <c r="V462" s="1317" t="n"/>
    </row>
    <row r="463" ht="15.75" customHeight="1" s="1349">
      <c r="A463" s="1292" t="n"/>
      <c r="B463" s="904" t="n"/>
      <c r="C463" s="904" t="n"/>
      <c r="D463" s="1325" t="n"/>
      <c r="E463" s="1326">
        <f>G463+F463</f>
        <v/>
      </c>
      <c r="F463" s="1325">
        <f>G463*0.05</f>
        <v/>
      </c>
      <c r="G463" s="1312" t="n"/>
      <c r="H463" s="1301" t="n"/>
      <c r="I463" s="1321" t="n"/>
      <c r="J463" s="1322" t="n"/>
      <c r="K463" s="1318">
        <f>G463*18%</f>
        <v/>
      </c>
      <c r="L463" s="1318">
        <f>(G463-K463)*1.65%-(D463*1.65%)</f>
        <v/>
      </c>
      <c r="M463" s="1318" t="n"/>
      <c r="N463" s="863" t="n"/>
      <c r="O463" s="1320" t="n"/>
      <c r="P463" s="866" t="n"/>
      <c r="Q463" s="651">
        <f>(G463 - (D463+H463+K463+L463+M463+O463) + (N463)) / G463</f>
        <v/>
      </c>
      <c r="R463" s="651" t="n"/>
      <c r="S463" s="1206" t="n"/>
      <c r="T463" s="904" t="n"/>
      <c r="U463" s="569" t="n"/>
      <c r="V463" s="1317" t="n"/>
    </row>
    <row r="464" ht="15.75" customHeight="1" s="1349">
      <c r="A464" s="1292" t="n"/>
      <c r="B464" s="904" t="n"/>
      <c r="C464" s="904" t="n"/>
      <c r="D464" s="1325" t="n"/>
      <c r="E464" s="1326">
        <f>G464+F464</f>
        <v/>
      </c>
      <c r="F464" s="1325">
        <f>G464*0.05</f>
        <v/>
      </c>
      <c r="G464" s="1312" t="n"/>
      <c r="H464" s="1301" t="n"/>
      <c r="I464" s="1321" t="n"/>
      <c r="J464" s="1322" t="n"/>
      <c r="K464" s="1318">
        <f>G464*18%</f>
        <v/>
      </c>
      <c r="L464" s="1318">
        <f>(G464-K464)*1.65%-(D464*1.65%)</f>
        <v/>
      </c>
      <c r="M464" s="1318" t="n"/>
      <c r="N464" s="863" t="n"/>
      <c r="O464" s="1320" t="n"/>
      <c r="P464" s="866" t="n"/>
      <c r="Q464" s="651">
        <f>(G464 - (D464+H464+K464+L464+M464+O464) + (N464)) / G464</f>
        <v/>
      </c>
      <c r="R464" s="651" t="n"/>
      <c r="S464" s="1206" t="n"/>
      <c r="T464" s="904" t="n"/>
      <c r="U464" s="569" t="n"/>
      <c r="V464" s="1317" t="n"/>
    </row>
    <row r="465" ht="15.75" customHeight="1" s="1349">
      <c r="A465" s="1292" t="n"/>
      <c r="B465" s="904" t="n"/>
      <c r="C465" s="904" t="n"/>
      <c r="D465" s="1325" t="n"/>
      <c r="E465" s="1326">
        <f>G465+F465</f>
        <v/>
      </c>
      <c r="F465" s="1325">
        <f>G465*0.05</f>
        <v/>
      </c>
      <c r="G465" s="1312" t="n"/>
      <c r="H465" s="1301" t="n"/>
      <c r="I465" s="1321" t="n"/>
      <c r="J465" s="1322" t="n"/>
      <c r="K465" s="1318">
        <f>G465*18%</f>
        <v/>
      </c>
      <c r="L465" s="1318">
        <f>(G465-K465)*1.65%-(D465*1.65%)</f>
        <v/>
      </c>
      <c r="M465" s="1318" t="n"/>
      <c r="N465" s="863" t="n"/>
      <c r="O465" s="1320" t="n"/>
      <c r="P465" s="866" t="n"/>
      <c r="Q465" s="651">
        <f>(G465 - (D465+H465+K465+L465+M465+O465) + (N465)) / G465</f>
        <v/>
      </c>
      <c r="R465" s="651" t="n"/>
      <c r="S465" s="1206" t="n"/>
      <c r="T465" s="904" t="n"/>
      <c r="U465" s="569" t="n"/>
      <c r="V465" s="1317" t="n"/>
    </row>
    <row r="466" ht="15.75" customHeight="1" s="1349">
      <c r="A466" s="1292" t="n"/>
      <c r="B466" s="904" t="n"/>
      <c r="C466" s="904" t="n"/>
      <c r="D466" s="1325" t="n"/>
      <c r="E466" s="1326">
        <f>G466+F466</f>
        <v/>
      </c>
      <c r="F466" s="1325">
        <f>G466*0.05</f>
        <v/>
      </c>
      <c r="G466" s="1312" t="n"/>
      <c r="H466" s="1301" t="n"/>
      <c r="I466" s="1321" t="n"/>
      <c r="J466" s="1322" t="n"/>
      <c r="K466" s="1318">
        <f>G466*18%</f>
        <v/>
      </c>
      <c r="L466" s="1318">
        <f>(G466-K466)*1.65%-(D466*1.65%)</f>
        <v/>
      </c>
      <c r="M466" s="1318" t="n"/>
      <c r="N466" s="863" t="n"/>
      <c r="O466" s="1320" t="n"/>
      <c r="P466" s="866" t="n"/>
      <c r="Q466" s="651">
        <f>(G466 - (D466+H466+K466+L466+M466+O466) + (N466)) / G466</f>
        <v/>
      </c>
      <c r="R466" s="651" t="n"/>
      <c r="S466" s="1206" t="n"/>
      <c r="T466" s="904" t="n"/>
      <c r="U466" s="569" t="n"/>
      <c r="V466" s="1317" t="n"/>
    </row>
    <row r="467" ht="15.75" customHeight="1" s="1349">
      <c r="A467" s="1292" t="n"/>
      <c r="B467" s="904" t="n"/>
      <c r="C467" s="904" t="n"/>
      <c r="D467" s="1325" t="n"/>
      <c r="E467" s="1326">
        <f>G467+F467</f>
        <v/>
      </c>
      <c r="F467" s="1325">
        <f>G467*0.05</f>
        <v/>
      </c>
      <c r="G467" s="1312" t="n"/>
      <c r="H467" s="1301" t="n"/>
      <c r="I467" s="1321" t="n"/>
      <c r="J467" s="1322" t="n"/>
      <c r="K467" s="1318">
        <f>G467*18%</f>
        <v/>
      </c>
      <c r="L467" s="1318">
        <f>(G467-K467)*1.65%-(D467*1.65%)</f>
        <v/>
      </c>
      <c r="M467" s="1318" t="n"/>
      <c r="N467" s="863" t="n"/>
      <c r="O467" s="1320" t="n"/>
      <c r="P467" s="866" t="n"/>
      <c r="Q467" s="651">
        <f>(G467 - (D467+H467+K467+L467+M467+O467) + (N467)) / G467</f>
        <v/>
      </c>
      <c r="R467" s="651" t="n"/>
      <c r="S467" s="1206" t="n"/>
      <c r="T467" s="904" t="n"/>
      <c r="U467" s="569" t="n"/>
      <c r="V467" s="1317" t="n"/>
    </row>
    <row r="468" ht="15.75" customHeight="1" s="1349">
      <c r="A468" s="1292" t="n"/>
      <c r="B468" s="904" t="n"/>
      <c r="C468" s="904" t="n"/>
      <c r="D468" s="1325" t="n"/>
      <c r="E468" s="1326">
        <f>G468+F468</f>
        <v/>
      </c>
      <c r="F468" s="1325">
        <f>G468*0.05</f>
        <v/>
      </c>
      <c r="G468" s="1312" t="n"/>
      <c r="H468" s="1301" t="n"/>
      <c r="I468" s="1321" t="n"/>
      <c r="J468" s="1322" t="n"/>
      <c r="K468" s="1318">
        <f>G468*18%</f>
        <v/>
      </c>
      <c r="L468" s="1318">
        <f>(G468-K468)*1.65%-(D468*1.65%)</f>
        <v/>
      </c>
      <c r="M468" s="1318" t="n"/>
      <c r="N468" s="863" t="n"/>
      <c r="O468" s="1320" t="n"/>
      <c r="P468" s="866" t="n"/>
      <c r="Q468" s="651">
        <f>(G468 - (D468+H468+K468+L468+M468+O468) + (N468)) / G468</f>
        <v/>
      </c>
      <c r="R468" s="651" t="n"/>
      <c r="S468" s="1206" t="n"/>
      <c r="T468" s="904" t="n"/>
      <c r="U468" s="569" t="n"/>
      <c r="V468" s="1317" t="n"/>
    </row>
    <row r="469" ht="15.75" customHeight="1" s="1349">
      <c r="A469" s="1292" t="n"/>
      <c r="B469" s="904" t="n"/>
      <c r="C469" s="904" t="n"/>
      <c r="D469" s="1325" t="n"/>
      <c r="E469" s="1326">
        <f>G469+F469</f>
        <v/>
      </c>
      <c r="F469" s="1325">
        <f>G469*0.05</f>
        <v/>
      </c>
      <c r="G469" s="1312" t="n"/>
      <c r="H469" s="1301" t="n"/>
      <c r="I469" s="1321" t="n"/>
      <c r="J469" s="1322" t="n"/>
      <c r="K469" s="1318">
        <f>G469*18%</f>
        <v/>
      </c>
      <c r="L469" s="1318">
        <f>(G469-K469)*1.65%-(D469*1.65%)</f>
        <v/>
      </c>
      <c r="M469" s="1318" t="n"/>
      <c r="N469" s="863" t="n"/>
      <c r="O469" s="1320" t="n"/>
      <c r="P469" s="866" t="n"/>
      <c r="Q469" s="651">
        <f>(G469 - (D469+H469+K469+L469+M469+O469) + (N469)) / G469</f>
        <v/>
      </c>
      <c r="R469" s="651" t="n"/>
      <c r="S469" s="1206" t="n"/>
      <c r="T469" s="904" t="n"/>
      <c r="U469" s="569" t="n"/>
      <c r="V469" s="1317" t="n"/>
    </row>
    <row r="470" ht="15.75" customHeight="1" s="1349">
      <c r="A470" s="1292" t="n"/>
      <c r="B470" s="904" t="n"/>
      <c r="C470" s="904" t="n"/>
      <c r="D470" s="1325" t="n"/>
      <c r="E470" s="1326">
        <f>G470+F470</f>
        <v/>
      </c>
      <c r="F470" s="1325">
        <f>G470*0.05</f>
        <v/>
      </c>
      <c r="G470" s="1312" t="n"/>
      <c r="H470" s="1301" t="n"/>
      <c r="I470" s="1321" t="n"/>
      <c r="J470" s="1322" t="n"/>
      <c r="K470" s="1318">
        <f>G470*18%</f>
        <v/>
      </c>
      <c r="L470" s="1318">
        <f>(G470-K470)*1.65%-(D470*1.65%)</f>
        <v/>
      </c>
      <c r="M470" s="1318" t="n"/>
      <c r="N470" s="863" t="n"/>
      <c r="O470" s="1320" t="n"/>
      <c r="P470" s="866" t="n"/>
      <c r="Q470" s="651">
        <f>(G470 - (D470+H470+K470+L470+M470+O470) + (N470)) / G470</f>
        <v/>
      </c>
      <c r="R470" s="651" t="n"/>
      <c r="S470" s="1206" t="n"/>
      <c r="T470" s="904" t="n"/>
      <c r="U470" s="569" t="n"/>
      <c r="V470" s="1317" t="n"/>
    </row>
    <row r="471" ht="15.75" customHeight="1" s="1349">
      <c r="A471" s="1292" t="n"/>
      <c r="B471" s="904" t="n"/>
      <c r="C471" s="904" t="n"/>
      <c r="D471" s="1325" t="n"/>
      <c r="E471" s="1326">
        <f>G471+F471</f>
        <v/>
      </c>
      <c r="F471" s="1325">
        <f>G471*0.05</f>
        <v/>
      </c>
      <c r="G471" s="1312" t="n"/>
      <c r="H471" s="1301" t="n"/>
      <c r="I471" s="1321" t="n"/>
      <c r="J471" s="1322" t="n"/>
      <c r="K471" s="1318">
        <f>G471*18%</f>
        <v/>
      </c>
      <c r="L471" s="1318">
        <f>(G471-K471)*1.65%-(D471*1.65%)</f>
        <v/>
      </c>
      <c r="M471" s="1318" t="n"/>
      <c r="N471" s="863" t="n"/>
      <c r="O471" s="1320" t="n"/>
      <c r="P471" s="866" t="n"/>
      <c r="Q471" s="651">
        <f>(G471 - (D471+H471+K471+L471+M471+O471) + (N471)) / G471</f>
        <v/>
      </c>
      <c r="R471" s="651" t="n"/>
      <c r="S471" s="1206" t="n"/>
      <c r="T471" s="904" t="n"/>
      <c r="U471" s="569" t="n"/>
      <c r="V471" s="1317" t="n"/>
    </row>
    <row r="472" ht="15.75" customHeight="1" s="1349">
      <c r="A472" s="1292" t="n"/>
      <c r="B472" s="904" t="n"/>
      <c r="C472" s="904" t="n"/>
      <c r="D472" s="1325" t="n"/>
      <c r="E472" s="1326">
        <f>G472+F472</f>
        <v/>
      </c>
      <c r="F472" s="1325">
        <f>G472*0.05</f>
        <v/>
      </c>
      <c r="G472" s="1312" t="n"/>
      <c r="H472" s="1301" t="n"/>
      <c r="I472" s="1321" t="n"/>
      <c r="J472" s="1322" t="n"/>
      <c r="K472" s="1318">
        <f>G472*18%</f>
        <v/>
      </c>
      <c r="L472" s="1318">
        <f>(G472-K472)*1.65%-(D472*1.65%)</f>
        <v/>
      </c>
      <c r="M472" s="1318" t="n"/>
      <c r="N472" s="863" t="n"/>
      <c r="O472" s="1320" t="n"/>
      <c r="P472" s="866" t="n"/>
      <c r="Q472" s="651">
        <f>(G472 - (D472+H472+K472+L472+M472+O472) + (N472)) / G472</f>
        <v/>
      </c>
      <c r="R472" s="651" t="n"/>
      <c r="S472" s="1206" t="n"/>
      <c r="T472" s="904" t="n"/>
      <c r="U472" s="569" t="n"/>
      <c r="V472" s="1317" t="n"/>
    </row>
    <row r="473" ht="15.75" customHeight="1" s="1349">
      <c r="A473" s="1292" t="n"/>
      <c r="B473" s="904" t="n"/>
      <c r="C473" s="904" t="n"/>
      <c r="D473" s="1325" t="n"/>
      <c r="E473" s="1326">
        <f>G473+F473</f>
        <v/>
      </c>
      <c r="F473" s="1325">
        <f>G473*0.05</f>
        <v/>
      </c>
      <c r="G473" s="1312" t="n"/>
      <c r="H473" s="1301" t="n"/>
      <c r="I473" s="1321" t="n"/>
      <c r="J473" s="1322" t="n"/>
      <c r="K473" s="1318">
        <f>G473*18%</f>
        <v/>
      </c>
      <c r="L473" s="1318">
        <f>(G473-K473)*1.65%-(D473*1.65%)</f>
        <v/>
      </c>
      <c r="M473" s="1318" t="n"/>
      <c r="N473" s="863" t="n"/>
      <c r="O473" s="1320" t="n"/>
      <c r="P473" s="866" t="n"/>
      <c r="Q473" s="651">
        <f>(G473 - (D473+H473+K473+L473+M473+O473) + (N473)) / G473</f>
        <v/>
      </c>
      <c r="R473" s="651" t="n"/>
      <c r="S473" s="1206" t="n"/>
      <c r="T473" s="904" t="n"/>
      <c r="U473" s="569" t="n"/>
      <c r="V473" s="1317" t="n"/>
    </row>
    <row r="474" ht="15.75" customHeight="1" s="1349">
      <c r="A474" s="1292" t="n"/>
      <c r="B474" s="904" t="n"/>
      <c r="C474" s="904" t="n"/>
      <c r="D474" s="1325" t="n"/>
      <c r="E474" s="1326">
        <f>G474+F474</f>
        <v/>
      </c>
      <c r="F474" s="1325">
        <f>G474*0.05</f>
        <v/>
      </c>
      <c r="G474" s="1312" t="n"/>
      <c r="H474" s="1301" t="n"/>
      <c r="I474" s="1321" t="n"/>
      <c r="J474" s="1322" t="n"/>
      <c r="K474" s="1318">
        <f>G474*18%</f>
        <v/>
      </c>
      <c r="L474" s="1318">
        <f>(G474-K474)*1.65%-(D474*1.65%)</f>
        <v/>
      </c>
      <c r="M474" s="1318" t="n"/>
      <c r="N474" s="863" t="n"/>
      <c r="O474" s="1320" t="n"/>
      <c r="P474" s="866" t="n"/>
      <c r="Q474" s="651">
        <f>(G474 - (D474+H474+K474+L474+M474+O474) + (N474)) / G474</f>
        <v/>
      </c>
      <c r="R474" s="651" t="n"/>
      <c r="S474" s="1206" t="n"/>
      <c r="T474" s="904" t="n"/>
      <c r="U474" s="569" t="n"/>
      <c r="V474" s="1317" t="n"/>
    </row>
    <row r="475" ht="15.75" customHeight="1" s="1349">
      <c r="A475" s="1292" t="n"/>
      <c r="B475" s="904" t="n"/>
      <c r="C475" s="904" t="n"/>
      <c r="D475" s="1325" t="n"/>
      <c r="E475" s="1326">
        <f>G475+F475</f>
        <v/>
      </c>
      <c r="F475" s="1325">
        <f>G475*0.05</f>
        <v/>
      </c>
      <c r="G475" s="1312" t="n"/>
      <c r="H475" s="1301" t="n"/>
      <c r="I475" s="1321" t="n"/>
      <c r="J475" s="1322" t="n"/>
      <c r="K475" s="1318">
        <f>G475*18%</f>
        <v/>
      </c>
      <c r="L475" s="1318">
        <f>(G475-K475)*1.65%-(D475*1.65%)</f>
        <v/>
      </c>
      <c r="M475" s="1318" t="n"/>
      <c r="N475" s="863" t="n"/>
      <c r="O475" s="1320" t="n"/>
      <c r="P475" s="866" t="n"/>
      <c r="Q475" s="651">
        <f>(G475 - (D475+H475+K475+L475+M475+O475) + (N475)) / G475</f>
        <v/>
      </c>
      <c r="R475" s="651" t="n"/>
      <c r="S475" s="1206" t="n"/>
      <c r="T475" s="904" t="n"/>
      <c r="U475" s="569" t="n"/>
      <c r="V475" s="1317" t="n"/>
    </row>
    <row r="476" ht="15.75" customHeight="1" s="1349">
      <c r="A476" s="1292" t="n"/>
      <c r="B476" s="904" t="n"/>
      <c r="C476" s="904" t="n"/>
      <c r="D476" s="1325" t="n"/>
      <c r="E476" s="1326">
        <f>G476+F476</f>
        <v/>
      </c>
      <c r="F476" s="1325">
        <f>G476*0.05</f>
        <v/>
      </c>
      <c r="G476" s="1312" t="n"/>
      <c r="H476" s="1301" t="n"/>
      <c r="I476" s="1321" t="n"/>
      <c r="J476" s="1322" t="n"/>
      <c r="K476" s="1318">
        <f>G476*18%</f>
        <v/>
      </c>
      <c r="L476" s="1318">
        <f>(G476-K476)*1.65%-(D476*1.65%)</f>
        <v/>
      </c>
      <c r="M476" s="1318" t="n"/>
      <c r="N476" s="863" t="n"/>
      <c r="O476" s="1320" t="n"/>
      <c r="P476" s="866" t="n"/>
      <c r="Q476" s="651">
        <f>(G476 - (D476+H476+K476+L476+M476+O476) + (N476)) / G476</f>
        <v/>
      </c>
      <c r="R476" s="651" t="n"/>
      <c r="S476" s="1206" t="n"/>
      <c r="T476" s="904" t="n"/>
      <c r="U476" s="569" t="n"/>
      <c r="V476" s="1317" t="n"/>
    </row>
    <row r="477" ht="15.75" customHeight="1" s="1349">
      <c r="A477" s="1292" t="n"/>
      <c r="B477" s="904" t="n"/>
      <c r="C477" s="904" t="n"/>
      <c r="D477" s="1325" t="n"/>
      <c r="E477" s="1326">
        <f>G477+F477</f>
        <v/>
      </c>
      <c r="F477" s="1325">
        <f>G477*0.05</f>
        <v/>
      </c>
      <c r="G477" s="1312" t="n"/>
      <c r="H477" s="1301" t="n"/>
      <c r="I477" s="1321" t="n"/>
      <c r="J477" s="1322" t="n"/>
      <c r="K477" s="1318">
        <f>G477*18%</f>
        <v/>
      </c>
      <c r="L477" s="1318">
        <f>(G477-K477)*1.65%-(D477*1.65%)</f>
        <v/>
      </c>
      <c r="M477" s="1318" t="n"/>
      <c r="N477" s="863" t="n"/>
      <c r="O477" s="1320" t="n"/>
      <c r="P477" s="866" t="n"/>
      <c r="Q477" s="651">
        <f>(G477 - (D477+H477+K477+L477+M477+O477) + (N477)) / G477</f>
        <v/>
      </c>
      <c r="R477" s="651" t="n"/>
      <c r="S477" s="1206" t="n"/>
      <c r="T477" s="904" t="n"/>
      <c r="U477" s="569" t="n"/>
      <c r="V477" s="1317" t="n"/>
    </row>
    <row r="478" ht="15.75" customHeight="1" s="1349">
      <c r="A478" s="1292" t="n"/>
      <c r="B478" s="904" t="n"/>
      <c r="C478" s="904" t="n"/>
      <c r="D478" s="1325" t="n"/>
      <c r="E478" s="1326">
        <f>G478+F478</f>
        <v/>
      </c>
      <c r="F478" s="1325">
        <f>G478*0.05</f>
        <v/>
      </c>
      <c r="G478" s="1312" t="n"/>
      <c r="H478" s="1301" t="n"/>
      <c r="I478" s="1321" t="n"/>
      <c r="J478" s="1322" t="n"/>
      <c r="K478" s="1318">
        <f>G478*18%</f>
        <v/>
      </c>
      <c r="L478" s="1318">
        <f>(G478-K478)*1.65%-(D478*1.65%)</f>
        <v/>
      </c>
      <c r="M478" s="1318" t="n"/>
      <c r="N478" s="863" t="n"/>
      <c r="O478" s="1320" t="n"/>
      <c r="P478" s="866" t="n"/>
      <c r="Q478" s="651">
        <f>(G478 - (D478+H478+K478+L478+M478+O478) + (N478)) / G478</f>
        <v/>
      </c>
      <c r="R478" s="651" t="n"/>
      <c r="S478" s="1206" t="n"/>
      <c r="T478" s="904" t="n"/>
      <c r="U478" s="569" t="n"/>
      <c r="V478" s="1317" t="n"/>
    </row>
    <row r="479" ht="15.75" customHeight="1" s="1349">
      <c r="A479" s="1292" t="n"/>
      <c r="B479" s="904" t="n"/>
      <c r="C479" s="904" t="n"/>
      <c r="D479" s="1325" t="n"/>
      <c r="E479" s="1326">
        <f>G479+F479</f>
        <v/>
      </c>
      <c r="F479" s="1325">
        <f>G479*0.05</f>
        <v/>
      </c>
      <c r="G479" s="1312" t="n"/>
      <c r="H479" s="1301" t="n"/>
      <c r="I479" s="1321" t="n"/>
      <c r="J479" s="1322" t="n"/>
      <c r="K479" s="1318">
        <f>G479*18%</f>
        <v/>
      </c>
      <c r="L479" s="1318">
        <f>(G479-K479)*1.65%-(D479*1.65%)</f>
        <v/>
      </c>
      <c r="M479" s="1318" t="n"/>
      <c r="N479" s="863" t="n"/>
      <c r="O479" s="1320" t="n"/>
      <c r="P479" s="866" t="n"/>
      <c r="Q479" s="651">
        <f>(G479 - (D479+H479+K479+L479+M479+O479) + (N479)) / G479</f>
        <v/>
      </c>
      <c r="R479" s="651" t="n"/>
      <c r="S479" s="1206" t="n"/>
      <c r="T479" s="904" t="n"/>
      <c r="U479" s="569" t="n"/>
      <c r="V479" s="1317" t="n"/>
    </row>
    <row r="480" ht="15.75" customHeight="1" s="1349">
      <c r="A480" s="1292" t="n"/>
      <c r="B480" s="904" t="n"/>
      <c r="C480" s="904" t="n"/>
      <c r="D480" s="1325" t="n"/>
      <c r="E480" s="1326">
        <f>G480+F480</f>
        <v/>
      </c>
      <c r="F480" s="1325">
        <f>G480*0.05</f>
        <v/>
      </c>
      <c r="G480" s="1312" t="n"/>
      <c r="H480" s="1301" t="n"/>
      <c r="I480" s="1321" t="n"/>
      <c r="J480" s="1322" t="n"/>
      <c r="K480" s="1318">
        <f>G480*18%</f>
        <v/>
      </c>
      <c r="L480" s="1318">
        <f>(G480-K480)*1.65%-(D480*1.65%)</f>
        <v/>
      </c>
      <c r="M480" s="1318" t="n"/>
      <c r="N480" s="863" t="n"/>
      <c r="O480" s="1320" t="n"/>
      <c r="P480" s="866" t="n"/>
      <c r="Q480" s="651">
        <f>(G480 - (D480+H480+K480+L480+M480+O480) + (N480)) / G480</f>
        <v/>
      </c>
      <c r="R480" s="651" t="n"/>
      <c r="S480" s="1206" t="n"/>
      <c r="T480" s="904" t="n"/>
      <c r="U480" s="569" t="n"/>
      <c r="V480" s="1317" t="n"/>
    </row>
    <row r="481" ht="15.75" customHeight="1" s="1349">
      <c r="A481" s="1292" t="n"/>
      <c r="B481" s="904" t="n"/>
      <c r="C481" s="904" t="n"/>
      <c r="D481" s="1325" t="n"/>
      <c r="E481" s="1326">
        <f>G481+F481</f>
        <v/>
      </c>
      <c r="F481" s="1325">
        <f>G481*0.05</f>
        <v/>
      </c>
      <c r="G481" s="1312" t="n"/>
      <c r="H481" s="1301" t="n"/>
      <c r="I481" s="1321" t="n"/>
      <c r="J481" s="1322" t="n"/>
      <c r="K481" s="1318">
        <f>G481*18%</f>
        <v/>
      </c>
      <c r="L481" s="1318">
        <f>(G481-K481)*1.65%-(D481*1.65%)</f>
        <v/>
      </c>
      <c r="M481" s="1318" t="n"/>
      <c r="N481" s="863" t="n"/>
      <c r="O481" s="1320" t="n"/>
      <c r="P481" s="866" t="n"/>
      <c r="Q481" s="651">
        <f>(G481 - (D481+H481+K481+L481+M481+O481) + (N481)) / G481</f>
        <v/>
      </c>
      <c r="R481" s="651" t="n"/>
      <c r="S481" s="1206" t="n"/>
      <c r="T481" s="904" t="n"/>
      <c r="U481" s="569" t="n"/>
      <c r="V481" s="1317" t="n"/>
    </row>
    <row r="482" ht="15.75" customHeight="1" s="1349">
      <c r="A482" s="1292" t="n"/>
      <c r="B482" s="904" t="n"/>
      <c r="C482" s="904" t="n"/>
      <c r="D482" s="1325" t="n"/>
      <c r="E482" s="1326">
        <f>G482+F482</f>
        <v/>
      </c>
      <c r="F482" s="1325">
        <f>G482*0.05</f>
        <v/>
      </c>
      <c r="G482" s="1312" t="n"/>
      <c r="H482" s="1301" t="n"/>
      <c r="I482" s="1321" t="n"/>
      <c r="J482" s="1322" t="n"/>
      <c r="K482" s="1318">
        <f>G482*18%</f>
        <v/>
      </c>
      <c r="L482" s="1318">
        <f>(G482-K482)*1.65%-(D482*1.65%)</f>
        <v/>
      </c>
      <c r="M482" s="1318" t="n"/>
      <c r="N482" s="863" t="n"/>
      <c r="O482" s="1320" t="n"/>
      <c r="P482" s="866" t="n"/>
      <c r="Q482" s="651">
        <f>(G482 - (D482+H482+K482+L482+M482+O482) + (N482)) / G482</f>
        <v/>
      </c>
      <c r="R482" s="651" t="n"/>
      <c r="S482" s="1206" t="n"/>
      <c r="T482" s="904" t="n"/>
      <c r="U482" s="569" t="n"/>
      <c r="V482" s="1317" t="n"/>
    </row>
    <row r="483" ht="15.75" customHeight="1" s="1349">
      <c r="A483" s="1292" t="n"/>
      <c r="B483" s="904" t="n"/>
      <c r="C483" s="904" t="n"/>
      <c r="D483" s="1325" t="n"/>
      <c r="E483" s="1326">
        <f>G483+F483</f>
        <v/>
      </c>
      <c r="F483" s="1325">
        <f>G483*0.05</f>
        <v/>
      </c>
      <c r="G483" s="1312" t="n"/>
      <c r="H483" s="1301" t="n"/>
      <c r="I483" s="1321" t="n"/>
      <c r="J483" s="1322" t="n"/>
      <c r="K483" s="1318">
        <f>G483*18%</f>
        <v/>
      </c>
      <c r="L483" s="1318">
        <f>(G483-K483)*1.65%-(D483*1.65%)</f>
        <v/>
      </c>
      <c r="M483" s="1318" t="n"/>
      <c r="N483" s="863" t="n"/>
      <c r="O483" s="1320" t="n"/>
      <c r="P483" s="866" t="n"/>
      <c r="Q483" s="651">
        <f>(G483 - (D483+H483+K483+L483+M483+O483) + (N483)) / G483</f>
        <v/>
      </c>
      <c r="R483" s="651" t="n"/>
      <c r="S483" s="1206" t="n"/>
      <c r="T483" s="904" t="n"/>
      <c r="U483" s="569" t="n"/>
      <c r="V483" s="1317" t="n"/>
    </row>
    <row r="484" ht="15.75" customHeight="1" s="1349">
      <c r="A484" s="1292" t="n"/>
      <c r="B484" s="904" t="n"/>
      <c r="C484" s="904" t="n"/>
      <c r="D484" s="1325" t="n"/>
      <c r="E484" s="1326">
        <f>G484+F484</f>
        <v/>
      </c>
      <c r="F484" s="1325">
        <f>G484*0.05</f>
        <v/>
      </c>
      <c r="G484" s="1312" t="n"/>
      <c r="H484" s="1301" t="n"/>
      <c r="I484" s="1321" t="n"/>
      <c r="J484" s="1322" t="n"/>
      <c r="K484" s="1318">
        <f>G484*18%</f>
        <v/>
      </c>
      <c r="L484" s="1318">
        <f>(G484-K484)*1.65%-(D484*1.65%)</f>
        <v/>
      </c>
      <c r="M484" s="1318" t="n"/>
      <c r="N484" s="863" t="n"/>
      <c r="O484" s="1320" t="n"/>
      <c r="P484" s="866" t="n"/>
      <c r="Q484" s="651">
        <f>(G484 - (D484+H484+K484+L484+M484+O484) + (N484)) / G484</f>
        <v/>
      </c>
      <c r="R484" s="651" t="n"/>
      <c r="S484" s="1206" t="n"/>
      <c r="T484" s="904" t="n"/>
      <c r="U484" s="569" t="n"/>
      <c r="V484" s="1317" t="n"/>
    </row>
    <row r="485" ht="15.75" customHeight="1" s="1349">
      <c r="A485" s="1292" t="n"/>
      <c r="B485" s="904" t="n"/>
      <c r="C485" s="904" t="n"/>
      <c r="D485" s="1325" t="n"/>
      <c r="E485" s="1326">
        <f>G485+F485</f>
        <v/>
      </c>
      <c r="F485" s="1325">
        <f>G485*0.05</f>
        <v/>
      </c>
      <c r="G485" s="1312" t="n"/>
      <c r="H485" s="1301" t="n"/>
      <c r="I485" s="1321" t="n"/>
      <c r="J485" s="1322" t="n"/>
      <c r="K485" s="1318">
        <f>G485*18%</f>
        <v/>
      </c>
      <c r="L485" s="1318">
        <f>(G485-K485)*1.65%-(D485*1.65%)</f>
        <v/>
      </c>
      <c r="M485" s="1318" t="n"/>
      <c r="N485" s="863" t="n"/>
      <c r="O485" s="1320" t="n"/>
      <c r="P485" s="866" t="n"/>
      <c r="Q485" s="651">
        <f>(G485 - (D485+H485+K485+L485+M485+O485) + (N485)) / G485</f>
        <v/>
      </c>
      <c r="R485" s="651" t="n"/>
      <c r="S485" s="1206" t="n"/>
      <c r="T485" s="904" t="n"/>
      <c r="U485" s="569" t="n"/>
      <c r="V485" s="1317" t="n"/>
    </row>
    <row r="486" ht="15.75" customHeight="1" s="1349">
      <c r="A486" s="1292" t="n"/>
      <c r="B486" s="904" t="n"/>
      <c r="C486" s="904" t="n"/>
      <c r="D486" s="1325" t="n"/>
      <c r="E486" s="1326">
        <f>G486+F486</f>
        <v/>
      </c>
      <c r="F486" s="1325">
        <f>G486*0.05</f>
        <v/>
      </c>
      <c r="G486" s="1312" t="n"/>
      <c r="H486" s="1301" t="n"/>
      <c r="I486" s="1321" t="n"/>
      <c r="J486" s="1322" t="n"/>
      <c r="K486" s="1318">
        <f>G486*18%</f>
        <v/>
      </c>
      <c r="L486" s="1318">
        <f>(G486-K486)*1.65%-(D486*1.65%)</f>
        <v/>
      </c>
      <c r="M486" s="1318" t="n"/>
      <c r="N486" s="863" t="n"/>
      <c r="O486" s="1320" t="n"/>
      <c r="P486" s="866" t="n"/>
      <c r="Q486" s="651">
        <f>(G486 - (D486+H486+K486+L486+M486+O486) + (N486)) / G486</f>
        <v/>
      </c>
      <c r="R486" s="651" t="n"/>
      <c r="S486" s="1206" t="n"/>
      <c r="T486" s="904" t="n"/>
      <c r="U486" s="569" t="n"/>
      <c r="V486" s="1317" t="n"/>
    </row>
    <row r="487" ht="15.75" customHeight="1" s="1349">
      <c r="A487" s="1292" t="n"/>
      <c r="B487" s="904" t="n"/>
      <c r="C487" s="904" t="n"/>
      <c r="D487" s="1325" t="n"/>
      <c r="E487" s="1326">
        <f>G487+F487</f>
        <v/>
      </c>
      <c r="F487" s="1325">
        <f>G487*0.05</f>
        <v/>
      </c>
      <c r="G487" s="1312" t="n"/>
      <c r="H487" s="1301" t="n"/>
      <c r="I487" s="1321" t="n"/>
      <c r="J487" s="1322" t="n"/>
      <c r="K487" s="1318">
        <f>G487*18%</f>
        <v/>
      </c>
      <c r="L487" s="1318">
        <f>(G487-K487)*1.65%-(D487*1.65%)</f>
        <v/>
      </c>
      <c r="M487" s="1318" t="n"/>
      <c r="N487" s="863" t="n"/>
      <c r="O487" s="1320" t="n"/>
      <c r="P487" s="866" t="n"/>
      <c r="Q487" s="651">
        <f>(G487 - (D487+H487+K487+L487+M487+O487) + (N487)) / G487</f>
        <v/>
      </c>
      <c r="R487" s="651" t="n"/>
      <c r="S487" s="1206" t="n"/>
      <c r="T487" s="904" t="n"/>
      <c r="U487" s="569" t="n"/>
      <c r="V487" s="1317" t="n"/>
    </row>
    <row r="488" ht="15.75" customHeight="1" s="1349">
      <c r="A488" s="1292" t="n"/>
      <c r="B488" s="904" t="n"/>
      <c r="C488" s="904" t="n"/>
      <c r="D488" s="1325" t="n"/>
      <c r="E488" s="1326">
        <f>G488+F488</f>
        <v/>
      </c>
      <c r="F488" s="1325">
        <f>G488*0.05</f>
        <v/>
      </c>
      <c r="G488" s="1312" t="n"/>
      <c r="H488" s="1301" t="n"/>
      <c r="I488" s="1321" t="n"/>
      <c r="J488" s="1322" t="n"/>
      <c r="K488" s="1318">
        <f>G488*18%</f>
        <v/>
      </c>
      <c r="L488" s="1318">
        <f>(G488-K488)*1.65%-(D488*1.65%)</f>
        <v/>
      </c>
      <c r="M488" s="1318" t="n"/>
      <c r="N488" s="863" t="n"/>
      <c r="O488" s="1320" t="n"/>
      <c r="P488" s="866" t="n"/>
      <c r="Q488" s="651">
        <f>(G488 - (D488+H488+K488+L488+M488+O488) + (N488)) / G488</f>
        <v/>
      </c>
      <c r="R488" s="651" t="n"/>
      <c r="S488" s="1206" t="n"/>
      <c r="T488" s="904" t="n"/>
      <c r="U488" s="569" t="n"/>
      <c r="V488" s="1317" t="n"/>
    </row>
    <row r="489" ht="15.75" customHeight="1" s="1349">
      <c r="A489" s="1292" t="n"/>
      <c r="B489" s="904" t="n"/>
      <c r="C489" s="904" t="n"/>
      <c r="D489" s="1325" t="n"/>
      <c r="E489" s="1326">
        <f>G489+F489</f>
        <v/>
      </c>
      <c r="F489" s="1325">
        <f>G489*0.05</f>
        <v/>
      </c>
      <c r="G489" s="1312" t="n"/>
      <c r="H489" s="1301" t="n"/>
      <c r="I489" s="1321" t="n"/>
      <c r="J489" s="1322" t="n"/>
      <c r="K489" s="1318">
        <f>G489*18%</f>
        <v/>
      </c>
      <c r="L489" s="1318">
        <f>(G489-K489)*1.65%-(D489*1.65%)</f>
        <v/>
      </c>
      <c r="M489" s="1318" t="n"/>
      <c r="N489" s="863" t="n"/>
      <c r="O489" s="1320" t="n"/>
      <c r="P489" s="866" t="n"/>
      <c r="Q489" s="651">
        <f>(G489 - (D489+H489+K489+L489+M489+O489) + (N489)) / G489</f>
        <v/>
      </c>
      <c r="R489" s="651" t="n"/>
      <c r="S489" s="1206" t="n"/>
      <c r="T489" s="904" t="n"/>
      <c r="U489" s="569" t="n"/>
      <c r="V489" s="1317" t="n"/>
    </row>
    <row r="490" ht="15.75" customHeight="1" s="1349">
      <c r="A490" s="1292" t="n"/>
      <c r="B490" s="904" t="n"/>
      <c r="C490" s="904" t="n"/>
      <c r="D490" s="1325" t="n"/>
      <c r="E490" s="1326">
        <f>G490+F490</f>
        <v/>
      </c>
      <c r="F490" s="1325">
        <f>G490*0.05</f>
        <v/>
      </c>
      <c r="G490" s="1312" t="n"/>
      <c r="H490" s="1301" t="n"/>
      <c r="I490" s="1321" t="n"/>
      <c r="J490" s="1322" t="n"/>
      <c r="K490" s="1318">
        <f>G490*18%</f>
        <v/>
      </c>
      <c r="L490" s="1318">
        <f>(G490-K490)*1.65%-(D490*1.65%)</f>
        <v/>
      </c>
      <c r="M490" s="1318" t="n"/>
      <c r="N490" s="863" t="n"/>
      <c r="O490" s="1320" t="n"/>
      <c r="P490" s="866" t="n"/>
      <c r="Q490" s="651">
        <f>(G490 - (D490+H490+K490+L490+M490+O490) + (N490)) / G490</f>
        <v/>
      </c>
      <c r="R490" s="651" t="n"/>
      <c r="S490" s="1206" t="n"/>
      <c r="T490" s="904" t="n"/>
      <c r="U490" s="569" t="n"/>
      <c r="V490" s="1317" t="n"/>
    </row>
    <row r="491" ht="15.75" customHeight="1" s="1349">
      <c r="A491" s="1292" t="n"/>
      <c r="B491" s="904" t="n"/>
      <c r="C491" s="904" t="n"/>
      <c r="D491" s="1325" t="n"/>
      <c r="E491" s="1326">
        <f>G491+F491</f>
        <v/>
      </c>
      <c r="F491" s="1325">
        <f>G491*0.05</f>
        <v/>
      </c>
      <c r="G491" s="1312" t="n"/>
      <c r="H491" s="1301" t="n"/>
      <c r="I491" s="1321" t="n"/>
      <c r="J491" s="1322" t="n"/>
      <c r="K491" s="1318">
        <f>G491*18%</f>
        <v/>
      </c>
      <c r="L491" s="1318">
        <f>(G491-K491)*1.65%-(D491*1.65%)</f>
        <v/>
      </c>
      <c r="M491" s="1318" t="n"/>
      <c r="N491" s="863" t="n"/>
      <c r="O491" s="1320" t="n"/>
      <c r="P491" s="866" t="n"/>
      <c r="Q491" s="651">
        <f>(G491 - (D491+H491+K491+L491+M491+O491) + (N491)) / G491</f>
        <v/>
      </c>
      <c r="R491" s="651" t="n"/>
      <c r="S491" s="1206" t="n"/>
      <c r="T491" s="904" t="n"/>
      <c r="U491" s="569" t="n"/>
      <c r="V491" s="1317" t="n"/>
    </row>
    <row r="492" ht="15.75" customHeight="1" s="1349">
      <c r="A492" s="1292" t="n"/>
      <c r="B492" s="904" t="n"/>
      <c r="C492" s="904" t="n"/>
      <c r="D492" s="1325" t="n"/>
      <c r="E492" s="1326">
        <f>G492+F492</f>
        <v/>
      </c>
      <c r="F492" s="1325">
        <f>G492*0.05</f>
        <v/>
      </c>
      <c r="G492" s="1312" t="n"/>
      <c r="H492" s="1301" t="n"/>
      <c r="I492" s="1321" t="n"/>
      <c r="J492" s="1322" t="n"/>
      <c r="K492" s="1318">
        <f>G492*18%</f>
        <v/>
      </c>
      <c r="L492" s="1318">
        <f>(G492-K492)*1.65%-(D492*1.65%)</f>
        <v/>
      </c>
      <c r="M492" s="1318" t="n"/>
      <c r="N492" s="863" t="n"/>
      <c r="O492" s="1320" t="n"/>
      <c r="P492" s="866" t="n"/>
      <c r="Q492" s="651">
        <f>(G492 - (D492+H492+K492+L492+M492+O492) + (N492)) / G492</f>
        <v/>
      </c>
      <c r="R492" s="651" t="n"/>
      <c r="S492" s="1206" t="n"/>
      <c r="T492" s="904" t="n"/>
      <c r="U492" s="569" t="n"/>
      <c r="V492" s="1317" t="n"/>
    </row>
    <row r="493" ht="15.75" customHeight="1" s="1349">
      <c r="A493" s="1292" t="n"/>
      <c r="B493" s="904" t="n"/>
      <c r="C493" s="904" t="n"/>
      <c r="D493" s="1325" t="n"/>
      <c r="E493" s="1326">
        <f>G493+F493</f>
        <v/>
      </c>
      <c r="F493" s="1325">
        <f>G493*0.05</f>
        <v/>
      </c>
      <c r="G493" s="1312" t="n"/>
      <c r="H493" s="1301" t="n"/>
      <c r="I493" s="1321" t="n"/>
      <c r="J493" s="1322" t="n"/>
      <c r="K493" s="1318">
        <f>G493*18%</f>
        <v/>
      </c>
      <c r="L493" s="1318">
        <f>(G493-K493)*1.65%-(D493*1.65%)</f>
        <v/>
      </c>
      <c r="M493" s="1318" t="n"/>
      <c r="N493" s="863" t="n"/>
      <c r="O493" s="1320" t="n"/>
      <c r="P493" s="866" t="n"/>
      <c r="Q493" s="651">
        <f>(G493 - (D493+H493+K493+L493+M493+O493) + (N493)) / G493</f>
        <v/>
      </c>
      <c r="R493" s="651" t="n"/>
      <c r="S493" s="1206" t="n"/>
      <c r="T493" s="904" t="n"/>
      <c r="U493" s="569" t="n"/>
      <c r="V493" s="1317" t="n"/>
    </row>
    <row r="494" ht="15.75" customHeight="1" s="1349">
      <c r="A494" s="1292" t="n"/>
      <c r="B494" s="904" t="n"/>
      <c r="C494" s="904" t="n"/>
      <c r="D494" s="1325" t="n"/>
      <c r="E494" s="1326">
        <f>G494+F494</f>
        <v/>
      </c>
      <c r="F494" s="1325">
        <f>G494*0.05</f>
        <v/>
      </c>
      <c r="G494" s="1312" t="n"/>
      <c r="H494" s="1301" t="n"/>
      <c r="I494" s="1321" t="n"/>
      <c r="J494" s="1322" t="n"/>
      <c r="K494" s="1318">
        <f>G494*18%</f>
        <v/>
      </c>
      <c r="L494" s="1318">
        <f>(G494-K494)*1.65%-(D494*1.65%)</f>
        <v/>
      </c>
      <c r="M494" s="1318" t="n"/>
      <c r="N494" s="863" t="n"/>
      <c r="O494" s="1320" t="n"/>
      <c r="P494" s="866" t="n"/>
      <c r="Q494" s="651">
        <f>(G494 - (D494+H494+K494+L494+M494+O494) + (N494)) / G494</f>
        <v/>
      </c>
      <c r="R494" s="651" t="n"/>
      <c r="S494" s="1206" t="n"/>
      <c r="T494" s="904" t="n"/>
      <c r="U494" s="569" t="n"/>
      <c r="V494" s="1317" t="n"/>
    </row>
    <row r="495" ht="15.75" customHeight="1" s="1349">
      <c r="A495" s="1292" t="n"/>
      <c r="B495" s="904" t="n"/>
      <c r="C495" s="904" t="n"/>
      <c r="D495" s="1325" t="n"/>
      <c r="E495" s="1326">
        <f>G495+F495</f>
        <v/>
      </c>
      <c r="F495" s="1325">
        <f>G495*0.05</f>
        <v/>
      </c>
      <c r="G495" s="1312" t="n"/>
      <c r="H495" s="1301" t="n"/>
      <c r="I495" s="1321" t="n"/>
      <c r="J495" s="1322" t="n"/>
      <c r="K495" s="1318">
        <f>G495*18%</f>
        <v/>
      </c>
      <c r="L495" s="1318">
        <f>(G495-K495)*1.65%-(D495*1.65%)</f>
        <v/>
      </c>
      <c r="M495" s="1318" t="n"/>
      <c r="N495" s="863" t="n"/>
      <c r="O495" s="1320" t="n"/>
      <c r="P495" s="866" t="n"/>
      <c r="Q495" s="651">
        <f>(G495 - (D495+H495+K495+L495+M495+O495) + (N495)) / G495</f>
        <v/>
      </c>
      <c r="R495" s="651" t="n"/>
      <c r="S495" s="1206" t="n"/>
      <c r="T495" s="904" t="n"/>
      <c r="U495" s="569" t="n"/>
      <c r="V495" s="1317" t="n"/>
    </row>
    <row r="496" ht="15.75" customHeight="1" s="1349">
      <c r="A496" s="1292" t="n"/>
      <c r="B496" s="904" t="n"/>
      <c r="C496" s="904" t="n"/>
      <c r="D496" s="1325" t="n"/>
      <c r="E496" s="1326">
        <f>G496+F496</f>
        <v/>
      </c>
      <c r="F496" s="1325">
        <f>G496*0.05</f>
        <v/>
      </c>
      <c r="G496" s="1312" t="n"/>
      <c r="H496" s="1301" t="n"/>
      <c r="I496" s="1321" t="n"/>
      <c r="J496" s="1322" t="n"/>
      <c r="K496" s="1318">
        <f>G496*18%</f>
        <v/>
      </c>
      <c r="L496" s="1318">
        <f>(G496-K496)*1.65%-(D496*1.65%)</f>
        <v/>
      </c>
      <c r="M496" s="1318" t="n"/>
      <c r="N496" s="863" t="n"/>
      <c r="O496" s="1320" t="n"/>
      <c r="P496" s="866" t="n"/>
      <c r="Q496" s="651">
        <f>(G496 - (D496+H496+K496+L496+M496+O496) + (N496)) / G496</f>
        <v/>
      </c>
      <c r="R496" s="651" t="n"/>
      <c r="S496" s="1206" t="n"/>
      <c r="T496" s="904" t="n"/>
      <c r="U496" s="569" t="n"/>
      <c r="V496" s="1317" t="n"/>
    </row>
    <row r="497" ht="15.75" customHeight="1" s="1349">
      <c r="A497" s="1292" t="n"/>
      <c r="B497" s="904" t="n"/>
      <c r="C497" s="904" t="n"/>
      <c r="D497" s="1325" t="n"/>
      <c r="E497" s="1326">
        <f>G497+F497</f>
        <v/>
      </c>
      <c r="F497" s="1325">
        <f>G497*0.05</f>
        <v/>
      </c>
      <c r="G497" s="1312" t="n"/>
      <c r="H497" s="1301" t="n"/>
      <c r="I497" s="1321" t="n"/>
      <c r="J497" s="1322" t="n"/>
      <c r="K497" s="1318">
        <f>G497*18%</f>
        <v/>
      </c>
      <c r="L497" s="1318">
        <f>(G497-K497)*1.65%-(D497*1.65%)</f>
        <v/>
      </c>
      <c r="M497" s="1318" t="n"/>
      <c r="N497" s="863" t="n"/>
      <c r="O497" s="1320" t="n"/>
      <c r="P497" s="866" t="n"/>
      <c r="Q497" s="651">
        <f>(G497 - (D497+H497+K497+L497+M497+O497) + (N497)) / G497</f>
        <v/>
      </c>
      <c r="R497" s="651" t="n"/>
      <c r="S497" s="1206" t="n"/>
      <c r="T497" s="904" t="n"/>
      <c r="U497" s="569" t="n"/>
      <c r="V497" s="1317" t="n"/>
    </row>
    <row r="498" ht="15.75" customHeight="1" s="1349">
      <c r="A498" s="1292" t="n"/>
      <c r="B498" s="904" t="n"/>
      <c r="C498" s="904" t="n"/>
      <c r="D498" s="1325" t="n"/>
      <c r="E498" s="1326">
        <f>G498+F498</f>
        <v/>
      </c>
      <c r="F498" s="1325">
        <f>G498*0.05</f>
        <v/>
      </c>
      <c r="G498" s="1312" t="n"/>
      <c r="H498" s="1301" t="n"/>
      <c r="I498" s="1321" t="n"/>
      <c r="J498" s="1322" t="n"/>
      <c r="K498" s="1318">
        <f>G498*18%</f>
        <v/>
      </c>
      <c r="L498" s="1318">
        <f>(G498-K498)*1.65%-(D498*1.65%)</f>
        <v/>
      </c>
      <c r="M498" s="1318" t="n"/>
      <c r="N498" s="863" t="n"/>
      <c r="O498" s="1320" t="n"/>
      <c r="P498" s="866" t="n"/>
      <c r="Q498" s="651">
        <f>(G498 - (D498+H498+K498+L498+M498+O498) + (N498)) / G498</f>
        <v/>
      </c>
      <c r="R498" s="651" t="n"/>
      <c r="S498" s="1206" t="n"/>
      <c r="T498" s="904" t="n"/>
      <c r="U498" s="569" t="n"/>
      <c r="V498" s="1317" t="n"/>
    </row>
    <row r="499" ht="15.75" customHeight="1" s="1349">
      <c r="A499" s="1292" t="n"/>
      <c r="B499" s="904" t="n"/>
      <c r="C499" s="904" t="n"/>
      <c r="D499" s="1325" t="n"/>
      <c r="E499" s="1326">
        <f>G499+F499</f>
        <v/>
      </c>
      <c r="F499" s="1325">
        <f>G499*0.05</f>
        <v/>
      </c>
      <c r="G499" s="1312" t="n"/>
      <c r="H499" s="1301" t="n"/>
      <c r="I499" s="1321" t="n"/>
      <c r="J499" s="1322" t="n"/>
      <c r="K499" s="1318">
        <f>G499*18%</f>
        <v/>
      </c>
      <c r="L499" s="1318">
        <f>(G499-K499)*1.65%-(D499*1.65%)</f>
        <v/>
      </c>
      <c r="M499" s="1318" t="n"/>
      <c r="N499" s="863" t="n"/>
      <c r="O499" s="1320" t="n"/>
      <c r="P499" s="866" t="n"/>
      <c r="Q499" s="651">
        <f>(G499 - (D499+H499+K499+L499+M499+O499) + (N499)) / G499</f>
        <v/>
      </c>
      <c r="R499" s="651" t="n"/>
      <c r="S499" s="1206" t="n"/>
      <c r="T499" s="904" t="n"/>
      <c r="U499" s="569" t="n"/>
      <c r="V499" s="1317" t="n"/>
    </row>
    <row r="500" ht="15.75" customHeight="1" s="1349">
      <c r="A500" s="1292" t="n"/>
      <c r="B500" s="904" t="n"/>
      <c r="C500" s="904" t="n"/>
      <c r="D500" s="1325" t="n"/>
      <c r="E500" s="1326">
        <f>G500+F500</f>
        <v/>
      </c>
      <c r="F500" s="1325">
        <f>G500*0.05</f>
        <v/>
      </c>
      <c r="G500" s="1312" t="n"/>
      <c r="H500" s="1301" t="n"/>
      <c r="I500" s="1321" t="n"/>
      <c r="J500" s="1322" t="n"/>
      <c r="K500" s="1318">
        <f>G500*18%</f>
        <v/>
      </c>
      <c r="L500" s="1318">
        <f>(G500-K500)*1.65%-(D500*1.65%)</f>
        <v/>
      </c>
      <c r="M500" s="1318" t="n"/>
      <c r="N500" s="863" t="n"/>
      <c r="O500" s="1320" t="n"/>
      <c r="P500" s="866" t="n"/>
      <c r="Q500" s="651">
        <f>(G500 - (D500+H500+K500+L500+M500+O500) + (N500)) / G500</f>
        <v/>
      </c>
      <c r="R500" s="651" t="n"/>
      <c r="S500" s="1206" t="n"/>
      <c r="T500" s="904" t="n"/>
      <c r="U500" s="569" t="n"/>
      <c r="V500" s="1317" t="n"/>
    </row>
    <row r="501" ht="15.75" customHeight="1" s="1349">
      <c r="A501" s="1292" t="n"/>
      <c r="B501" s="904" t="n"/>
      <c r="C501" s="904" t="n"/>
      <c r="D501" s="1325" t="n"/>
      <c r="E501" s="1326">
        <f>G501+F501</f>
        <v/>
      </c>
      <c r="F501" s="1325">
        <f>G501*0.05</f>
        <v/>
      </c>
      <c r="G501" s="1312" t="n"/>
      <c r="H501" s="1301" t="n"/>
      <c r="I501" s="1321" t="n"/>
      <c r="J501" s="1322" t="n"/>
      <c r="K501" s="1318">
        <f>G501*18%</f>
        <v/>
      </c>
      <c r="L501" s="1318">
        <f>(G501-K501)*1.65%-(D501*1.65%)</f>
        <v/>
      </c>
      <c r="M501" s="1318" t="n"/>
      <c r="N501" s="863" t="n"/>
      <c r="O501" s="1320" t="n"/>
      <c r="P501" s="866" t="n"/>
      <c r="Q501" s="651">
        <f>(G501 - (D501+H501+K501+L501+M501+O501) + (N501)) / G501</f>
        <v/>
      </c>
      <c r="R501" s="651" t="n"/>
      <c r="S501" s="1206" t="n"/>
      <c r="T501" s="904" t="n"/>
      <c r="U501" s="569" t="n"/>
      <c r="V501" s="1317" t="n"/>
    </row>
    <row r="502" ht="15.75" customHeight="1" s="1349">
      <c r="A502" s="1292" t="n"/>
      <c r="B502" s="904" t="n"/>
      <c r="C502" s="904" t="n"/>
      <c r="D502" s="1325" t="n"/>
      <c r="E502" s="1326">
        <f>G502+F502</f>
        <v/>
      </c>
      <c r="F502" s="1325">
        <f>G502*0.05</f>
        <v/>
      </c>
      <c r="G502" s="1312" t="n"/>
      <c r="H502" s="1301" t="n"/>
      <c r="I502" s="1321" t="n"/>
      <c r="J502" s="1322" t="n"/>
      <c r="K502" s="1318">
        <f>G502*18%</f>
        <v/>
      </c>
      <c r="L502" s="1318">
        <f>(G502-K502)*1.65%-(D502*1.65%)</f>
        <v/>
      </c>
      <c r="M502" s="1318" t="n"/>
      <c r="N502" s="863" t="n"/>
      <c r="O502" s="1320" t="n"/>
      <c r="P502" s="866" t="n"/>
      <c r="Q502" s="651">
        <f>(G502 - (D502+H502+K502+L502+M502+O502) + (N502)) / G502</f>
        <v/>
      </c>
      <c r="R502" s="651" t="n"/>
      <c r="S502" s="1206" t="n"/>
      <c r="T502" s="904" t="n"/>
      <c r="U502" s="569" t="n"/>
      <c r="V502" s="1317" t="n"/>
    </row>
    <row r="503" ht="15.75" customHeight="1" s="1349">
      <c r="A503" s="1292" t="n"/>
      <c r="B503" s="904" t="n"/>
      <c r="C503" s="904" t="n"/>
      <c r="D503" s="1325" t="n"/>
      <c r="E503" s="1326">
        <f>G503+F503</f>
        <v/>
      </c>
      <c r="F503" s="1325">
        <f>G503*0.05</f>
        <v/>
      </c>
      <c r="G503" s="1312" t="n"/>
      <c r="H503" s="1301" t="n"/>
      <c r="I503" s="1321" t="n"/>
      <c r="J503" s="1322" t="n"/>
      <c r="K503" s="1318">
        <f>G503*18%</f>
        <v/>
      </c>
      <c r="L503" s="1318">
        <f>(G503-K503)*1.65%-(D503*1.65%)</f>
        <v/>
      </c>
      <c r="M503" s="1318" t="n"/>
      <c r="N503" s="863" t="n"/>
      <c r="O503" s="1320" t="n"/>
      <c r="P503" s="866" t="n"/>
      <c r="Q503" s="651">
        <f>(G503 - (D503+H503+K503+L503+M503+O503) + (N503)) / G503</f>
        <v/>
      </c>
      <c r="R503" s="651" t="n"/>
      <c r="S503" s="1206" t="n"/>
      <c r="T503" s="904" t="n"/>
      <c r="U503" s="569" t="n"/>
      <c r="V503" s="1317" t="n"/>
    </row>
    <row r="504" ht="15.75" customHeight="1" s="1349">
      <c r="A504" s="1292" t="n"/>
      <c r="B504" s="904" t="n"/>
      <c r="C504" s="904" t="n"/>
      <c r="D504" s="1325" t="n"/>
      <c r="E504" s="1326">
        <f>G504+F504</f>
        <v/>
      </c>
      <c r="F504" s="1325">
        <f>G504*0.05</f>
        <v/>
      </c>
      <c r="G504" s="1312" t="n"/>
      <c r="H504" s="1301" t="n"/>
      <c r="I504" s="1321" t="n"/>
      <c r="J504" s="1322" t="n"/>
      <c r="K504" s="1318">
        <f>G504*18%</f>
        <v/>
      </c>
      <c r="L504" s="1318">
        <f>(G504-K504)*1.65%-(D504*1.65%)</f>
        <v/>
      </c>
      <c r="M504" s="1318" t="n"/>
      <c r="N504" s="863" t="n"/>
      <c r="O504" s="1320" t="n"/>
      <c r="P504" s="866" t="n"/>
      <c r="Q504" s="651">
        <f>(G504 - (D504+H504+K504+L504+M504+O504) + (N504)) / G504</f>
        <v/>
      </c>
      <c r="R504" s="651" t="n"/>
      <c r="S504" s="1206" t="n"/>
      <c r="T504" s="904" t="n"/>
      <c r="U504" s="569" t="n"/>
      <c r="V504" s="1317" t="n"/>
    </row>
    <row r="505" ht="15.75" customHeight="1" s="1349">
      <c r="A505" s="1292" t="n"/>
      <c r="B505" s="904" t="n"/>
      <c r="C505" s="904" t="n"/>
      <c r="D505" s="1325" t="n"/>
      <c r="E505" s="1326">
        <f>G505+F505</f>
        <v/>
      </c>
      <c r="F505" s="1325">
        <f>G505*0.05</f>
        <v/>
      </c>
      <c r="G505" s="1312" t="n"/>
      <c r="H505" s="1301" t="n"/>
      <c r="I505" s="1321" t="n"/>
      <c r="J505" s="1322" t="n"/>
      <c r="K505" s="1318">
        <f>G505*18%</f>
        <v/>
      </c>
      <c r="L505" s="1318">
        <f>(G505-K505)*1.65%-(D505*1.65%)</f>
        <v/>
      </c>
      <c r="M505" s="1318" t="n"/>
      <c r="N505" s="863" t="n"/>
      <c r="O505" s="1320" t="n"/>
      <c r="P505" s="866" t="n"/>
      <c r="Q505" s="651">
        <f>(G505 - (D505+H505+K505+L505+M505+O505) + (N505)) / G505</f>
        <v/>
      </c>
      <c r="R505" s="651" t="n"/>
      <c r="S505" s="1206" t="n"/>
      <c r="T505" s="904" t="n"/>
      <c r="U505" s="569" t="n"/>
      <c r="V505" s="1317" t="n"/>
    </row>
    <row r="506" ht="15.75" customHeight="1" s="1349">
      <c r="A506" s="1292" t="n"/>
      <c r="B506" s="904" t="n"/>
      <c r="C506" s="904" t="n"/>
      <c r="D506" s="1325" t="n"/>
      <c r="E506" s="1326">
        <f>G506+F506</f>
        <v/>
      </c>
      <c r="F506" s="1325">
        <f>G506*0.05</f>
        <v/>
      </c>
      <c r="G506" s="1312" t="n"/>
      <c r="H506" s="1301" t="n"/>
      <c r="I506" s="1321" t="n"/>
      <c r="J506" s="1322" t="n"/>
      <c r="K506" s="1318">
        <f>G506*18%</f>
        <v/>
      </c>
      <c r="L506" s="1318">
        <f>(G506-K506)*1.65%-(D506*1.65%)</f>
        <v/>
      </c>
      <c r="M506" s="1318" t="n"/>
      <c r="N506" s="863" t="n"/>
      <c r="O506" s="1320" t="n"/>
      <c r="P506" s="866" t="n"/>
      <c r="Q506" s="651">
        <f>(G506 - (D506+H506+K506+L506+M506+O506) + (N506)) / G506</f>
        <v/>
      </c>
      <c r="R506" s="651" t="n"/>
      <c r="S506" s="1206" t="n"/>
      <c r="T506" s="904" t="n"/>
      <c r="U506" s="569" t="n"/>
      <c r="V506" s="1317" t="n"/>
    </row>
    <row r="507" ht="15.75" customHeight="1" s="1349">
      <c r="A507" s="1292" t="n"/>
      <c r="B507" s="904" t="n"/>
      <c r="C507" s="904" t="n"/>
      <c r="D507" s="1325" t="n"/>
      <c r="E507" s="1326">
        <f>G507+F507</f>
        <v/>
      </c>
      <c r="F507" s="1325">
        <f>G507*0.05</f>
        <v/>
      </c>
      <c r="G507" s="1312" t="n"/>
      <c r="H507" s="1301" t="n"/>
      <c r="I507" s="1321" t="n"/>
      <c r="J507" s="1322" t="n"/>
      <c r="K507" s="1318">
        <f>G507*18%</f>
        <v/>
      </c>
      <c r="L507" s="1318">
        <f>(G507-K507)*1.65%-(D507*1.65%)</f>
        <v/>
      </c>
      <c r="M507" s="1318" t="n"/>
      <c r="N507" s="863" t="n"/>
      <c r="O507" s="1320" t="n"/>
      <c r="P507" s="866" t="n"/>
      <c r="Q507" s="651">
        <f>(G507 - (D507+H507+K507+L507+M507+O507) + (N507)) / G507</f>
        <v/>
      </c>
      <c r="R507" s="651" t="n"/>
      <c r="S507" s="1206" t="n"/>
      <c r="T507" s="904" t="n"/>
      <c r="U507" s="569" t="n"/>
      <c r="V507" s="1317" t="n"/>
    </row>
    <row r="508" ht="15.75" customHeight="1" s="1349">
      <c r="A508" s="1292" t="n"/>
      <c r="B508" s="904" t="n"/>
      <c r="C508" s="904" t="n"/>
      <c r="D508" s="1325" t="n"/>
      <c r="E508" s="1326">
        <f>G508+F508</f>
        <v/>
      </c>
      <c r="F508" s="1325">
        <f>G508*0.05</f>
        <v/>
      </c>
      <c r="G508" s="1312" t="n"/>
      <c r="H508" s="1301" t="n"/>
      <c r="I508" s="1321" t="n"/>
      <c r="J508" s="1322" t="n"/>
      <c r="K508" s="1318">
        <f>G508*18%</f>
        <v/>
      </c>
      <c r="L508" s="1318">
        <f>(G508-K508)*1.65%-(D508*1.65%)</f>
        <v/>
      </c>
      <c r="M508" s="1318" t="n"/>
      <c r="N508" s="863" t="n"/>
      <c r="O508" s="1320" t="n"/>
      <c r="P508" s="866" t="n"/>
      <c r="Q508" s="651">
        <f>(G508 - (D508+H508+K508+L508+M508+O508) + (N508)) / G508</f>
        <v/>
      </c>
      <c r="R508" s="651" t="n"/>
      <c r="S508" s="1206" t="n"/>
      <c r="T508" s="904" t="n"/>
      <c r="U508" s="569" t="n"/>
      <c r="V508" s="1317" t="n"/>
    </row>
    <row r="509" ht="15.75" customHeight="1" s="1349">
      <c r="A509" s="1292" t="n"/>
      <c r="B509" s="904" t="n"/>
      <c r="C509" s="904" t="n"/>
      <c r="D509" s="1325" t="n"/>
      <c r="E509" s="1326">
        <f>G509+F509</f>
        <v/>
      </c>
      <c r="F509" s="1325">
        <f>G509*0.05</f>
        <v/>
      </c>
      <c r="G509" s="1312" t="n"/>
      <c r="H509" s="1301" t="n"/>
      <c r="I509" s="1321" t="n"/>
      <c r="J509" s="1322" t="n"/>
      <c r="K509" s="1318">
        <f>G509*18%</f>
        <v/>
      </c>
      <c r="L509" s="1318">
        <f>(G509-K509)*1.65%-(D509*1.65%)</f>
        <v/>
      </c>
      <c r="M509" s="1318" t="n"/>
      <c r="N509" s="863" t="n"/>
      <c r="O509" s="1320" t="n"/>
      <c r="P509" s="866" t="n"/>
      <c r="Q509" s="651">
        <f>(G509 - (D509+H509+K509+L509+M509+O509) + (N509)) / G509</f>
        <v/>
      </c>
      <c r="R509" s="651" t="n"/>
      <c r="S509" s="1206" t="n"/>
      <c r="T509" s="904" t="n"/>
      <c r="U509" s="569" t="n"/>
      <c r="V509" s="1317" t="n"/>
    </row>
    <row r="510" ht="15.75" customHeight="1" s="1349">
      <c r="A510" s="1292" t="n"/>
      <c r="B510" s="904" t="n"/>
      <c r="C510" s="904" t="n"/>
      <c r="D510" s="1325" t="n"/>
      <c r="E510" s="1326">
        <f>G510+F510</f>
        <v/>
      </c>
      <c r="F510" s="1325">
        <f>G510*0.05</f>
        <v/>
      </c>
      <c r="G510" s="1312" t="n"/>
      <c r="H510" s="1301" t="n"/>
      <c r="I510" s="1321" t="n"/>
      <c r="J510" s="1322" t="n"/>
      <c r="K510" s="1318">
        <f>G510*18%</f>
        <v/>
      </c>
      <c r="L510" s="1318">
        <f>(G510-K510)*1.65%-(D510*1.65%)</f>
        <v/>
      </c>
      <c r="M510" s="1318" t="n"/>
      <c r="N510" s="863" t="n"/>
      <c r="O510" s="1320" t="n"/>
      <c r="P510" s="866" t="n"/>
      <c r="Q510" s="651">
        <f>(G510 - (D510+H510+K510+L510+M510+O510) + (N510)) / G510</f>
        <v/>
      </c>
      <c r="R510" s="651" t="n"/>
      <c r="S510" s="1206" t="n"/>
      <c r="T510" s="904" t="n"/>
      <c r="U510" s="569" t="n"/>
      <c r="V510" s="1317" t="n"/>
    </row>
  </sheetData>
  <conditionalFormatting sqref="O58:O60">
    <cfRule type="expression" priority="1" dxfId="5">
      <formula>$R58="sem estoque"</formula>
    </cfRule>
  </conditionalFormatting>
  <conditionalFormatting sqref="N6:O6 O58:O60">
    <cfRule type="expression" priority="2" dxfId="9">
      <formula>$R6="Estoque encalhado"</formula>
    </cfRule>
  </conditionalFormatting>
  <conditionalFormatting sqref="N6:O6">
    <cfRule type="expression" priority="3" dxfId="8">
      <formula>$R6="Sem Estoque"</formula>
    </cfRule>
  </conditionalFormatting>
  <conditionalFormatting sqref="Q2:R510">
    <cfRule type="cellIs" priority="4" operator="greaterThan" dxfId="7">
      <formula>"10%"</formula>
    </cfRule>
    <cfRule type="cellIs" priority="5" operator="lessThan" dxfId="12">
      <formula>9.99%</formula>
    </cfRule>
  </conditionalFormatting>
  <dataValidations count="5">
    <dataValidation sqref="B2:B510" showDropDown="0" showInputMessage="0" showErrorMessage="0" allowBlank="1" type="list">
      <formula1>"EPI,EPC,ÂNCORA,MARLUVAS,VOLK,Bracol,Camper,Delta plus,GERDAU,Vonder,FRESAL,MUCAMBO,Carbografite,Irwin,Danny,Plastcor,Nutriex,Avant,Vinilseg,TekBond,Calfor,Innpro,Koretech,Atlas,Outros,Walsywa,Kalipso,Jomarca,Norton,Toralf,Bosch"</formula1>
    </dataValidation>
    <dataValidation sqref="J2:J510" showDropDown="1" showInputMessage="0" showErrorMessage="0" allowBlank="1" type="custom">
      <formula1>AND(ISNUMBER(J2),(NOT(OR(NOT(ISERROR(DATEVALUE(J2))), AND(ISNUMBER(J2), LEFT(CELL("format", J2))="D")))))</formula1>
    </dataValidation>
    <dataValidation sqref="S2:S510" showDropDown="0" showInputMessage="0" showErrorMessage="0" allowBlank="1" type="list">
      <formula1>"Ativo,Desativado,Ajustar Envio,sem estoque,Valor será corrigido após venda"</formula1>
    </dataValidation>
    <dataValidation sqref="D2:D510 G2:I510 M2:R510 U2:U510" showDropDown="1" showInputMessage="0" showErrorMessage="0" allowBlank="1" type="custom">
      <formula1>AND(ISNUMBER(D2),(NOT(OR(NOT(ISERROR(DATEVALUE(D2))), AND(ISNUMBER(D2), LEFT(CELL("format", D2))="D")))))</formula1>
    </dataValidation>
    <dataValidation sqref="V2:V510" showDropDown="1" showInputMessage="0" showErrorMessage="0" allowBlank="1"/>
  </dataValidations>
  <pageMargins left="0.25" right="0.25" top="0.75" bottom="0.75" header="0" footer="0"/>
  <pageSetup orientation="landscape" paperSize="9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1349" min="1" max="1"/>
    <col width="42.22" customWidth="1" style="1349" min="2" max="2"/>
    <col width="16.89" customWidth="1" style="1349" min="3" max="3"/>
    <col width="14.44" customWidth="1" style="1349" min="4" max="4"/>
    <col width="14" customWidth="1" style="1349" min="5" max="5"/>
    <col width="10.56" customWidth="1" style="1349" min="6" max="26"/>
  </cols>
  <sheetData>
    <row r="1" ht="15.75" customHeight="1" s="1349">
      <c r="A1" s="1329" t="inlineStr">
        <is>
          <t>revisão</t>
        </is>
      </c>
      <c r="C1" s="1330" t="n"/>
      <c r="D1" s="1331" t="n"/>
      <c r="E1" s="1332" t="n"/>
    </row>
    <row r="2" ht="15.75" customHeight="1" s="1349">
      <c r="A2" s="1329" t="inlineStr">
        <is>
          <t>revisao</t>
        </is>
      </c>
      <c r="B2" s="1333" t="inlineStr">
        <is>
          <t>item</t>
        </is>
      </c>
      <c r="C2" s="1334" t="inlineStr">
        <is>
          <t>sugestão envio</t>
        </is>
      </c>
      <c r="D2" s="1335" t="inlineStr">
        <is>
          <t>situação</t>
        </is>
      </c>
      <c r="E2" s="1332" t="n"/>
    </row>
    <row r="3" ht="15.75" customHeight="1" s="1349">
      <c r="A3" s="1336" t="n">
        <v>46142</v>
      </c>
      <c r="B3" s="1337" t="inlineStr">
        <is>
          <t>plug auricular camper</t>
        </is>
      </c>
      <c r="C3" s="1339" t="n">
        <v>100</v>
      </c>
      <c r="D3" s="1206" t="inlineStr">
        <is>
          <t>Esgotado</t>
        </is>
      </c>
      <c r="E3" s="1332" t="n"/>
    </row>
    <row r="4" ht="15.75" customHeight="1" s="1349">
      <c r="A4" s="1336" t="n"/>
      <c r="B4" s="1206" t="inlineStr">
        <is>
          <t>luva nitril full G</t>
        </is>
      </c>
      <c r="C4" s="1339" t="n">
        <v>10</v>
      </c>
      <c r="D4" s="1206" t="inlineStr">
        <is>
          <t>Esgotado</t>
        </is>
      </c>
      <c r="E4" s="1332" t="n"/>
    </row>
    <row r="5" ht="15.75" customHeight="1" s="1349">
      <c r="B5" s="1337" t="inlineStr">
        <is>
          <t>luva bicolor G</t>
        </is>
      </c>
      <c r="C5" s="1339" t="n">
        <v>10</v>
      </c>
      <c r="D5" s="1206" t="inlineStr">
        <is>
          <t>Esgotado</t>
        </is>
      </c>
      <c r="E5" s="1332" t="n"/>
    </row>
    <row r="6" ht="15.75" customHeight="1" s="1349">
      <c r="B6" s="1337" t="inlineStr">
        <is>
          <t>spray prime fundo</t>
        </is>
      </c>
      <c r="C6" s="1339" t="n">
        <v>3</v>
      </c>
      <c r="D6" s="1206" t="inlineStr">
        <is>
          <t>Esgotado</t>
        </is>
      </c>
      <c r="E6" s="1332" t="n"/>
    </row>
    <row r="7" ht="15.75" customHeight="1" s="1349">
      <c r="B7" s="1206" t="inlineStr">
        <is>
          <t>dimanod cinza, branco, preto</t>
        </is>
      </c>
      <c r="C7" s="1339" t="n">
        <v>4</v>
      </c>
      <c r="D7" s="1206" t="inlineStr">
        <is>
          <t>Esgotado</t>
        </is>
      </c>
      <c r="E7" s="1332" t="n"/>
    </row>
    <row r="8" ht="15.75" customHeight="1" s="1349">
      <c r="B8" s="1206" t="inlineStr">
        <is>
          <t>expert total 200ml</t>
        </is>
      </c>
      <c r="C8" s="1339" t="n">
        <v>10</v>
      </c>
      <c r="D8" s="1206" t="inlineStr">
        <is>
          <t>Esgotado</t>
        </is>
      </c>
    </row>
    <row r="9" ht="15.75" customHeight="1" s="1349">
      <c r="B9" s="1206" t="inlineStr">
        <is>
          <t>abafador c200 acoplar</t>
        </is>
      </c>
      <c r="C9" s="1339" t="n">
        <v>10</v>
      </c>
      <c r="D9" s="1206" t="inlineStr">
        <is>
          <t>Esgotado</t>
        </is>
      </c>
    </row>
    <row r="10" ht="15.75" customHeight="1" s="1349">
      <c r="D10" s="1206" t="n"/>
    </row>
    <row r="11" ht="15.75" customHeight="1" s="1349">
      <c r="D11" s="1206" t="n"/>
    </row>
    <row r="12" ht="15.75" customHeight="1" s="1349">
      <c r="D12" s="1206" t="n"/>
    </row>
    <row r="13" ht="15.75" customHeight="1" s="1349">
      <c r="D13" s="1206" t="n"/>
    </row>
    <row r="14" ht="15.75" customHeight="1" s="1349">
      <c r="D14" s="1206" t="n"/>
    </row>
    <row r="15" ht="15.75" customHeight="1" s="1349">
      <c r="C15" s="1339" t="n"/>
      <c r="D15" s="1206" t="n"/>
    </row>
    <row r="16" ht="15.75" customHeight="1" s="1349">
      <c r="C16" s="1339" t="n"/>
      <c r="D16" s="1206" t="n"/>
    </row>
    <row r="17" ht="15.75" customHeight="1" s="1349">
      <c r="C17" s="1339" t="n"/>
      <c r="D17" s="1206" t="n"/>
    </row>
    <row r="18" ht="15.75" customHeight="1" s="1349">
      <c r="C18" s="1339" t="n"/>
      <c r="D18" s="1206" t="n"/>
    </row>
    <row r="19" ht="15.75" customHeight="1" s="1349">
      <c r="C19" s="1339" t="n"/>
      <c r="D19" s="1206" t="n"/>
    </row>
    <row r="20" ht="15.75" customHeight="1" s="1349">
      <c r="C20" s="1339" t="n"/>
      <c r="D20" s="1206" t="n"/>
    </row>
    <row r="21" ht="15.75" customHeight="1" s="1349">
      <c r="C21" s="1339" t="n"/>
      <c r="D21" s="1206" t="n"/>
    </row>
    <row r="22" ht="15.75" customHeight="1" s="1349">
      <c r="C22" s="1339" t="n"/>
      <c r="D22" s="1206" t="n"/>
    </row>
    <row r="23" ht="15.75" customHeight="1" s="1349">
      <c r="C23" s="1339" t="n"/>
      <c r="D23" s="1206" t="n"/>
    </row>
    <row r="24" ht="15.75" customHeight="1" s="1349">
      <c r="C24" s="1339" t="n"/>
      <c r="D24" s="1206" t="n"/>
    </row>
    <row r="25" ht="15.75" customHeight="1" s="1349">
      <c r="C25" s="1339" t="n"/>
      <c r="D25" s="1206" t="n"/>
    </row>
    <row r="26" ht="15.75" customHeight="1" s="1349">
      <c r="C26" s="1339" t="n"/>
      <c r="D26" s="1206" t="n"/>
    </row>
    <row r="27" ht="15.75" customHeight="1" s="1349">
      <c r="C27" s="1339" t="n"/>
      <c r="D27" s="1206" t="n"/>
    </row>
    <row r="28" ht="15.75" customHeight="1" s="1349">
      <c r="C28" s="1339" t="n"/>
      <c r="D28" s="1206" t="n"/>
    </row>
    <row r="29" ht="15.75" customHeight="1" s="1349">
      <c r="C29" s="1339" t="n"/>
      <c r="D29" s="1206" t="n"/>
    </row>
    <row r="30" ht="15.75" customHeight="1" s="1349">
      <c r="C30" s="1339" t="n"/>
      <c r="D30" s="1206" t="n"/>
    </row>
    <row r="31" ht="15.75" customHeight="1" s="1349">
      <c r="C31" s="1339" t="n"/>
      <c r="D31" s="1206" t="n"/>
    </row>
    <row r="32" ht="15.75" customHeight="1" s="1349">
      <c r="C32" s="1339" t="n"/>
      <c r="D32" s="1206" t="n"/>
    </row>
    <row r="33" ht="15.75" customHeight="1" s="1349">
      <c r="C33" s="1339" t="n"/>
      <c r="D33" s="1206" t="n"/>
    </row>
    <row r="34" ht="15.75" customHeight="1" s="1349">
      <c r="C34" s="1339" t="n"/>
      <c r="D34" s="1206" t="n"/>
    </row>
    <row r="35" ht="15.75" customHeight="1" s="1349">
      <c r="C35" s="1339" t="n"/>
      <c r="D35" s="1206" t="n"/>
    </row>
    <row r="36" ht="15.75" customHeight="1" s="1349">
      <c r="C36" s="1339" t="n"/>
      <c r="D36" s="1206" t="n"/>
    </row>
    <row r="37" ht="15.75" customHeight="1" s="1349">
      <c r="C37" s="1339" t="n"/>
      <c r="D37" s="1206" t="n"/>
    </row>
    <row r="38" ht="15.75" customHeight="1" s="1349">
      <c r="C38" s="1339" t="n"/>
      <c r="D38" s="1206" t="n"/>
    </row>
    <row r="39" ht="15.75" customHeight="1" s="1349">
      <c r="C39" s="1339" t="n"/>
      <c r="D39" s="1206" t="n"/>
    </row>
    <row r="40" ht="15.75" customHeight="1" s="1349">
      <c r="C40" s="1339" t="n"/>
      <c r="D40" s="1206" t="n"/>
    </row>
    <row r="41" ht="15.75" customHeight="1" s="1349">
      <c r="C41" s="1339" t="n"/>
      <c r="D41" s="1206" t="n"/>
    </row>
    <row r="42" ht="15.75" customHeight="1" s="1349">
      <c r="C42" s="1339" t="n"/>
      <c r="D42" s="1206" t="n"/>
    </row>
    <row r="43" ht="15.75" customHeight="1" s="1349">
      <c r="C43" s="1339" t="n"/>
      <c r="D43" s="1206" t="n"/>
    </row>
    <row r="44" ht="15.75" customHeight="1" s="1349">
      <c r="C44" s="1339" t="n"/>
      <c r="D44" s="1206" t="n"/>
    </row>
    <row r="45" ht="15.75" customHeight="1" s="1349">
      <c r="C45" s="1339" t="n"/>
      <c r="D45" s="1206" t="n"/>
    </row>
    <row r="46" ht="15.75" customHeight="1" s="1349">
      <c r="C46" s="1339" t="n"/>
      <c r="D46" s="1206" t="n"/>
    </row>
    <row r="47" ht="15.75" customHeight="1" s="1349">
      <c r="C47" s="1339" t="n"/>
      <c r="D47" s="1206" t="n"/>
    </row>
    <row r="48" ht="15.75" customHeight="1" s="1349">
      <c r="C48" s="1339" t="n"/>
      <c r="D48" s="1206" t="n"/>
    </row>
    <row r="49" ht="15.75" customHeight="1" s="1349">
      <c r="C49" s="1339" t="n"/>
      <c r="D49" s="1206" t="n"/>
    </row>
    <row r="50" ht="15.75" customHeight="1" s="1349">
      <c r="C50" s="1339" t="n"/>
      <c r="D50" s="1206" t="n"/>
    </row>
    <row r="51" ht="15.75" customHeight="1" s="1349">
      <c r="C51" s="1339" t="n"/>
      <c r="D51" s="1206" t="n"/>
    </row>
    <row r="52" ht="15.75" customHeight="1" s="1349">
      <c r="C52" s="1339" t="n"/>
      <c r="D52" s="1206" t="n"/>
    </row>
    <row r="53" ht="15.75" customHeight="1" s="1349">
      <c r="C53" s="1339" t="n"/>
      <c r="D53" s="1206" t="n"/>
    </row>
    <row r="54" ht="15.75" customHeight="1" s="1349">
      <c r="C54" s="1339" t="n"/>
      <c r="D54" s="1206" t="n"/>
    </row>
    <row r="55" ht="15.75" customHeight="1" s="1349">
      <c r="C55" s="1339" t="n"/>
      <c r="D55" s="1206" t="n"/>
    </row>
    <row r="56" ht="15.75" customHeight="1" s="1349">
      <c r="C56" s="1339" t="n"/>
      <c r="D56" s="1206" t="n"/>
    </row>
    <row r="57" ht="15.75" customHeight="1" s="1349">
      <c r="C57" s="1339" t="n"/>
      <c r="D57" s="1206" t="n"/>
    </row>
    <row r="58" ht="15.75" customHeight="1" s="1349">
      <c r="C58" s="1339" t="n"/>
      <c r="D58" s="1206" t="n"/>
    </row>
    <row r="59" ht="15.75" customHeight="1" s="1349">
      <c r="C59" s="1339" t="n"/>
      <c r="D59" s="1206" t="n"/>
    </row>
    <row r="60" ht="15.75" customHeight="1" s="1349">
      <c r="C60" s="1339" t="n"/>
      <c r="D60" s="1206" t="n"/>
    </row>
    <row r="61" ht="15.75" customHeight="1" s="1349">
      <c r="C61" s="1339" t="n"/>
      <c r="D61" s="1206" t="n"/>
    </row>
    <row r="62" ht="15.75" customHeight="1" s="1349">
      <c r="C62" s="1339" t="n"/>
      <c r="D62" s="1206" t="n"/>
    </row>
    <row r="63" ht="15.75" customHeight="1" s="1349">
      <c r="C63" s="1339" t="n"/>
      <c r="D63" s="1206" t="n"/>
    </row>
    <row r="64" ht="15.75" customHeight="1" s="1349">
      <c r="C64" s="1339" t="n"/>
      <c r="D64" s="1206" t="n"/>
    </row>
    <row r="65" ht="15.75" customHeight="1" s="1349">
      <c r="C65" s="1339" t="n"/>
      <c r="D65" s="1206" t="n"/>
    </row>
    <row r="66" ht="15.75" customHeight="1" s="1349">
      <c r="C66" s="1339" t="n"/>
      <c r="D66" s="1206" t="n"/>
    </row>
    <row r="67" ht="15.75" customHeight="1" s="1349">
      <c r="C67" s="1339" t="n"/>
      <c r="D67" s="1206" t="n"/>
    </row>
    <row r="68" ht="15.75" customHeight="1" s="1349">
      <c r="C68" s="1339" t="n"/>
      <c r="D68" s="1206" t="n"/>
    </row>
    <row r="69" ht="15.75" customHeight="1" s="1349">
      <c r="C69" s="1339" t="n"/>
      <c r="D69" s="1206" t="n"/>
    </row>
    <row r="70" ht="15.75" customHeight="1" s="1349">
      <c r="C70" s="1339" t="n"/>
      <c r="D70" s="1206" t="n"/>
    </row>
    <row r="71" ht="15.75" customHeight="1" s="1349">
      <c r="C71" s="1339" t="n"/>
      <c r="D71" s="1206" t="n"/>
    </row>
    <row r="72" ht="15.75" customHeight="1" s="1349">
      <c r="C72" s="1339" t="n"/>
      <c r="D72" s="1206" t="n"/>
    </row>
    <row r="73" ht="15.75" customHeight="1" s="1349">
      <c r="C73" s="1339" t="n"/>
      <c r="D73" s="1206" t="n"/>
    </row>
    <row r="74" ht="15.75" customHeight="1" s="1349">
      <c r="C74" s="1339" t="n"/>
      <c r="D74" s="1206" t="n"/>
    </row>
    <row r="75" ht="15.75" customHeight="1" s="1349">
      <c r="C75" s="1339" t="n"/>
      <c r="D75" s="1206" t="n"/>
    </row>
    <row r="76" ht="15.75" customHeight="1" s="1349">
      <c r="C76" s="1339" t="n"/>
      <c r="D76" s="1206" t="n"/>
    </row>
    <row r="77" ht="15.75" customHeight="1" s="1349">
      <c r="C77" s="1339" t="n"/>
      <c r="D77" s="1206" t="n"/>
    </row>
    <row r="78" ht="15.75" customHeight="1" s="1349">
      <c r="C78" s="1339" t="n"/>
      <c r="D78" s="1206" t="n"/>
    </row>
    <row r="79" ht="15.75" customHeight="1" s="1349">
      <c r="C79" s="1339" t="n"/>
      <c r="D79" s="1206" t="n"/>
    </row>
    <row r="80" ht="15.75" customHeight="1" s="1349">
      <c r="C80" s="1339" t="n"/>
      <c r="D80" s="1206" t="n"/>
    </row>
    <row r="81" ht="15.75" customHeight="1" s="1349">
      <c r="C81" s="1339" t="n"/>
      <c r="D81" s="1206" t="n"/>
    </row>
    <row r="82" ht="15.75" customHeight="1" s="1349">
      <c r="C82" s="1339" t="n"/>
      <c r="D82" s="1206" t="n"/>
    </row>
    <row r="83" ht="15.75" customHeight="1" s="1349">
      <c r="C83" s="1339" t="n"/>
      <c r="D83" s="1206" t="n"/>
    </row>
    <row r="84" ht="15.75" customHeight="1" s="1349">
      <c r="C84" s="1339" t="n"/>
      <c r="D84" s="1206" t="n"/>
    </row>
    <row r="85" ht="15.75" customHeight="1" s="1349">
      <c r="C85" s="1339" t="n"/>
      <c r="D85" s="1206" t="n"/>
    </row>
    <row r="86" ht="15.75" customHeight="1" s="1349">
      <c r="C86" s="1339" t="n"/>
      <c r="D86" s="1206" t="n"/>
    </row>
    <row r="87" ht="15.75" customHeight="1" s="1349">
      <c r="C87" s="1339" t="n"/>
      <c r="D87" s="1206" t="n"/>
    </row>
    <row r="88" ht="15.75" customHeight="1" s="1349">
      <c r="C88" s="1339" t="n"/>
      <c r="D88" s="1206" t="n"/>
    </row>
    <row r="89" ht="15.75" customHeight="1" s="1349">
      <c r="C89" s="1339" t="n"/>
      <c r="D89" s="1206" t="n"/>
    </row>
    <row r="90" ht="15.75" customHeight="1" s="1349">
      <c r="C90" s="1339" t="n"/>
      <c r="D90" s="1206" t="n"/>
    </row>
    <row r="91" ht="15.75" customHeight="1" s="1349">
      <c r="C91" s="1339" t="n"/>
      <c r="D91" s="1206" t="n"/>
    </row>
    <row r="92" ht="15.75" customHeight="1" s="1349">
      <c r="C92" s="1339" t="n"/>
      <c r="D92" s="1206" t="n"/>
    </row>
    <row r="93" ht="15.75" customHeight="1" s="1349">
      <c r="C93" s="1340" t="n"/>
    </row>
    <row r="94" ht="15.75" customHeight="1" s="1349">
      <c r="C94" s="1340" t="n"/>
    </row>
    <row r="95" ht="15.75" customHeight="1" s="1349">
      <c r="C95" s="1340" t="n"/>
    </row>
    <row r="96" ht="15.75" customHeight="1" s="1349">
      <c r="C96" s="1340" t="n"/>
    </row>
    <row r="97" ht="15.75" customHeight="1" s="1349">
      <c r="C97" s="1340" t="n"/>
    </row>
    <row r="98" ht="15.75" customHeight="1" s="1349">
      <c r="C98" s="1340" t="n"/>
    </row>
    <row r="99" ht="15.75" customHeight="1" s="1349">
      <c r="C99" s="1340" t="n"/>
    </row>
    <row r="100" ht="15.75" customHeight="1" s="1349">
      <c r="C100" s="1340" t="n"/>
    </row>
    <row r="101" ht="15.75" customHeight="1" s="1349">
      <c r="C101" s="1340" t="n"/>
    </row>
    <row r="102" ht="15.75" customHeight="1" s="1349">
      <c r="C102" s="1340" t="n"/>
    </row>
    <row r="103" ht="15.75" customHeight="1" s="1349">
      <c r="C103" s="1340" t="n"/>
    </row>
    <row r="104" ht="15.75" customHeight="1" s="1349">
      <c r="C104" s="1340" t="n"/>
    </row>
    <row r="105" ht="15.75" customHeight="1" s="1349">
      <c r="C105" s="1340" t="n"/>
    </row>
    <row r="106" ht="15.75" customHeight="1" s="1349">
      <c r="C106" s="1340" t="n"/>
    </row>
    <row r="107" ht="15.75" customHeight="1" s="1349">
      <c r="C107" s="1340" t="n"/>
    </row>
    <row r="108" ht="15.75" customHeight="1" s="1349">
      <c r="C108" s="1340" t="n"/>
    </row>
    <row r="109" ht="15.75" customHeight="1" s="1349">
      <c r="C109" s="1340" t="n"/>
    </row>
    <row r="110" ht="15.75" customHeight="1" s="1349">
      <c r="C110" s="1340" t="n"/>
    </row>
    <row r="111" ht="15.75" customHeight="1" s="1349">
      <c r="C111" s="1340" t="n"/>
    </row>
    <row r="112" ht="15.75" customHeight="1" s="1349">
      <c r="C112" s="1340" t="n"/>
    </row>
    <row r="113" ht="15.75" customHeight="1" s="1349">
      <c r="C113" s="1340" t="n"/>
    </row>
    <row r="114" ht="15.75" customHeight="1" s="1349">
      <c r="C114" s="1340" t="n"/>
    </row>
    <row r="115" ht="15.75" customHeight="1" s="1349">
      <c r="C115" s="1340" t="n"/>
    </row>
    <row r="116" ht="15.75" customHeight="1" s="1349">
      <c r="C116" s="1340" t="n"/>
    </row>
    <row r="117" ht="15.75" customHeight="1" s="1349">
      <c r="C117" s="1340" t="n"/>
    </row>
    <row r="118" ht="15.75" customHeight="1" s="1349">
      <c r="C118" s="1340" t="n"/>
    </row>
    <row r="119" ht="15.75" customHeight="1" s="1349">
      <c r="C119" s="1340" t="n"/>
    </row>
    <row r="120" ht="15.75" customHeight="1" s="1349">
      <c r="C120" s="1340" t="n"/>
    </row>
    <row r="121" ht="15.75" customHeight="1" s="1349">
      <c r="C121" s="1340" t="n"/>
    </row>
    <row r="122" ht="15.75" customHeight="1" s="1349">
      <c r="C122" s="1340" t="n"/>
    </row>
    <row r="123" ht="15.75" customHeight="1" s="1349">
      <c r="C123" s="1340" t="n"/>
    </row>
    <row r="124" ht="15.75" customHeight="1" s="1349">
      <c r="C124" s="1340" t="n"/>
    </row>
    <row r="125" ht="15.75" customHeight="1" s="1349">
      <c r="C125" s="1340" t="n"/>
    </row>
    <row r="126" ht="15.75" customHeight="1" s="1349">
      <c r="C126" s="1340" t="n"/>
    </row>
    <row r="127" ht="15.75" customHeight="1" s="1349">
      <c r="C127" s="1340" t="n"/>
    </row>
    <row r="128" ht="15.75" customHeight="1" s="1349">
      <c r="C128" s="1340" t="n"/>
    </row>
    <row r="129" ht="15.75" customHeight="1" s="1349">
      <c r="C129" s="1340" t="n"/>
    </row>
    <row r="130" ht="15.75" customHeight="1" s="1349">
      <c r="C130" s="1340" t="n"/>
    </row>
    <row r="131" ht="15.75" customHeight="1" s="1349">
      <c r="C131" s="1340" t="n"/>
    </row>
    <row r="132" ht="15.75" customHeight="1" s="1349">
      <c r="C132" s="1340" t="n"/>
    </row>
    <row r="133" ht="15.75" customHeight="1" s="1349">
      <c r="C133" s="1340" t="n"/>
    </row>
    <row r="134" ht="15.75" customHeight="1" s="1349">
      <c r="C134" s="1340" t="n"/>
    </row>
    <row r="135" ht="15.75" customHeight="1" s="1349">
      <c r="C135" s="1340" t="n"/>
    </row>
    <row r="136" ht="15.75" customHeight="1" s="1349">
      <c r="C136" s="1340" t="n"/>
    </row>
    <row r="137" ht="15.75" customHeight="1" s="1349">
      <c r="C137" s="1340" t="n"/>
    </row>
    <row r="138" ht="15.75" customHeight="1" s="1349">
      <c r="C138" s="1340" t="n"/>
    </row>
    <row r="139" ht="15.75" customHeight="1" s="1349">
      <c r="C139" s="1340" t="n"/>
    </row>
    <row r="140" ht="15.75" customHeight="1" s="1349">
      <c r="C140" s="1340" t="n"/>
    </row>
    <row r="141" ht="15.75" customHeight="1" s="1349">
      <c r="C141" s="1340" t="n"/>
    </row>
    <row r="142" ht="15.75" customHeight="1" s="1349">
      <c r="C142" s="1340" t="n"/>
    </row>
    <row r="143" ht="15.75" customHeight="1" s="1349">
      <c r="C143" s="1340" t="n"/>
    </row>
    <row r="144" ht="15.75" customHeight="1" s="1349">
      <c r="C144" s="1340" t="n"/>
    </row>
    <row r="145" ht="15.75" customHeight="1" s="1349">
      <c r="C145" s="1340" t="n"/>
    </row>
    <row r="146" ht="15.75" customHeight="1" s="1349">
      <c r="C146" s="1340" t="n"/>
    </row>
    <row r="147" ht="15.75" customHeight="1" s="1349">
      <c r="C147" s="1340" t="n"/>
    </row>
    <row r="148" ht="15.75" customHeight="1" s="1349">
      <c r="C148" s="1340" t="n"/>
    </row>
    <row r="149" ht="15.75" customHeight="1" s="1349">
      <c r="C149" s="1340" t="n"/>
    </row>
    <row r="150" ht="15.75" customHeight="1" s="1349">
      <c r="C150" s="1340" t="n"/>
    </row>
    <row r="151" ht="15.75" customHeight="1" s="1349">
      <c r="C151" s="1340" t="n"/>
    </row>
    <row r="152" ht="15.75" customHeight="1" s="1349">
      <c r="C152" s="1340" t="n"/>
    </row>
    <row r="153" ht="15.75" customHeight="1" s="1349">
      <c r="C153" s="1340" t="n"/>
    </row>
    <row r="154" ht="15.75" customHeight="1" s="1349">
      <c r="C154" s="1340" t="n"/>
    </row>
    <row r="155" ht="15.75" customHeight="1" s="1349">
      <c r="C155" s="1340" t="n"/>
    </row>
    <row r="156" ht="15.75" customHeight="1" s="1349">
      <c r="C156" s="1340" t="n"/>
    </row>
    <row r="157" ht="15.75" customHeight="1" s="1349">
      <c r="C157" s="1340" t="n"/>
    </row>
    <row r="158" ht="15.75" customHeight="1" s="1349">
      <c r="C158" s="1340" t="n"/>
    </row>
    <row r="159" ht="15.75" customHeight="1" s="1349">
      <c r="C159" s="1340" t="n"/>
    </row>
    <row r="160" ht="15.75" customHeight="1" s="1349">
      <c r="C160" s="1340" t="n"/>
    </row>
    <row r="161" ht="15.75" customHeight="1" s="1349">
      <c r="C161" s="1340" t="n"/>
    </row>
    <row r="162" ht="15.75" customHeight="1" s="1349">
      <c r="C162" s="1340" t="n"/>
    </row>
    <row r="163" ht="15.75" customHeight="1" s="1349">
      <c r="C163" s="1340" t="n"/>
    </row>
    <row r="164" ht="15.75" customHeight="1" s="1349">
      <c r="C164" s="1340" t="n"/>
    </row>
    <row r="165" ht="15.75" customHeight="1" s="1349">
      <c r="C165" s="1340" t="n"/>
    </row>
    <row r="166" ht="15.75" customHeight="1" s="1349">
      <c r="C166" s="1340" t="n"/>
    </row>
    <row r="167" ht="15.75" customHeight="1" s="1349">
      <c r="C167" s="1340" t="n"/>
    </row>
    <row r="168" ht="15.75" customHeight="1" s="1349">
      <c r="C168" s="1340" t="n"/>
    </row>
    <row r="169" ht="15.75" customHeight="1" s="1349">
      <c r="C169" s="1340" t="n"/>
    </row>
    <row r="170" ht="15.75" customHeight="1" s="1349">
      <c r="C170" s="1340" t="n"/>
    </row>
    <row r="171" ht="15.75" customHeight="1" s="1349">
      <c r="C171" s="1340" t="n"/>
    </row>
    <row r="172" ht="15.75" customHeight="1" s="1349">
      <c r="C172" s="1340" t="n"/>
    </row>
    <row r="173" ht="15.75" customHeight="1" s="1349">
      <c r="C173" s="1340" t="n"/>
    </row>
    <row r="174" ht="15.75" customHeight="1" s="1349">
      <c r="C174" s="1340" t="n"/>
    </row>
    <row r="175" ht="15.75" customHeight="1" s="1349">
      <c r="C175" s="1340" t="n"/>
    </row>
    <row r="176" ht="15.75" customHeight="1" s="1349">
      <c r="C176" s="1340" t="n"/>
    </row>
    <row r="177" ht="15.75" customHeight="1" s="1349">
      <c r="C177" s="1340" t="n"/>
    </row>
    <row r="178" ht="15.75" customHeight="1" s="1349">
      <c r="C178" s="1340" t="n"/>
    </row>
    <row r="179" ht="15.75" customHeight="1" s="1349">
      <c r="C179" s="1340" t="n"/>
    </row>
    <row r="180" ht="15.75" customHeight="1" s="1349">
      <c r="C180" s="1340" t="n"/>
    </row>
    <row r="181" ht="15.75" customHeight="1" s="1349">
      <c r="C181" s="1340" t="n"/>
    </row>
    <row r="182" ht="15.75" customHeight="1" s="1349">
      <c r="C182" s="1340" t="n"/>
    </row>
    <row r="183" ht="15.75" customHeight="1" s="1349">
      <c r="C183" s="1340" t="n"/>
    </row>
    <row r="184" ht="15.75" customHeight="1" s="1349">
      <c r="C184" s="1340" t="n"/>
    </row>
    <row r="185" ht="15.75" customHeight="1" s="1349">
      <c r="C185" s="1340" t="n"/>
    </row>
    <row r="186" ht="15.75" customHeight="1" s="1349">
      <c r="C186" s="1340" t="n"/>
    </row>
    <row r="187" ht="15.75" customHeight="1" s="1349">
      <c r="C187" s="1340" t="n"/>
    </row>
    <row r="188" ht="15.75" customHeight="1" s="1349">
      <c r="C188" s="1340" t="n"/>
    </row>
    <row r="189" ht="15.75" customHeight="1" s="1349">
      <c r="C189" s="1340" t="n"/>
    </row>
    <row r="190" ht="15.75" customHeight="1" s="1349">
      <c r="C190" s="1340" t="n"/>
    </row>
    <row r="191" ht="15.75" customHeight="1" s="1349">
      <c r="C191" s="1340" t="n"/>
    </row>
    <row r="192" ht="15.75" customHeight="1" s="1349">
      <c r="C192" s="1340" t="n"/>
    </row>
    <row r="193" ht="15.75" customHeight="1" s="1349">
      <c r="C193" s="1340" t="n"/>
    </row>
    <row r="194" ht="15.75" customHeight="1" s="1349">
      <c r="C194" s="1340" t="n"/>
    </row>
    <row r="195" ht="15.75" customHeight="1" s="1349">
      <c r="C195" s="1340" t="n"/>
    </row>
    <row r="196" ht="15.75" customHeight="1" s="1349">
      <c r="C196" s="1340" t="n"/>
    </row>
    <row r="197" ht="15.75" customHeight="1" s="1349">
      <c r="C197" s="1340" t="n"/>
    </row>
    <row r="198" ht="15.75" customHeight="1" s="1349">
      <c r="C198" s="1340" t="n"/>
    </row>
    <row r="199" ht="15.75" customHeight="1" s="1349">
      <c r="C199" s="1340" t="n"/>
    </row>
    <row r="200" ht="15.75" customHeight="1" s="1349">
      <c r="C200" s="1340" t="n"/>
    </row>
    <row r="201" ht="15.75" customHeight="1" s="1349">
      <c r="C201" s="1340" t="n"/>
    </row>
    <row r="202" ht="15.75" customHeight="1" s="1349">
      <c r="C202" s="1340" t="n"/>
    </row>
    <row r="203" ht="15.75" customHeight="1" s="1349">
      <c r="C203" s="1340" t="n"/>
    </row>
    <row r="204" ht="15.75" customHeight="1" s="1349">
      <c r="C204" s="1340" t="n"/>
    </row>
    <row r="205" ht="15.75" customHeight="1" s="1349">
      <c r="C205" s="1340" t="n"/>
    </row>
    <row r="206" ht="15.75" customHeight="1" s="1349">
      <c r="C206" s="1340" t="n"/>
    </row>
    <row r="207" ht="15.75" customHeight="1" s="1349">
      <c r="C207" s="1340" t="n"/>
    </row>
    <row r="208" ht="15.75" customHeight="1" s="1349">
      <c r="C208" s="1340" t="n"/>
    </row>
    <row r="209" ht="15.75" customHeight="1" s="1349">
      <c r="C209" s="1340" t="n"/>
    </row>
    <row r="210" ht="15.75" customHeight="1" s="1349">
      <c r="C210" s="1340" t="n"/>
    </row>
    <row r="211" ht="15.75" customHeight="1" s="1349">
      <c r="C211" s="1340" t="n"/>
    </row>
    <row r="212" ht="15.75" customHeight="1" s="1349">
      <c r="C212" s="1340" t="n"/>
    </row>
    <row r="213" ht="15.75" customHeight="1" s="1349">
      <c r="C213" s="1340" t="n"/>
    </row>
    <row r="214" ht="15.75" customHeight="1" s="1349">
      <c r="C214" s="1340" t="n"/>
    </row>
    <row r="215" ht="15.75" customHeight="1" s="1349">
      <c r="C215" s="1340" t="n"/>
    </row>
    <row r="216" ht="15.75" customHeight="1" s="1349">
      <c r="C216" s="1340" t="n"/>
    </row>
    <row r="217" ht="15.75" customHeight="1" s="1349">
      <c r="C217" s="1340" t="n"/>
    </row>
    <row r="218" ht="15.75" customHeight="1" s="1349">
      <c r="C218" s="1340" t="n"/>
    </row>
    <row r="219" ht="15.75" customHeight="1" s="1349">
      <c r="C219" s="1340" t="n"/>
    </row>
    <row r="220" ht="15.75" customHeight="1" s="1349">
      <c r="C220" s="1340" t="n"/>
    </row>
    <row r="221" ht="15.75" customHeight="1" s="1349">
      <c r="C221" s="1340" t="n"/>
    </row>
    <row r="222" ht="15.75" customHeight="1" s="1349">
      <c r="C222" s="1340" t="n"/>
    </row>
    <row r="223" ht="15.75" customHeight="1" s="1349">
      <c r="C223" s="1340" t="n"/>
    </row>
    <row r="224" ht="15.75" customHeight="1" s="1349">
      <c r="C224" s="1340" t="n"/>
    </row>
    <row r="225" ht="15.75" customHeight="1" s="1349">
      <c r="C225" s="1340" t="n"/>
    </row>
    <row r="226" ht="15.75" customHeight="1" s="1349">
      <c r="C226" s="1340" t="n"/>
    </row>
    <row r="227" ht="15.75" customHeight="1" s="1349">
      <c r="C227" s="1340" t="n"/>
    </row>
    <row r="228" ht="15.75" customHeight="1" s="1349">
      <c r="C228" s="1340" t="n"/>
    </row>
    <row r="229" ht="15.75" customHeight="1" s="1349">
      <c r="C229" s="1340" t="n"/>
    </row>
    <row r="230" ht="15.75" customHeight="1" s="1349">
      <c r="C230" s="1340" t="n"/>
    </row>
    <row r="231" ht="15.75" customHeight="1" s="1349">
      <c r="C231" s="1340" t="n"/>
    </row>
    <row r="232" ht="15.75" customHeight="1" s="1349">
      <c r="C232" s="1340" t="n"/>
    </row>
    <row r="233" ht="15.75" customHeight="1" s="1349">
      <c r="C233" s="1340" t="n"/>
    </row>
    <row r="234" ht="15.75" customHeight="1" s="1349">
      <c r="C234" s="1340" t="n"/>
    </row>
    <row r="235" ht="15.75" customHeight="1" s="1349">
      <c r="C235" s="1340" t="n"/>
    </row>
    <row r="236" ht="15.75" customHeight="1" s="1349">
      <c r="C236" s="1340" t="n"/>
    </row>
    <row r="237" ht="15.75" customHeight="1" s="1349">
      <c r="C237" s="1340" t="n"/>
    </row>
    <row r="238" ht="15.75" customHeight="1" s="1349">
      <c r="C238" s="1340" t="n"/>
    </row>
    <row r="239" ht="15.75" customHeight="1" s="1349">
      <c r="C239" s="1340" t="n"/>
    </row>
    <row r="240" ht="15.75" customHeight="1" s="1349">
      <c r="C240" s="1340" t="n"/>
    </row>
    <row r="241" ht="15.75" customHeight="1" s="1349">
      <c r="C241" s="1340" t="n"/>
    </row>
    <row r="242" ht="15.75" customHeight="1" s="1349">
      <c r="C242" s="1340" t="n"/>
    </row>
    <row r="243" ht="15.75" customHeight="1" s="1349">
      <c r="C243" s="1340" t="n"/>
    </row>
    <row r="244" ht="15.75" customHeight="1" s="1349">
      <c r="C244" s="1340" t="n"/>
    </row>
    <row r="245" ht="15.75" customHeight="1" s="1349">
      <c r="C245" s="1340" t="n"/>
    </row>
    <row r="246" ht="15.75" customHeight="1" s="1349">
      <c r="C246" s="1340" t="n"/>
    </row>
    <row r="247" ht="15.75" customHeight="1" s="1349">
      <c r="C247" s="1340" t="n"/>
    </row>
    <row r="248" ht="15.75" customHeight="1" s="1349">
      <c r="C248" s="1340" t="n"/>
    </row>
    <row r="249" ht="15.75" customHeight="1" s="1349">
      <c r="C249" s="1340" t="n"/>
    </row>
    <row r="250" ht="15.75" customHeight="1" s="1349">
      <c r="C250" s="1340" t="n"/>
    </row>
    <row r="251" ht="15.75" customHeight="1" s="1349">
      <c r="C251" s="1340" t="n"/>
    </row>
    <row r="252" ht="15.75" customHeight="1" s="1349">
      <c r="C252" s="1340" t="n"/>
    </row>
    <row r="253" ht="15.75" customHeight="1" s="1349">
      <c r="C253" s="1340" t="n"/>
    </row>
    <row r="254" ht="15.75" customHeight="1" s="1349">
      <c r="C254" s="1340" t="n"/>
    </row>
    <row r="255" ht="15.75" customHeight="1" s="1349">
      <c r="C255" s="1340" t="n"/>
    </row>
    <row r="256" ht="15.75" customHeight="1" s="1349">
      <c r="C256" s="1340" t="n"/>
    </row>
    <row r="257" ht="15.75" customHeight="1" s="1349">
      <c r="C257" s="1340" t="n"/>
    </row>
    <row r="258" ht="15.75" customHeight="1" s="1349">
      <c r="C258" s="1340" t="n"/>
    </row>
    <row r="259" ht="15.75" customHeight="1" s="1349">
      <c r="C259" s="1340" t="n"/>
    </row>
    <row r="260" ht="15.75" customHeight="1" s="1349">
      <c r="C260" s="1340" t="n"/>
    </row>
    <row r="261" ht="15.75" customHeight="1" s="1349">
      <c r="C261" s="1340" t="n"/>
    </row>
    <row r="262" ht="15.75" customHeight="1" s="1349">
      <c r="C262" s="1340" t="n"/>
    </row>
    <row r="263" ht="15.75" customHeight="1" s="1349">
      <c r="C263" s="1340" t="n"/>
    </row>
    <row r="264" ht="15.75" customHeight="1" s="1349">
      <c r="C264" s="1340" t="n"/>
    </row>
    <row r="265" ht="15.75" customHeight="1" s="1349">
      <c r="C265" s="1340" t="n"/>
    </row>
    <row r="266" ht="15.75" customHeight="1" s="1349">
      <c r="C266" s="1340" t="n"/>
    </row>
    <row r="267" ht="15.75" customHeight="1" s="1349">
      <c r="C267" s="1340" t="n"/>
    </row>
    <row r="268" ht="15.75" customHeight="1" s="1349">
      <c r="C268" s="1340" t="n"/>
    </row>
    <row r="269" ht="15.75" customHeight="1" s="1349">
      <c r="C269" s="1340" t="n"/>
    </row>
    <row r="270" ht="15.75" customHeight="1" s="1349">
      <c r="C270" s="1340" t="n"/>
    </row>
    <row r="271" ht="15.75" customHeight="1" s="1349">
      <c r="C271" s="1340" t="n"/>
    </row>
    <row r="272" ht="15.75" customHeight="1" s="1349">
      <c r="C272" s="1340" t="n"/>
    </row>
    <row r="273" ht="15.75" customHeight="1" s="1349">
      <c r="C273" s="1340" t="n"/>
    </row>
    <row r="274" ht="15.75" customHeight="1" s="1349">
      <c r="C274" s="1340" t="n"/>
    </row>
    <row r="275" ht="15.75" customHeight="1" s="1349">
      <c r="C275" s="1340" t="n"/>
    </row>
    <row r="276" ht="15.75" customHeight="1" s="1349">
      <c r="C276" s="1340" t="n"/>
    </row>
    <row r="277" ht="15.75" customHeight="1" s="1349">
      <c r="C277" s="1340" t="n"/>
    </row>
    <row r="278" ht="15.75" customHeight="1" s="1349">
      <c r="C278" s="1340" t="n"/>
    </row>
    <row r="279" ht="15.75" customHeight="1" s="1349">
      <c r="C279" s="1340" t="n"/>
    </row>
    <row r="280" ht="15.75" customHeight="1" s="1349">
      <c r="C280" s="1340" t="n"/>
    </row>
    <row r="281" ht="15.75" customHeight="1" s="1349">
      <c r="C281" s="1340" t="n"/>
    </row>
    <row r="282" ht="15.75" customHeight="1" s="1349">
      <c r="C282" s="1340" t="n"/>
    </row>
    <row r="283" ht="15.75" customHeight="1" s="1349">
      <c r="C283" s="1340" t="n"/>
    </row>
    <row r="284" ht="15.75" customHeight="1" s="1349">
      <c r="C284" s="1340" t="n"/>
    </row>
    <row r="285" ht="15.75" customHeight="1" s="1349">
      <c r="C285" s="1340" t="n"/>
    </row>
    <row r="286" ht="15.75" customHeight="1" s="1349">
      <c r="C286" s="1340" t="n"/>
    </row>
    <row r="287" ht="15.75" customHeight="1" s="1349">
      <c r="C287" s="1340" t="n"/>
    </row>
    <row r="288" ht="15.75" customHeight="1" s="1349">
      <c r="C288" s="1340" t="n"/>
    </row>
    <row r="289" ht="15.75" customHeight="1" s="1349">
      <c r="C289" s="1340" t="n"/>
    </row>
    <row r="290" ht="15.75" customHeight="1" s="1349">
      <c r="C290" s="1340" t="n"/>
    </row>
    <row r="291" ht="15.75" customHeight="1" s="1349">
      <c r="C291" s="1340" t="n"/>
    </row>
    <row r="292" ht="15.75" customHeight="1" s="1349">
      <c r="C292" s="1340" t="n"/>
    </row>
    <row r="293" ht="15.75" customHeight="1" s="1349">
      <c r="C293" s="1340" t="n"/>
    </row>
    <row r="294" ht="15.75" customHeight="1" s="1349">
      <c r="C294" s="1340" t="n"/>
    </row>
    <row r="295" ht="15.75" customHeight="1" s="1349">
      <c r="C295" s="1340" t="n"/>
    </row>
    <row r="296" ht="15.75" customHeight="1" s="1349">
      <c r="C296" s="1340" t="n"/>
    </row>
    <row r="297" ht="15.75" customHeight="1" s="1349">
      <c r="C297" s="1340" t="n"/>
    </row>
    <row r="298" ht="15.75" customHeight="1" s="1349">
      <c r="C298" s="1340" t="n"/>
    </row>
    <row r="299" ht="15.75" customHeight="1" s="1349">
      <c r="C299" s="1340" t="n"/>
    </row>
    <row r="300" ht="15.75" customHeight="1" s="1349">
      <c r="C300" s="1340" t="n"/>
    </row>
    <row r="301" ht="15.75" customHeight="1" s="1349">
      <c r="C301" s="1340" t="n"/>
    </row>
    <row r="302" ht="15.75" customHeight="1" s="1349">
      <c r="C302" s="1340" t="n"/>
    </row>
    <row r="303" ht="15.75" customHeight="1" s="1349">
      <c r="C303" s="1340" t="n"/>
    </row>
    <row r="304" ht="15.75" customHeight="1" s="1349">
      <c r="C304" s="1340" t="n"/>
    </row>
    <row r="305" ht="15.75" customHeight="1" s="1349">
      <c r="C305" s="1340" t="n"/>
    </row>
    <row r="306" ht="15.75" customHeight="1" s="1349">
      <c r="C306" s="1340" t="n"/>
    </row>
    <row r="307" ht="15.75" customHeight="1" s="1349">
      <c r="C307" s="1340" t="n"/>
    </row>
    <row r="308" ht="15.75" customHeight="1" s="1349">
      <c r="C308" s="1340" t="n"/>
    </row>
    <row r="309" ht="15.75" customHeight="1" s="1349">
      <c r="C309" s="1340" t="n"/>
    </row>
    <row r="310" ht="15.75" customHeight="1" s="1349">
      <c r="C310" s="1340" t="n"/>
    </row>
    <row r="311" ht="15.75" customHeight="1" s="1349">
      <c r="C311" s="1340" t="n"/>
    </row>
    <row r="312" ht="15.75" customHeight="1" s="1349">
      <c r="C312" s="1340" t="n"/>
    </row>
    <row r="313" ht="15.75" customHeight="1" s="1349">
      <c r="C313" s="1340" t="n"/>
    </row>
    <row r="314" ht="15.75" customHeight="1" s="1349">
      <c r="C314" s="1340" t="n"/>
    </row>
    <row r="315" ht="15.75" customHeight="1" s="1349">
      <c r="C315" s="1340" t="n"/>
    </row>
    <row r="316" ht="15.75" customHeight="1" s="1349">
      <c r="C316" s="1340" t="n"/>
    </row>
    <row r="317" ht="15.75" customHeight="1" s="1349">
      <c r="C317" s="1340" t="n"/>
    </row>
    <row r="318" ht="15.75" customHeight="1" s="1349">
      <c r="C318" s="1340" t="n"/>
    </row>
    <row r="319" ht="15.75" customHeight="1" s="1349">
      <c r="C319" s="1340" t="n"/>
    </row>
    <row r="320" ht="15.75" customHeight="1" s="1349">
      <c r="C320" s="1340" t="n"/>
    </row>
    <row r="321" ht="15.75" customHeight="1" s="1349">
      <c r="C321" s="1340" t="n"/>
    </row>
    <row r="322" ht="15.75" customHeight="1" s="1349">
      <c r="C322" s="1340" t="n"/>
    </row>
    <row r="323" ht="15.75" customHeight="1" s="1349">
      <c r="C323" s="1340" t="n"/>
    </row>
    <row r="324" ht="15.75" customHeight="1" s="1349">
      <c r="C324" s="1340" t="n"/>
    </row>
    <row r="325" ht="15.75" customHeight="1" s="1349">
      <c r="C325" s="1340" t="n"/>
    </row>
    <row r="326" ht="15.75" customHeight="1" s="1349">
      <c r="C326" s="1340" t="n"/>
    </row>
    <row r="327" ht="15.75" customHeight="1" s="1349">
      <c r="C327" s="1340" t="n"/>
    </row>
    <row r="328" ht="15.75" customHeight="1" s="1349">
      <c r="C328" s="1340" t="n"/>
    </row>
    <row r="329" ht="15.75" customHeight="1" s="1349">
      <c r="C329" s="1340" t="n"/>
    </row>
    <row r="330" ht="15.75" customHeight="1" s="1349">
      <c r="C330" s="1340" t="n"/>
    </row>
    <row r="331" ht="15.75" customHeight="1" s="1349">
      <c r="C331" s="1340" t="n"/>
    </row>
    <row r="332" ht="15.75" customHeight="1" s="1349">
      <c r="C332" s="1340" t="n"/>
    </row>
    <row r="333" ht="15.75" customHeight="1" s="1349">
      <c r="C333" s="1340" t="n"/>
    </row>
    <row r="334" ht="15.75" customHeight="1" s="1349">
      <c r="C334" s="1340" t="n"/>
    </row>
    <row r="335" ht="15.75" customHeight="1" s="1349">
      <c r="C335" s="1340" t="n"/>
    </row>
    <row r="336" ht="15.75" customHeight="1" s="1349">
      <c r="C336" s="1340" t="n"/>
    </row>
    <row r="337" ht="15.75" customHeight="1" s="1349">
      <c r="C337" s="1340" t="n"/>
    </row>
    <row r="338" ht="15.75" customHeight="1" s="1349">
      <c r="C338" s="1340" t="n"/>
    </row>
    <row r="339" ht="15.75" customHeight="1" s="1349">
      <c r="C339" s="1340" t="n"/>
    </row>
    <row r="340" ht="15.75" customHeight="1" s="1349">
      <c r="C340" s="1340" t="n"/>
    </row>
    <row r="341" ht="15.75" customHeight="1" s="1349">
      <c r="C341" s="1340" t="n"/>
    </row>
    <row r="342" ht="15.75" customHeight="1" s="1349">
      <c r="C342" s="1340" t="n"/>
    </row>
    <row r="343" ht="15.75" customHeight="1" s="1349">
      <c r="C343" s="1340" t="n"/>
    </row>
    <row r="344" ht="15.75" customHeight="1" s="1349">
      <c r="C344" s="1340" t="n"/>
    </row>
    <row r="345" ht="15.75" customHeight="1" s="1349">
      <c r="C345" s="1340" t="n"/>
    </row>
    <row r="346" ht="15.75" customHeight="1" s="1349">
      <c r="C346" s="1340" t="n"/>
    </row>
    <row r="347" ht="15.75" customHeight="1" s="1349">
      <c r="C347" s="1340" t="n"/>
    </row>
    <row r="348" ht="15.75" customHeight="1" s="1349">
      <c r="C348" s="1340" t="n"/>
    </row>
    <row r="349" ht="15.75" customHeight="1" s="1349">
      <c r="C349" s="1340" t="n"/>
    </row>
    <row r="350" ht="15.75" customHeight="1" s="1349">
      <c r="C350" s="1340" t="n"/>
    </row>
    <row r="351" ht="15.75" customHeight="1" s="1349">
      <c r="C351" s="1340" t="n"/>
    </row>
    <row r="352" ht="15.75" customHeight="1" s="1349">
      <c r="C352" s="1340" t="n"/>
    </row>
    <row r="353" ht="15.75" customHeight="1" s="1349">
      <c r="C353" s="1340" t="n"/>
    </row>
    <row r="354" ht="15.75" customHeight="1" s="1349">
      <c r="C354" s="1340" t="n"/>
    </row>
    <row r="355" ht="15.75" customHeight="1" s="1349">
      <c r="C355" s="1340" t="n"/>
    </row>
    <row r="356" ht="15.75" customHeight="1" s="1349">
      <c r="C356" s="1340" t="n"/>
    </row>
    <row r="357" ht="15.75" customHeight="1" s="1349">
      <c r="C357" s="1340" t="n"/>
    </row>
    <row r="358" ht="15.75" customHeight="1" s="1349">
      <c r="C358" s="1340" t="n"/>
    </row>
    <row r="359" ht="15.75" customHeight="1" s="1349">
      <c r="C359" s="1340" t="n"/>
    </row>
    <row r="360" ht="15.75" customHeight="1" s="1349">
      <c r="C360" s="1340" t="n"/>
    </row>
    <row r="361" ht="15.75" customHeight="1" s="1349">
      <c r="C361" s="1340" t="n"/>
    </row>
    <row r="362" ht="15.75" customHeight="1" s="1349">
      <c r="C362" s="1340" t="n"/>
    </row>
    <row r="363" ht="15.75" customHeight="1" s="1349">
      <c r="C363" s="1340" t="n"/>
    </row>
    <row r="364" ht="15.75" customHeight="1" s="1349">
      <c r="C364" s="1340" t="n"/>
    </row>
    <row r="365" ht="15.75" customHeight="1" s="1349">
      <c r="C365" s="1340" t="n"/>
    </row>
    <row r="366" ht="15.75" customHeight="1" s="1349">
      <c r="C366" s="1340" t="n"/>
    </row>
    <row r="367" ht="15.75" customHeight="1" s="1349">
      <c r="C367" s="1340" t="n"/>
    </row>
    <row r="368" ht="15.75" customHeight="1" s="1349">
      <c r="C368" s="1340" t="n"/>
    </row>
    <row r="369" ht="15.75" customHeight="1" s="1349">
      <c r="C369" s="1340" t="n"/>
    </row>
    <row r="370" ht="15.75" customHeight="1" s="1349">
      <c r="C370" s="1340" t="n"/>
    </row>
    <row r="371" ht="15.75" customHeight="1" s="1349">
      <c r="C371" s="1340" t="n"/>
    </row>
    <row r="372" ht="15.75" customHeight="1" s="1349">
      <c r="C372" s="1340" t="n"/>
    </row>
    <row r="373" ht="15.75" customHeight="1" s="1349">
      <c r="C373" s="1340" t="n"/>
    </row>
    <row r="374" ht="15.75" customHeight="1" s="1349">
      <c r="C374" s="1340" t="n"/>
    </row>
    <row r="375" ht="15.75" customHeight="1" s="1349">
      <c r="C375" s="1340" t="n"/>
    </row>
    <row r="376" ht="15.75" customHeight="1" s="1349">
      <c r="C376" s="1340" t="n"/>
    </row>
    <row r="377" ht="15.75" customHeight="1" s="1349">
      <c r="C377" s="1340" t="n"/>
    </row>
    <row r="378" ht="15.75" customHeight="1" s="1349">
      <c r="C378" s="1340" t="n"/>
    </row>
    <row r="379" ht="15.75" customHeight="1" s="1349">
      <c r="C379" s="1340" t="n"/>
    </row>
    <row r="380" ht="15.75" customHeight="1" s="1349">
      <c r="C380" s="1340" t="n"/>
    </row>
    <row r="381" ht="15.75" customHeight="1" s="1349">
      <c r="C381" s="1340" t="n"/>
    </row>
    <row r="382" ht="15.75" customHeight="1" s="1349">
      <c r="C382" s="1340" t="n"/>
    </row>
    <row r="383" ht="15.75" customHeight="1" s="1349">
      <c r="C383" s="1340" t="n"/>
    </row>
    <row r="384" ht="15.75" customHeight="1" s="1349">
      <c r="C384" s="1340" t="n"/>
    </row>
    <row r="385" ht="15.75" customHeight="1" s="1349">
      <c r="C385" s="1340" t="n"/>
    </row>
    <row r="386" ht="15.75" customHeight="1" s="1349">
      <c r="C386" s="1340" t="n"/>
    </row>
    <row r="387" ht="15.75" customHeight="1" s="1349">
      <c r="C387" s="1340" t="n"/>
    </row>
    <row r="388" ht="15.75" customHeight="1" s="1349">
      <c r="C388" s="1340" t="n"/>
    </row>
    <row r="389" ht="15.75" customHeight="1" s="1349">
      <c r="C389" s="1340" t="n"/>
    </row>
    <row r="390" ht="15.75" customHeight="1" s="1349">
      <c r="C390" s="1340" t="n"/>
    </row>
    <row r="391" ht="15.75" customHeight="1" s="1349">
      <c r="C391" s="1340" t="n"/>
    </row>
    <row r="392" ht="15.75" customHeight="1" s="1349">
      <c r="C392" s="1340" t="n"/>
    </row>
    <row r="393" ht="15.75" customHeight="1" s="1349">
      <c r="C393" s="1340" t="n"/>
    </row>
    <row r="394" ht="15.75" customHeight="1" s="1349">
      <c r="C394" s="1340" t="n"/>
    </row>
    <row r="395" ht="15.75" customHeight="1" s="1349">
      <c r="C395" s="1340" t="n"/>
    </row>
    <row r="396" ht="15.75" customHeight="1" s="1349">
      <c r="C396" s="1340" t="n"/>
    </row>
    <row r="397" ht="15.75" customHeight="1" s="1349">
      <c r="C397" s="1340" t="n"/>
    </row>
    <row r="398" ht="15.75" customHeight="1" s="1349">
      <c r="C398" s="1340" t="n"/>
    </row>
    <row r="399" ht="15.75" customHeight="1" s="1349">
      <c r="C399" s="1340" t="n"/>
    </row>
    <row r="400" ht="15.75" customHeight="1" s="1349">
      <c r="C400" s="1340" t="n"/>
    </row>
    <row r="401" ht="15.75" customHeight="1" s="1349">
      <c r="C401" s="1340" t="n"/>
    </row>
    <row r="402" ht="15.75" customHeight="1" s="1349">
      <c r="C402" s="1340" t="n"/>
    </row>
    <row r="403" ht="15.75" customHeight="1" s="1349">
      <c r="C403" s="1340" t="n"/>
    </row>
    <row r="404" ht="15.75" customHeight="1" s="1349">
      <c r="C404" s="1340" t="n"/>
    </row>
    <row r="405" ht="15.75" customHeight="1" s="1349">
      <c r="C405" s="1340" t="n"/>
    </row>
    <row r="406" ht="15.75" customHeight="1" s="1349">
      <c r="C406" s="1340" t="n"/>
    </row>
    <row r="407" ht="15.75" customHeight="1" s="1349">
      <c r="C407" s="1340" t="n"/>
    </row>
    <row r="408" ht="15.75" customHeight="1" s="1349">
      <c r="C408" s="1340" t="n"/>
    </row>
    <row r="409" ht="15.75" customHeight="1" s="1349">
      <c r="C409" s="1340" t="n"/>
    </row>
    <row r="410" ht="15.75" customHeight="1" s="1349">
      <c r="C410" s="1340" t="n"/>
    </row>
    <row r="411" ht="15.75" customHeight="1" s="1349">
      <c r="C411" s="1340" t="n"/>
    </row>
    <row r="412" ht="15.75" customHeight="1" s="1349">
      <c r="C412" s="1340" t="n"/>
    </row>
    <row r="413" ht="15.75" customHeight="1" s="1349">
      <c r="C413" s="1340" t="n"/>
    </row>
    <row r="414" ht="15.75" customHeight="1" s="1349">
      <c r="C414" s="1340" t="n"/>
    </row>
    <row r="415" ht="15.75" customHeight="1" s="1349">
      <c r="C415" s="1340" t="n"/>
    </row>
    <row r="416" ht="15.75" customHeight="1" s="1349">
      <c r="C416" s="1340" t="n"/>
    </row>
    <row r="417" ht="15.75" customHeight="1" s="1349">
      <c r="C417" s="1340" t="n"/>
    </row>
    <row r="418" ht="15.75" customHeight="1" s="1349">
      <c r="C418" s="1340" t="n"/>
    </row>
    <row r="419" ht="15.75" customHeight="1" s="1349">
      <c r="C419" s="1340" t="n"/>
    </row>
    <row r="420" ht="15.75" customHeight="1" s="1349">
      <c r="C420" s="1340" t="n"/>
    </row>
    <row r="421" ht="15.75" customHeight="1" s="1349">
      <c r="C421" s="1340" t="n"/>
    </row>
    <row r="422" ht="15.75" customHeight="1" s="1349">
      <c r="C422" s="1340" t="n"/>
    </row>
    <row r="423" ht="15.75" customHeight="1" s="1349">
      <c r="C423" s="1340" t="n"/>
    </row>
    <row r="424" ht="15.75" customHeight="1" s="1349">
      <c r="C424" s="1340" t="n"/>
    </row>
    <row r="425" ht="15.75" customHeight="1" s="1349">
      <c r="C425" s="1340" t="n"/>
    </row>
    <row r="426" ht="15.75" customHeight="1" s="1349">
      <c r="C426" s="1340" t="n"/>
    </row>
    <row r="427" ht="15.75" customHeight="1" s="1349">
      <c r="C427" s="1340" t="n"/>
    </row>
    <row r="428" ht="15.75" customHeight="1" s="1349">
      <c r="C428" s="1340" t="n"/>
    </row>
    <row r="429" ht="15.75" customHeight="1" s="1349">
      <c r="C429" s="1340" t="n"/>
    </row>
    <row r="430" ht="15.75" customHeight="1" s="1349">
      <c r="C430" s="1340" t="n"/>
    </row>
    <row r="431" ht="15.75" customHeight="1" s="1349">
      <c r="C431" s="1340" t="n"/>
    </row>
    <row r="432" ht="15.75" customHeight="1" s="1349">
      <c r="C432" s="1340" t="n"/>
    </row>
    <row r="433" ht="15.75" customHeight="1" s="1349">
      <c r="C433" s="1340" t="n"/>
    </row>
    <row r="434" ht="15.75" customHeight="1" s="1349">
      <c r="C434" s="1340" t="n"/>
    </row>
    <row r="435" ht="15.75" customHeight="1" s="1349">
      <c r="C435" s="1340" t="n"/>
    </row>
    <row r="436" ht="15.75" customHeight="1" s="1349">
      <c r="C436" s="1340" t="n"/>
    </row>
    <row r="437" ht="15.75" customHeight="1" s="1349">
      <c r="C437" s="1340" t="n"/>
    </row>
    <row r="438" ht="15.75" customHeight="1" s="1349">
      <c r="C438" s="1340" t="n"/>
    </row>
    <row r="439" ht="15.75" customHeight="1" s="1349">
      <c r="C439" s="1340" t="n"/>
    </row>
    <row r="440" ht="15.75" customHeight="1" s="1349">
      <c r="C440" s="1340" t="n"/>
    </row>
    <row r="441" ht="15.75" customHeight="1" s="1349">
      <c r="C441" s="1340" t="n"/>
    </row>
    <row r="442" ht="15.75" customHeight="1" s="1349">
      <c r="C442" s="1340" t="n"/>
    </row>
    <row r="443" ht="15.75" customHeight="1" s="1349">
      <c r="C443" s="1340" t="n"/>
    </row>
    <row r="444" ht="15.75" customHeight="1" s="1349">
      <c r="C444" s="1340" t="n"/>
    </row>
    <row r="445" ht="15.75" customHeight="1" s="1349">
      <c r="C445" s="1340" t="n"/>
    </row>
    <row r="446" ht="15.75" customHeight="1" s="1349">
      <c r="C446" s="1340" t="n"/>
    </row>
    <row r="447" ht="15.75" customHeight="1" s="1349">
      <c r="C447" s="1340" t="n"/>
    </row>
    <row r="448" ht="15.75" customHeight="1" s="1349">
      <c r="C448" s="1340" t="n"/>
    </row>
    <row r="449" ht="15.75" customHeight="1" s="1349">
      <c r="C449" s="1340" t="n"/>
    </row>
    <row r="450" ht="15.75" customHeight="1" s="1349">
      <c r="C450" s="1340" t="n"/>
    </row>
    <row r="451" ht="15.75" customHeight="1" s="1349">
      <c r="C451" s="1340" t="n"/>
    </row>
    <row r="452" ht="15.75" customHeight="1" s="1349">
      <c r="C452" s="1340" t="n"/>
    </row>
    <row r="453" ht="15.75" customHeight="1" s="1349">
      <c r="C453" s="1340" t="n"/>
    </row>
    <row r="454" ht="15.75" customHeight="1" s="1349">
      <c r="C454" s="1340" t="n"/>
    </row>
    <row r="455" ht="15.75" customHeight="1" s="1349">
      <c r="C455" s="1340" t="n"/>
    </row>
    <row r="456" ht="15.75" customHeight="1" s="1349">
      <c r="C456" s="1340" t="n"/>
    </row>
    <row r="457" ht="15.75" customHeight="1" s="1349">
      <c r="C457" s="1340" t="n"/>
    </row>
    <row r="458" ht="15.75" customHeight="1" s="1349">
      <c r="C458" s="1340" t="n"/>
    </row>
    <row r="459" ht="15.75" customHeight="1" s="1349">
      <c r="C459" s="1340" t="n"/>
    </row>
    <row r="460" ht="15.75" customHeight="1" s="1349">
      <c r="C460" s="1340" t="n"/>
    </row>
    <row r="461" ht="15.75" customHeight="1" s="1349">
      <c r="C461" s="1340" t="n"/>
    </row>
    <row r="462" ht="15.75" customHeight="1" s="1349">
      <c r="C462" s="1340" t="n"/>
    </row>
    <row r="463" ht="15.75" customHeight="1" s="1349">
      <c r="C463" s="1340" t="n"/>
    </row>
    <row r="464" ht="15.75" customHeight="1" s="1349">
      <c r="C464" s="1340" t="n"/>
    </row>
    <row r="465" ht="15.75" customHeight="1" s="1349">
      <c r="C465" s="1340" t="n"/>
    </row>
    <row r="466" ht="15.75" customHeight="1" s="1349">
      <c r="C466" s="1340" t="n"/>
    </row>
    <row r="467" ht="15.75" customHeight="1" s="1349">
      <c r="C467" s="1340" t="n"/>
    </row>
    <row r="468" ht="15.75" customHeight="1" s="1349">
      <c r="C468" s="1340" t="n"/>
    </row>
    <row r="469" ht="15.75" customHeight="1" s="1349">
      <c r="C469" s="1340" t="n"/>
    </row>
    <row r="470" ht="15.75" customHeight="1" s="1349">
      <c r="C470" s="1340" t="n"/>
    </row>
    <row r="471" ht="15.75" customHeight="1" s="1349">
      <c r="C471" s="1340" t="n"/>
    </row>
    <row r="472" ht="15.75" customHeight="1" s="1349">
      <c r="C472" s="1340" t="n"/>
    </row>
    <row r="473" ht="15.75" customHeight="1" s="1349">
      <c r="C473" s="1340" t="n"/>
    </row>
    <row r="474" ht="15.75" customHeight="1" s="1349">
      <c r="C474" s="1340" t="n"/>
    </row>
    <row r="475" ht="15.75" customHeight="1" s="1349">
      <c r="C475" s="1340" t="n"/>
    </row>
    <row r="476" ht="15.75" customHeight="1" s="1349">
      <c r="C476" s="1340" t="n"/>
    </row>
    <row r="477" ht="15.75" customHeight="1" s="1349">
      <c r="C477" s="1340" t="n"/>
    </row>
    <row r="478" ht="15.75" customHeight="1" s="1349">
      <c r="C478" s="1340" t="n"/>
    </row>
    <row r="479" ht="15.75" customHeight="1" s="1349">
      <c r="C479" s="1340" t="n"/>
    </row>
    <row r="480" ht="15.75" customHeight="1" s="1349">
      <c r="C480" s="1340" t="n"/>
    </row>
    <row r="481" ht="15.75" customHeight="1" s="1349">
      <c r="C481" s="1340" t="n"/>
    </row>
    <row r="482" ht="15.75" customHeight="1" s="1349">
      <c r="C482" s="1340" t="n"/>
    </row>
    <row r="483" ht="15.75" customHeight="1" s="1349">
      <c r="C483" s="1340" t="n"/>
    </row>
    <row r="484" ht="15.75" customHeight="1" s="1349">
      <c r="C484" s="1340" t="n"/>
    </row>
    <row r="485" ht="15.75" customHeight="1" s="1349">
      <c r="C485" s="1340" t="n"/>
    </row>
    <row r="486" ht="15.75" customHeight="1" s="1349">
      <c r="C486" s="1340" t="n"/>
    </row>
    <row r="487" ht="15.75" customHeight="1" s="1349">
      <c r="C487" s="1340" t="n"/>
    </row>
    <row r="488" ht="15.75" customHeight="1" s="1349">
      <c r="C488" s="1340" t="n"/>
    </row>
    <row r="489" ht="15.75" customHeight="1" s="1349">
      <c r="C489" s="1340" t="n"/>
    </row>
    <row r="490" ht="15.75" customHeight="1" s="1349">
      <c r="C490" s="1340" t="n"/>
    </row>
    <row r="491" ht="15.75" customHeight="1" s="1349">
      <c r="C491" s="1340" t="n"/>
    </row>
    <row r="492" ht="15.75" customHeight="1" s="1349">
      <c r="C492" s="1340" t="n"/>
    </row>
    <row r="493" ht="15.75" customHeight="1" s="1349">
      <c r="C493" s="1340" t="n"/>
    </row>
    <row r="494" ht="15.75" customHeight="1" s="1349">
      <c r="C494" s="1340" t="n"/>
    </row>
    <row r="495" ht="15.75" customHeight="1" s="1349">
      <c r="C495" s="1340" t="n"/>
    </row>
    <row r="496" ht="15.75" customHeight="1" s="1349">
      <c r="C496" s="1340" t="n"/>
    </row>
    <row r="497" ht="15.75" customHeight="1" s="1349">
      <c r="C497" s="1340" t="n"/>
    </row>
    <row r="498" ht="15.75" customHeight="1" s="1349">
      <c r="C498" s="1340" t="n"/>
    </row>
    <row r="499" ht="15.75" customHeight="1" s="1349">
      <c r="C499" s="1340" t="n"/>
    </row>
    <row r="500" ht="15.75" customHeight="1" s="1349">
      <c r="C500" s="1340" t="n"/>
    </row>
    <row r="501" ht="15.75" customHeight="1" s="1349">
      <c r="C501" s="1340" t="n"/>
    </row>
    <row r="502" ht="15.75" customHeight="1" s="1349">
      <c r="C502" s="1340" t="n"/>
    </row>
    <row r="503" ht="15.75" customHeight="1" s="1349">
      <c r="C503" s="1340" t="n"/>
    </row>
    <row r="504" ht="15.75" customHeight="1" s="1349">
      <c r="C504" s="1340" t="n"/>
    </row>
    <row r="505" ht="15.75" customHeight="1" s="1349">
      <c r="C505" s="1340" t="n"/>
    </row>
    <row r="506" ht="15.75" customHeight="1" s="1349">
      <c r="C506" s="1340" t="n"/>
    </row>
    <row r="507" ht="15.75" customHeight="1" s="1349">
      <c r="C507" s="1340" t="n"/>
    </row>
    <row r="508" ht="15.75" customHeight="1" s="1349">
      <c r="C508" s="1340" t="n"/>
    </row>
    <row r="509" ht="15.75" customHeight="1" s="1349">
      <c r="C509" s="1340" t="n"/>
    </row>
    <row r="510" ht="15.75" customHeight="1" s="1349">
      <c r="C510" s="1340" t="n"/>
    </row>
    <row r="511" ht="15.75" customHeight="1" s="1349">
      <c r="C511" s="1340" t="n"/>
    </row>
    <row r="512" ht="15.75" customHeight="1" s="1349">
      <c r="C512" s="1340" t="n"/>
    </row>
    <row r="513" ht="15.75" customHeight="1" s="1349">
      <c r="C513" s="1340" t="n"/>
    </row>
    <row r="514" ht="15.75" customHeight="1" s="1349">
      <c r="C514" s="1340" t="n"/>
    </row>
    <row r="515" ht="15.75" customHeight="1" s="1349">
      <c r="C515" s="1340" t="n"/>
    </row>
    <row r="516" ht="15.75" customHeight="1" s="1349">
      <c r="C516" s="1340" t="n"/>
    </row>
    <row r="517" ht="15.75" customHeight="1" s="1349">
      <c r="C517" s="1340" t="n"/>
    </row>
    <row r="518" ht="15.75" customHeight="1" s="1349">
      <c r="C518" s="1340" t="n"/>
    </row>
    <row r="519" ht="15.75" customHeight="1" s="1349">
      <c r="C519" s="1340" t="n"/>
    </row>
    <row r="520" ht="15.75" customHeight="1" s="1349">
      <c r="C520" s="1340" t="n"/>
    </row>
    <row r="521" ht="15.75" customHeight="1" s="1349">
      <c r="C521" s="1340" t="n"/>
    </row>
    <row r="522" ht="15.75" customHeight="1" s="1349">
      <c r="C522" s="1340" t="n"/>
    </row>
    <row r="523" ht="15.75" customHeight="1" s="1349">
      <c r="C523" s="1340" t="n"/>
    </row>
    <row r="524" ht="15.75" customHeight="1" s="1349">
      <c r="C524" s="1340" t="n"/>
    </row>
    <row r="525" ht="15.75" customHeight="1" s="1349">
      <c r="C525" s="1340" t="n"/>
    </row>
    <row r="526" ht="15.75" customHeight="1" s="1349">
      <c r="C526" s="1340" t="n"/>
    </row>
    <row r="527" ht="15.75" customHeight="1" s="1349">
      <c r="C527" s="1340" t="n"/>
    </row>
    <row r="528" ht="15.75" customHeight="1" s="1349">
      <c r="C528" s="1340" t="n"/>
    </row>
    <row r="529" ht="15.75" customHeight="1" s="1349">
      <c r="C529" s="1340" t="n"/>
    </row>
    <row r="530" ht="15.75" customHeight="1" s="1349">
      <c r="C530" s="1340" t="n"/>
    </row>
    <row r="531" ht="15.75" customHeight="1" s="1349">
      <c r="C531" s="1340" t="n"/>
    </row>
    <row r="532" ht="15.75" customHeight="1" s="1349">
      <c r="C532" s="1340" t="n"/>
    </row>
    <row r="533" ht="15.75" customHeight="1" s="1349">
      <c r="C533" s="1340" t="n"/>
    </row>
    <row r="534" ht="15.75" customHeight="1" s="1349">
      <c r="C534" s="1340" t="n"/>
    </row>
    <row r="535" ht="15.75" customHeight="1" s="1349">
      <c r="C535" s="1340" t="n"/>
    </row>
    <row r="536" ht="15.75" customHeight="1" s="1349">
      <c r="C536" s="1340" t="n"/>
    </row>
    <row r="537" ht="15.75" customHeight="1" s="1349">
      <c r="C537" s="1340" t="n"/>
    </row>
    <row r="538" ht="15.75" customHeight="1" s="1349">
      <c r="C538" s="1340" t="n"/>
    </row>
    <row r="539" ht="15.75" customHeight="1" s="1349">
      <c r="C539" s="1340" t="n"/>
    </row>
    <row r="540" ht="15.75" customHeight="1" s="1349">
      <c r="C540" s="1340" t="n"/>
    </row>
    <row r="541" ht="15.75" customHeight="1" s="1349">
      <c r="C541" s="1340" t="n"/>
    </row>
    <row r="542" ht="15.75" customHeight="1" s="1349">
      <c r="C542" s="1340" t="n"/>
    </row>
    <row r="543" ht="15.75" customHeight="1" s="1349">
      <c r="C543" s="1340" t="n"/>
    </row>
    <row r="544" ht="15.75" customHeight="1" s="1349">
      <c r="C544" s="1340" t="n"/>
    </row>
    <row r="545" ht="15.75" customHeight="1" s="1349">
      <c r="C545" s="1340" t="n"/>
    </row>
    <row r="546" ht="15.75" customHeight="1" s="1349">
      <c r="C546" s="1340" t="n"/>
    </row>
    <row r="547" ht="15.75" customHeight="1" s="1349">
      <c r="C547" s="1340" t="n"/>
    </row>
    <row r="548" ht="15.75" customHeight="1" s="1349">
      <c r="C548" s="1340" t="n"/>
    </row>
    <row r="549" ht="15.75" customHeight="1" s="1349">
      <c r="C549" s="1340" t="n"/>
    </row>
    <row r="550" ht="15.75" customHeight="1" s="1349">
      <c r="C550" s="1340" t="n"/>
    </row>
    <row r="551" ht="15.75" customHeight="1" s="1349">
      <c r="C551" s="1340" t="n"/>
    </row>
    <row r="552" ht="15.75" customHeight="1" s="1349">
      <c r="C552" s="1340" t="n"/>
    </row>
    <row r="553" ht="15.75" customHeight="1" s="1349">
      <c r="C553" s="1340" t="n"/>
    </row>
    <row r="554" ht="15.75" customHeight="1" s="1349">
      <c r="C554" s="1340" t="n"/>
    </row>
    <row r="555" ht="15.75" customHeight="1" s="1349">
      <c r="C555" s="1340" t="n"/>
    </row>
    <row r="556" ht="15.75" customHeight="1" s="1349">
      <c r="C556" s="1340" t="n"/>
    </row>
    <row r="557" ht="15.75" customHeight="1" s="1349">
      <c r="C557" s="1340" t="n"/>
    </row>
    <row r="558" ht="15.75" customHeight="1" s="1349">
      <c r="C558" s="1340" t="n"/>
    </row>
    <row r="559" ht="15.75" customHeight="1" s="1349">
      <c r="C559" s="1340" t="n"/>
    </row>
    <row r="560" ht="15.75" customHeight="1" s="1349">
      <c r="C560" s="1340" t="n"/>
    </row>
    <row r="561" ht="15.75" customHeight="1" s="1349">
      <c r="C561" s="1340" t="n"/>
    </row>
    <row r="562" ht="15.75" customHeight="1" s="1349">
      <c r="C562" s="1340" t="n"/>
    </row>
    <row r="563" ht="15.75" customHeight="1" s="1349">
      <c r="C563" s="1340" t="n"/>
    </row>
    <row r="564" ht="15.75" customHeight="1" s="1349">
      <c r="C564" s="1340" t="n"/>
    </row>
    <row r="565" ht="15.75" customHeight="1" s="1349">
      <c r="C565" s="1340" t="n"/>
    </row>
    <row r="566" ht="15.75" customHeight="1" s="1349">
      <c r="C566" s="1340" t="n"/>
    </row>
    <row r="567" ht="15.75" customHeight="1" s="1349">
      <c r="C567" s="1340" t="n"/>
    </row>
    <row r="568" ht="15.75" customHeight="1" s="1349">
      <c r="C568" s="1340" t="n"/>
    </row>
    <row r="569" ht="15.75" customHeight="1" s="1349">
      <c r="C569" s="1340" t="n"/>
    </row>
    <row r="570" ht="15.75" customHeight="1" s="1349">
      <c r="C570" s="1340" t="n"/>
    </row>
    <row r="571" ht="15.75" customHeight="1" s="1349">
      <c r="C571" s="1340" t="n"/>
    </row>
    <row r="572" ht="15.75" customHeight="1" s="1349">
      <c r="C572" s="1340" t="n"/>
    </row>
    <row r="573" ht="15.75" customHeight="1" s="1349">
      <c r="C573" s="1340" t="n"/>
    </row>
    <row r="574" ht="15.75" customHeight="1" s="1349">
      <c r="C574" s="1340" t="n"/>
    </row>
    <row r="575" ht="15.75" customHeight="1" s="1349">
      <c r="C575" s="1340" t="n"/>
    </row>
    <row r="576" ht="15.75" customHeight="1" s="1349">
      <c r="C576" s="1340" t="n"/>
    </row>
    <row r="577" ht="15.75" customHeight="1" s="1349">
      <c r="C577" s="1340" t="n"/>
    </row>
    <row r="578" ht="15.75" customHeight="1" s="1349">
      <c r="C578" s="1340" t="n"/>
    </row>
    <row r="579" ht="15.75" customHeight="1" s="1349">
      <c r="C579" s="1340" t="n"/>
    </row>
    <row r="580" ht="15.75" customHeight="1" s="1349">
      <c r="C580" s="1340" t="n"/>
    </row>
    <row r="581" ht="15.75" customHeight="1" s="1349">
      <c r="C581" s="1340" t="n"/>
    </row>
    <row r="582" ht="15.75" customHeight="1" s="1349">
      <c r="C582" s="1340" t="n"/>
    </row>
    <row r="583" ht="15.75" customHeight="1" s="1349">
      <c r="C583" s="1340" t="n"/>
    </row>
    <row r="584" ht="15.75" customHeight="1" s="1349">
      <c r="C584" s="1340" t="n"/>
    </row>
    <row r="585" ht="15.75" customHeight="1" s="1349">
      <c r="C585" s="1340" t="n"/>
    </row>
    <row r="586" ht="15.75" customHeight="1" s="1349">
      <c r="C586" s="1340" t="n"/>
    </row>
    <row r="587" ht="15.75" customHeight="1" s="1349">
      <c r="C587" s="1340" t="n"/>
    </row>
    <row r="588" ht="15.75" customHeight="1" s="1349">
      <c r="C588" s="1340" t="n"/>
    </row>
    <row r="589" ht="15.75" customHeight="1" s="1349">
      <c r="C589" s="1340" t="n"/>
    </row>
    <row r="590" ht="15.75" customHeight="1" s="1349">
      <c r="C590" s="1340" t="n"/>
    </row>
    <row r="591" ht="15.75" customHeight="1" s="1349">
      <c r="C591" s="1340" t="n"/>
    </row>
    <row r="592" ht="15.75" customHeight="1" s="1349">
      <c r="C592" s="1340" t="n"/>
    </row>
    <row r="593" ht="15.75" customHeight="1" s="1349">
      <c r="C593" s="1340" t="n"/>
    </row>
    <row r="594" ht="15.75" customHeight="1" s="1349">
      <c r="C594" s="1340" t="n"/>
    </row>
    <row r="595" ht="15.75" customHeight="1" s="1349">
      <c r="C595" s="1340" t="n"/>
    </row>
    <row r="596" ht="15.75" customHeight="1" s="1349">
      <c r="C596" s="1340" t="n"/>
    </row>
    <row r="597" ht="15.75" customHeight="1" s="1349">
      <c r="C597" s="1340" t="n"/>
    </row>
    <row r="598" ht="15.75" customHeight="1" s="1349">
      <c r="C598" s="1340" t="n"/>
    </row>
    <row r="599" ht="15.75" customHeight="1" s="1349">
      <c r="C599" s="1340" t="n"/>
    </row>
    <row r="600" ht="15.75" customHeight="1" s="1349">
      <c r="C600" s="1340" t="n"/>
    </row>
    <row r="601" ht="15.75" customHeight="1" s="1349">
      <c r="C601" s="1340" t="n"/>
    </row>
    <row r="602" ht="15.75" customHeight="1" s="1349">
      <c r="C602" s="1340" t="n"/>
    </row>
    <row r="603" ht="15.75" customHeight="1" s="1349">
      <c r="C603" s="1340" t="n"/>
    </row>
    <row r="604" ht="15.75" customHeight="1" s="1349">
      <c r="C604" s="1340" t="n"/>
    </row>
    <row r="605" ht="15.75" customHeight="1" s="1349">
      <c r="C605" s="1340" t="n"/>
    </row>
    <row r="606" ht="15.75" customHeight="1" s="1349">
      <c r="C606" s="1340" t="n"/>
    </row>
    <row r="607" ht="15.75" customHeight="1" s="1349">
      <c r="C607" s="1340" t="n"/>
    </row>
    <row r="608" ht="15.75" customHeight="1" s="1349">
      <c r="C608" s="1340" t="n"/>
    </row>
    <row r="609" ht="15.75" customHeight="1" s="1349">
      <c r="C609" s="1340" t="n"/>
    </row>
    <row r="610" ht="15.75" customHeight="1" s="1349">
      <c r="C610" s="1340" t="n"/>
    </row>
    <row r="611" ht="15.75" customHeight="1" s="1349">
      <c r="C611" s="1340" t="n"/>
    </row>
    <row r="612" ht="15.75" customHeight="1" s="1349">
      <c r="C612" s="1340" t="n"/>
    </row>
    <row r="613" ht="15.75" customHeight="1" s="1349">
      <c r="C613" s="1340" t="n"/>
    </row>
    <row r="614" ht="15.75" customHeight="1" s="1349">
      <c r="C614" s="1340" t="n"/>
    </row>
    <row r="615" ht="15.75" customHeight="1" s="1349">
      <c r="C615" s="1340" t="n"/>
    </row>
    <row r="616" ht="15.75" customHeight="1" s="1349">
      <c r="C616" s="1340" t="n"/>
    </row>
    <row r="617" ht="15.75" customHeight="1" s="1349">
      <c r="C617" s="1340" t="n"/>
    </row>
    <row r="618" ht="15.75" customHeight="1" s="1349">
      <c r="C618" s="1340" t="n"/>
    </row>
    <row r="619" ht="15.75" customHeight="1" s="1349">
      <c r="C619" s="1340" t="n"/>
    </row>
    <row r="620" ht="15.75" customHeight="1" s="1349">
      <c r="C620" s="1340" t="n"/>
    </row>
    <row r="621" ht="15.75" customHeight="1" s="1349">
      <c r="C621" s="1340" t="n"/>
    </row>
    <row r="622" ht="15.75" customHeight="1" s="1349">
      <c r="C622" s="1340" t="n"/>
    </row>
    <row r="623" ht="15.75" customHeight="1" s="1349">
      <c r="C623" s="1340" t="n"/>
    </row>
    <row r="624" ht="15.75" customHeight="1" s="1349">
      <c r="C624" s="1340" t="n"/>
    </row>
    <row r="625" ht="15.75" customHeight="1" s="1349">
      <c r="C625" s="1340" t="n"/>
    </row>
    <row r="626" ht="15.75" customHeight="1" s="1349">
      <c r="C626" s="1340" t="n"/>
    </row>
    <row r="627" ht="15.75" customHeight="1" s="1349">
      <c r="C627" s="1340" t="n"/>
    </row>
    <row r="628" ht="15.75" customHeight="1" s="1349">
      <c r="C628" s="1340" t="n"/>
    </row>
    <row r="629" ht="15.75" customHeight="1" s="1349">
      <c r="C629" s="1340" t="n"/>
    </row>
    <row r="630" ht="15.75" customHeight="1" s="1349">
      <c r="C630" s="1340" t="n"/>
    </row>
    <row r="631" ht="15.75" customHeight="1" s="1349">
      <c r="C631" s="1340" t="n"/>
    </row>
    <row r="632" ht="15.75" customHeight="1" s="1349">
      <c r="C632" s="1340" t="n"/>
    </row>
    <row r="633" ht="15.75" customHeight="1" s="1349">
      <c r="C633" s="1340" t="n"/>
    </row>
    <row r="634" ht="15.75" customHeight="1" s="1349">
      <c r="C634" s="1340" t="n"/>
    </row>
    <row r="635" ht="15.75" customHeight="1" s="1349">
      <c r="C635" s="1340" t="n"/>
    </row>
    <row r="636" ht="15.75" customHeight="1" s="1349">
      <c r="C636" s="1340" t="n"/>
    </row>
    <row r="637" ht="15.75" customHeight="1" s="1349">
      <c r="C637" s="1340" t="n"/>
    </row>
    <row r="638" ht="15.75" customHeight="1" s="1349">
      <c r="C638" s="1340" t="n"/>
    </row>
    <row r="639" ht="15.75" customHeight="1" s="1349">
      <c r="C639" s="1340" t="n"/>
    </row>
    <row r="640" ht="15.75" customHeight="1" s="1349">
      <c r="C640" s="1340" t="n"/>
    </row>
    <row r="641" ht="15.75" customHeight="1" s="1349">
      <c r="C641" s="1340" t="n"/>
    </row>
    <row r="642" ht="15.75" customHeight="1" s="1349">
      <c r="C642" s="1340" t="n"/>
    </row>
    <row r="643" ht="15.75" customHeight="1" s="1349">
      <c r="C643" s="1340" t="n"/>
    </row>
    <row r="644" ht="15.75" customHeight="1" s="1349">
      <c r="C644" s="1340" t="n"/>
    </row>
    <row r="645" ht="15.75" customHeight="1" s="1349">
      <c r="C645" s="1340" t="n"/>
    </row>
    <row r="646" ht="15.75" customHeight="1" s="1349">
      <c r="C646" s="1340" t="n"/>
    </row>
    <row r="647" ht="15.75" customHeight="1" s="1349">
      <c r="C647" s="1340" t="n"/>
    </row>
    <row r="648" ht="15.75" customHeight="1" s="1349">
      <c r="C648" s="1340" t="n"/>
    </row>
    <row r="649" ht="15.75" customHeight="1" s="1349">
      <c r="C649" s="1340" t="n"/>
    </row>
    <row r="650" ht="15.75" customHeight="1" s="1349">
      <c r="C650" s="1340" t="n"/>
    </row>
    <row r="651" ht="15.75" customHeight="1" s="1349">
      <c r="C651" s="1340" t="n"/>
    </row>
    <row r="652" ht="15.75" customHeight="1" s="1349">
      <c r="C652" s="1340" t="n"/>
    </row>
    <row r="653" ht="15.75" customHeight="1" s="1349">
      <c r="C653" s="1340" t="n"/>
    </row>
    <row r="654" ht="15.75" customHeight="1" s="1349">
      <c r="C654" s="1340" t="n"/>
    </row>
    <row r="655" ht="15.75" customHeight="1" s="1349">
      <c r="C655" s="1340" t="n"/>
    </row>
    <row r="656" ht="15.75" customHeight="1" s="1349">
      <c r="C656" s="1340" t="n"/>
    </row>
    <row r="657" ht="15.75" customHeight="1" s="1349">
      <c r="C657" s="1340" t="n"/>
    </row>
    <row r="658" ht="15.75" customHeight="1" s="1349">
      <c r="C658" s="1340" t="n"/>
    </row>
    <row r="659" ht="15.75" customHeight="1" s="1349">
      <c r="C659" s="1340" t="n"/>
    </row>
    <row r="660" ht="15.75" customHeight="1" s="1349">
      <c r="C660" s="1340" t="n"/>
    </row>
    <row r="661" ht="15.75" customHeight="1" s="1349">
      <c r="C661" s="1340" t="n"/>
    </row>
    <row r="662" ht="15.75" customHeight="1" s="1349">
      <c r="C662" s="1340" t="n"/>
    </row>
    <row r="663" ht="15.75" customHeight="1" s="1349">
      <c r="C663" s="1340" t="n"/>
    </row>
    <row r="664" ht="15.75" customHeight="1" s="1349">
      <c r="C664" s="1340" t="n"/>
    </row>
    <row r="665" ht="15.75" customHeight="1" s="1349">
      <c r="C665" s="1340" t="n"/>
    </row>
    <row r="666" ht="15.75" customHeight="1" s="1349">
      <c r="C666" s="1340" t="n"/>
    </row>
    <row r="667" ht="15.75" customHeight="1" s="1349">
      <c r="C667" s="1340" t="n"/>
    </row>
    <row r="668" ht="15.75" customHeight="1" s="1349">
      <c r="C668" s="1340" t="n"/>
    </row>
    <row r="669" ht="15.75" customHeight="1" s="1349">
      <c r="C669" s="1340" t="n"/>
    </row>
    <row r="670" ht="15.75" customHeight="1" s="1349">
      <c r="C670" s="1340" t="n"/>
    </row>
    <row r="671" ht="15.75" customHeight="1" s="1349">
      <c r="C671" s="1340" t="n"/>
    </row>
    <row r="672" ht="15.75" customHeight="1" s="1349">
      <c r="C672" s="1340" t="n"/>
    </row>
    <row r="673" ht="15.75" customHeight="1" s="1349">
      <c r="C673" s="1340" t="n"/>
    </row>
    <row r="674" ht="15.75" customHeight="1" s="1349">
      <c r="C674" s="1340" t="n"/>
    </row>
    <row r="675" ht="15.75" customHeight="1" s="1349">
      <c r="C675" s="1340" t="n"/>
    </row>
    <row r="676" ht="15.75" customHeight="1" s="1349">
      <c r="C676" s="1340" t="n"/>
    </row>
    <row r="677" ht="15.75" customHeight="1" s="1349">
      <c r="C677" s="1340" t="n"/>
    </row>
    <row r="678" ht="15.75" customHeight="1" s="1349">
      <c r="C678" s="1340" t="n"/>
    </row>
    <row r="679" ht="15.75" customHeight="1" s="1349">
      <c r="C679" s="1340" t="n"/>
    </row>
    <row r="680" ht="15.75" customHeight="1" s="1349">
      <c r="C680" s="1340" t="n"/>
    </row>
    <row r="681" ht="15.75" customHeight="1" s="1349">
      <c r="C681" s="1340" t="n"/>
    </row>
    <row r="682" ht="15.75" customHeight="1" s="1349">
      <c r="C682" s="1340" t="n"/>
    </row>
    <row r="683" ht="15.75" customHeight="1" s="1349">
      <c r="C683" s="1340" t="n"/>
    </row>
    <row r="684" ht="15.75" customHeight="1" s="1349">
      <c r="C684" s="1340" t="n"/>
    </row>
    <row r="685" ht="15.75" customHeight="1" s="1349">
      <c r="C685" s="1340" t="n"/>
    </row>
    <row r="686" ht="15.75" customHeight="1" s="1349">
      <c r="C686" s="1340" t="n"/>
    </row>
    <row r="687" ht="15.75" customHeight="1" s="1349">
      <c r="C687" s="1340" t="n"/>
    </row>
    <row r="688" ht="15.75" customHeight="1" s="1349">
      <c r="C688" s="1340" t="n"/>
    </row>
    <row r="689" ht="15.75" customHeight="1" s="1349">
      <c r="C689" s="1340" t="n"/>
    </row>
    <row r="690" ht="15.75" customHeight="1" s="1349">
      <c r="C690" s="1340" t="n"/>
    </row>
    <row r="691" ht="15.75" customHeight="1" s="1349">
      <c r="C691" s="1340" t="n"/>
    </row>
    <row r="692" ht="15.75" customHeight="1" s="1349">
      <c r="C692" s="1340" t="n"/>
    </row>
    <row r="693" ht="15.75" customHeight="1" s="1349">
      <c r="C693" s="1340" t="n"/>
    </row>
    <row r="694" ht="15.75" customHeight="1" s="1349">
      <c r="C694" s="1340" t="n"/>
    </row>
    <row r="695" ht="15.75" customHeight="1" s="1349">
      <c r="C695" s="1340" t="n"/>
    </row>
    <row r="696" ht="15.75" customHeight="1" s="1349">
      <c r="C696" s="1340" t="n"/>
    </row>
    <row r="697" ht="15.75" customHeight="1" s="1349">
      <c r="C697" s="1340" t="n"/>
    </row>
    <row r="698" ht="15.75" customHeight="1" s="1349">
      <c r="C698" s="1340" t="n"/>
    </row>
    <row r="699" ht="15.75" customHeight="1" s="1349">
      <c r="C699" s="1340" t="n"/>
    </row>
    <row r="700" ht="15.75" customHeight="1" s="1349">
      <c r="C700" s="1340" t="n"/>
    </row>
    <row r="701" ht="15.75" customHeight="1" s="1349">
      <c r="C701" s="1340" t="n"/>
    </row>
    <row r="702" ht="15.75" customHeight="1" s="1349">
      <c r="C702" s="1340" t="n"/>
    </row>
    <row r="703" ht="15.75" customHeight="1" s="1349">
      <c r="C703" s="1340" t="n"/>
    </row>
    <row r="704" ht="15.75" customHeight="1" s="1349">
      <c r="C704" s="1340" t="n"/>
    </row>
    <row r="705" ht="15.75" customHeight="1" s="1349">
      <c r="C705" s="1340" t="n"/>
    </row>
    <row r="706" ht="15.75" customHeight="1" s="1349">
      <c r="C706" s="1340" t="n"/>
    </row>
    <row r="707" ht="15.75" customHeight="1" s="1349">
      <c r="C707" s="1340" t="n"/>
    </row>
    <row r="708" ht="15.75" customHeight="1" s="1349">
      <c r="C708" s="1340" t="n"/>
    </row>
    <row r="709" ht="15.75" customHeight="1" s="1349">
      <c r="C709" s="1340" t="n"/>
    </row>
    <row r="710" ht="15.75" customHeight="1" s="1349">
      <c r="C710" s="1340" t="n"/>
    </row>
    <row r="711" ht="15.75" customHeight="1" s="1349">
      <c r="C711" s="1340" t="n"/>
    </row>
    <row r="712" ht="15.75" customHeight="1" s="1349">
      <c r="C712" s="1340" t="n"/>
    </row>
    <row r="713" ht="15.75" customHeight="1" s="1349">
      <c r="C713" s="1340" t="n"/>
    </row>
    <row r="714" ht="15.75" customHeight="1" s="1349">
      <c r="C714" s="1340" t="n"/>
    </row>
    <row r="715" ht="15.75" customHeight="1" s="1349">
      <c r="C715" s="1340" t="n"/>
    </row>
    <row r="716" ht="15.75" customHeight="1" s="1349">
      <c r="C716" s="1340" t="n"/>
    </row>
    <row r="717" ht="15.75" customHeight="1" s="1349">
      <c r="C717" s="1340" t="n"/>
    </row>
    <row r="718" ht="15.75" customHeight="1" s="1349">
      <c r="C718" s="1340" t="n"/>
    </row>
    <row r="719" ht="15.75" customHeight="1" s="1349">
      <c r="C719" s="1340" t="n"/>
    </row>
    <row r="720" ht="15.75" customHeight="1" s="1349">
      <c r="C720" s="1340" t="n"/>
    </row>
    <row r="721" ht="15.75" customHeight="1" s="1349">
      <c r="C721" s="1340" t="n"/>
    </row>
    <row r="722" ht="15.75" customHeight="1" s="1349">
      <c r="C722" s="1340" t="n"/>
    </row>
    <row r="723" ht="15.75" customHeight="1" s="1349">
      <c r="C723" s="1340" t="n"/>
    </row>
    <row r="724" ht="15.75" customHeight="1" s="1349">
      <c r="C724" s="1340" t="n"/>
    </row>
    <row r="725" ht="15.75" customHeight="1" s="1349">
      <c r="C725" s="1340" t="n"/>
    </row>
    <row r="726" ht="15.75" customHeight="1" s="1349">
      <c r="C726" s="1340" t="n"/>
    </row>
    <row r="727" ht="15.75" customHeight="1" s="1349">
      <c r="C727" s="1340" t="n"/>
    </row>
    <row r="728" ht="15.75" customHeight="1" s="1349">
      <c r="C728" s="1340" t="n"/>
    </row>
    <row r="729" ht="15.75" customHeight="1" s="1349">
      <c r="C729" s="1340" t="n"/>
    </row>
    <row r="730" ht="15.75" customHeight="1" s="1349">
      <c r="C730" s="1340" t="n"/>
    </row>
    <row r="731" ht="15.75" customHeight="1" s="1349">
      <c r="C731" s="1340" t="n"/>
    </row>
    <row r="732" ht="15.75" customHeight="1" s="1349">
      <c r="C732" s="1340" t="n"/>
    </row>
    <row r="733" ht="15.75" customHeight="1" s="1349">
      <c r="C733" s="1340" t="n"/>
    </row>
    <row r="734" ht="15.75" customHeight="1" s="1349">
      <c r="C734" s="1340" t="n"/>
    </row>
    <row r="735" ht="15.75" customHeight="1" s="1349">
      <c r="C735" s="1340" t="n"/>
    </row>
    <row r="736" ht="15.75" customHeight="1" s="1349">
      <c r="C736" s="1340" t="n"/>
    </row>
    <row r="737" ht="15.75" customHeight="1" s="1349">
      <c r="C737" s="1340" t="n"/>
    </row>
    <row r="738" ht="15.75" customHeight="1" s="1349">
      <c r="C738" s="1340" t="n"/>
    </row>
    <row r="739" ht="15.75" customHeight="1" s="1349">
      <c r="C739" s="1340" t="n"/>
    </row>
    <row r="740" ht="15.75" customHeight="1" s="1349">
      <c r="C740" s="1340" t="n"/>
    </row>
    <row r="741" ht="15.75" customHeight="1" s="1349">
      <c r="C741" s="1340" t="n"/>
    </row>
    <row r="742" ht="15.75" customHeight="1" s="1349">
      <c r="C742" s="1340" t="n"/>
    </row>
    <row r="743" ht="15.75" customHeight="1" s="1349">
      <c r="C743" s="1340" t="n"/>
    </row>
    <row r="744" ht="15.75" customHeight="1" s="1349">
      <c r="C744" s="1340" t="n"/>
    </row>
    <row r="745" ht="15.75" customHeight="1" s="1349">
      <c r="C745" s="1340" t="n"/>
    </row>
    <row r="746" ht="15.75" customHeight="1" s="1349">
      <c r="C746" s="1340" t="n"/>
    </row>
    <row r="747" ht="15.75" customHeight="1" s="1349">
      <c r="C747" s="1340" t="n"/>
    </row>
    <row r="748" ht="15.75" customHeight="1" s="1349">
      <c r="C748" s="1340" t="n"/>
    </row>
    <row r="749" ht="15.75" customHeight="1" s="1349">
      <c r="C749" s="1340" t="n"/>
    </row>
    <row r="750" ht="15.75" customHeight="1" s="1349">
      <c r="C750" s="1340" t="n"/>
    </row>
    <row r="751" ht="15.75" customHeight="1" s="1349">
      <c r="C751" s="1340" t="n"/>
    </row>
    <row r="752" ht="15.75" customHeight="1" s="1349">
      <c r="C752" s="1340" t="n"/>
    </row>
    <row r="753" ht="15.75" customHeight="1" s="1349">
      <c r="C753" s="1340" t="n"/>
    </row>
    <row r="754" ht="15.75" customHeight="1" s="1349">
      <c r="C754" s="1340" t="n"/>
    </row>
    <row r="755" ht="15.75" customHeight="1" s="1349">
      <c r="C755" s="1340" t="n"/>
    </row>
    <row r="756" ht="15.75" customHeight="1" s="1349">
      <c r="C756" s="1340" t="n"/>
    </row>
    <row r="757" ht="15.75" customHeight="1" s="1349">
      <c r="C757" s="1340" t="n"/>
    </row>
    <row r="758" ht="15.75" customHeight="1" s="1349">
      <c r="C758" s="1340" t="n"/>
    </row>
    <row r="759" ht="15.75" customHeight="1" s="1349">
      <c r="C759" s="1340" t="n"/>
    </row>
    <row r="760" ht="15.75" customHeight="1" s="1349">
      <c r="C760" s="1340" t="n"/>
    </row>
    <row r="761" ht="15.75" customHeight="1" s="1349">
      <c r="C761" s="1340" t="n"/>
    </row>
    <row r="762" ht="15.75" customHeight="1" s="1349">
      <c r="C762" s="1340" t="n"/>
    </row>
    <row r="763" ht="15.75" customHeight="1" s="1349">
      <c r="C763" s="1340" t="n"/>
    </row>
    <row r="764" ht="15.75" customHeight="1" s="1349">
      <c r="C764" s="1340" t="n"/>
    </row>
    <row r="765" ht="15.75" customHeight="1" s="1349">
      <c r="C765" s="1340" t="n"/>
    </row>
    <row r="766" ht="15.75" customHeight="1" s="1349">
      <c r="C766" s="1340" t="n"/>
    </row>
    <row r="767" ht="15.75" customHeight="1" s="1349">
      <c r="C767" s="1340" t="n"/>
    </row>
    <row r="768" ht="15.75" customHeight="1" s="1349">
      <c r="C768" s="1340" t="n"/>
    </row>
    <row r="769" ht="15.75" customHeight="1" s="1349">
      <c r="C769" s="1340" t="n"/>
    </row>
    <row r="770" ht="15.75" customHeight="1" s="1349">
      <c r="C770" s="1340" t="n"/>
    </row>
    <row r="771" ht="15.75" customHeight="1" s="1349">
      <c r="C771" s="1340" t="n"/>
    </row>
    <row r="772" ht="15.75" customHeight="1" s="1349">
      <c r="C772" s="1340" t="n"/>
    </row>
    <row r="773" ht="15.75" customHeight="1" s="1349">
      <c r="C773" s="1340" t="n"/>
    </row>
    <row r="774" ht="15.75" customHeight="1" s="1349">
      <c r="C774" s="1340" t="n"/>
    </row>
    <row r="775" ht="15.75" customHeight="1" s="1349">
      <c r="C775" s="1340" t="n"/>
    </row>
    <row r="776" ht="15.75" customHeight="1" s="1349">
      <c r="C776" s="1340" t="n"/>
    </row>
    <row r="777" ht="15.75" customHeight="1" s="1349">
      <c r="C777" s="1340" t="n"/>
    </row>
    <row r="778" ht="15.75" customHeight="1" s="1349">
      <c r="C778" s="1340" t="n"/>
    </row>
    <row r="779" ht="15.75" customHeight="1" s="1349">
      <c r="C779" s="1340" t="n"/>
    </row>
    <row r="780" ht="15.75" customHeight="1" s="1349">
      <c r="C780" s="1340" t="n"/>
    </row>
    <row r="781" ht="15.75" customHeight="1" s="1349">
      <c r="C781" s="1340" t="n"/>
    </row>
    <row r="782" ht="15.75" customHeight="1" s="1349">
      <c r="C782" s="1340" t="n"/>
    </row>
    <row r="783" ht="15.75" customHeight="1" s="1349">
      <c r="C783" s="1340" t="n"/>
    </row>
    <row r="784" ht="15.75" customHeight="1" s="1349">
      <c r="C784" s="1340" t="n"/>
    </row>
    <row r="785" ht="15.75" customHeight="1" s="1349">
      <c r="C785" s="1340" t="n"/>
    </row>
    <row r="786" ht="15.75" customHeight="1" s="1349">
      <c r="C786" s="1340" t="n"/>
    </row>
    <row r="787" ht="15.75" customHeight="1" s="1349">
      <c r="C787" s="1340" t="n"/>
    </row>
    <row r="788" ht="15.75" customHeight="1" s="1349">
      <c r="C788" s="1340" t="n"/>
    </row>
    <row r="789" ht="15.75" customHeight="1" s="1349">
      <c r="C789" s="1340" t="n"/>
    </row>
    <row r="790" ht="15.75" customHeight="1" s="1349">
      <c r="C790" s="1340" t="n"/>
    </row>
    <row r="791" ht="15.75" customHeight="1" s="1349">
      <c r="C791" s="1340" t="n"/>
    </row>
    <row r="792" ht="15.75" customHeight="1" s="1349">
      <c r="C792" s="1340" t="n"/>
    </row>
    <row r="793" ht="15.75" customHeight="1" s="1349">
      <c r="C793" s="1340" t="n"/>
    </row>
    <row r="794" ht="15.75" customHeight="1" s="1349">
      <c r="C794" s="1340" t="n"/>
    </row>
    <row r="795" ht="15.75" customHeight="1" s="1349">
      <c r="C795" s="1340" t="n"/>
    </row>
    <row r="796" ht="15.75" customHeight="1" s="1349">
      <c r="C796" s="1340" t="n"/>
    </row>
    <row r="797" ht="15.75" customHeight="1" s="1349">
      <c r="C797" s="1340" t="n"/>
    </row>
    <row r="798" ht="15.75" customHeight="1" s="1349">
      <c r="C798" s="1340" t="n"/>
    </row>
    <row r="799" ht="15.75" customHeight="1" s="1349">
      <c r="C799" s="1340" t="n"/>
    </row>
    <row r="800" ht="15.75" customHeight="1" s="1349">
      <c r="C800" s="1340" t="n"/>
    </row>
    <row r="801" ht="15.75" customHeight="1" s="1349">
      <c r="C801" s="1340" t="n"/>
    </row>
    <row r="802" ht="15.75" customHeight="1" s="1349">
      <c r="C802" s="1340" t="n"/>
    </row>
    <row r="803" ht="15.75" customHeight="1" s="1349">
      <c r="C803" s="1340" t="n"/>
    </row>
    <row r="804" ht="15.75" customHeight="1" s="1349">
      <c r="C804" s="1340" t="n"/>
    </row>
    <row r="805" ht="15.75" customHeight="1" s="1349">
      <c r="C805" s="1340" t="n"/>
    </row>
    <row r="806" ht="15.75" customHeight="1" s="1349">
      <c r="C806" s="1340" t="n"/>
    </row>
    <row r="807" ht="15.75" customHeight="1" s="1349">
      <c r="C807" s="1340" t="n"/>
    </row>
    <row r="808" ht="15.75" customHeight="1" s="1349">
      <c r="C808" s="1340" t="n"/>
    </row>
    <row r="809" ht="15.75" customHeight="1" s="1349">
      <c r="C809" s="1340" t="n"/>
    </row>
    <row r="810" ht="15.75" customHeight="1" s="1349">
      <c r="C810" s="1340" t="n"/>
    </row>
    <row r="811" ht="15.75" customHeight="1" s="1349">
      <c r="C811" s="1340" t="n"/>
    </row>
    <row r="812" ht="15.75" customHeight="1" s="1349">
      <c r="C812" s="1340" t="n"/>
    </row>
    <row r="813" ht="15.75" customHeight="1" s="1349">
      <c r="C813" s="1340" t="n"/>
    </row>
    <row r="814" ht="15.75" customHeight="1" s="1349">
      <c r="C814" s="1340" t="n"/>
    </row>
    <row r="815" ht="15.75" customHeight="1" s="1349">
      <c r="C815" s="1340" t="n"/>
    </row>
    <row r="816" ht="15.75" customHeight="1" s="1349">
      <c r="C816" s="1340" t="n"/>
    </row>
    <row r="817" ht="15.75" customHeight="1" s="1349">
      <c r="C817" s="1340" t="n"/>
    </row>
    <row r="818" ht="15.75" customHeight="1" s="1349">
      <c r="C818" s="1340" t="n"/>
    </row>
    <row r="819" ht="15.75" customHeight="1" s="1349">
      <c r="C819" s="1340" t="n"/>
    </row>
    <row r="820" ht="15.75" customHeight="1" s="1349">
      <c r="C820" s="1340" t="n"/>
    </row>
    <row r="821" ht="15.75" customHeight="1" s="1349">
      <c r="C821" s="1340" t="n"/>
    </row>
    <row r="822" ht="15.75" customHeight="1" s="1349">
      <c r="C822" s="1340" t="n"/>
    </row>
    <row r="823" ht="15.75" customHeight="1" s="1349">
      <c r="C823" s="1340" t="n"/>
    </row>
    <row r="824" ht="15.75" customHeight="1" s="1349">
      <c r="C824" s="1340" t="n"/>
    </row>
    <row r="825" ht="15.75" customHeight="1" s="1349">
      <c r="C825" s="1340" t="n"/>
    </row>
    <row r="826" ht="15.75" customHeight="1" s="1349">
      <c r="C826" s="1340" t="n"/>
    </row>
    <row r="827" ht="15.75" customHeight="1" s="1349">
      <c r="C827" s="1340" t="n"/>
    </row>
    <row r="828" ht="15.75" customHeight="1" s="1349">
      <c r="C828" s="1340" t="n"/>
    </row>
    <row r="829" ht="15.75" customHeight="1" s="1349">
      <c r="C829" s="1340" t="n"/>
    </row>
    <row r="830" ht="15.75" customHeight="1" s="1349">
      <c r="C830" s="1340" t="n"/>
    </row>
    <row r="831" ht="15.75" customHeight="1" s="1349">
      <c r="C831" s="1340" t="n"/>
    </row>
    <row r="832" ht="15.75" customHeight="1" s="1349">
      <c r="C832" s="1340" t="n"/>
    </row>
    <row r="833" ht="15.75" customHeight="1" s="1349">
      <c r="C833" s="1340" t="n"/>
    </row>
    <row r="834" ht="15.75" customHeight="1" s="1349">
      <c r="C834" s="1340" t="n"/>
    </row>
    <row r="835" ht="15.75" customHeight="1" s="1349">
      <c r="C835" s="1340" t="n"/>
    </row>
    <row r="836" ht="15.75" customHeight="1" s="1349">
      <c r="C836" s="1340" t="n"/>
    </row>
    <row r="837" ht="15.75" customHeight="1" s="1349">
      <c r="C837" s="1340" t="n"/>
    </row>
    <row r="838" ht="15.75" customHeight="1" s="1349">
      <c r="C838" s="1340" t="n"/>
    </row>
    <row r="839" ht="15.75" customHeight="1" s="1349">
      <c r="C839" s="1340" t="n"/>
    </row>
    <row r="840" ht="15.75" customHeight="1" s="1349">
      <c r="C840" s="1340" t="n"/>
    </row>
    <row r="841" ht="15.75" customHeight="1" s="1349">
      <c r="C841" s="1340" t="n"/>
    </row>
    <row r="842" ht="15.75" customHeight="1" s="1349">
      <c r="C842" s="1340" t="n"/>
    </row>
    <row r="843" ht="15.75" customHeight="1" s="1349">
      <c r="C843" s="1340" t="n"/>
    </row>
    <row r="844" ht="15.75" customHeight="1" s="1349">
      <c r="C844" s="1340" t="n"/>
    </row>
    <row r="845" ht="15.75" customHeight="1" s="1349">
      <c r="C845" s="1340" t="n"/>
    </row>
    <row r="846" ht="15.75" customHeight="1" s="1349">
      <c r="C846" s="1340" t="n"/>
    </row>
    <row r="847" ht="15.75" customHeight="1" s="1349">
      <c r="C847" s="1340" t="n"/>
    </row>
    <row r="848" ht="15.75" customHeight="1" s="1349">
      <c r="C848" s="1340" t="n"/>
    </row>
    <row r="849" ht="15.75" customHeight="1" s="1349">
      <c r="C849" s="1340" t="n"/>
    </row>
    <row r="850" ht="15.75" customHeight="1" s="1349">
      <c r="C850" s="1340" t="n"/>
    </row>
    <row r="851" ht="15.75" customHeight="1" s="1349">
      <c r="C851" s="1340" t="n"/>
    </row>
    <row r="852" ht="15.75" customHeight="1" s="1349">
      <c r="C852" s="1340" t="n"/>
    </row>
    <row r="853" ht="15.75" customHeight="1" s="1349">
      <c r="C853" s="1340" t="n"/>
    </row>
    <row r="854" ht="15.75" customHeight="1" s="1349">
      <c r="C854" s="1340" t="n"/>
    </row>
    <row r="855" ht="15.75" customHeight="1" s="1349">
      <c r="C855" s="1340" t="n"/>
    </row>
    <row r="856" ht="15.75" customHeight="1" s="1349">
      <c r="C856" s="1340" t="n"/>
    </row>
    <row r="857" ht="15.75" customHeight="1" s="1349">
      <c r="C857" s="1340" t="n"/>
    </row>
    <row r="858" ht="15.75" customHeight="1" s="1349">
      <c r="C858" s="1340" t="n"/>
    </row>
    <row r="859" ht="15.75" customHeight="1" s="1349">
      <c r="C859" s="1340" t="n"/>
    </row>
    <row r="860" ht="15.75" customHeight="1" s="1349">
      <c r="C860" s="1340" t="n"/>
    </row>
    <row r="861" ht="15.75" customHeight="1" s="1349">
      <c r="C861" s="1340" t="n"/>
    </row>
    <row r="862" ht="15.75" customHeight="1" s="1349">
      <c r="C862" s="1340" t="n"/>
    </row>
    <row r="863" ht="15.75" customHeight="1" s="1349">
      <c r="C863" s="1340" t="n"/>
    </row>
    <row r="864" ht="15.75" customHeight="1" s="1349">
      <c r="C864" s="1340" t="n"/>
    </row>
    <row r="865" ht="15.75" customHeight="1" s="1349">
      <c r="C865" s="1340" t="n"/>
    </row>
    <row r="866" ht="15.75" customHeight="1" s="1349">
      <c r="C866" s="1340" t="n"/>
    </row>
    <row r="867" ht="15.75" customHeight="1" s="1349">
      <c r="C867" s="1340" t="n"/>
    </row>
    <row r="868" ht="15.75" customHeight="1" s="1349">
      <c r="C868" s="1340" t="n"/>
    </row>
    <row r="869" ht="15.75" customHeight="1" s="1349">
      <c r="C869" s="1340" t="n"/>
    </row>
    <row r="870" ht="15.75" customHeight="1" s="1349">
      <c r="C870" s="1340" t="n"/>
    </row>
    <row r="871" ht="15.75" customHeight="1" s="1349">
      <c r="C871" s="1340" t="n"/>
    </row>
    <row r="872" ht="15.75" customHeight="1" s="1349">
      <c r="C872" s="1340" t="n"/>
    </row>
    <row r="873" ht="15.75" customHeight="1" s="1349">
      <c r="C873" s="1340" t="n"/>
    </row>
    <row r="874" ht="15.75" customHeight="1" s="1349">
      <c r="C874" s="1340" t="n"/>
    </row>
    <row r="875" ht="15.75" customHeight="1" s="1349">
      <c r="C875" s="1340" t="n"/>
    </row>
    <row r="876" ht="15.75" customHeight="1" s="1349">
      <c r="C876" s="1340" t="n"/>
    </row>
    <row r="877" ht="15.75" customHeight="1" s="1349">
      <c r="C877" s="1340" t="n"/>
    </row>
    <row r="878" ht="15.75" customHeight="1" s="1349">
      <c r="C878" s="1340" t="n"/>
    </row>
    <row r="879" ht="15.75" customHeight="1" s="1349">
      <c r="C879" s="1340" t="n"/>
    </row>
    <row r="880" ht="15.75" customHeight="1" s="1349">
      <c r="C880" s="1340" t="n"/>
    </row>
    <row r="881" ht="15.75" customHeight="1" s="1349">
      <c r="C881" s="1340" t="n"/>
    </row>
    <row r="882" ht="15.75" customHeight="1" s="1349">
      <c r="C882" s="1340" t="n"/>
    </row>
    <row r="883" ht="15.75" customHeight="1" s="1349">
      <c r="C883" s="1340" t="n"/>
    </row>
    <row r="884" ht="15.75" customHeight="1" s="1349">
      <c r="C884" s="1340" t="n"/>
    </row>
    <row r="885" ht="15.75" customHeight="1" s="1349">
      <c r="C885" s="1340" t="n"/>
    </row>
    <row r="886" ht="15.75" customHeight="1" s="1349">
      <c r="C886" s="1340" t="n"/>
    </row>
    <row r="887" ht="15.75" customHeight="1" s="1349">
      <c r="C887" s="1340" t="n"/>
    </row>
    <row r="888" ht="15.75" customHeight="1" s="1349">
      <c r="C888" s="1340" t="n"/>
    </row>
    <row r="889" ht="15.75" customHeight="1" s="1349">
      <c r="C889" s="1340" t="n"/>
    </row>
    <row r="890" ht="15.75" customHeight="1" s="1349">
      <c r="C890" s="1340" t="n"/>
    </row>
    <row r="891" ht="15.75" customHeight="1" s="1349">
      <c r="C891" s="1340" t="n"/>
    </row>
    <row r="892" ht="15.75" customHeight="1" s="1349">
      <c r="C892" s="1340" t="n"/>
    </row>
    <row r="893" ht="15.75" customHeight="1" s="1349">
      <c r="C893" s="1340" t="n"/>
    </row>
    <row r="894" ht="15.75" customHeight="1" s="1349">
      <c r="C894" s="1340" t="n"/>
    </row>
    <row r="895" ht="15.75" customHeight="1" s="1349">
      <c r="C895" s="1340" t="n"/>
    </row>
    <row r="896" ht="15.75" customHeight="1" s="1349">
      <c r="C896" s="1340" t="n"/>
    </row>
    <row r="897" ht="15.75" customHeight="1" s="1349">
      <c r="C897" s="1340" t="n"/>
    </row>
    <row r="898" ht="15.75" customHeight="1" s="1349">
      <c r="C898" s="1340" t="n"/>
    </row>
    <row r="899" ht="15.75" customHeight="1" s="1349">
      <c r="C899" s="1340" t="n"/>
    </row>
    <row r="900" ht="15.75" customHeight="1" s="1349">
      <c r="C900" s="1340" t="n"/>
    </row>
    <row r="901" ht="15.75" customHeight="1" s="1349">
      <c r="C901" s="1340" t="n"/>
    </row>
    <row r="902" ht="15.75" customHeight="1" s="1349">
      <c r="C902" s="1340" t="n"/>
    </row>
    <row r="903" ht="15.75" customHeight="1" s="1349">
      <c r="C903" s="1340" t="n"/>
    </row>
    <row r="904" ht="15.75" customHeight="1" s="1349">
      <c r="C904" s="1340" t="n"/>
    </row>
    <row r="905" ht="15.75" customHeight="1" s="1349">
      <c r="C905" s="1340" t="n"/>
    </row>
    <row r="906" ht="15.75" customHeight="1" s="1349">
      <c r="C906" s="1340" t="n"/>
    </row>
    <row r="907" ht="15.75" customHeight="1" s="1349">
      <c r="C907" s="1340" t="n"/>
    </row>
    <row r="908" ht="15.75" customHeight="1" s="1349">
      <c r="C908" s="1340" t="n"/>
    </row>
    <row r="909" ht="15.75" customHeight="1" s="1349">
      <c r="C909" s="1340" t="n"/>
    </row>
    <row r="910" ht="15.75" customHeight="1" s="1349">
      <c r="C910" s="1340" t="n"/>
    </row>
    <row r="911" ht="15.75" customHeight="1" s="1349">
      <c r="C911" s="1340" t="n"/>
    </row>
    <row r="912" ht="15.75" customHeight="1" s="1349">
      <c r="C912" s="1340" t="n"/>
    </row>
    <row r="913" ht="15.75" customHeight="1" s="1349">
      <c r="C913" s="1340" t="n"/>
    </row>
    <row r="914" ht="15.75" customHeight="1" s="1349">
      <c r="C914" s="1340" t="n"/>
    </row>
    <row r="915" ht="15.75" customHeight="1" s="1349">
      <c r="C915" s="1340" t="n"/>
    </row>
    <row r="916" ht="15.75" customHeight="1" s="1349">
      <c r="C916" s="1340" t="n"/>
    </row>
    <row r="917" ht="15.75" customHeight="1" s="1349">
      <c r="C917" s="1340" t="n"/>
    </row>
    <row r="918" ht="15.75" customHeight="1" s="1349">
      <c r="C918" s="1340" t="n"/>
    </row>
    <row r="919" ht="15.75" customHeight="1" s="1349">
      <c r="C919" s="1340" t="n"/>
    </row>
    <row r="920" ht="15.75" customHeight="1" s="1349">
      <c r="C920" s="1340" t="n"/>
    </row>
    <row r="921" ht="15.75" customHeight="1" s="1349">
      <c r="C921" s="1340" t="n"/>
    </row>
    <row r="922" ht="15.75" customHeight="1" s="1349">
      <c r="C922" s="1340" t="n"/>
    </row>
    <row r="923" ht="15.75" customHeight="1" s="1349">
      <c r="C923" s="1340" t="n"/>
    </row>
    <row r="924" ht="15.75" customHeight="1" s="1349">
      <c r="C924" s="1340" t="n"/>
    </row>
    <row r="925" ht="15.75" customHeight="1" s="1349">
      <c r="C925" s="1340" t="n"/>
    </row>
    <row r="926" ht="15.75" customHeight="1" s="1349">
      <c r="C926" s="1340" t="n"/>
    </row>
    <row r="927" ht="15.75" customHeight="1" s="1349">
      <c r="C927" s="1340" t="n"/>
    </row>
    <row r="928" ht="15.75" customHeight="1" s="1349">
      <c r="C928" s="1340" t="n"/>
    </row>
    <row r="929" ht="15.75" customHeight="1" s="1349">
      <c r="C929" s="1340" t="n"/>
    </row>
    <row r="930" ht="15.75" customHeight="1" s="1349">
      <c r="C930" s="1340" t="n"/>
    </row>
    <row r="931" ht="15.75" customHeight="1" s="1349">
      <c r="C931" s="1340" t="n"/>
    </row>
    <row r="932" ht="15.75" customHeight="1" s="1349">
      <c r="C932" s="1340" t="n"/>
    </row>
    <row r="933" ht="15.75" customHeight="1" s="1349">
      <c r="C933" s="1340" t="n"/>
    </row>
    <row r="934" ht="15.75" customHeight="1" s="1349">
      <c r="C934" s="1340" t="n"/>
    </row>
    <row r="935" ht="15.75" customHeight="1" s="1349">
      <c r="C935" s="1340" t="n"/>
    </row>
    <row r="936" ht="15.75" customHeight="1" s="1349">
      <c r="C936" s="1340" t="n"/>
    </row>
    <row r="937" ht="15.75" customHeight="1" s="1349">
      <c r="C937" s="1340" t="n"/>
    </row>
    <row r="938" ht="15.75" customHeight="1" s="1349">
      <c r="C938" s="1340" t="n"/>
    </row>
    <row r="939" ht="15.75" customHeight="1" s="1349">
      <c r="C939" s="1340" t="n"/>
    </row>
    <row r="940" ht="15.75" customHeight="1" s="1349">
      <c r="C940" s="1340" t="n"/>
    </row>
    <row r="941" ht="15.75" customHeight="1" s="1349">
      <c r="C941" s="1340" t="n"/>
    </row>
    <row r="942" ht="15.75" customHeight="1" s="1349">
      <c r="C942" s="1340" t="n"/>
    </row>
    <row r="943" ht="15.75" customHeight="1" s="1349">
      <c r="C943" s="1340" t="n"/>
    </row>
    <row r="944" ht="15.75" customHeight="1" s="1349">
      <c r="C944" s="1340" t="n"/>
    </row>
    <row r="945" ht="15.75" customHeight="1" s="1349">
      <c r="C945" s="1340" t="n"/>
    </row>
    <row r="946" ht="15.75" customHeight="1" s="1349">
      <c r="C946" s="1340" t="n"/>
    </row>
    <row r="947" ht="15.75" customHeight="1" s="1349">
      <c r="C947" s="1340" t="n"/>
    </row>
    <row r="948" ht="15.75" customHeight="1" s="1349">
      <c r="C948" s="1340" t="n"/>
    </row>
    <row r="949" ht="15.75" customHeight="1" s="1349">
      <c r="C949" s="1340" t="n"/>
    </row>
    <row r="950" ht="15.75" customHeight="1" s="1349">
      <c r="C950" s="1340" t="n"/>
    </row>
    <row r="951" ht="15.75" customHeight="1" s="1349">
      <c r="C951" s="1340" t="n"/>
    </row>
    <row r="952" ht="15.75" customHeight="1" s="1349">
      <c r="C952" s="1340" t="n"/>
    </row>
    <row r="953" ht="15.75" customHeight="1" s="1349">
      <c r="C953" s="1340" t="n"/>
    </row>
    <row r="954" ht="15.75" customHeight="1" s="1349">
      <c r="C954" s="1340" t="n"/>
    </row>
    <row r="955" ht="15.75" customHeight="1" s="1349">
      <c r="C955" s="1340" t="n"/>
    </row>
    <row r="956" ht="15.75" customHeight="1" s="1349">
      <c r="C956" s="1340" t="n"/>
    </row>
    <row r="957" ht="15.75" customHeight="1" s="1349">
      <c r="C957" s="1340" t="n"/>
    </row>
    <row r="958" ht="15.75" customHeight="1" s="1349">
      <c r="C958" s="1340" t="n"/>
    </row>
    <row r="959" ht="15.75" customHeight="1" s="1349">
      <c r="C959" s="1340" t="n"/>
    </row>
    <row r="960" ht="15.75" customHeight="1" s="1349">
      <c r="C960" s="1340" t="n"/>
    </row>
    <row r="961" ht="15.75" customHeight="1" s="1349">
      <c r="C961" s="1340" t="n"/>
    </row>
    <row r="962" ht="15.75" customHeight="1" s="1349">
      <c r="C962" s="1340" t="n"/>
    </row>
    <row r="963" ht="15.75" customHeight="1" s="1349">
      <c r="C963" s="1340" t="n"/>
    </row>
    <row r="964" ht="15.75" customHeight="1" s="1349">
      <c r="C964" s="1340" t="n"/>
    </row>
    <row r="965" ht="15.75" customHeight="1" s="1349">
      <c r="C965" s="1340" t="n"/>
    </row>
    <row r="966" ht="15.75" customHeight="1" s="1349">
      <c r="C966" s="1340" t="n"/>
    </row>
    <row r="967" ht="15.75" customHeight="1" s="1349">
      <c r="C967" s="1340" t="n"/>
    </row>
    <row r="968" ht="15.75" customHeight="1" s="1349">
      <c r="C968" s="1340" t="n"/>
    </row>
    <row r="969" ht="15.75" customHeight="1" s="1349">
      <c r="C969" s="1340" t="n"/>
    </row>
    <row r="970" ht="15.75" customHeight="1" s="1349">
      <c r="C970" s="1340" t="n"/>
    </row>
    <row r="971" ht="15.75" customHeight="1" s="1349">
      <c r="C971" s="1340" t="n"/>
    </row>
    <row r="972" ht="15.75" customHeight="1" s="1349">
      <c r="C972" s="1340" t="n"/>
    </row>
    <row r="973" ht="15.75" customHeight="1" s="1349">
      <c r="C973" s="1340" t="n"/>
    </row>
    <row r="974" ht="15.75" customHeight="1" s="1349">
      <c r="C974" s="1340" t="n"/>
    </row>
    <row r="975" ht="15.75" customHeight="1" s="1349">
      <c r="C975" s="1340" t="n"/>
    </row>
    <row r="976" ht="15.75" customHeight="1" s="1349">
      <c r="C976" s="1341" t="n"/>
    </row>
  </sheetData>
  <dataValidations count="1">
    <dataValidation sqref="D3:D92" showDropDown="0" showInputMessage="0" showErrorMessage="0" allowBlank="1" type="list">
      <formula1>"Esgotado,poucas unidades,não temos"</formula1>
    </dataValidation>
  </dataValidations>
  <pageMargins left="0.511811024" right="0.511811024" top="0.787401575" bottom="0.7874015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D3:M5"/>
  <sheetViews>
    <sheetView workbookViewId="0">
      <selection activeCell="A1" sqref="A1"/>
    </sheetView>
  </sheetViews>
  <sheetFormatPr baseColWidth="8" defaultColWidth="11.22" defaultRowHeight="15" customHeight="1"/>
  <cols>
    <col width="18.44" customWidth="1" style="1349" min="1" max="1"/>
    <col width="10.56" customWidth="1" style="1349" min="2" max="2"/>
    <col width="3.33" customWidth="1" style="1349" min="3" max="3"/>
    <col width="13.67" customWidth="1" style="1349" min="4" max="4"/>
    <col width="10.56" customWidth="1" style="1349" min="5" max="5"/>
    <col width="12.56" customWidth="1" style="1349" min="6" max="6"/>
    <col width="10.56" customWidth="1" style="1349" min="7" max="8"/>
    <col width="16.11" customWidth="1" style="1349" min="9" max="9"/>
    <col width="16.44" customWidth="1" style="1349" min="10" max="10"/>
    <col width="16" customWidth="1" style="1349" min="11" max="11"/>
    <col width="25.44" customWidth="1" style="1349" min="12" max="12"/>
    <col width="10.56" customWidth="1" style="1349" min="13" max="26"/>
  </cols>
  <sheetData>
    <row r="1" ht="15.75" customHeight="1" s="1349"/>
    <row r="2" ht="15.75" customHeight="1" s="1349"/>
    <row r="3" ht="15.75" customHeight="1" s="1349">
      <c r="D3" s="1342" t="inlineStr">
        <is>
          <t>Produto</t>
        </is>
      </c>
      <c r="E3" s="1342" t="inlineStr">
        <is>
          <t>Receita (R$)</t>
        </is>
      </c>
      <c r="F3" s="1342" t="inlineStr">
        <is>
          <t>Gasto Ads (R$)</t>
        </is>
      </c>
      <c r="G3" s="1342" t="inlineStr">
        <is>
          <t>ROAS Atual</t>
        </is>
      </c>
      <c r="H3" s="1342" t="inlineStr">
        <is>
          <t>ACOS Atual (%)</t>
        </is>
      </c>
      <c r="I3" s="1342" t="inlineStr">
        <is>
          <t>Margem Líquida (%)</t>
        </is>
      </c>
      <c r="J3" s="1342" t="inlineStr">
        <is>
          <t>ROAS Mínimo Aceitável</t>
        </is>
      </c>
      <c r="K3" s="1342" t="inlineStr">
        <is>
          <t>Lucro antes Ads (R$)</t>
        </is>
      </c>
      <c r="L3" s="1342" t="inlineStr">
        <is>
          <t>Resultado Final (Prejuizo / Lucro)</t>
        </is>
      </c>
      <c r="M3" s="753" t="n"/>
    </row>
    <row r="4" ht="15.75" customHeight="1" s="1349">
      <c r="D4" s="1343" t="inlineStr">
        <is>
          <t>arame bwg18</t>
        </is>
      </c>
      <c r="E4" s="1344" t="n">
        <v>1076</v>
      </c>
      <c r="F4" s="1344" t="n">
        <v>129.25</v>
      </c>
      <c r="G4" s="1345">
        <f>E4/F4</f>
        <v/>
      </c>
      <c r="H4" s="1345">
        <f>F4/E4*100</f>
        <v/>
      </c>
      <c r="I4" s="1346" t="n">
        <v>8.859999999999999</v>
      </c>
      <c r="J4" s="1345">
        <f>1/(I4/100)</f>
        <v/>
      </c>
      <c r="K4" s="1347">
        <f>E4*(I4/100)</f>
        <v/>
      </c>
      <c r="L4" s="1348">
        <f>(E4*(I4/100))-F4</f>
        <v/>
      </c>
    </row>
    <row r="5" ht="15.75" customHeight="1" s="1349">
      <c r="D5" s="753" t="n"/>
      <c r="E5" s="753" t="n"/>
    </row>
    <row r="6" ht="15.75" customHeight="1" s="1349"/>
    <row r="7" ht="15.75" customHeight="1" s="1349"/>
    <row r="8" ht="15.75" customHeight="1" s="1349"/>
    <row r="9" ht="15.75" customHeight="1" s="1349"/>
    <row r="10" ht="15.75" customHeight="1" s="1349"/>
    <row r="11" ht="15.75" customHeight="1" s="1349"/>
    <row r="12" ht="15.75" customHeight="1" s="1349"/>
    <row r="13" ht="15.75" customHeight="1" s="1349"/>
    <row r="14" ht="15.75" customHeight="1" s="1349"/>
    <row r="15" ht="15.75" customHeight="1" s="1349"/>
    <row r="16" ht="15.75" customHeight="1" s="1349"/>
    <row r="17" ht="15.75" customHeight="1" s="1349"/>
    <row r="18" ht="15.75" customHeight="1" s="1349"/>
    <row r="19" ht="15.75" customHeight="1" s="1349"/>
    <row r="20" ht="15.75" customHeight="1" s="1349"/>
    <row r="21" ht="15.75" customHeight="1" s="1349"/>
    <row r="22" ht="15.75" customHeight="1" s="1349"/>
    <row r="23" ht="15.75" customHeight="1" s="1349"/>
    <row r="24" ht="15.75" customHeight="1" s="1349"/>
    <row r="25" ht="15.75" customHeight="1" s="1349"/>
    <row r="26" ht="15.75" customHeight="1" s="1349"/>
    <row r="27" ht="15.75" customHeight="1" s="1349"/>
    <row r="28" ht="15.75" customHeight="1" s="1349"/>
    <row r="29" ht="15.75" customHeight="1" s="1349"/>
    <row r="30" ht="15.75" customHeight="1" s="1349"/>
    <row r="31" ht="15.75" customHeight="1" s="1349"/>
    <row r="32" ht="15.75" customHeight="1" s="1349"/>
    <row r="33" ht="15.75" customHeight="1" s="1349"/>
    <row r="34" ht="15.75" customHeight="1" s="1349"/>
    <row r="35" ht="15.75" customHeight="1" s="1349"/>
    <row r="36" ht="15.75" customHeight="1" s="1349"/>
    <row r="37" ht="15.75" customHeight="1" s="1349"/>
    <row r="38" ht="15.75" customHeight="1" s="1349"/>
    <row r="39" ht="15.75" customHeight="1" s="1349"/>
    <row r="40" ht="15.75" customHeight="1" s="1349"/>
    <row r="41" ht="15.75" customHeight="1" s="1349"/>
    <row r="42" ht="15.75" customHeight="1" s="1349"/>
    <row r="43" ht="15.75" customHeight="1" s="1349"/>
    <row r="44" ht="15.75" customHeight="1" s="1349"/>
    <row r="45" ht="15.75" customHeight="1" s="1349"/>
    <row r="46" ht="15.75" customHeight="1" s="1349"/>
    <row r="47" ht="15.75" customHeight="1" s="1349"/>
    <row r="48" ht="15.75" customHeight="1" s="1349"/>
    <row r="49" ht="15.75" customHeight="1" s="1349"/>
    <row r="50" ht="15.75" customHeight="1" s="1349"/>
    <row r="51" ht="15.75" customHeight="1" s="1349"/>
    <row r="52" ht="15.75" customHeight="1" s="1349"/>
    <row r="53" ht="15.75" customHeight="1" s="1349"/>
    <row r="54" ht="15.75" customHeight="1" s="1349"/>
    <row r="55" ht="15.75" customHeight="1" s="1349"/>
    <row r="56" ht="15.75" customHeight="1" s="1349"/>
    <row r="57" ht="15.75" customHeight="1" s="1349"/>
    <row r="58" ht="15.75" customHeight="1" s="1349"/>
    <row r="59" ht="15.75" customHeight="1" s="1349"/>
    <row r="60" ht="15.75" customHeight="1" s="1349"/>
    <row r="61" ht="15.75" customHeight="1" s="1349"/>
    <row r="62" ht="15.75" customHeight="1" s="1349"/>
    <row r="63" ht="15.75" customHeight="1" s="1349"/>
    <row r="64" ht="15.75" customHeight="1" s="1349"/>
    <row r="65" ht="15.75" customHeight="1" s="1349"/>
    <row r="66" ht="15.75" customHeight="1" s="1349"/>
    <row r="67" ht="15.75" customHeight="1" s="1349"/>
    <row r="68" ht="15.75" customHeight="1" s="1349"/>
    <row r="69" ht="15.75" customHeight="1" s="1349"/>
    <row r="70" ht="15.75" customHeight="1" s="1349"/>
    <row r="71" ht="15.75" customHeight="1" s="1349"/>
    <row r="72" ht="15.75" customHeight="1" s="1349"/>
    <row r="73" ht="15.75" customHeight="1" s="1349"/>
    <row r="74" ht="15.75" customHeight="1" s="1349"/>
    <row r="75" ht="15.75" customHeight="1" s="1349"/>
    <row r="76" ht="15.75" customHeight="1" s="1349"/>
    <row r="77" ht="15.75" customHeight="1" s="1349"/>
    <row r="78" ht="15.75" customHeight="1" s="1349"/>
    <row r="79" ht="15.75" customHeight="1" s="1349"/>
    <row r="80" ht="15.75" customHeight="1" s="1349"/>
    <row r="81" ht="15.75" customHeight="1" s="1349"/>
    <row r="82" ht="15.75" customHeight="1" s="1349"/>
    <row r="83" ht="15.75" customHeight="1" s="1349"/>
    <row r="84" ht="15.75" customHeight="1" s="1349"/>
    <row r="85" ht="15.75" customHeight="1" s="1349"/>
    <row r="86" ht="15.75" customHeight="1" s="1349"/>
    <row r="87" ht="15.75" customHeight="1" s="1349"/>
    <row r="88" ht="15.75" customHeight="1" s="1349"/>
    <row r="89" ht="15.75" customHeight="1" s="1349"/>
    <row r="90" ht="15.75" customHeight="1" s="1349"/>
    <row r="91" ht="15.75" customHeight="1" s="1349"/>
    <row r="92" ht="15.75" customHeight="1" s="1349"/>
    <row r="93" ht="15.75" customHeight="1" s="1349"/>
    <row r="94" ht="15.75" customHeight="1" s="1349"/>
    <row r="95" ht="15.75" customHeight="1" s="1349"/>
    <row r="96" ht="15.75" customHeight="1" s="1349"/>
    <row r="97" ht="15.75" customHeight="1" s="1349"/>
    <row r="98" ht="15.75" customHeight="1" s="1349"/>
    <row r="99" ht="15.75" customHeight="1" s="1349"/>
    <row r="100" ht="15.75" customHeight="1" s="1349"/>
    <row r="101" ht="15.75" customHeight="1" s="1349"/>
    <row r="102" ht="15.75" customHeight="1" s="1349"/>
    <row r="103" ht="15.75" customHeight="1" s="1349"/>
    <row r="104" ht="15.75" customHeight="1" s="1349"/>
    <row r="105" ht="15.75" customHeight="1" s="1349"/>
    <row r="106" ht="15.75" customHeight="1" s="1349"/>
    <row r="107" ht="15.75" customHeight="1" s="1349"/>
    <row r="108" ht="15.75" customHeight="1" s="1349"/>
    <row r="109" ht="15.75" customHeight="1" s="1349"/>
    <row r="110" ht="15.75" customHeight="1" s="1349"/>
    <row r="111" ht="15.75" customHeight="1" s="1349"/>
    <row r="112" ht="15.75" customHeight="1" s="1349"/>
    <row r="113" ht="15.75" customHeight="1" s="1349"/>
    <row r="114" ht="15.75" customHeight="1" s="1349"/>
    <row r="115" ht="15.75" customHeight="1" s="1349"/>
    <row r="116" ht="15.75" customHeight="1" s="1349"/>
    <row r="117" ht="15.75" customHeight="1" s="1349"/>
    <row r="118" ht="15.75" customHeight="1" s="1349"/>
    <row r="119" ht="15.75" customHeight="1" s="1349"/>
    <row r="120" ht="15.75" customHeight="1" s="1349"/>
    <row r="121" ht="15.75" customHeight="1" s="1349"/>
    <row r="122" ht="15.75" customHeight="1" s="1349"/>
    <row r="123" ht="15.75" customHeight="1" s="1349"/>
    <row r="124" ht="15.75" customHeight="1" s="1349"/>
    <row r="125" ht="15.75" customHeight="1" s="1349"/>
    <row r="126" ht="15.75" customHeight="1" s="1349"/>
    <row r="127" ht="15.75" customHeight="1" s="1349"/>
    <row r="128" ht="15.75" customHeight="1" s="1349"/>
    <row r="129" ht="15.75" customHeight="1" s="1349"/>
    <row r="130" ht="15.75" customHeight="1" s="1349"/>
    <row r="131" ht="15.75" customHeight="1" s="1349"/>
    <row r="132" ht="15.75" customHeight="1" s="1349"/>
    <row r="133" ht="15.75" customHeight="1" s="1349"/>
    <row r="134" ht="15.75" customHeight="1" s="1349"/>
    <row r="135" ht="15.75" customHeight="1" s="1349"/>
    <row r="136" ht="15.75" customHeight="1" s="1349"/>
    <row r="137" ht="15.75" customHeight="1" s="1349"/>
    <row r="138" ht="15.75" customHeight="1" s="1349"/>
    <row r="139" ht="15.75" customHeight="1" s="1349"/>
    <row r="140" ht="15.75" customHeight="1" s="1349"/>
    <row r="141" ht="15.75" customHeight="1" s="1349"/>
    <row r="142" ht="15.75" customHeight="1" s="1349"/>
    <row r="143" ht="15.75" customHeight="1" s="1349"/>
    <row r="144" ht="15.75" customHeight="1" s="1349"/>
    <row r="145" ht="15.75" customHeight="1" s="1349"/>
    <row r="146" ht="15.75" customHeight="1" s="1349"/>
    <row r="147" ht="15.75" customHeight="1" s="1349"/>
    <row r="148" ht="15.75" customHeight="1" s="1349"/>
    <row r="149" ht="15.75" customHeight="1" s="1349"/>
    <row r="150" ht="15.75" customHeight="1" s="1349"/>
    <row r="151" ht="15.75" customHeight="1" s="1349"/>
    <row r="152" ht="15.75" customHeight="1" s="1349"/>
    <row r="153" ht="15.75" customHeight="1" s="1349"/>
    <row r="154" ht="15.75" customHeight="1" s="1349"/>
    <row r="155" ht="15.75" customHeight="1" s="1349"/>
    <row r="156" ht="15.75" customHeight="1" s="1349"/>
    <row r="157" ht="15.75" customHeight="1" s="1349"/>
    <row r="158" ht="15.75" customHeight="1" s="1349"/>
    <row r="159" ht="15.75" customHeight="1" s="1349"/>
    <row r="160" ht="15.75" customHeight="1" s="1349"/>
    <row r="161" ht="15.75" customHeight="1" s="1349"/>
    <row r="162" ht="15.75" customHeight="1" s="1349"/>
    <row r="163" ht="15.75" customHeight="1" s="1349"/>
    <row r="164" ht="15.75" customHeight="1" s="1349"/>
    <row r="165" ht="15.75" customHeight="1" s="1349"/>
    <row r="166" ht="15.75" customHeight="1" s="1349"/>
    <row r="167" ht="15.75" customHeight="1" s="1349"/>
    <row r="168" ht="15.75" customHeight="1" s="1349"/>
    <row r="169" ht="15.75" customHeight="1" s="1349"/>
    <row r="170" ht="15.75" customHeight="1" s="1349"/>
    <row r="171" ht="15.75" customHeight="1" s="1349"/>
    <row r="172" ht="15.75" customHeight="1" s="1349"/>
    <row r="173" ht="15.75" customHeight="1" s="1349"/>
    <row r="174" ht="15.75" customHeight="1" s="1349"/>
    <row r="175" ht="15.75" customHeight="1" s="1349"/>
    <row r="176" ht="15.75" customHeight="1" s="1349"/>
    <row r="177" ht="15.75" customHeight="1" s="1349"/>
    <row r="178" ht="15.75" customHeight="1" s="1349"/>
    <row r="179" ht="15.75" customHeight="1" s="1349"/>
    <row r="180" ht="15.75" customHeight="1" s="1349"/>
    <row r="181" ht="15.75" customHeight="1" s="1349"/>
    <row r="182" ht="15.75" customHeight="1" s="1349"/>
    <row r="183" ht="15.75" customHeight="1" s="1349"/>
    <row r="184" ht="15.75" customHeight="1" s="1349"/>
    <row r="185" ht="15.75" customHeight="1" s="1349"/>
    <row r="186" ht="15.75" customHeight="1" s="1349"/>
    <row r="187" ht="15.75" customHeight="1" s="1349"/>
    <row r="188" ht="15.75" customHeight="1" s="1349"/>
    <row r="189" ht="15.75" customHeight="1" s="1349"/>
    <row r="190" ht="15.75" customHeight="1" s="1349"/>
    <row r="191" ht="15.75" customHeight="1" s="1349"/>
    <row r="192" ht="15.75" customHeight="1" s="1349"/>
    <row r="193" ht="15.75" customHeight="1" s="1349"/>
    <row r="194" ht="15.75" customHeight="1" s="1349"/>
    <row r="195" ht="15.75" customHeight="1" s="1349"/>
    <row r="196" ht="15.75" customHeight="1" s="1349"/>
    <row r="197" ht="15.75" customHeight="1" s="1349"/>
    <row r="198" ht="15.75" customHeight="1" s="1349"/>
    <row r="199" ht="15.75" customHeight="1" s="1349"/>
    <row r="200" ht="15.75" customHeight="1" s="1349"/>
    <row r="201" ht="15.75" customHeight="1" s="1349"/>
    <row r="202" ht="15.75" customHeight="1" s="1349"/>
    <row r="203" ht="15.75" customHeight="1" s="1349"/>
    <row r="204" ht="15.75" customHeight="1" s="1349"/>
    <row r="205" ht="15.75" customHeight="1" s="1349"/>
    <row r="206" ht="15.75" customHeight="1" s="1349"/>
    <row r="207" ht="15.75" customHeight="1" s="1349"/>
    <row r="208" ht="15.75" customHeight="1" s="1349"/>
    <row r="209" ht="15.75" customHeight="1" s="1349"/>
    <row r="210" ht="15.75" customHeight="1" s="1349"/>
    <row r="211" ht="15.75" customHeight="1" s="1349"/>
    <row r="212" ht="15.75" customHeight="1" s="1349"/>
    <row r="213" ht="15.75" customHeight="1" s="1349"/>
    <row r="214" ht="15.75" customHeight="1" s="1349"/>
    <row r="215" ht="15.75" customHeight="1" s="1349"/>
    <row r="216" ht="15.75" customHeight="1" s="1349"/>
    <row r="217" ht="15.75" customHeight="1" s="1349"/>
    <row r="218" ht="15.75" customHeight="1" s="1349"/>
    <row r="219" ht="15.75" customHeight="1" s="1349"/>
    <row r="220" ht="15.75" customHeight="1" s="1349"/>
    <row r="221" ht="15.75" customHeight="1" s="1349"/>
    <row r="222" ht="15.75" customHeight="1" s="1349"/>
    <row r="223" ht="15.75" customHeight="1" s="1349"/>
    <row r="224" ht="15.75" customHeight="1" s="1349"/>
    <row r="225" ht="15.75" customHeight="1" s="1349"/>
    <row r="226" ht="15.75" customHeight="1" s="1349"/>
    <row r="227" ht="15.75" customHeight="1" s="1349"/>
    <row r="228" ht="15.75" customHeight="1" s="1349"/>
    <row r="229" ht="15.75" customHeight="1" s="1349"/>
    <row r="230" ht="15.75" customHeight="1" s="1349"/>
    <row r="231" ht="15.75" customHeight="1" s="1349"/>
    <row r="232" ht="15.75" customHeight="1" s="1349"/>
    <row r="233" ht="15.75" customHeight="1" s="1349"/>
    <row r="234" ht="15.75" customHeight="1" s="1349"/>
    <row r="235" ht="15.75" customHeight="1" s="1349"/>
    <row r="236" ht="15.75" customHeight="1" s="1349"/>
    <row r="237" ht="15.75" customHeight="1" s="1349"/>
    <row r="238" ht="15.75" customHeight="1" s="1349"/>
    <row r="239" ht="15.75" customHeight="1" s="1349"/>
    <row r="240" ht="15.75" customHeight="1" s="1349"/>
    <row r="241" ht="15.75" customHeight="1" s="1349"/>
    <row r="242" ht="15.75" customHeight="1" s="1349"/>
    <row r="243" ht="15.75" customHeight="1" s="1349"/>
    <row r="244" ht="15.75" customHeight="1" s="1349"/>
    <row r="245" ht="15.75" customHeight="1" s="1349"/>
    <row r="246" ht="15.75" customHeight="1" s="1349"/>
    <row r="247" ht="15.75" customHeight="1" s="1349"/>
    <row r="248" ht="15.75" customHeight="1" s="1349"/>
    <row r="249" ht="15.75" customHeight="1" s="1349"/>
    <row r="250" ht="15.75" customHeight="1" s="1349"/>
    <row r="251" ht="15.75" customHeight="1" s="1349"/>
    <row r="252" ht="15.75" customHeight="1" s="1349"/>
    <row r="253" ht="15.75" customHeight="1" s="1349"/>
    <row r="254" ht="15.75" customHeight="1" s="1349"/>
    <row r="255" ht="15.75" customHeight="1" s="1349"/>
    <row r="256" ht="15.75" customHeight="1" s="1349"/>
    <row r="257" ht="15.75" customHeight="1" s="1349"/>
    <row r="258" ht="15.75" customHeight="1" s="1349"/>
    <row r="259" ht="15.75" customHeight="1" s="1349"/>
    <row r="260" ht="15.75" customHeight="1" s="1349"/>
    <row r="261" ht="15.75" customHeight="1" s="1349"/>
    <row r="262" ht="15.75" customHeight="1" s="1349"/>
    <row r="263" ht="15.75" customHeight="1" s="1349"/>
    <row r="264" ht="15.75" customHeight="1" s="1349"/>
    <row r="265" ht="15.75" customHeight="1" s="1349"/>
    <row r="266" ht="15.75" customHeight="1" s="1349"/>
    <row r="267" ht="15.75" customHeight="1" s="1349"/>
    <row r="268" ht="15.75" customHeight="1" s="1349"/>
    <row r="269" ht="15.75" customHeight="1" s="1349"/>
    <row r="270" ht="15.75" customHeight="1" s="1349"/>
    <row r="271" ht="15.75" customHeight="1" s="1349"/>
    <row r="272" ht="15.75" customHeight="1" s="1349"/>
    <row r="273" ht="15.75" customHeight="1" s="1349"/>
    <row r="274" ht="15.75" customHeight="1" s="1349"/>
    <row r="275" ht="15.75" customHeight="1" s="1349"/>
    <row r="276" ht="15.75" customHeight="1" s="1349"/>
    <row r="277" ht="15.75" customHeight="1" s="1349"/>
    <row r="278" ht="15.75" customHeight="1" s="1349"/>
    <row r="279" ht="15.75" customHeight="1" s="1349"/>
    <row r="280" ht="15.75" customHeight="1" s="1349"/>
    <row r="281" ht="15.75" customHeight="1" s="1349"/>
    <row r="282" ht="15.75" customHeight="1" s="1349"/>
    <row r="283" ht="15.75" customHeight="1" s="1349"/>
    <row r="284" ht="15.75" customHeight="1" s="1349"/>
    <row r="285" ht="15.75" customHeight="1" s="1349"/>
    <row r="286" ht="15.75" customHeight="1" s="1349"/>
    <row r="287" ht="15.75" customHeight="1" s="1349"/>
    <row r="288" ht="15.75" customHeight="1" s="1349"/>
    <row r="289" ht="15.75" customHeight="1" s="1349"/>
    <row r="290" ht="15.75" customHeight="1" s="1349"/>
    <row r="291" ht="15.75" customHeight="1" s="1349"/>
    <row r="292" ht="15.75" customHeight="1" s="1349"/>
    <row r="293" ht="15.75" customHeight="1" s="1349"/>
    <row r="294" ht="15.75" customHeight="1" s="1349"/>
    <row r="295" ht="15.75" customHeight="1" s="1349"/>
    <row r="296" ht="15.75" customHeight="1" s="1349"/>
    <row r="297" ht="15.75" customHeight="1" s="1349"/>
    <row r="298" ht="15.75" customHeight="1" s="1349"/>
    <row r="299" ht="15.75" customHeight="1" s="1349"/>
    <row r="300" ht="15.75" customHeight="1" s="1349"/>
    <row r="301" ht="15.75" customHeight="1" s="1349"/>
    <row r="302" ht="15.75" customHeight="1" s="1349"/>
    <row r="303" ht="15.75" customHeight="1" s="1349"/>
    <row r="304" ht="15.75" customHeight="1" s="1349"/>
    <row r="305" ht="15.75" customHeight="1" s="1349"/>
    <row r="306" ht="15.75" customHeight="1" s="1349"/>
    <row r="307" ht="15.75" customHeight="1" s="1349"/>
    <row r="308" ht="15.75" customHeight="1" s="1349"/>
    <row r="309" ht="15.75" customHeight="1" s="1349"/>
    <row r="310" ht="15.75" customHeight="1" s="1349"/>
    <row r="311" ht="15.75" customHeight="1" s="1349"/>
    <row r="312" ht="15.75" customHeight="1" s="1349"/>
    <row r="313" ht="15.75" customHeight="1" s="1349"/>
    <row r="314" ht="15.75" customHeight="1" s="1349"/>
    <row r="315" ht="15.75" customHeight="1" s="1349"/>
    <row r="316" ht="15.75" customHeight="1" s="1349"/>
    <row r="317" ht="15.75" customHeight="1" s="1349"/>
    <row r="318" ht="15.75" customHeight="1" s="1349"/>
    <row r="319" ht="15.75" customHeight="1" s="1349"/>
    <row r="320" ht="15.75" customHeight="1" s="1349"/>
    <row r="321" ht="15.75" customHeight="1" s="1349"/>
    <row r="322" ht="15.75" customHeight="1" s="1349"/>
    <row r="323" ht="15.75" customHeight="1" s="1349"/>
    <row r="324" ht="15.75" customHeight="1" s="1349"/>
    <row r="325" ht="15.75" customHeight="1" s="1349"/>
    <row r="326" ht="15.75" customHeight="1" s="1349"/>
    <row r="327" ht="15.75" customHeight="1" s="1349"/>
    <row r="328" ht="15.75" customHeight="1" s="1349"/>
    <row r="329" ht="15.75" customHeight="1" s="1349"/>
    <row r="330" ht="15.75" customHeight="1" s="1349"/>
    <row r="331" ht="15.75" customHeight="1" s="1349"/>
    <row r="332" ht="15.75" customHeight="1" s="1349"/>
    <row r="333" ht="15.75" customHeight="1" s="1349"/>
    <row r="334" ht="15.75" customHeight="1" s="1349"/>
    <row r="335" ht="15.75" customHeight="1" s="1349"/>
    <row r="336" ht="15.75" customHeight="1" s="1349"/>
    <row r="337" ht="15.75" customHeight="1" s="1349"/>
    <row r="338" ht="15.75" customHeight="1" s="1349"/>
    <row r="339" ht="15.75" customHeight="1" s="1349"/>
    <row r="340" ht="15.75" customHeight="1" s="1349"/>
    <row r="341" ht="15.75" customHeight="1" s="1349"/>
    <row r="342" ht="15.75" customHeight="1" s="1349"/>
    <row r="343" ht="15.75" customHeight="1" s="1349"/>
    <row r="344" ht="15.75" customHeight="1" s="1349"/>
    <row r="345" ht="15.75" customHeight="1" s="1349"/>
    <row r="346" ht="15.75" customHeight="1" s="1349"/>
    <row r="347" ht="15.75" customHeight="1" s="1349"/>
    <row r="348" ht="15.75" customHeight="1" s="1349"/>
    <row r="349" ht="15.75" customHeight="1" s="1349"/>
    <row r="350" ht="15.75" customHeight="1" s="1349"/>
    <row r="351" ht="15.75" customHeight="1" s="1349"/>
    <row r="352" ht="15.75" customHeight="1" s="1349"/>
    <row r="353" ht="15.75" customHeight="1" s="1349"/>
    <row r="354" ht="15.75" customHeight="1" s="1349"/>
    <row r="355" ht="15.75" customHeight="1" s="1349"/>
    <row r="356" ht="15.75" customHeight="1" s="1349"/>
    <row r="357" ht="15.75" customHeight="1" s="1349"/>
    <row r="358" ht="15.75" customHeight="1" s="1349"/>
    <row r="359" ht="15.75" customHeight="1" s="1349"/>
    <row r="360" ht="15.75" customHeight="1" s="1349"/>
    <row r="361" ht="15.75" customHeight="1" s="1349"/>
    <row r="362" ht="15.75" customHeight="1" s="1349"/>
    <row r="363" ht="15.75" customHeight="1" s="1349"/>
    <row r="364" ht="15.75" customHeight="1" s="1349"/>
    <row r="365" ht="15.75" customHeight="1" s="1349"/>
    <row r="366" ht="15.75" customHeight="1" s="1349"/>
    <row r="367" ht="15.75" customHeight="1" s="1349"/>
    <row r="368" ht="15.75" customHeight="1" s="1349"/>
    <row r="369" ht="15.75" customHeight="1" s="1349"/>
    <row r="370" ht="15.75" customHeight="1" s="1349"/>
    <row r="371" ht="15.75" customHeight="1" s="1349"/>
    <row r="372" ht="15.75" customHeight="1" s="1349"/>
    <row r="373" ht="15.75" customHeight="1" s="1349"/>
    <row r="374" ht="15.75" customHeight="1" s="1349"/>
    <row r="375" ht="15.75" customHeight="1" s="1349"/>
    <row r="376" ht="15.75" customHeight="1" s="1349"/>
    <row r="377" ht="15.75" customHeight="1" s="1349"/>
    <row r="378" ht="15.75" customHeight="1" s="1349"/>
    <row r="379" ht="15.75" customHeight="1" s="1349"/>
    <row r="380" ht="15.75" customHeight="1" s="1349"/>
    <row r="381" ht="15.75" customHeight="1" s="1349"/>
    <row r="382" ht="15.75" customHeight="1" s="1349"/>
    <row r="383" ht="15.75" customHeight="1" s="1349"/>
    <row r="384" ht="15.75" customHeight="1" s="1349"/>
    <row r="385" ht="15.75" customHeight="1" s="1349"/>
    <row r="386" ht="15.75" customHeight="1" s="1349"/>
    <row r="387" ht="15.75" customHeight="1" s="1349"/>
    <row r="388" ht="15.75" customHeight="1" s="1349"/>
    <row r="389" ht="15.75" customHeight="1" s="1349"/>
    <row r="390" ht="15.75" customHeight="1" s="1349"/>
    <row r="391" ht="15.75" customHeight="1" s="1349"/>
    <row r="392" ht="15.75" customHeight="1" s="1349"/>
    <row r="393" ht="15.75" customHeight="1" s="1349"/>
    <row r="394" ht="15.75" customHeight="1" s="1349"/>
    <row r="395" ht="15.75" customHeight="1" s="1349"/>
    <row r="396" ht="15.75" customHeight="1" s="1349"/>
    <row r="397" ht="15.75" customHeight="1" s="1349"/>
    <row r="398" ht="15.75" customHeight="1" s="1349"/>
    <row r="399" ht="15.75" customHeight="1" s="1349"/>
    <row r="400" ht="15.75" customHeight="1" s="1349"/>
    <row r="401" ht="15.75" customHeight="1" s="1349"/>
    <row r="402" ht="15.75" customHeight="1" s="1349"/>
    <row r="403" ht="15.75" customHeight="1" s="1349"/>
    <row r="404" ht="15.75" customHeight="1" s="1349"/>
    <row r="405" ht="15.75" customHeight="1" s="1349"/>
    <row r="406" ht="15.75" customHeight="1" s="1349"/>
    <row r="407" ht="15.75" customHeight="1" s="1349"/>
    <row r="408" ht="15.75" customHeight="1" s="1349"/>
    <row r="409" ht="15.75" customHeight="1" s="1349"/>
    <row r="410" ht="15.75" customHeight="1" s="1349"/>
    <row r="411" ht="15.75" customHeight="1" s="1349"/>
    <row r="412" ht="15.75" customHeight="1" s="1349"/>
    <row r="413" ht="15.75" customHeight="1" s="1349"/>
    <row r="414" ht="15.75" customHeight="1" s="1349"/>
    <row r="415" ht="15.75" customHeight="1" s="1349"/>
    <row r="416" ht="15.75" customHeight="1" s="1349"/>
    <row r="417" ht="15.75" customHeight="1" s="1349"/>
    <row r="418" ht="15.75" customHeight="1" s="1349"/>
    <row r="419" ht="15.75" customHeight="1" s="1349"/>
    <row r="420" ht="15.75" customHeight="1" s="1349"/>
    <row r="421" ht="15.75" customHeight="1" s="1349"/>
    <row r="422" ht="15.75" customHeight="1" s="1349"/>
    <row r="423" ht="15.75" customHeight="1" s="1349"/>
    <row r="424" ht="15.75" customHeight="1" s="1349"/>
    <row r="425" ht="15.75" customHeight="1" s="1349"/>
    <row r="426" ht="15.75" customHeight="1" s="1349"/>
    <row r="427" ht="15.75" customHeight="1" s="1349"/>
    <row r="428" ht="15.75" customHeight="1" s="1349"/>
    <row r="429" ht="15.75" customHeight="1" s="1349"/>
    <row r="430" ht="15.75" customHeight="1" s="1349"/>
    <row r="431" ht="15.75" customHeight="1" s="1349"/>
    <row r="432" ht="15.75" customHeight="1" s="1349"/>
    <row r="433" ht="15.75" customHeight="1" s="1349"/>
    <row r="434" ht="15.75" customHeight="1" s="1349"/>
    <row r="435" ht="15.75" customHeight="1" s="1349"/>
    <row r="436" ht="15.75" customHeight="1" s="1349"/>
    <row r="437" ht="15.75" customHeight="1" s="1349"/>
    <row r="438" ht="15.75" customHeight="1" s="1349"/>
    <row r="439" ht="15.75" customHeight="1" s="1349"/>
    <row r="440" ht="15.75" customHeight="1" s="1349"/>
    <row r="441" ht="15.75" customHeight="1" s="1349"/>
    <row r="442" ht="15.75" customHeight="1" s="1349"/>
    <row r="443" ht="15.75" customHeight="1" s="1349"/>
    <row r="444" ht="15.75" customHeight="1" s="1349"/>
    <row r="445" ht="15.75" customHeight="1" s="1349"/>
    <row r="446" ht="15.75" customHeight="1" s="1349"/>
    <row r="447" ht="15.75" customHeight="1" s="1349"/>
    <row r="448" ht="15.75" customHeight="1" s="1349"/>
    <row r="449" ht="15.75" customHeight="1" s="1349"/>
    <row r="450" ht="15.75" customHeight="1" s="1349"/>
    <row r="451" ht="15.75" customHeight="1" s="1349"/>
    <row r="452" ht="15.75" customHeight="1" s="1349"/>
    <row r="453" ht="15.75" customHeight="1" s="1349"/>
    <row r="454" ht="15.75" customHeight="1" s="1349"/>
    <row r="455" ht="15.75" customHeight="1" s="1349"/>
    <row r="456" ht="15.75" customHeight="1" s="1349"/>
    <row r="457" ht="15.75" customHeight="1" s="1349"/>
    <row r="458" ht="15.75" customHeight="1" s="1349"/>
    <row r="459" ht="15.75" customHeight="1" s="1349"/>
    <row r="460" ht="15.75" customHeight="1" s="1349"/>
    <row r="461" ht="15.75" customHeight="1" s="1349"/>
    <row r="462" ht="15.75" customHeight="1" s="1349"/>
    <row r="463" ht="15.75" customHeight="1" s="1349"/>
    <row r="464" ht="15.75" customHeight="1" s="1349"/>
    <row r="465" ht="15.75" customHeight="1" s="1349"/>
    <row r="466" ht="15.75" customHeight="1" s="1349"/>
    <row r="467" ht="15.75" customHeight="1" s="1349"/>
    <row r="468" ht="15.75" customHeight="1" s="1349"/>
    <row r="469" ht="15.75" customHeight="1" s="1349"/>
    <row r="470" ht="15.75" customHeight="1" s="1349"/>
    <row r="471" ht="15.75" customHeight="1" s="1349"/>
    <row r="472" ht="15.75" customHeight="1" s="1349"/>
    <row r="473" ht="15.75" customHeight="1" s="1349"/>
    <row r="474" ht="15.75" customHeight="1" s="1349"/>
    <row r="475" ht="15.75" customHeight="1" s="1349"/>
    <row r="476" ht="15.75" customHeight="1" s="1349"/>
    <row r="477" ht="15.75" customHeight="1" s="1349"/>
    <row r="478" ht="15.75" customHeight="1" s="1349"/>
    <row r="479" ht="15.75" customHeight="1" s="1349"/>
    <row r="480" ht="15.75" customHeight="1" s="1349"/>
    <row r="481" ht="15.75" customHeight="1" s="1349"/>
    <row r="482" ht="15.75" customHeight="1" s="1349"/>
    <row r="483" ht="15.75" customHeight="1" s="1349"/>
    <row r="484" ht="15.75" customHeight="1" s="1349"/>
    <row r="485" ht="15.75" customHeight="1" s="1349"/>
    <row r="486" ht="15.75" customHeight="1" s="1349"/>
    <row r="487" ht="15.75" customHeight="1" s="1349"/>
    <row r="488" ht="15.75" customHeight="1" s="1349"/>
    <row r="489" ht="15.75" customHeight="1" s="1349"/>
    <row r="490" ht="15.75" customHeight="1" s="1349"/>
    <row r="491" ht="15.75" customHeight="1" s="1349"/>
    <row r="492" ht="15.75" customHeight="1" s="1349"/>
    <row r="493" ht="15.75" customHeight="1" s="1349"/>
    <row r="494" ht="15.75" customHeight="1" s="1349"/>
    <row r="495" ht="15.75" customHeight="1" s="1349"/>
    <row r="496" ht="15.75" customHeight="1" s="1349"/>
    <row r="497" ht="15.75" customHeight="1" s="1349"/>
    <row r="498" ht="15.75" customHeight="1" s="1349"/>
    <row r="499" ht="15.75" customHeight="1" s="1349"/>
    <row r="500" ht="15.75" customHeight="1" s="1349"/>
    <row r="501" ht="15.75" customHeight="1" s="1349"/>
    <row r="502" ht="15.75" customHeight="1" s="1349"/>
    <row r="503" ht="15.75" customHeight="1" s="1349"/>
    <row r="504" ht="15.75" customHeight="1" s="1349"/>
    <row r="505" ht="15.75" customHeight="1" s="1349"/>
    <row r="506" ht="15.75" customHeight="1" s="1349"/>
    <row r="507" ht="15.75" customHeight="1" s="1349"/>
    <row r="508" ht="15.75" customHeight="1" s="1349"/>
    <row r="509" ht="15.75" customHeight="1" s="1349"/>
    <row r="510" ht="15.75" customHeight="1" s="1349"/>
    <row r="511" ht="15.75" customHeight="1" s="1349"/>
    <row r="512" ht="15.75" customHeight="1" s="1349"/>
    <row r="513" ht="15.75" customHeight="1" s="1349"/>
    <row r="514" ht="15.75" customHeight="1" s="1349"/>
    <row r="515" ht="15.75" customHeight="1" s="1349"/>
    <row r="516" ht="15.75" customHeight="1" s="1349"/>
    <row r="517" ht="15.75" customHeight="1" s="1349"/>
    <row r="518" ht="15.75" customHeight="1" s="1349"/>
    <row r="519" ht="15.75" customHeight="1" s="1349"/>
    <row r="520" ht="15.75" customHeight="1" s="1349"/>
    <row r="521" ht="15.75" customHeight="1" s="1349"/>
    <row r="522" ht="15.75" customHeight="1" s="1349"/>
    <row r="523" ht="15.75" customHeight="1" s="1349"/>
    <row r="524" ht="15.75" customHeight="1" s="1349"/>
    <row r="525" ht="15.75" customHeight="1" s="1349"/>
    <row r="526" ht="15.75" customHeight="1" s="1349"/>
    <row r="527" ht="15.75" customHeight="1" s="1349"/>
    <row r="528" ht="15.75" customHeight="1" s="1349"/>
    <row r="529" ht="15.75" customHeight="1" s="1349"/>
    <row r="530" ht="15.75" customHeight="1" s="1349"/>
    <row r="531" ht="15.75" customHeight="1" s="1349"/>
    <row r="532" ht="15.75" customHeight="1" s="1349"/>
    <row r="533" ht="15.75" customHeight="1" s="1349"/>
    <row r="534" ht="15.75" customHeight="1" s="1349"/>
    <row r="535" ht="15.75" customHeight="1" s="1349"/>
    <row r="536" ht="15.75" customHeight="1" s="1349"/>
    <row r="537" ht="15.75" customHeight="1" s="1349"/>
    <row r="538" ht="15.75" customHeight="1" s="1349"/>
    <row r="539" ht="15.75" customHeight="1" s="1349"/>
    <row r="540" ht="15.75" customHeight="1" s="1349"/>
    <row r="541" ht="15.75" customHeight="1" s="1349"/>
    <row r="542" ht="15.75" customHeight="1" s="1349"/>
    <row r="543" ht="15.75" customHeight="1" s="1349"/>
    <row r="544" ht="15.75" customHeight="1" s="1349"/>
    <row r="545" ht="15.75" customHeight="1" s="1349"/>
    <row r="546" ht="15.75" customHeight="1" s="1349"/>
    <row r="547" ht="15.75" customHeight="1" s="1349"/>
    <row r="548" ht="15.75" customHeight="1" s="1349"/>
    <row r="549" ht="15.75" customHeight="1" s="1349"/>
    <row r="550" ht="15.75" customHeight="1" s="1349"/>
    <row r="551" ht="15.75" customHeight="1" s="1349"/>
    <row r="552" ht="15.75" customHeight="1" s="1349"/>
    <row r="553" ht="15.75" customHeight="1" s="1349"/>
    <row r="554" ht="15.75" customHeight="1" s="1349"/>
    <row r="555" ht="15.75" customHeight="1" s="1349"/>
    <row r="556" ht="15.75" customHeight="1" s="1349"/>
    <row r="557" ht="15.75" customHeight="1" s="1349"/>
    <row r="558" ht="15.75" customHeight="1" s="1349"/>
    <row r="559" ht="15.75" customHeight="1" s="1349"/>
    <row r="560" ht="15.75" customHeight="1" s="1349"/>
    <row r="561" ht="15.75" customHeight="1" s="1349"/>
    <row r="562" ht="15.75" customHeight="1" s="1349"/>
    <row r="563" ht="15.75" customHeight="1" s="1349"/>
    <row r="564" ht="15.75" customHeight="1" s="1349"/>
    <row r="565" ht="15.75" customHeight="1" s="1349"/>
    <row r="566" ht="15.75" customHeight="1" s="1349"/>
    <row r="567" ht="15.75" customHeight="1" s="1349"/>
    <row r="568" ht="15.75" customHeight="1" s="1349"/>
    <row r="569" ht="15.75" customHeight="1" s="1349"/>
    <row r="570" ht="15.75" customHeight="1" s="1349"/>
    <row r="571" ht="15.75" customHeight="1" s="1349"/>
    <row r="572" ht="15.75" customHeight="1" s="1349"/>
    <row r="573" ht="15.75" customHeight="1" s="1349"/>
    <row r="574" ht="15.75" customHeight="1" s="1349"/>
    <row r="575" ht="15.75" customHeight="1" s="1349"/>
    <row r="576" ht="15.75" customHeight="1" s="1349"/>
    <row r="577" ht="15.75" customHeight="1" s="1349"/>
    <row r="578" ht="15.75" customHeight="1" s="1349"/>
    <row r="579" ht="15.75" customHeight="1" s="1349"/>
    <row r="580" ht="15.75" customHeight="1" s="1349"/>
    <row r="581" ht="15.75" customHeight="1" s="1349"/>
    <row r="582" ht="15.75" customHeight="1" s="1349"/>
    <row r="583" ht="15.75" customHeight="1" s="1349"/>
    <row r="584" ht="15.75" customHeight="1" s="1349"/>
    <row r="585" ht="15.75" customHeight="1" s="1349"/>
    <row r="586" ht="15.75" customHeight="1" s="1349"/>
    <row r="587" ht="15.75" customHeight="1" s="1349"/>
    <row r="588" ht="15.75" customHeight="1" s="1349"/>
    <row r="589" ht="15.75" customHeight="1" s="1349"/>
    <row r="590" ht="15.75" customHeight="1" s="1349"/>
    <row r="591" ht="15.75" customHeight="1" s="1349"/>
    <row r="592" ht="15.75" customHeight="1" s="1349"/>
    <row r="593" ht="15.75" customHeight="1" s="1349"/>
    <row r="594" ht="15.75" customHeight="1" s="1349"/>
    <row r="595" ht="15.75" customHeight="1" s="1349"/>
    <row r="596" ht="15.75" customHeight="1" s="1349"/>
    <row r="597" ht="15.75" customHeight="1" s="1349"/>
    <row r="598" ht="15.75" customHeight="1" s="1349"/>
    <row r="599" ht="15.75" customHeight="1" s="1349"/>
    <row r="600" ht="15.75" customHeight="1" s="1349"/>
    <row r="601" ht="15.75" customHeight="1" s="1349"/>
    <row r="602" ht="15.75" customHeight="1" s="1349"/>
    <row r="603" ht="15.75" customHeight="1" s="1349"/>
    <row r="604" ht="15.75" customHeight="1" s="1349"/>
    <row r="605" ht="15.75" customHeight="1" s="1349"/>
    <row r="606" ht="15.75" customHeight="1" s="1349"/>
    <row r="607" ht="15.75" customHeight="1" s="1349"/>
    <row r="608" ht="15.75" customHeight="1" s="1349"/>
    <row r="609" ht="15.75" customHeight="1" s="1349"/>
    <row r="610" ht="15.75" customHeight="1" s="1349"/>
    <row r="611" ht="15.75" customHeight="1" s="1349"/>
    <row r="612" ht="15.75" customHeight="1" s="1349"/>
    <row r="613" ht="15.75" customHeight="1" s="1349"/>
    <row r="614" ht="15.75" customHeight="1" s="1349"/>
    <row r="615" ht="15.75" customHeight="1" s="1349"/>
    <row r="616" ht="15.75" customHeight="1" s="1349"/>
    <row r="617" ht="15.75" customHeight="1" s="1349"/>
    <row r="618" ht="15.75" customHeight="1" s="1349"/>
    <row r="619" ht="15.75" customHeight="1" s="1349"/>
    <row r="620" ht="15.75" customHeight="1" s="1349"/>
    <row r="621" ht="15.75" customHeight="1" s="1349"/>
    <row r="622" ht="15.75" customHeight="1" s="1349"/>
    <row r="623" ht="15.75" customHeight="1" s="1349"/>
    <row r="624" ht="15.75" customHeight="1" s="1349"/>
    <row r="625" ht="15.75" customHeight="1" s="1349"/>
    <row r="626" ht="15.75" customHeight="1" s="1349"/>
    <row r="627" ht="15.75" customHeight="1" s="1349"/>
    <row r="628" ht="15.75" customHeight="1" s="1349"/>
    <row r="629" ht="15.75" customHeight="1" s="1349"/>
    <row r="630" ht="15.75" customHeight="1" s="1349"/>
    <row r="631" ht="15.75" customHeight="1" s="1349"/>
    <row r="632" ht="15.75" customHeight="1" s="1349"/>
    <row r="633" ht="15.75" customHeight="1" s="1349"/>
    <row r="634" ht="15.75" customHeight="1" s="1349"/>
    <row r="635" ht="15.75" customHeight="1" s="1349"/>
    <row r="636" ht="15.75" customHeight="1" s="1349"/>
    <row r="637" ht="15.75" customHeight="1" s="1349"/>
    <row r="638" ht="15.75" customHeight="1" s="1349"/>
    <row r="639" ht="15.75" customHeight="1" s="1349"/>
    <row r="640" ht="15.75" customHeight="1" s="1349"/>
    <row r="641" ht="15.75" customHeight="1" s="1349"/>
    <row r="642" ht="15.75" customHeight="1" s="1349"/>
    <row r="643" ht="15.75" customHeight="1" s="1349"/>
    <row r="644" ht="15.75" customHeight="1" s="1349"/>
    <row r="645" ht="15.75" customHeight="1" s="1349"/>
    <row r="646" ht="15.75" customHeight="1" s="1349"/>
    <row r="647" ht="15.75" customHeight="1" s="1349"/>
    <row r="648" ht="15.75" customHeight="1" s="1349"/>
    <row r="649" ht="15.75" customHeight="1" s="1349"/>
    <row r="650" ht="15.75" customHeight="1" s="1349"/>
    <row r="651" ht="15.75" customHeight="1" s="1349"/>
    <row r="652" ht="15.75" customHeight="1" s="1349"/>
    <row r="653" ht="15.75" customHeight="1" s="1349"/>
    <row r="654" ht="15.75" customHeight="1" s="1349"/>
    <row r="655" ht="15.75" customHeight="1" s="1349"/>
    <row r="656" ht="15.75" customHeight="1" s="1349"/>
    <row r="657" ht="15.75" customHeight="1" s="1349"/>
    <row r="658" ht="15.75" customHeight="1" s="1349"/>
    <row r="659" ht="15.75" customHeight="1" s="1349"/>
    <row r="660" ht="15.75" customHeight="1" s="1349"/>
    <row r="661" ht="15.75" customHeight="1" s="1349"/>
    <row r="662" ht="15.75" customHeight="1" s="1349"/>
    <row r="663" ht="15.75" customHeight="1" s="1349"/>
    <row r="664" ht="15.75" customHeight="1" s="1349"/>
    <row r="665" ht="15.75" customHeight="1" s="1349"/>
    <row r="666" ht="15.75" customHeight="1" s="1349"/>
    <row r="667" ht="15.75" customHeight="1" s="1349"/>
    <row r="668" ht="15.75" customHeight="1" s="1349"/>
    <row r="669" ht="15.75" customHeight="1" s="1349"/>
    <row r="670" ht="15.75" customHeight="1" s="1349"/>
    <row r="671" ht="15.75" customHeight="1" s="1349"/>
    <row r="672" ht="15.75" customHeight="1" s="1349"/>
    <row r="673" ht="15.75" customHeight="1" s="1349"/>
    <row r="674" ht="15.75" customHeight="1" s="1349"/>
    <row r="675" ht="15.75" customHeight="1" s="1349"/>
    <row r="676" ht="15.75" customHeight="1" s="1349"/>
    <row r="677" ht="15.75" customHeight="1" s="1349"/>
    <row r="678" ht="15.75" customHeight="1" s="1349"/>
    <row r="679" ht="15.75" customHeight="1" s="1349"/>
    <row r="680" ht="15.75" customHeight="1" s="1349"/>
    <row r="681" ht="15.75" customHeight="1" s="1349"/>
    <row r="682" ht="15.75" customHeight="1" s="1349"/>
    <row r="683" ht="15.75" customHeight="1" s="1349"/>
    <row r="684" ht="15.75" customHeight="1" s="1349"/>
    <row r="685" ht="15.75" customHeight="1" s="1349"/>
    <row r="686" ht="15.75" customHeight="1" s="1349"/>
    <row r="687" ht="15.75" customHeight="1" s="1349"/>
    <row r="688" ht="15.75" customHeight="1" s="1349"/>
    <row r="689" ht="15.75" customHeight="1" s="1349"/>
    <row r="690" ht="15.75" customHeight="1" s="1349"/>
    <row r="691" ht="15.75" customHeight="1" s="1349"/>
    <row r="692" ht="15.75" customHeight="1" s="1349"/>
    <row r="693" ht="15.75" customHeight="1" s="1349"/>
    <row r="694" ht="15.75" customHeight="1" s="1349"/>
    <row r="695" ht="15.75" customHeight="1" s="1349"/>
    <row r="696" ht="15.75" customHeight="1" s="1349"/>
    <row r="697" ht="15.75" customHeight="1" s="1349"/>
    <row r="698" ht="15.75" customHeight="1" s="1349"/>
    <row r="699" ht="15.75" customHeight="1" s="1349"/>
    <row r="700" ht="15.75" customHeight="1" s="1349"/>
    <row r="701" ht="15.75" customHeight="1" s="1349"/>
    <row r="702" ht="15.75" customHeight="1" s="1349"/>
    <row r="703" ht="15.75" customHeight="1" s="1349"/>
    <row r="704" ht="15.75" customHeight="1" s="1349"/>
    <row r="705" ht="15.75" customHeight="1" s="1349"/>
    <row r="706" ht="15.75" customHeight="1" s="1349"/>
    <row r="707" ht="15.75" customHeight="1" s="1349"/>
    <row r="708" ht="15.75" customHeight="1" s="1349"/>
    <row r="709" ht="15.75" customHeight="1" s="1349"/>
    <row r="710" ht="15.75" customHeight="1" s="1349"/>
    <row r="711" ht="15.75" customHeight="1" s="1349"/>
    <row r="712" ht="15.75" customHeight="1" s="1349"/>
    <row r="713" ht="15.75" customHeight="1" s="1349"/>
    <row r="714" ht="15.75" customHeight="1" s="1349"/>
    <row r="715" ht="15.75" customHeight="1" s="1349"/>
    <row r="716" ht="15.75" customHeight="1" s="1349"/>
    <row r="717" ht="15.75" customHeight="1" s="1349"/>
    <row r="718" ht="15.75" customHeight="1" s="1349"/>
    <row r="719" ht="15.75" customHeight="1" s="1349"/>
    <row r="720" ht="15.75" customHeight="1" s="1349"/>
    <row r="721" ht="15.75" customHeight="1" s="1349"/>
    <row r="722" ht="15.75" customHeight="1" s="1349"/>
    <row r="723" ht="15.75" customHeight="1" s="1349"/>
    <row r="724" ht="15.75" customHeight="1" s="1349"/>
    <row r="725" ht="15.75" customHeight="1" s="1349"/>
    <row r="726" ht="15.75" customHeight="1" s="1349"/>
    <row r="727" ht="15.75" customHeight="1" s="1349"/>
    <row r="728" ht="15.75" customHeight="1" s="1349"/>
    <row r="729" ht="15.75" customHeight="1" s="1349"/>
    <row r="730" ht="15.75" customHeight="1" s="1349"/>
    <row r="731" ht="15.75" customHeight="1" s="1349"/>
    <row r="732" ht="15.75" customHeight="1" s="1349"/>
    <row r="733" ht="15.75" customHeight="1" s="1349"/>
    <row r="734" ht="15.75" customHeight="1" s="1349"/>
    <row r="735" ht="15.75" customHeight="1" s="1349"/>
    <row r="736" ht="15.75" customHeight="1" s="1349"/>
    <row r="737" ht="15.75" customHeight="1" s="1349"/>
    <row r="738" ht="15.75" customHeight="1" s="1349"/>
    <row r="739" ht="15.75" customHeight="1" s="1349"/>
    <row r="740" ht="15.75" customHeight="1" s="1349"/>
    <row r="741" ht="15.75" customHeight="1" s="1349"/>
    <row r="742" ht="15.75" customHeight="1" s="1349"/>
    <row r="743" ht="15.75" customHeight="1" s="1349"/>
    <row r="744" ht="15.75" customHeight="1" s="1349"/>
    <row r="745" ht="15.75" customHeight="1" s="1349"/>
    <row r="746" ht="15.75" customHeight="1" s="1349"/>
    <row r="747" ht="15.75" customHeight="1" s="1349"/>
    <row r="748" ht="15.75" customHeight="1" s="1349"/>
    <row r="749" ht="15.75" customHeight="1" s="1349"/>
    <row r="750" ht="15.75" customHeight="1" s="1349"/>
    <row r="751" ht="15.75" customHeight="1" s="1349"/>
    <row r="752" ht="15.75" customHeight="1" s="1349"/>
    <row r="753" ht="15.75" customHeight="1" s="1349"/>
    <row r="754" ht="15.75" customHeight="1" s="1349"/>
    <row r="755" ht="15.75" customHeight="1" s="1349"/>
    <row r="756" ht="15.75" customHeight="1" s="1349"/>
    <row r="757" ht="15.75" customHeight="1" s="1349"/>
    <row r="758" ht="15.75" customHeight="1" s="1349"/>
    <row r="759" ht="15.75" customHeight="1" s="1349"/>
    <row r="760" ht="15.75" customHeight="1" s="1349"/>
    <row r="761" ht="15.75" customHeight="1" s="1349"/>
    <row r="762" ht="15.75" customHeight="1" s="1349"/>
    <row r="763" ht="15.75" customHeight="1" s="1349"/>
    <row r="764" ht="15.75" customHeight="1" s="1349"/>
    <row r="765" ht="15.75" customHeight="1" s="1349"/>
    <row r="766" ht="15.75" customHeight="1" s="1349"/>
    <row r="767" ht="15.75" customHeight="1" s="1349"/>
    <row r="768" ht="15.75" customHeight="1" s="1349"/>
    <row r="769" ht="15.75" customHeight="1" s="1349"/>
    <row r="770" ht="15.75" customHeight="1" s="1349"/>
    <row r="771" ht="15.75" customHeight="1" s="1349"/>
    <row r="772" ht="15.75" customHeight="1" s="1349"/>
    <row r="773" ht="15.75" customHeight="1" s="1349"/>
    <row r="774" ht="15.75" customHeight="1" s="1349"/>
    <row r="775" ht="15.75" customHeight="1" s="1349"/>
    <row r="776" ht="15.75" customHeight="1" s="1349"/>
    <row r="777" ht="15.75" customHeight="1" s="1349"/>
    <row r="778" ht="15.75" customHeight="1" s="1349"/>
    <row r="779" ht="15.75" customHeight="1" s="1349"/>
    <row r="780" ht="15.75" customHeight="1" s="1349"/>
    <row r="781" ht="15.75" customHeight="1" s="1349"/>
    <row r="782" ht="15.75" customHeight="1" s="1349"/>
    <row r="783" ht="15.75" customHeight="1" s="1349"/>
    <row r="784" ht="15.75" customHeight="1" s="1349"/>
    <row r="785" ht="15.75" customHeight="1" s="1349"/>
    <row r="786" ht="15.75" customHeight="1" s="1349"/>
    <row r="787" ht="15.75" customHeight="1" s="1349"/>
    <row r="788" ht="15.75" customHeight="1" s="1349"/>
    <row r="789" ht="15.75" customHeight="1" s="1349"/>
    <row r="790" ht="15.75" customHeight="1" s="1349"/>
    <row r="791" ht="15.75" customHeight="1" s="1349"/>
    <row r="792" ht="15.75" customHeight="1" s="1349"/>
    <row r="793" ht="15.75" customHeight="1" s="1349"/>
    <row r="794" ht="15.75" customHeight="1" s="1349"/>
    <row r="795" ht="15.75" customHeight="1" s="1349"/>
    <row r="796" ht="15.75" customHeight="1" s="1349"/>
    <row r="797" ht="15.75" customHeight="1" s="1349"/>
    <row r="798" ht="15.75" customHeight="1" s="1349"/>
    <row r="799" ht="15.75" customHeight="1" s="1349"/>
    <row r="800" ht="15.75" customHeight="1" s="1349"/>
    <row r="801" ht="15.75" customHeight="1" s="1349"/>
    <row r="802" ht="15.75" customHeight="1" s="1349"/>
    <row r="803" ht="15.75" customHeight="1" s="1349"/>
    <row r="804" ht="15.75" customHeight="1" s="1349"/>
    <row r="805" ht="15.75" customHeight="1" s="1349"/>
    <row r="806" ht="15.75" customHeight="1" s="1349"/>
    <row r="807" ht="15.75" customHeight="1" s="1349"/>
    <row r="808" ht="15.75" customHeight="1" s="1349"/>
    <row r="809" ht="15.75" customHeight="1" s="1349"/>
    <row r="810" ht="15.75" customHeight="1" s="1349"/>
    <row r="811" ht="15.75" customHeight="1" s="1349"/>
    <row r="812" ht="15.75" customHeight="1" s="1349"/>
    <row r="813" ht="15.75" customHeight="1" s="1349"/>
    <row r="814" ht="15.75" customHeight="1" s="1349"/>
    <row r="815" ht="15.75" customHeight="1" s="1349"/>
    <row r="816" ht="15.75" customHeight="1" s="1349"/>
    <row r="817" ht="15.75" customHeight="1" s="1349"/>
    <row r="818" ht="15.75" customHeight="1" s="1349"/>
    <row r="819" ht="15.75" customHeight="1" s="1349"/>
    <row r="820" ht="15.75" customHeight="1" s="1349"/>
    <row r="821" ht="15.75" customHeight="1" s="1349"/>
    <row r="822" ht="15.75" customHeight="1" s="1349"/>
    <row r="823" ht="15.75" customHeight="1" s="1349"/>
    <row r="824" ht="15.75" customHeight="1" s="1349"/>
    <row r="825" ht="15.75" customHeight="1" s="1349"/>
    <row r="826" ht="15.75" customHeight="1" s="1349"/>
    <row r="827" ht="15.75" customHeight="1" s="1349"/>
    <row r="828" ht="15.75" customHeight="1" s="1349"/>
    <row r="829" ht="15.75" customHeight="1" s="1349"/>
    <row r="830" ht="15.75" customHeight="1" s="1349"/>
    <row r="831" ht="15.75" customHeight="1" s="1349"/>
    <row r="832" ht="15.75" customHeight="1" s="1349"/>
    <row r="833" ht="15.75" customHeight="1" s="1349"/>
    <row r="834" ht="15.75" customHeight="1" s="1349"/>
    <row r="835" ht="15.75" customHeight="1" s="1349"/>
    <row r="836" ht="15.75" customHeight="1" s="1349"/>
    <row r="837" ht="15.75" customHeight="1" s="1349"/>
    <row r="838" ht="15.75" customHeight="1" s="1349"/>
    <row r="839" ht="15.75" customHeight="1" s="1349"/>
    <row r="840" ht="15.75" customHeight="1" s="1349"/>
    <row r="841" ht="15.75" customHeight="1" s="1349"/>
    <row r="842" ht="15.75" customHeight="1" s="1349"/>
    <row r="843" ht="15.75" customHeight="1" s="1349"/>
    <row r="844" ht="15.75" customHeight="1" s="1349"/>
    <row r="845" ht="15.75" customHeight="1" s="1349"/>
    <row r="846" ht="15.75" customHeight="1" s="1349"/>
    <row r="847" ht="15.75" customHeight="1" s="1349"/>
    <row r="848" ht="15.75" customHeight="1" s="1349"/>
    <row r="849" ht="15.75" customHeight="1" s="1349"/>
    <row r="850" ht="15.75" customHeight="1" s="1349"/>
    <row r="851" ht="15.75" customHeight="1" s="1349"/>
    <row r="852" ht="15.75" customHeight="1" s="1349"/>
    <row r="853" ht="15.75" customHeight="1" s="1349"/>
    <row r="854" ht="15.75" customHeight="1" s="1349"/>
    <row r="855" ht="15.75" customHeight="1" s="1349"/>
    <row r="856" ht="15.75" customHeight="1" s="1349"/>
    <row r="857" ht="15.75" customHeight="1" s="1349"/>
    <row r="858" ht="15.75" customHeight="1" s="1349"/>
    <row r="859" ht="15.75" customHeight="1" s="1349"/>
    <row r="860" ht="15.75" customHeight="1" s="1349"/>
    <row r="861" ht="15.75" customHeight="1" s="1349"/>
    <row r="862" ht="15.75" customHeight="1" s="1349"/>
    <row r="863" ht="15.75" customHeight="1" s="1349"/>
    <row r="864" ht="15.75" customHeight="1" s="1349"/>
    <row r="865" ht="15.75" customHeight="1" s="1349"/>
    <row r="866" ht="15.75" customHeight="1" s="1349"/>
    <row r="867" ht="15.75" customHeight="1" s="1349"/>
    <row r="868" ht="15.75" customHeight="1" s="1349"/>
    <row r="869" ht="15.75" customHeight="1" s="1349"/>
    <row r="870" ht="15.75" customHeight="1" s="1349"/>
    <row r="871" ht="15.75" customHeight="1" s="1349"/>
    <row r="872" ht="15.75" customHeight="1" s="1349"/>
    <row r="873" ht="15.75" customHeight="1" s="1349"/>
    <row r="874" ht="15.75" customHeight="1" s="1349"/>
    <row r="875" ht="15.75" customHeight="1" s="1349"/>
    <row r="876" ht="15.75" customHeight="1" s="1349"/>
    <row r="877" ht="15.75" customHeight="1" s="1349"/>
    <row r="878" ht="15.75" customHeight="1" s="1349"/>
    <row r="879" ht="15.75" customHeight="1" s="1349"/>
    <row r="880" ht="15.75" customHeight="1" s="1349"/>
    <row r="881" ht="15.75" customHeight="1" s="1349"/>
    <row r="882" ht="15.75" customHeight="1" s="1349"/>
    <row r="883" ht="15.75" customHeight="1" s="1349"/>
    <row r="884" ht="15.75" customHeight="1" s="1349"/>
    <row r="885" ht="15.75" customHeight="1" s="1349"/>
    <row r="886" ht="15.75" customHeight="1" s="1349"/>
    <row r="887" ht="15.75" customHeight="1" s="1349"/>
    <row r="888" ht="15.75" customHeight="1" s="1349"/>
    <row r="889" ht="15.75" customHeight="1" s="1349"/>
    <row r="890" ht="15.75" customHeight="1" s="1349"/>
    <row r="891" ht="15.75" customHeight="1" s="1349"/>
    <row r="892" ht="15.75" customHeight="1" s="1349"/>
    <row r="893" ht="15.75" customHeight="1" s="1349"/>
    <row r="894" ht="15.75" customHeight="1" s="1349"/>
    <row r="895" ht="15.75" customHeight="1" s="1349"/>
    <row r="896" ht="15.75" customHeight="1" s="1349"/>
    <row r="897" ht="15.75" customHeight="1" s="1349"/>
    <row r="898" ht="15.75" customHeight="1" s="1349"/>
    <row r="899" ht="15.75" customHeight="1" s="1349"/>
    <row r="900" ht="15.75" customHeight="1" s="1349"/>
    <row r="901" ht="15.75" customHeight="1" s="1349"/>
    <row r="902" ht="15.75" customHeight="1" s="1349"/>
    <row r="903" ht="15.75" customHeight="1" s="1349"/>
    <row r="904" ht="15.75" customHeight="1" s="1349"/>
    <row r="905" ht="15.75" customHeight="1" s="1349"/>
    <row r="906" ht="15.75" customHeight="1" s="1349"/>
    <row r="907" ht="15.75" customHeight="1" s="1349"/>
    <row r="908" ht="15.75" customHeight="1" s="1349"/>
    <row r="909" ht="15.75" customHeight="1" s="1349"/>
    <row r="910" ht="15.75" customHeight="1" s="1349"/>
    <row r="911" ht="15.75" customHeight="1" s="1349"/>
    <row r="912" ht="15.75" customHeight="1" s="1349"/>
    <row r="913" ht="15.75" customHeight="1" s="1349"/>
    <row r="914" ht="15.75" customHeight="1" s="1349"/>
    <row r="915" ht="15.75" customHeight="1" s="1349"/>
    <row r="916" ht="15.75" customHeight="1" s="1349"/>
    <row r="917" ht="15.75" customHeight="1" s="1349"/>
    <row r="918" ht="15.75" customHeight="1" s="1349"/>
    <row r="919" ht="15.75" customHeight="1" s="1349"/>
    <row r="920" ht="15.75" customHeight="1" s="1349"/>
    <row r="921" ht="15.75" customHeight="1" s="1349"/>
    <row r="922" ht="15.75" customHeight="1" s="1349"/>
    <row r="923" ht="15.75" customHeight="1" s="1349"/>
    <row r="924" ht="15.75" customHeight="1" s="1349"/>
    <row r="925" ht="15.75" customHeight="1" s="1349"/>
    <row r="926" ht="15.75" customHeight="1" s="1349"/>
    <row r="927" ht="15.75" customHeight="1" s="1349"/>
    <row r="928" ht="15.75" customHeight="1" s="1349"/>
    <row r="929" ht="15.75" customHeight="1" s="1349"/>
    <row r="930" ht="15.75" customHeight="1" s="1349"/>
    <row r="931" ht="15.75" customHeight="1" s="1349"/>
    <row r="932" ht="15.75" customHeight="1" s="1349"/>
    <row r="933" ht="15.75" customHeight="1" s="1349"/>
    <row r="934" ht="15.75" customHeight="1" s="1349"/>
    <row r="935" ht="15.75" customHeight="1" s="1349"/>
    <row r="936" ht="15.75" customHeight="1" s="1349"/>
    <row r="937" ht="15.75" customHeight="1" s="1349"/>
    <row r="938" ht="15.75" customHeight="1" s="1349"/>
    <row r="939" ht="15.75" customHeight="1" s="1349"/>
    <row r="940" ht="15.75" customHeight="1" s="1349"/>
    <row r="941" ht="15.75" customHeight="1" s="1349"/>
    <row r="942" ht="15.75" customHeight="1" s="1349"/>
    <row r="943" ht="15.75" customHeight="1" s="1349"/>
    <row r="944" ht="15.75" customHeight="1" s="1349"/>
    <row r="945" ht="15.75" customHeight="1" s="1349"/>
    <row r="946" ht="15.75" customHeight="1" s="1349"/>
    <row r="947" ht="15.75" customHeight="1" s="1349"/>
    <row r="948" ht="15.75" customHeight="1" s="1349"/>
    <row r="949" ht="15.75" customHeight="1" s="1349"/>
    <row r="950" ht="15.75" customHeight="1" s="1349"/>
    <row r="951" ht="15.75" customHeight="1" s="1349"/>
    <row r="952" ht="15.75" customHeight="1" s="1349"/>
    <row r="953" ht="15.75" customHeight="1" s="1349"/>
    <row r="954" ht="15.75" customHeight="1" s="1349"/>
    <row r="955" ht="15.75" customHeight="1" s="1349"/>
    <row r="956" ht="15.75" customHeight="1" s="1349"/>
    <row r="957" ht="15.75" customHeight="1" s="1349"/>
    <row r="958" ht="15.75" customHeight="1" s="1349"/>
    <row r="959" ht="15.75" customHeight="1" s="1349"/>
    <row r="960" ht="15.75" customHeight="1" s="1349"/>
    <row r="961" ht="15.75" customHeight="1" s="1349"/>
    <row r="962" ht="15.75" customHeight="1" s="1349"/>
    <row r="963" ht="15.75" customHeight="1" s="1349"/>
    <row r="964" ht="15.75" customHeight="1" s="1349"/>
    <row r="965" ht="15.75" customHeight="1" s="1349"/>
    <row r="966" ht="15.75" customHeight="1" s="1349"/>
    <row r="967" ht="15.75" customHeight="1" s="1349"/>
    <row r="968" ht="15.75" customHeight="1" s="1349"/>
    <row r="969" ht="15.75" customHeight="1" s="1349"/>
    <row r="970" ht="15.75" customHeight="1" s="1349"/>
    <row r="971" ht="15.75" customHeight="1" s="1349"/>
    <row r="972" ht="15.75" customHeight="1" s="1349"/>
    <row r="973" ht="15.75" customHeight="1" s="1349"/>
    <row r="974" ht="15.75" customHeight="1" s="1349"/>
    <row r="975" ht="15.75" customHeight="1" s="1349"/>
    <row r="976" ht="15.75" customHeight="1" s="1349"/>
    <row r="977" ht="15.75" customHeight="1" s="1349"/>
    <row r="978" ht="15.75" customHeight="1" s="1349"/>
    <row r="979" ht="15.75" customHeight="1" s="1349"/>
    <row r="980" ht="15.75" customHeight="1" s="1349"/>
    <row r="981" ht="15.75" customHeight="1" s="1349"/>
    <row r="982" ht="15.75" customHeight="1" s="1349"/>
    <row r="983" ht="15.75" customHeight="1" s="1349"/>
    <row r="984" ht="15.75" customHeight="1" s="1349"/>
    <row r="985" ht="15.75" customHeight="1" s="1349"/>
    <row r="986" ht="15.75" customHeight="1" s="1349"/>
    <row r="987" ht="15.75" customHeight="1" s="1349"/>
    <row r="988" ht="15.75" customHeight="1" s="1349"/>
    <row r="989" ht="15.75" customHeight="1" s="1349"/>
    <row r="990" ht="15.75" customHeight="1" s="1349"/>
    <row r="991" ht="15.75" customHeight="1" s="1349"/>
    <row r="992" ht="15.75" customHeight="1" s="1349"/>
    <row r="993" ht="15.75" customHeight="1" s="1349"/>
    <row r="994" ht="15.75" customHeight="1" s="1349"/>
    <row r="995" ht="15.75" customHeight="1" s="1349"/>
    <row r="996" ht="15.75" customHeight="1" s="1349"/>
    <row r="997" ht="15.75" customHeight="1" s="1349"/>
    <row r="998" ht="15.75" customHeight="1" s="1349"/>
    <row r="999" ht="15.75" customHeight="1" s="1349"/>
    <row r="1000" ht="15.75" customHeight="1" s="1349"/>
  </sheetData>
  <conditionalFormatting sqref="L4">
    <cfRule type="cellIs" priority="1" operator="greaterThan" dxfId="20">
      <formula>0.01</formula>
    </cfRule>
    <cfRule type="cellIs" priority="2" operator="lessThan" dxfId="21">
      <formula>0</formula>
    </cfRule>
  </conditionalFormatting>
  <pageMargins left="0.511811024" right="0.511811024" top="0.787401575" bottom="0.7874015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349" min="1" max="1"/>
    <col width="52" customWidth="1" style="1349" min="2" max="2"/>
    <col width="16" customWidth="1" style="1349" min="3" max="3"/>
    <col width="12" customWidth="1" style="1349" min="4" max="4"/>
    <col width="20" customWidth="1" style="1349" min="5" max="5"/>
    <col width="20" customWidth="1" style="1349" min="6" max="6"/>
    <col width="40" customWidth="1" style="1349" min="7" max="7"/>
  </cols>
  <sheetData>
    <row r="1" ht="36" customHeight="1" s="1349">
      <c r="A1" s="1355" t="inlineStr">
        <is>
          <t>MLB ID</t>
        </is>
      </c>
      <c r="B1" s="1355" t="inlineStr">
        <is>
          <t>Título</t>
        </is>
      </c>
      <c r="C1" s="1355" t="inlineStr">
        <is>
          <t>Preço Atual (R$)</t>
        </is>
      </c>
      <c r="D1" s="1355" t="inlineStr">
        <is>
          <t>Status ML</t>
        </is>
      </c>
      <c r="E1" s="1355" t="inlineStr">
        <is>
          <t>Camp. Junho
(expira 01/07 ⚠)</t>
        </is>
      </c>
      <c r="F1" s="1355" t="inlineStr">
        <is>
          <t>Camp. Julho
(01/07 a 01/08)</t>
        </is>
      </c>
      <c r="G1" s="1355" t="inlineStr">
        <is>
          <t>Alerta</t>
        </is>
      </c>
    </row>
    <row r="2">
      <c r="A2" s="1376" t="inlineStr">
        <is>
          <t>MLB4325306577</t>
        </is>
      </c>
      <c r="B2" s="1357" t="inlineStr">
        <is>
          <t>Luva Látex Natural Macia C/ Pó Nitrílica Descartável 500 Un</t>
        </is>
      </c>
      <c r="C2" s="1377" t="n">
        <v>148.99</v>
      </c>
      <c r="D2" s="1377" t="inlineStr">
        <is>
          <t>paused</t>
        </is>
      </c>
      <c r="E2" s="1378" t="inlineStr">
        <is>
          <t>Candidato</t>
        </is>
      </c>
      <c r="F2" s="1378" t="inlineStr">
        <is>
          <t>Candidato</t>
        </is>
      </c>
      <c r="G2" s="1370" t="inlineStr">
        <is>
          <t>Candidato ao Julho — confirmar inscricao</t>
        </is>
      </c>
    </row>
    <row r="3">
      <c r="A3" s="1376" t="inlineStr">
        <is>
          <t>MLB3330228937</t>
        </is>
      </c>
      <c r="B3" s="1357" t="inlineStr">
        <is>
          <t>Abafador Ruido Protetor Auricular Auditivo Camper C200 5un Preto</t>
        </is>
      </c>
      <c r="C3" s="1377" t="n">
        <v>133.99</v>
      </c>
      <c r="D3" s="1377" t="inlineStr">
        <is>
          <t>active</t>
        </is>
      </c>
      <c r="E3" s="1378" t="inlineStr">
        <is>
          <t>Candidato</t>
        </is>
      </c>
      <c r="F3" s="1379" t="inlineStr">
        <is>
          <t>Inscrito (R$ 99.99)</t>
        </is>
      </c>
      <c r="G3" s="1372" t="inlineStr">
        <is>
          <t>Julho ativo — OK</t>
        </is>
      </c>
    </row>
    <row r="4">
      <c r="A4" s="1376" t="inlineStr">
        <is>
          <t>MLB5376461500</t>
        </is>
      </c>
      <c r="B4" s="1357" t="inlineStr">
        <is>
          <t>Protetor Auricular Abafador Concha Confort Plus Cor Cinza 26db Ca 48054 Camper</t>
        </is>
      </c>
      <c r="C4" s="1377" t="n">
        <v>71.98999999999999</v>
      </c>
      <c r="D4" s="1377" t="inlineStr">
        <is>
          <t>active</t>
        </is>
      </c>
      <c r="E4" s="1378" t="inlineStr">
        <is>
          <t>Ativa (R$ 64.90)</t>
        </is>
      </c>
      <c r="F4" s="1379" t="inlineStr">
        <is>
          <t>Inscrito (R$ 68.39)</t>
        </is>
      </c>
      <c r="G4" s="1372" t="inlineStr">
        <is>
          <t>Julho ja programado — OK</t>
        </is>
      </c>
    </row>
    <row r="5">
      <c r="A5" s="1376" t="inlineStr">
        <is>
          <t>MLB3285272779</t>
        </is>
      </c>
      <c r="B5" s="1357" t="inlineStr">
        <is>
          <t>Abafador Concha Camper Confort Plus Ca48054 Protetor Auditiv Cinza</t>
        </is>
      </c>
      <c r="C5" s="1377" t="n">
        <v>71.98999999999999</v>
      </c>
      <c r="D5" s="1377" t="inlineStr">
        <is>
          <t>active</t>
        </is>
      </c>
      <c r="E5" s="1378" t="inlineStr">
        <is>
          <t>Ativa (R$ 64.90)</t>
        </is>
      </c>
      <c r="F5" s="1379" t="inlineStr">
        <is>
          <t>Inscrito (R$ 68.39)</t>
        </is>
      </c>
      <c r="G5" s="1372" t="inlineStr">
        <is>
          <t>Julho ja programado — OK</t>
        </is>
      </c>
    </row>
    <row r="6">
      <c r="A6" s="1376" t="inlineStr">
        <is>
          <t>MLB5862550516</t>
        </is>
      </c>
      <c r="B6" s="1357" t="inlineStr">
        <is>
          <t>Bota New Prime Nobuck Anti Chamas Eletricista Nr10 Bico Pvc</t>
        </is>
      </c>
      <c r="C6" s="1377" t="n">
        <v>260</v>
      </c>
      <c r="D6" s="1377" t="inlineStr">
        <is>
          <t>active</t>
        </is>
      </c>
      <c r="E6" s="1378" t="inlineStr">
        <is>
          <t>Candidato</t>
        </is>
      </c>
      <c r="F6" s="1379" t="inlineStr">
        <is>
          <t>Inscrito (R$ 239.00)</t>
        </is>
      </c>
      <c r="G6" s="1372" t="inlineStr">
        <is>
          <t>Julho ativo — OK</t>
        </is>
      </c>
    </row>
    <row r="7">
      <c r="A7" s="1376" t="inlineStr">
        <is>
          <t>MLB3943414937</t>
        </is>
      </c>
      <c r="B7" s="1357" t="inlineStr">
        <is>
          <t>Fita Telada Azul Drywall Premium Autoadesiva 45m X 48mm Obra</t>
        </is>
      </c>
      <c r="C7" s="1377" t="n">
        <v>35</v>
      </c>
      <c r="D7" s="1377" t="inlineStr">
        <is>
          <t>active</t>
        </is>
      </c>
      <c r="E7" s="1378" t="inlineStr">
        <is>
          <t>Ativa (R$ 30.37)</t>
        </is>
      </c>
      <c r="F7" s="1379" t="inlineStr">
        <is>
          <t>Inscrito (R$ 30.37)</t>
        </is>
      </c>
      <c r="G7" s="1372" t="inlineStr">
        <is>
          <t>Julho ja programado — OK</t>
        </is>
      </c>
    </row>
    <row r="8">
      <c r="A8" s="1376" t="inlineStr">
        <is>
          <t>MLB5864766062</t>
        </is>
      </c>
      <c r="B8" s="1357" t="inlineStr">
        <is>
          <t>Célula Carga De Gás Para Pistola Fixação Fga850n 1000 Tiros</t>
        </is>
      </c>
      <c r="C8" s="1377" t="n">
        <v>227.98</v>
      </c>
      <c r="D8" s="1377" t="inlineStr">
        <is>
          <t>active</t>
        </is>
      </c>
      <c r="E8" s="1380" t="inlineStr">
        <is>
          <t>Ativa (R$ 216.58)</t>
        </is>
      </c>
      <c r="F8" s="1378" t="inlineStr">
        <is>
          <t>Candidato</t>
        </is>
      </c>
      <c r="G8" s="1370" t="inlineStr">
        <is>
          <t>Candidato ao Julho — confirmar inscricao</t>
        </is>
      </c>
    </row>
    <row r="9">
      <c r="A9" s="1376" t="inlineStr">
        <is>
          <t>MLB2785525387</t>
        </is>
      </c>
      <c r="B9" s="1357" t="inlineStr">
        <is>
          <t>Kit 20 Óculos Proteção Uvb/uva Delta Plus Summer Incolor</t>
        </is>
      </c>
      <c r="C9" s="1377" t="n">
        <v>78.98999999999999</v>
      </c>
      <c r="D9" s="1377" t="inlineStr">
        <is>
          <t>active</t>
        </is>
      </c>
      <c r="E9" s="1378" t="inlineStr">
        <is>
          <t>Ativa (R$ 78.99)</t>
        </is>
      </c>
      <c r="F9" s="1379" t="inlineStr">
        <is>
          <t>Ativa (R$ 78.99)</t>
        </is>
      </c>
      <c r="G9" s="1372" t="inlineStr">
        <is>
          <t>Julho ja programado — OK</t>
        </is>
      </c>
    </row>
    <row r="10">
      <c r="A10" s="1376" t="inlineStr">
        <is>
          <t>MLB3291642506</t>
        </is>
      </c>
      <c r="B10" s="1357" t="inlineStr">
        <is>
          <t xml:space="preserve">Capacete Msa V-gard Branco Engenheiro Push Key Jugular </t>
        </is>
      </c>
      <c r="C10" s="1377" t="n">
        <v>77.53</v>
      </c>
      <c r="D10" s="1377" t="inlineStr">
        <is>
          <t>active</t>
        </is>
      </c>
      <c r="E10" s="1378" t="inlineStr">
        <is>
          <t>Candidato</t>
        </is>
      </c>
      <c r="F10" s="1379" t="inlineStr">
        <is>
          <t>Ativa (R$ 78.99)</t>
        </is>
      </c>
      <c r="G10" s="1372" t="inlineStr">
        <is>
          <t>Julho ativo — OK</t>
        </is>
      </c>
    </row>
    <row r="11">
      <c r="A11" s="1376" t="inlineStr">
        <is>
          <t>MLB5335589630</t>
        </is>
      </c>
      <c r="B11" s="1357" t="inlineStr">
        <is>
          <t>Capacete Msa V-gard Carneira Push Key C/jugular Obra Altura Cor Cinza</t>
        </is>
      </c>
      <c r="C11" s="1377" t="n">
        <v>77.53</v>
      </c>
      <c r="D11" s="1377" t="inlineStr">
        <is>
          <t>paused</t>
        </is>
      </c>
      <c r="E11" s="1378" t="inlineStr">
        <is>
          <t>Candidato</t>
        </is>
      </c>
      <c r="F11" s="1379" t="inlineStr">
        <is>
          <t>Ativa (R$ 78.99)</t>
        </is>
      </c>
      <c r="G11" s="1372" t="inlineStr">
        <is>
          <t>Julho ativo — OK</t>
        </is>
      </c>
    </row>
    <row r="12">
      <c r="A12" s="1376" t="inlineStr">
        <is>
          <t>MLB5335501126</t>
        </is>
      </c>
      <c r="B12" s="1357" t="inlineStr">
        <is>
          <t>Capacete Msa V-gard Carneira Push Key C/jugular Obra Altura Cor Azul Azul Bic</t>
        </is>
      </c>
      <c r="C12" s="1377" t="n">
        <v>77.53</v>
      </c>
      <c r="D12" s="1377" t="inlineStr">
        <is>
          <t>paused</t>
        </is>
      </c>
      <c r="E12" s="1378" t="inlineStr">
        <is>
          <t>Candidato</t>
        </is>
      </c>
      <c r="F12" s="1379" t="inlineStr">
        <is>
          <t>Ativa (R$ 78.99)</t>
        </is>
      </c>
      <c r="G12" s="1372" t="inlineStr">
        <is>
          <t>Julho ativo — OK</t>
        </is>
      </c>
    </row>
    <row r="13">
      <c r="A13" s="1376" t="inlineStr">
        <is>
          <t>MLB4100208353</t>
        </is>
      </c>
      <c r="B13" s="1357" t="inlineStr">
        <is>
          <t>Capacete Msa V-gard Branco Engenheiro Push Key Jugular</t>
        </is>
      </c>
      <c r="C13" s="1377" t="n">
        <v>77.53</v>
      </c>
      <c r="D13" s="1377" t="inlineStr">
        <is>
          <t>paused</t>
        </is>
      </c>
      <c r="E13" s="1378" t="inlineStr">
        <is>
          <t>Candidato</t>
        </is>
      </c>
      <c r="F13" s="1379" t="inlineStr">
        <is>
          <t>Ativa (R$ 78.99)</t>
        </is>
      </c>
      <c r="G13" s="1372" t="inlineStr">
        <is>
          <t>Julho ativo — OK</t>
        </is>
      </c>
    </row>
    <row r="14">
      <c r="A14" s="1376" t="inlineStr">
        <is>
          <t>MLB3637835650</t>
        </is>
      </c>
      <c r="B14" s="1357" t="inlineStr">
        <is>
          <t>Luva Mucambo Pro 157 Latex Antiderrapante Reforçada 10 Pares</t>
        </is>
      </c>
      <c r="C14" s="1377" t="n">
        <v>76.08</v>
      </c>
      <c r="D14" s="1377" t="inlineStr">
        <is>
          <t>active</t>
        </is>
      </c>
      <c r="E14" s="1378" t="inlineStr">
        <is>
          <t>Ativa (R$ 78.99)</t>
        </is>
      </c>
      <c r="F14" s="1379" t="inlineStr">
        <is>
          <t>Ativa (R$ 78.99)</t>
        </is>
      </c>
      <c r="G14" s="1372" t="inlineStr">
        <is>
          <t>Julho ja programado — OK</t>
        </is>
      </c>
    </row>
    <row r="15">
      <c r="A15" s="1376" t="inlineStr">
        <is>
          <t>MLB3253294579</t>
        </is>
      </c>
      <c r="B15" s="1357" t="inlineStr">
        <is>
          <t>Kit 5 Luva De Látex Natural E Neoprene Bicolor - Volk 16779</t>
        </is>
      </c>
      <c r="C15" s="1377" t="n">
        <v>65.98999999999999</v>
      </c>
      <c r="D15" s="1377" t="inlineStr">
        <is>
          <t>active</t>
        </is>
      </c>
      <c r="E15" s="1378" t="inlineStr">
        <is>
          <t>Candidato</t>
        </is>
      </c>
      <c r="F15" s="1379" t="inlineStr">
        <is>
          <t>Ativa (R$ 54.11)</t>
        </is>
      </c>
      <c r="G15" s="1372" t="inlineStr">
        <is>
          <t>Julho ativo — OK</t>
        </is>
      </c>
    </row>
    <row r="16">
      <c r="A16" s="1376" t="inlineStr">
        <is>
          <t>MLB3477876047</t>
        </is>
      </c>
      <c r="B16" s="1357" t="inlineStr">
        <is>
          <t>Gaveteiro Expositor Organizador N3 8x10,4x16cm Azul 6un</t>
        </is>
      </c>
      <c r="C16" s="1377" t="n">
        <v>35</v>
      </c>
      <c r="D16" s="1377" t="inlineStr">
        <is>
          <t>active</t>
        </is>
      </c>
      <c r="E16" s="1380" t="inlineStr">
        <is>
          <t>Ativa (R$ 23.90)</t>
        </is>
      </c>
      <c r="F16" s="1378" t="inlineStr">
        <is>
          <t>Candidato</t>
        </is>
      </c>
      <c r="G16" s="1370" t="inlineStr">
        <is>
          <t>Candidato ao Julho — confirmar inscricao</t>
        </is>
      </c>
    </row>
    <row r="17">
      <c r="A17" s="1376" t="inlineStr">
        <is>
          <t>MLB5538257962</t>
        </is>
      </c>
      <c r="B17" s="1357" t="inlineStr">
        <is>
          <t>Bateria De Lítio Recarregável P/ Pistola De Fixação Fga850n</t>
        </is>
      </c>
      <c r="C17" s="1377" t="n">
        <v>1999</v>
      </c>
      <c r="D17" s="1377" t="inlineStr">
        <is>
          <t>active</t>
        </is>
      </c>
      <c r="E17" s="1380" t="inlineStr">
        <is>
          <t>Ativa (R$ 1798.99)</t>
        </is>
      </c>
      <c r="F17" s="1378" t="inlineStr">
        <is>
          <t>Candidato</t>
        </is>
      </c>
      <c r="G17" s="1370" t="inlineStr">
        <is>
          <t>Candidato ao Julho — confirmar inscricao</t>
        </is>
      </c>
    </row>
    <row r="18">
      <c r="A18" s="1376" t="inlineStr">
        <is>
          <t>MLB6623873336</t>
        </is>
      </c>
      <c r="B18" s="1357" t="inlineStr">
        <is>
          <t>Abafador De Ruídos Delta Plus Magny Cours 23 Db Preto</t>
        </is>
      </c>
      <c r="C18" s="1377" t="n">
        <v>190.8</v>
      </c>
      <c r="D18" s="1377" t="inlineStr">
        <is>
          <t>active</t>
        </is>
      </c>
      <c r="E18" s="1380" t="inlineStr">
        <is>
          <t>Ativa (R$ 139.00)</t>
        </is>
      </c>
      <c r="F18" s="1378" t="inlineStr">
        <is>
          <t>Candidato</t>
        </is>
      </c>
      <c r="G18" s="1370" t="inlineStr">
        <is>
          <t>Candidato ao Julho — confirmar inscricao</t>
        </is>
      </c>
    </row>
    <row r="19">
      <c r="A19" s="1376" t="inlineStr">
        <is>
          <t>MLB3343235127</t>
        </is>
      </c>
      <c r="B19" s="1357" t="inlineStr">
        <is>
          <t>Parafuso Drywall Gesso Ponta Agulha Gn25 Walsywa 1000un</t>
        </is>
      </c>
      <c r="C19" s="1377" t="n">
        <v>62.89</v>
      </c>
      <c r="D19" s="1377" t="inlineStr">
        <is>
          <t>active</t>
        </is>
      </c>
      <c r="E19" s="1378" t="inlineStr">
        <is>
          <t>Ativa (R$ 45.90)</t>
        </is>
      </c>
      <c r="F19" s="1379" t="inlineStr">
        <is>
          <t>Ativa (R$ 45.90)</t>
        </is>
      </c>
      <c r="G19" s="1372" t="inlineStr">
        <is>
          <t>Julho ja programado — OK</t>
        </is>
      </c>
    </row>
    <row r="20">
      <c r="A20" s="1376" t="inlineStr">
        <is>
          <t>MLB3456056484</t>
        </is>
      </c>
      <c r="B20" s="1357" t="inlineStr">
        <is>
          <t>100 Mascara De Proteção Respiratória C Válvula Pff2 Ca38503  Azul</t>
        </is>
      </c>
      <c r="C20" s="1377" t="n">
        <v>199</v>
      </c>
      <c r="D20" s="1377" t="inlineStr">
        <is>
          <t>active</t>
        </is>
      </c>
      <c r="E20" s="1378" t="inlineStr">
        <is>
          <t>Candidato</t>
        </is>
      </c>
      <c r="F20" s="1378" t="inlineStr">
        <is>
          <t>Candidato</t>
        </is>
      </c>
      <c r="G20" s="1370" t="inlineStr">
        <is>
          <t>Candidato ao Julho — confirmar inscricao</t>
        </is>
      </c>
    </row>
    <row r="21">
      <c r="A21" s="1376" t="inlineStr">
        <is>
          <t>MLB3654941892</t>
        </is>
      </c>
      <c r="B21" s="1357" t="inlineStr">
        <is>
          <t>Cartucho Carbografite Filtro Rc203 Para Máscara Cg306 6 Un</t>
        </is>
      </c>
      <c r="C21" s="1377" t="n">
        <v>119.99</v>
      </c>
      <c r="D21" s="1377" t="inlineStr">
        <is>
          <t>under_review</t>
        </is>
      </c>
      <c r="E21" s="1381" t="inlineStr">
        <is>
          <t>Fora</t>
        </is>
      </c>
      <c r="F21" s="1382" t="inlineStr">
        <is>
          <t>Fora</t>
        </is>
      </c>
      <c r="G21" s="1366" t="inlineStr">
        <is>
          <t>Fora de ambas as campanhas</t>
        </is>
      </c>
    </row>
    <row r="22">
      <c r="A22" s="1376" t="inlineStr">
        <is>
          <t>MLB4143175933</t>
        </is>
      </c>
      <c r="B22" s="1357" t="inlineStr">
        <is>
          <t>Abafador Ouvido Antirruído Acoplável Capacete Universal 30db Preto</t>
        </is>
      </c>
      <c r="C22" s="1377" t="n">
        <v>200</v>
      </c>
      <c r="D22" s="1377" t="inlineStr">
        <is>
          <t>active</t>
        </is>
      </c>
      <c r="E22" s="1378" t="inlineStr">
        <is>
          <t>Candidato</t>
        </is>
      </c>
      <c r="F22" s="1379" t="inlineStr">
        <is>
          <t>Inscrito (R$ 161.39)</t>
        </is>
      </c>
      <c r="G22" s="1372" t="inlineStr">
        <is>
          <t>Julho ativo — OK</t>
        </is>
      </c>
    </row>
    <row r="23">
      <c r="A23" s="1376" t="inlineStr">
        <is>
          <t>MLB4134105843</t>
        </is>
      </c>
      <c r="B23" s="1357" t="inlineStr">
        <is>
          <t>Arame Galvanizado Drywall Cercado Artesanato Bwg14 C/ 36,8m Cinza</t>
        </is>
      </c>
      <c r="C23" s="1377" t="n">
        <v>49</v>
      </c>
      <c r="D23" s="1377" t="inlineStr">
        <is>
          <t>paused</t>
        </is>
      </c>
      <c r="E23" s="1378" t="inlineStr">
        <is>
          <t>Candidato</t>
        </is>
      </c>
      <c r="F23" s="1378" t="inlineStr">
        <is>
          <t>Candidato</t>
        </is>
      </c>
      <c r="G23" s="1370" t="inlineStr">
        <is>
          <t>Candidato ao Julho — confirmar inscricao</t>
        </is>
      </c>
    </row>
    <row r="24">
      <c r="A24" s="1376" t="inlineStr">
        <is>
          <t>MLB5914819122</t>
        </is>
      </c>
      <c r="B24" s="1357" t="inlineStr">
        <is>
          <t>100un Parafuso Chumbador Concreto 75mm X M10 Organometálico</t>
        </is>
      </c>
      <c r="C24" s="1377" t="n">
        <v>485</v>
      </c>
      <c r="D24" s="1377" t="inlineStr">
        <is>
          <t>paused</t>
        </is>
      </c>
      <c r="E24" s="1378" t="inlineStr">
        <is>
          <t>Candidato</t>
        </is>
      </c>
      <c r="F24" s="1378" t="inlineStr">
        <is>
          <t>Candidato</t>
        </is>
      </c>
      <c r="G24" s="1370" t="inlineStr">
        <is>
          <t>Candidato ao Julho — confirmar inscricao</t>
        </is>
      </c>
    </row>
    <row r="25">
      <c r="A25" s="1376" t="inlineStr">
        <is>
          <t>MLB5298614678</t>
        </is>
      </c>
      <c r="B25" s="1357" t="inlineStr">
        <is>
          <t>Kit 4 Capacete De Segurança Camper Ca 34414 Epi C/ Jugular</t>
        </is>
      </c>
      <c r="C25" s="1377" t="n">
        <v>78.98999999999999</v>
      </c>
      <c r="D25" s="1377" t="inlineStr">
        <is>
          <t>active</t>
        </is>
      </c>
      <c r="E25" s="1378" t="inlineStr">
        <is>
          <t>Candidato</t>
        </is>
      </c>
      <c r="F25" s="1378" t="inlineStr">
        <is>
          <t>Candidato</t>
        </is>
      </c>
      <c r="G25" s="1370" t="inlineStr">
        <is>
          <t>Candidato ao Julho — confirmar inscricao</t>
        </is>
      </c>
    </row>
    <row r="26">
      <c r="A26" s="1376" t="inlineStr">
        <is>
          <t>MLB4342821485</t>
        </is>
      </c>
      <c r="B26" s="1357" t="inlineStr">
        <is>
          <t>Kit 50 Bucha Tab 1/4 Bases Ocas Drywall Parafuso 1/4 X 2.1/2 Branco</t>
        </is>
      </c>
      <c r="C26" s="1377" t="n">
        <v>222.47</v>
      </c>
      <c r="D26" s="1377" t="inlineStr">
        <is>
          <t>active</t>
        </is>
      </c>
      <c r="E26" s="1378" t="inlineStr">
        <is>
          <t>Candidato</t>
        </is>
      </c>
      <c r="F26" s="1379" t="inlineStr">
        <is>
          <t>Inscrito (R$ 204.56)</t>
        </is>
      </c>
      <c r="G26" s="1372" t="inlineStr">
        <is>
          <t>Julho ativo — OK</t>
        </is>
      </c>
    </row>
    <row r="27">
      <c r="A27" s="1376" t="inlineStr">
        <is>
          <t>MLB4293690737</t>
        </is>
      </c>
      <c r="B27" s="1357" t="inlineStr">
        <is>
          <t>Kit 50 Parafuso Sextavado Concreto 75mm X M10 Organometálico</t>
        </is>
      </c>
      <c r="C27" s="1377" t="n">
        <v>291.54</v>
      </c>
      <c r="D27" s="1377" t="inlineStr">
        <is>
          <t>paused</t>
        </is>
      </c>
      <c r="E27" s="1380" t="inlineStr">
        <is>
          <t>Ativa (R$ 237.50)</t>
        </is>
      </c>
      <c r="F27" s="1378" t="inlineStr">
        <is>
          <t>Candidato</t>
        </is>
      </c>
      <c r="G27" s="1370" t="inlineStr">
        <is>
          <t>Candidato ao Julho — confirmar inscricao</t>
        </is>
      </c>
    </row>
    <row r="28">
      <c r="A28" s="1376" t="inlineStr">
        <is>
          <t>MLB3402168633</t>
        </is>
      </c>
      <c r="B28" s="1357" t="inlineStr">
        <is>
          <t>Tela Amarração Alvenaria Ancora 1,2mm X 50cm X 6cm C/200un</t>
        </is>
      </c>
      <c r="C28" s="1377" t="n">
        <v>300</v>
      </c>
      <c r="D28" s="1377" t="inlineStr">
        <is>
          <t>active</t>
        </is>
      </c>
      <c r="E28" s="1378" t="inlineStr">
        <is>
          <t>Candidato</t>
        </is>
      </c>
      <c r="F28" s="1378" t="inlineStr">
        <is>
          <t>Candidato</t>
        </is>
      </c>
      <c r="G28" s="1370" t="inlineStr">
        <is>
          <t>Candidato ao Julho — confirmar inscricao</t>
        </is>
      </c>
    </row>
    <row r="29">
      <c r="A29" s="1376" t="inlineStr">
        <is>
          <t>MLB3346476913</t>
        </is>
      </c>
      <c r="B29" s="1357" t="inlineStr">
        <is>
          <t xml:space="preserve">Colete Refletivo Fluorescente Blusão Segurança Sinalização </t>
        </is>
      </c>
      <c r="C29" s="1377" t="n">
        <v>28.9</v>
      </c>
      <c r="D29" s="1377" t="inlineStr">
        <is>
          <t>active</t>
        </is>
      </c>
      <c r="E29" s="1378" t="inlineStr">
        <is>
          <t>Ativa (R$ 27.45)</t>
        </is>
      </c>
      <c r="F29" s="1379" t="inlineStr">
        <is>
          <t>Ativa (R$ 27.45)</t>
        </is>
      </c>
      <c r="G29" s="1372" t="inlineStr">
        <is>
          <t>Julho ja programado — OK</t>
        </is>
      </c>
    </row>
    <row r="30">
      <c r="A30" s="1376" t="inlineStr">
        <is>
          <t>MLB5929982424</t>
        </is>
      </c>
      <c r="B30" s="1357" t="inlineStr">
        <is>
          <t>Pino Aço Ação Direta 1/4 X 30 X 20 Com Rosca Px3020 100un</t>
        </is>
      </c>
      <c r="C30" s="1377" t="n">
        <v>55</v>
      </c>
      <c r="D30" s="1377" t="inlineStr">
        <is>
          <t>active</t>
        </is>
      </c>
      <c r="E30" s="1380" t="inlineStr">
        <is>
          <t>Ativa (R$ 49.99)</t>
        </is>
      </c>
      <c r="F30" s="1378" t="inlineStr">
        <is>
          <t>Candidato</t>
        </is>
      </c>
      <c r="G30" s="1370" t="inlineStr">
        <is>
          <t>Candidato ao Julho — confirmar inscricao</t>
        </is>
      </c>
    </row>
    <row r="31">
      <c r="A31" s="1376" t="inlineStr">
        <is>
          <t>MLB6589707404</t>
        </is>
      </c>
      <c r="B31" s="1357" t="inlineStr">
        <is>
          <t>Kit 10 Broca Aço Rápido Hss Metal Alumínio 4mm 5/32  Afiada</t>
        </is>
      </c>
      <c r="C31" s="1377" t="n">
        <v>78.98999999999999</v>
      </c>
      <c r="D31" s="1377" t="inlineStr">
        <is>
          <t>paused</t>
        </is>
      </c>
      <c r="E31" s="1378" t="inlineStr">
        <is>
          <t>Candidato</t>
        </is>
      </c>
      <c r="F31" s="1378" t="inlineStr">
        <is>
          <t>Candidato</t>
        </is>
      </c>
      <c r="G31" s="1370" t="inlineStr">
        <is>
          <t>Candidato ao Julho — confirmar inscricao</t>
        </is>
      </c>
    </row>
    <row r="32">
      <c r="A32" s="1376" t="inlineStr">
        <is>
          <t>MLB4048387055</t>
        </is>
      </c>
      <c r="B32" s="1357" t="inlineStr">
        <is>
          <t>Aplicador Duplo Apl400 Ancora Manual Profissional Epoxi400</t>
        </is>
      </c>
      <c r="C32" s="1377" t="n">
        <v>296.47</v>
      </c>
      <c r="D32" s="1377" t="inlineStr">
        <is>
          <t>active</t>
        </is>
      </c>
      <c r="E32" s="1380" t="inlineStr">
        <is>
          <t>Ativa (R$ 249.00)</t>
        </is>
      </c>
      <c r="F32" s="1378" t="inlineStr">
        <is>
          <t>Candidato</t>
        </is>
      </c>
      <c r="G32" s="1370" t="inlineStr">
        <is>
          <t>Candidato ao Julho — confirmar inscricao</t>
        </is>
      </c>
    </row>
    <row r="33">
      <c r="A33" s="1376" t="inlineStr">
        <is>
          <t>MLB3954487137</t>
        </is>
      </c>
      <c r="B33" s="1357" t="inlineStr">
        <is>
          <t>Protetor Abafador Ruído Construção Autismo Industria 22db Cinza</t>
        </is>
      </c>
      <c r="C33" s="1377" t="n">
        <v>78.98999999999999</v>
      </c>
      <c r="D33" s="1377" t="inlineStr">
        <is>
          <t>active</t>
        </is>
      </c>
      <c r="E33" s="1378" t="inlineStr">
        <is>
          <t>Ativa (R$ 75.04)</t>
        </is>
      </c>
      <c r="F33" s="1379" t="inlineStr">
        <is>
          <t>Ativa (R$ 68.72)</t>
        </is>
      </c>
      <c r="G33" s="1372" t="inlineStr">
        <is>
          <t>Julho ja programado — OK</t>
        </is>
      </c>
    </row>
    <row r="34">
      <c r="A34" s="1376" t="inlineStr">
        <is>
          <t>MLB5930022940</t>
        </is>
      </c>
      <c r="B34" s="1357" t="inlineStr">
        <is>
          <t>Pino Liso Ação Direta 1/4x30x20 Com Rosca Concreto 300un</t>
        </is>
      </c>
      <c r="C34" s="1377" t="n">
        <v>169</v>
      </c>
      <c r="D34" s="1377" t="inlineStr">
        <is>
          <t>paused</t>
        </is>
      </c>
      <c r="E34" s="1378" t="inlineStr">
        <is>
          <t>Candidato</t>
        </is>
      </c>
      <c r="F34" s="1378" t="inlineStr">
        <is>
          <t>Candidato</t>
        </is>
      </c>
      <c r="G34" s="1370" t="inlineStr">
        <is>
          <t>Candidato ao Julho — confirmar inscricao</t>
        </is>
      </c>
    </row>
    <row r="35">
      <c r="A35" s="1376" t="inlineStr">
        <is>
          <t>MLB4056490935</t>
        </is>
      </c>
      <c r="B35" s="1357" t="inlineStr">
        <is>
          <t>Aplicador Chumbador Químico Selante Silicone Apl300 + Brinde</t>
        </is>
      </c>
      <c r="C35" s="1377" t="n">
        <v>173.38</v>
      </c>
      <c r="D35" s="1377" t="inlineStr">
        <is>
          <t>active</t>
        </is>
      </c>
      <c r="E35" s="1378" t="inlineStr">
        <is>
          <t>Candidato</t>
        </is>
      </c>
      <c r="F35" s="1378" t="inlineStr">
        <is>
          <t>Candidato</t>
        </is>
      </c>
      <c r="G35" s="1370" t="inlineStr">
        <is>
          <t>Candidato ao Julho — confirmar inscricao</t>
        </is>
      </c>
    </row>
    <row r="36">
      <c r="A36" s="1376" t="inlineStr">
        <is>
          <t>MLB5914919146</t>
        </is>
      </c>
      <c r="B36" s="1357" t="inlineStr">
        <is>
          <t>Kit 10 Parafuso Sextavado Concreto 75mm X M10 Organometálico</t>
        </is>
      </c>
      <c r="C36" s="1377" t="n">
        <v>78.98999999999999</v>
      </c>
      <c r="D36" s="1377" t="inlineStr">
        <is>
          <t>paused</t>
        </is>
      </c>
      <c r="E36" s="1378" t="inlineStr">
        <is>
          <t>Candidato</t>
        </is>
      </c>
      <c r="F36" s="1378" t="inlineStr">
        <is>
          <t>Candidato</t>
        </is>
      </c>
      <c r="G36" s="1370" t="inlineStr">
        <is>
          <t>Candidato ao Julho — confirmar inscricao</t>
        </is>
      </c>
    </row>
    <row r="37">
      <c r="A37" s="1376" t="inlineStr">
        <is>
          <t>MLB4583749223</t>
        </is>
      </c>
      <c r="B37" s="1357" t="inlineStr">
        <is>
          <t>Perneira Bidim 3 Talas Ca 48825  Fechamento Velcro Proteção</t>
        </is>
      </c>
      <c r="C37" s="1377" t="n">
        <v>78.90000000000001</v>
      </c>
      <c r="D37" s="1377" t="inlineStr">
        <is>
          <t>active</t>
        </is>
      </c>
      <c r="E37" s="1378" t="inlineStr">
        <is>
          <t>Candidato</t>
        </is>
      </c>
      <c r="F37" s="1378" t="inlineStr">
        <is>
          <t>Candidato</t>
        </is>
      </c>
      <c r="G37" s="1370" t="inlineStr">
        <is>
          <t>Candidato ao Julho — confirmar inscricao</t>
        </is>
      </c>
    </row>
    <row r="38">
      <c r="A38" s="1376" t="inlineStr">
        <is>
          <t>MLB3343225453</t>
        </is>
      </c>
      <c r="B38" s="1357" t="inlineStr">
        <is>
          <t>Parafuso Drywall Gesso Ponta Agulha Gn35 Walsywa 1000un</t>
        </is>
      </c>
      <c r="C38" s="1377" t="n">
        <v>70</v>
      </c>
      <c r="D38" s="1377" t="inlineStr">
        <is>
          <t>active</t>
        </is>
      </c>
      <c r="E38" s="1378" t="inlineStr">
        <is>
          <t>Candidato</t>
        </is>
      </c>
      <c r="F38" s="1379" t="inlineStr">
        <is>
          <t>Ativa (R$ 66.50)</t>
        </is>
      </c>
      <c r="G38" s="1372" t="inlineStr">
        <is>
          <t>Julho ativo — OK</t>
        </is>
      </c>
    </row>
    <row r="39">
      <c r="A39" s="1376" t="inlineStr">
        <is>
          <t>MLB3436124575</t>
        </is>
      </c>
      <c r="B39" s="1357" t="inlineStr">
        <is>
          <t>Parafuso Drywall Trombeta 3,5x35 Cx500pçs Gn35</t>
        </is>
      </c>
      <c r="C39" s="1377" t="n">
        <v>59</v>
      </c>
      <c r="D39" s="1377" t="inlineStr">
        <is>
          <t>active</t>
        </is>
      </c>
      <c r="E39" s="1378" t="inlineStr">
        <is>
          <t>Ativa (R$ 34.90)</t>
        </is>
      </c>
      <c r="F39" s="1379" t="inlineStr">
        <is>
          <t>Inscrito (R$ 34.80)</t>
        </is>
      </c>
      <c r="G39" s="1372" t="inlineStr">
        <is>
          <t>Julho ja programado — OK</t>
        </is>
      </c>
    </row>
    <row r="40">
      <c r="A40" s="1376" t="inlineStr">
        <is>
          <t>MLB3343287623</t>
        </is>
      </c>
      <c r="B40" s="1357" t="inlineStr">
        <is>
          <t>Parafuso Drywall Gn35 Gesso Ponta Agulha Walsywa 500un</t>
        </is>
      </c>
      <c r="C40" s="1377" t="n">
        <v>59</v>
      </c>
      <c r="D40" s="1377" t="inlineStr">
        <is>
          <t>active</t>
        </is>
      </c>
      <c r="E40" s="1378" t="inlineStr">
        <is>
          <t>Ativa (R$ 34.90)</t>
        </is>
      </c>
      <c r="F40" s="1379" t="inlineStr">
        <is>
          <t>Inscrito (R$ 34.80)</t>
        </is>
      </c>
      <c r="G40" s="1372" t="inlineStr">
        <is>
          <t>Julho ja programado — OK</t>
        </is>
      </c>
    </row>
    <row r="41">
      <c r="A41" s="1376" t="inlineStr">
        <is>
          <t>MLB4250240503</t>
        </is>
      </c>
      <c r="B41" s="1357" t="inlineStr">
        <is>
          <t>Bota Puresafe Ecoboots Pu Longo Solado Antiperfuro Composite</t>
        </is>
      </c>
      <c r="C41" s="1377" t="n">
        <v>280</v>
      </c>
      <c r="D41" s="1377" t="inlineStr">
        <is>
          <t>active</t>
        </is>
      </c>
      <c r="E41" s="1378" t="inlineStr">
        <is>
          <t>Candidato</t>
        </is>
      </c>
      <c r="F41" s="1378" t="inlineStr">
        <is>
          <t>Candidato</t>
        </is>
      </c>
      <c r="G41" s="1370" t="inlineStr">
        <is>
          <t>Candidato ao Julho — confirmar inscricao</t>
        </is>
      </c>
    </row>
    <row r="42">
      <c r="A42" s="1376" t="inlineStr">
        <is>
          <t>MLB4576846505</t>
        </is>
      </c>
      <c r="B42" s="1357" t="inlineStr">
        <is>
          <t>Manguito Anticorte Para Braço Ajustável Proteção Epi Azul</t>
        </is>
      </c>
      <c r="C42" s="1377" t="n">
        <v>148.5</v>
      </c>
      <c r="D42" s="1377" t="inlineStr">
        <is>
          <t>active</t>
        </is>
      </c>
      <c r="E42" s="1378" t="inlineStr">
        <is>
          <t>Candidato</t>
        </is>
      </c>
      <c r="F42" s="1378" t="inlineStr">
        <is>
          <t>Candidato</t>
        </is>
      </c>
      <c r="G42" s="1370" t="inlineStr">
        <is>
          <t>Candidato ao Julho — confirmar inscricao</t>
        </is>
      </c>
    </row>
    <row r="43">
      <c r="A43" s="1376" t="inlineStr">
        <is>
          <t>MLB6549367038</t>
        </is>
      </c>
      <c r="B43" s="1357" t="inlineStr">
        <is>
          <t>Manguito Anticorte Nível D Ca 41403 Epi Profissional Cinza</t>
        </is>
      </c>
      <c r="C43" s="1377" t="n">
        <v>145</v>
      </c>
      <c r="D43" s="1377" t="inlineStr">
        <is>
          <t>active</t>
        </is>
      </c>
      <c r="E43" s="1378" t="inlineStr">
        <is>
          <t>Candidato</t>
        </is>
      </c>
      <c r="F43" s="1378" t="inlineStr">
        <is>
          <t>Candidato</t>
        </is>
      </c>
      <c r="G43" s="1370" t="inlineStr">
        <is>
          <t>Candidato ao Julho — confirmar inscricao</t>
        </is>
      </c>
    </row>
    <row r="44">
      <c r="A44" s="1376" t="inlineStr">
        <is>
          <t>MLB6001739108</t>
        </is>
      </c>
      <c r="B44" s="1357" t="inlineStr">
        <is>
          <t>Kit 10 Bucha Tab 1/4 Bases Ocas Drywall Parafuso 1/4 X 2.1/2 Branco</t>
        </is>
      </c>
      <c r="C44" s="1377" t="n">
        <v>55.99</v>
      </c>
      <c r="D44" s="1377" t="inlineStr">
        <is>
          <t>active</t>
        </is>
      </c>
      <c r="E44" s="1378" t="inlineStr">
        <is>
          <t>Ativa (R$ 42.99)</t>
        </is>
      </c>
      <c r="F44" s="1379" t="inlineStr">
        <is>
          <t>Inscrito (R$ 42.86)</t>
        </is>
      </c>
      <c r="G44" s="1372" t="inlineStr">
        <is>
          <t>Julho ja programado — OK</t>
        </is>
      </c>
    </row>
    <row r="45">
      <c r="A45" s="1376" t="inlineStr">
        <is>
          <t>MLB3398606239</t>
        </is>
      </c>
      <c r="B45" s="1357" t="inlineStr">
        <is>
          <t>Fita Adesiva Telada Juntas Trincas Drywall Gesso 90m X 48mm  Branco</t>
        </is>
      </c>
      <c r="C45" s="1377" t="n">
        <v>38</v>
      </c>
      <c r="D45" s="1377" t="inlineStr">
        <is>
          <t>active</t>
        </is>
      </c>
      <c r="E45" s="1380" t="inlineStr">
        <is>
          <t>Ativa (R$ 30.90)</t>
        </is>
      </c>
      <c r="F45" s="1378" t="inlineStr">
        <is>
          <t>Candidato</t>
        </is>
      </c>
      <c r="G45" s="1370" t="inlineStr">
        <is>
          <t>Candidato ao Julho — confirmar inscricao</t>
        </is>
      </c>
    </row>
    <row r="46">
      <c r="A46" s="1376" t="inlineStr">
        <is>
          <t>MLB3436747679</t>
        </is>
      </c>
      <c r="B46" s="1357" t="inlineStr">
        <is>
          <t>Luva Anticorte Alta Temperatura 250° Volk Black Tractor 8un</t>
        </is>
      </c>
      <c r="C46" s="1377" t="n">
        <v>149.99</v>
      </c>
      <c r="D46" s="1377" t="inlineStr">
        <is>
          <t>paused</t>
        </is>
      </c>
      <c r="E46" s="1378" t="inlineStr">
        <is>
          <t>Candidato</t>
        </is>
      </c>
      <c r="F46" s="1378" t="inlineStr">
        <is>
          <t>Candidato</t>
        </is>
      </c>
      <c r="G46" s="1370" t="inlineStr">
        <is>
          <t>Candidato ao Julho — confirmar inscricao</t>
        </is>
      </c>
    </row>
    <row r="47">
      <c r="A47" s="1376" t="inlineStr">
        <is>
          <t>MLB6566958230</t>
        </is>
      </c>
      <c r="B47" s="1357" t="inlineStr">
        <is>
          <t>Perneira Proteção Cobra 3 Talas Com Velcro Segurança Preto</t>
        </is>
      </c>
      <c r="C47" s="1377" t="n">
        <v>78.98999999999999</v>
      </c>
      <c r="D47" s="1377" t="inlineStr">
        <is>
          <t>active</t>
        </is>
      </c>
      <c r="E47" s="1378" t="inlineStr">
        <is>
          <t>Candidato</t>
        </is>
      </c>
      <c r="F47" s="1378" t="inlineStr">
        <is>
          <t>Candidato</t>
        </is>
      </c>
      <c r="G47" s="1370" t="inlineStr">
        <is>
          <t>Candidato ao Julho — confirmar inscricao</t>
        </is>
      </c>
    </row>
    <row r="48">
      <c r="A48" s="1376" t="inlineStr">
        <is>
          <t>MLB3330254699</t>
        </is>
      </c>
      <c r="B48" s="1357" t="inlineStr">
        <is>
          <t>Abafador Ruido Protetor Auricular Auditivo Camper C200 10un Preto</t>
        </is>
      </c>
      <c r="C48" s="1377" t="n">
        <v>300</v>
      </c>
      <c r="D48" s="1377" t="inlineStr">
        <is>
          <t>active</t>
        </is>
      </c>
      <c r="E48" s="1378" t="inlineStr">
        <is>
          <t>Ativa (R$ 221.22)</t>
        </is>
      </c>
      <c r="F48" s="1379" t="inlineStr">
        <is>
          <t>Inscrito (R$ 221.22)</t>
        </is>
      </c>
      <c r="G48" s="1372" t="inlineStr">
        <is>
          <t>Julho ja programado — OK</t>
        </is>
      </c>
    </row>
    <row r="49">
      <c r="A49" s="1376" t="inlineStr">
        <is>
          <t>MLB6755795548</t>
        </is>
      </c>
      <c r="B49" s="1357" t="inlineStr">
        <is>
          <t>Arame Galvanizado Bwg 18 1,24mm 1 Quilo Para Drywall/gesso Prata</t>
        </is>
      </c>
      <c r="C49" s="1377" t="n">
        <v>37.9</v>
      </c>
      <c r="D49" s="1377" t="inlineStr">
        <is>
          <t>active</t>
        </is>
      </c>
      <c r="E49" s="1378" t="inlineStr">
        <is>
          <t>Ativa (R$ 32.97)</t>
        </is>
      </c>
      <c r="F49" s="1379" t="inlineStr">
        <is>
          <t>Ativa (R$ 32.59)</t>
        </is>
      </c>
      <c r="G49" s="1372" t="inlineStr">
        <is>
          <t>Julho ja programado — OK</t>
        </is>
      </c>
    </row>
    <row r="50">
      <c r="A50" s="1376" t="inlineStr">
        <is>
          <t>MLB5929989548</t>
        </is>
      </c>
      <c r="B50" s="1357" t="inlineStr">
        <is>
          <t>Pino Liso Ação Direta 1/4x30x20mm Com Rosca Concreto 500pçs</t>
        </is>
      </c>
      <c r="C50" s="1377" t="n">
        <v>299</v>
      </c>
      <c r="D50" s="1377" t="inlineStr">
        <is>
          <t>active</t>
        </is>
      </c>
      <c r="E50" s="1378" t="inlineStr">
        <is>
          <t>Candidato</t>
        </is>
      </c>
      <c r="F50" s="1378" t="inlineStr">
        <is>
          <t>Candidato</t>
        </is>
      </c>
      <c r="G50" s="1370" t="inlineStr">
        <is>
          <t>Candidato ao Julho — confirmar inscricao</t>
        </is>
      </c>
    </row>
    <row r="51">
      <c r="A51" s="1376" t="inlineStr">
        <is>
          <t>MLB4145600053</t>
        </is>
      </c>
      <c r="B51" s="1357" t="inlineStr">
        <is>
          <t>Kit 12 Luva Multiuso Amarela Látex Antiderrapante Faxina Epi</t>
        </is>
      </c>
      <c r="C51" s="1377" t="n">
        <v>78.98999999999999</v>
      </c>
      <c r="D51" s="1377" t="inlineStr">
        <is>
          <t>active</t>
        </is>
      </c>
      <c r="E51" s="1378" t="inlineStr">
        <is>
          <t>Candidato</t>
        </is>
      </c>
      <c r="F51" s="1379" t="inlineStr">
        <is>
          <t>Inscrito (R$ 64.24)</t>
        </is>
      </c>
      <c r="G51" s="1372" t="inlineStr">
        <is>
          <t>Julho ativo — OK</t>
        </is>
      </c>
    </row>
    <row r="52">
      <c r="A52" s="1376" t="inlineStr">
        <is>
          <t>MLB6019881792</t>
        </is>
      </c>
      <c r="B52" s="1357" t="inlineStr">
        <is>
          <t>Spray Repelente Expert Total 200ml Criança Anti Mosquito 2un</t>
        </is>
      </c>
      <c r="C52" s="1377" t="n">
        <v>50</v>
      </c>
      <c r="D52" s="1377" t="inlineStr">
        <is>
          <t>active</t>
        </is>
      </c>
      <c r="E52" s="1378" t="inlineStr">
        <is>
          <t>Candidato</t>
        </is>
      </c>
      <c r="F52" s="1379" t="inlineStr">
        <is>
          <t>Inscrito (R$ 38.47)</t>
        </is>
      </c>
      <c r="G52" s="1372" t="inlineStr">
        <is>
          <t>Julho ativo — OK</t>
        </is>
      </c>
    </row>
    <row r="53">
      <c r="A53" s="1376" t="inlineStr">
        <is>
          <t>MLB2785525384</t>
        </is>
      </c>
      <c r="B53" s="1357" t="inlineStr">
        <is>
          <t>Kit 50 Óculos De Proteção Epi Incolor Resistente Proteção</t>
        </is>
      </c>
      <c r="C53" s="1377" t="n">
        <v>199.99</v>
      </c>
      <c r="D53" s="1377" t="inlineStr">
        <is>
          <t>active</t>
        </is>
      </c>
      <c r="E53" s="1378" t="inlineStr">
        <is>
          <t>Candidato</t>
        </is>
      </c>
      <c r="F53" s="1378" t="inlineStr">
        <is>
          <t>Candidato</t>
        </is>
      </c>
      <c r="G53" s="1370" t="inlineStr">
        <is>
          <t>Candidato ao Julho — confirmar inscricao</t>
        </is>
      </c>
    </row>
    <row r="54">
      <c r="A54" s="1376" t="inlineStr">
        <is>
          <t>MLB5996606324</t>
        </is>
      </c>
      <c r="B54" s="1357" t="inlineStr">
        <is>
          <t>Kit 2 Fita Adesiva Incolor Reforçada 4,5cm X 100m Mudança</t>
        </is>
      </c>
      <c r="C54" s="1377" t="n">
        <v>39</v>
      </c>
      <c r="D54" s="1377" t="inlineStr">
        <is>
          <t>active</t>
        </is>
      </c>
      <c r="E54" s="1378" t="inlineStr">
        <is>
          <t>Ativa (R$ 23.75)</t>
        </is>
      </c>
      <c r="F54" s="1379" t="inlineStr">
        <is>
          <t>Inscrito (R$ 22.20)</t>
        </is>
      </c>
      <c r="G54" s="1372" t="inlineStr">
        <is>
          <t>Julho ja programado — OK</t>
        </is>
      </c>
    </row>
    <row r="55">
      <c r="A55" s="1376" t="inlineStr">
        <is>
          <t>MLB3252058821</t>
        </is>
      </c>
      <c r="B55" s="1357" t="inlineStr">
        <is>
          <t>Óculos Summer Transparente Delta Plus Ca 19176</t>
        </is>
      </c>
      <c r="C55" s="1377" t="n">
        <v>21</v>
      </c>
      <c r="D55" s="1377" t="inlineStr">
        <is>
          <t>active</t>
        </is>
      </c>
      <c r="E55" s="1380" t="inlineStr">
        <is>
          <t>Ativa (R$ 13.25)</t>
        </is>
      </c>
      <c r="F55" s="1378" t="inlineStr">
        <is>
          <t>Candidato</t>
        </is>
      </c>
      <c r="G55" s="1370" t="inlineStr">
        <is>
          <t>Candidato ao Julho — confirmar inscricao</t>
        </is>
      </c>
    </row>
    <row r="56">
      <c r="A56" s="1376" t="inlineStr">
        <is>
          <t>MLB4230473400</t>
        </is>
      </c>
      <c r="B56" s="1357" t="inlineStr">
        <is>
          <t>Óculos De Segurança Incolor Summer Clear Delta Plus</t>
        </is>
      </c>
      <c r="C56" s="1377" t="n">
        <v>21</v>
      </c>
      <c r="D56" s="1377" t="inlineStr">
        <is>
          <t>active</t>
        </is>
      </c>
      <c r="E56" s="1380" t="inlineStr">
        <is>
          <t>Ativa (R$ 13.25)</t>
        </is>
      </c>
      <c r="F56" s="1378" t="inlineStr">
        <is>
          <t>Candidato</t>
        </is>
      </c>
      <c r="G56" s="1370" t="inlineStr">
        <is>
          <t>Candidato ao Julho — confirmar inscricao</t>
        </is>
      </c>
    </row>
    <row r="57">
      <c r="A57" s="1376" t="inlineStr">
        <is>
          <t>MLB5487225650</t>
        </is>
      </c>
      <c r="B57" s="1357" t="inlineStr">
        <is>
          <t>Kit 2 Plafon Avant 24w Redondo Sobrepor Alta Durabilidade</t>
        </is>
      </c>
      <c r="C57" s="1377" t="n">
        <v>74.70999999999999</v>
      </c>
      <c r="D57" s="1377" t="inlineStr">
        <is>
          <t>active</t>
        </is>
      </c>
      <c r="E57" s="1378" t="inlineStr">
        <is>
          <t>Ativa (R$ 78.99)</t>
        </is>
      </c>
      <c r="F57" s="1379" t="inlineStr">
        <is>
          <t>Ativa (R$ 74.71)</t>
        </is>
      </c>
      <c r="G57" s="1372" t="inlineStr">
        <is>
          <t>Julho ja programado — OK</t>
        </is>
      </c>
    </row>
    <row r="58">
      <c r="A58" s="1376" t="inlineStr">
        <is>
          <t>MLB5996546674</t>
        </is>
      </c>
      <c r="B58" s="1357" t="inlineStr">
        <is>
          <t>Fita Adesiva Mudança Encomenda 45mm X 100m Logística Kit 5</t>
        </is>
      </c>
      <c r="C58" s="1377" t="n">
        <v>65</v>
      </c>
      <c r="D58" s="1377" t="inlineStr">
        <is>
          <t>active</t>
        </is>
      </c>
      <c r="E58" s="1378" t="inlineStr">
        <is>
          <t>Candidato</t>
        </is>
      </c>
      <c r="F58" s="1378" t="inlineStr">
        <is>
          <t>Candidato</t>
        </is>
      </c>
      <c r="G58" s="1370" t="inlineStr">
        <is>
          <t>Candidato ao Julho — confirmar inscricao</t>
        </is>
      </c>
    </row>
    <row r="59">
      <c r="A59" s="1376" t="inlineStr">
        <is>
          <t>MLB2785555162</t>
        </is>
      </c>
      <c r="B59" s="1357" t="inlineStr">
        <is>
          <t>Kit 50 Unidades Óculos De Proteção Uv Delta Plus Summer Fume Fumê</t>
        </is>
      </c>
      <c r="C59" s="1377" t="n">
        <v>210</v>
      </c>
      <c r="D59" s="1377" t="inlineStr">
        <is>
          <t>active</t>
        </is>
      </c>
      <c r="E59" s="1378" t="inlineStr">
        <is>
          <t>Ativa (R$ 170.13)</t>
        </is>
      </c>
      <c r="F59" s="1379" t="inlineStr">
        <is>
          <t>Inscrito (R$ 170.13)</t>
        </is>
      </c>
      <c r="G59" s="1372" t="inlineStr">
        <is>
          <t>Julho ja programado — OK</t>
        </is>
      </c>
    </row>
    <row r="60">
      <c r="A60" s="1376" t="inlineStr">
        <is>
          <t>MLB5405540980</t>
        </is>
      </c>
      <c r="B60" s="1357" t="inlineStr">
        <is>
          <t>Kit 50 Tela Amarração Alvenaria Ancora Tel120 12 X 50 Bloco 1.2v</t>
        </is>
      </c>
      <c r="C60" s="1377" t="n">
        <v>170</v>
      </c>
      <c r="D60" s="1377" t="inlineStr">
        <is>
          <t>active</t>
        </is>
      </c>
      <c r="E60" s="1378" t="inlineStr">
        <is>
          <t>Candidato</t>
        </is>
      </c>
      <c r="F60" s="1379" t="inlineStr">
        <is>
          <t>Inscrito (R$ 111.61)</t>
        </is>
      </c>
      <c r="G60" s="1372" t="inlineStr">
        <is>
          <t>Julho ativo — OK</t>
        </is>
      </c>
    </row>
    <row r="61">
      <c r="A61" s="1376" t="inlineStr">
        <is>
          <t>MLB4237649691</t>
        </is>
      </c>
      <c r="B61" s="1357" t="inlineStr">
        <is>
          <t>Botina Amazonas Horizon Nobuck Bidensidade Bico Pvc Bracol</t>
        </is>
      </c>
      <c r="C61" s="1377" t="n">
        <v>320</v>
      </c>
      <c r="D61" s="1377" t="inlineStr">
        <is>
          <t>active</t>
        </is>
      </c>
      <c r="E61" s="1378" t="inlineStr">
        <is>
          <t>Candidato</t>
        </is>
      </c>
      <c r="F61" s="1378" t="inlineStr">
        <is>
          <t>Candidato</t>
        </is>
      </c>
      <c r="G61" s="1370" t="inlineStr">
        <is>
          <t>Candidato ao Julho — confirmar inscricao</t>
        </is>
      </c>
    </row>
    <row r="62">
      <c r="A62" s="1376" t="inlineStr">
        <is>
          <t>MLB4549433040</t>
        </is>
      </c>
      <c r="B62" s="1357" t="inlineStr">
        <is>
          <t>Capa De Chuva Reforçada Soft Pvc Construção Capuz Resistente</t>
        </is>
      </c>
      <c r="C62" s="1377" t="n">
        <v>35</v>
      </c>
      <c r="D62" s="1377" t="inlineStr">
        <is>
          <t>active</t>
        </is>
      </c>
      <c r="E62" s="1378" t="inlineStr">
        <is>
          <t>Candidato</t>
        </is>
      </c>
      <c r="F62" s="1378" t="inlineStr">
        <is>
          <t>Candidato</t>
        </is>
      </c>
      <c r="G62" s="1370" t="inlineStr">
        <is>
          <t>Candidato ao Julho — confirmar inscricao</t>
        </is>
      </c>
    </row>
    <row r="63">
      <c r="A63" s="1376" t="inlineStr">
        <is>
          <t>MLB4254559151</t>
        </is>
      </c>
      <c r="B63" s="1357" t="inlineStr">
        <is>
          <t>Bota Acqualev Cano Longo Bico Aço Solado Antiperfuro Forrada</t>
        </is>
      </c>
      <c r="C63" s="1377" t="n">
        <v>149</v>
      </c>
      <c r="D63" s="1377" t="inlineStr">
        <is>
          <t>active</t>
        </is>
      </c>
      <c r="E63" s="1378" t="inlineStr">
        <is>
          <t>Candidato</t>
        </is>
      </c>
      <c r="F63" s="1378" t="inlineStr">
        <is>
          <t>Candidato</t>
        </is>
      </c>
      <c r="G63" s="1370" t="inlineStr">
        <is>
          <t>Candidato ao Julho — confirmar inscricao</t>
        </is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2026-06-30T14:02:51Z</dcterms:created>
  <dcterms:modified xsi:type="dcterms:W3CDTF">2026-07-01T12:45:58Z</dcterms:modified>
</cp:coreProperties>
</file>